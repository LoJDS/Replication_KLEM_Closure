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73F42D51-4D23-4E10-AA4E-D2830E004B83}" xr6:coauthVersionLast="47" xr6:coauthVersionMax="47" xr10:uidLastSave="{00000000-0000-0000-0000-000000000000}"/>
  <bookViews>
    <workbookView xWindow="-110" yWindow="-110" windowWidth="19420" windowHeight="11500" tabRatio="887" firstSheet="8" activeTab="17" xr2:uid="{00000000-000D-0000-FFFF-FFFF00000000}"/>
  </bookViews>
  <sheets>
    <sheet name="Calibration" sheetId="1" r:id="rId1"/>
    <sheet name="Model" sheetId="2" r:id="rId2"/>
    <sheet name="Results" sheetId="3" r:id="rId3"/>
    <sheet name="GraphU" sheetId="34" r:id="rId4"/>
    <sheet name="NeoClassical" sheetId="11" r:id="rId5"/>
    <sheet name="Johansen" sheetId="12" r:id="rId6"/>
    <sheet name="Kaldorian" sheetId="22" r:id="rId7"/>
    <sheet name="Keynes-M" sheetId="18" r:id="rId8"/>
    <sheet name="Keynesian" sheetId="24" r:id="rId9"/>
    <sheet name="Keynes-K" sheetId="21" r:id="rId10"/>
    <sheet name="Neo-K1" sheetId="38" r:id="rId11"/>
    <sheet name="Neo-K2" sheetId="35" r:id="rId12"/>
    <sheet name="NC heteroS" sheetId="32" r:id="rId13"/>
    <sheet name="Keynes-I" sheetId="36" r:id="rId14"/>
    <sheet name="Diagnosis Indicators" sheetId="23" r:id="rId15"/>
    <sheet name="GraphPi" sheetId="37" r:id="rId16"/>
    <sheet name="G Tax" sheetId="7" r:id="rId17"/>
    <sheet name="Utility_Export" sheetId="39" r:id="rId18"/>
  </sheet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8" i="39" l="1"/>
  <c r="T8" i="39"/>
  <c r="U8" i="39"/>
  <c r="V8" i="39"/>
  <c r="W8" i="39"/>
  <c r="X8" i="39"/>
  <c r="K58" i="2" a="1"/>
  <c r="K56" i="2" a="1"/>
  <c r="AR81" i="35"/>
  <c r="AN81" i="35"/>
  <c r="AL81" i="35"/>
  <c r="AF81" i="35"/>
  <c r="AB81" i="35"/>
  <c r="Z81" i="35"/>
  <c r="T81" i="35"/>
  <c r="R81" i="35"/>
  <c r="L81" i="35"/>
  <c r="H81" i="35"/>
  <c r="F81" i="35"/>
  <c r="AV80" i="35"/>
  <c r="AR80" i="35"/>
  <c r="AP80" i="35"/>
  <c r="AL80" i="35"/>
  <c r="AJ80" i="35"/>
  <c r="AH80" i="35"/>
  <c r="AD80" i="35"/>
  <c r="AB80" i="35"/>
  <c r="X80" i="35"/>
  <c r="V80" i="35"/>
  <c r="P80" i="35"/>
  <c r="L80" i="35"/>
  <c r="J80" i="35"/>
  <c r="F80" i="35"/>
  <c r="D80" i="35"/>
  <c r="B80" i="35"/>
  <c r="AV79" i="35" a="1"/>
  <c r="AV79" i="35" s="1"/>
  <c r="AT79" i="35"/>
  <c r="AT79" i="35" a="1"/>
  <c r="AR79" i="35" a="1"/>
  <c r="AR79" i="35" s="1"/>
  <c r="AP79" i="35" a="1"/>
  <c r="AP79" i="35" s="1"/>
  <c r="AN79" i="35"/>
  <c r="AN79" i="35" a="1"/>
  <c r="AL79" i="35" a="1"/>
  <c r="AL79" i="35" s="1"/>
  <c r="AJ79" i="35" a="1"/>
  <c r="AJ79" i="35" s="1"/>
  <c r="AH79" i="35" a="1"/>
  <c r="AH79" i="35" s="1"/>
  <c r="AF79" i="35" a="1"/>
  <c r="AF79" i="35" s="1"/>
  <c r="AD79" i="35"/>
  <c r="AD79" i="35" a="1"/>
  <c r="AB79" i="35" a="1"/>
  <c r="AB79" i="35" s="1"/>
  <c r="Z79" i="35" a="1"/>
  <c r="Z79" i="35" s="1"/>
  <c r="X79" i="35"/>
  <c r="X79" i="35" a="1"/>
  <c r="V79" i="35" a="1"/>
  <c r="V79" i="35" s="1"/>
  <c r="T79" i="35" a="1"/>
  <c r="T79" i="35" s="1"/>
  <c r="R79" i="35" a="1"/>
  <c r="R79" i="35" s="1"/>
  <c r="P79" i="35" a="1"/>
  <c r="P79" i="35" s="1"/>
  <c r="N79" i="35"/>
  <c r="N79" i="35" a="1"/>
  <c r="L79" i="35" a="1"/>
  <c r="L79" i="35" s="1"/>
  <c r="J79" i="35" a="1"/>
  <c r="J79" i="35" s="1"/>
  <c r="H79" i="35"/>
  <c r="H79" i="35" a="1"/>
  <c r="F79" i="35" a="1"/>
  <c r="F79" i="35" s="1"/>
  <c r="D79" i="35" a="1"/>
  <c r="D79" i="35" s="1"/>
  <c r="B79" i="35" a="1"/>
  <c r="B79" i="35" s="1"/>
  <c r="AV78" i="35" a="1"/>
  <c r="AV78" i="35" s="1"/>
  <c r="AT78" i="35"/>
  <c r="AT78" i="35" a="1"/>
  <c r="AR78" i="35" a="1"/>
  <c r="AR78" i="35" s="1"/>
  <c r="AP78" i="35" a="1"/>
  <c r="AP78" i="35" s="1"/>
  <c r="AN78" i="35"/>
  <c r="AN78" i="35" a="1"/>
  <c r="AL78" i="35" a="1"/>
  <c r="AL78" i="35" s="1"/>
  <c r="AJ78" i="35" a="1"/>
  <c r="AJ78" i="35" s="1"/>
  <c r="AH78" i="35" a="1"/>
  <c r="AH78" i="35" s="1"/>
  <c r="AF78" i="35" a="1"/>
  <c r="AF78" i="35" s="1"/>
  <c r="AD78" i="35"/>
  <c r="AD78" i="35" a="1"/>
  <c r="AB78" i="35" a="1"/>
  <c r="AB78" i="35" s="1"/>
  <c r="Z78" i="35" a="1"/>
  <c r="Z78" i="35" s="1"/>
  <c r="X78" i="35"/>
  <c r="X78" i="35" a="1"/>
  <c r="V78" i="35" a="1"/>
  <c r="V78" i="35" s="1"/>
  <c r="T78" i="35" a="1"/>
  <c r="T78" i="35" s="1"/>
  <c r="R78" i="35" a="1"/>
  <c r="R78" i="35" s="1"/>
  <c r="P78" i="35" a="1"/>
  <c r="P78" i="35" s="1"/>
  <c r="N78" i="35"/>
  <c r="N78" i="35" a="1"/>
  <c r="L78" i="35" a="1"/>
  <c r="L78" i="35" s="1"/>
  <c r="J78" i="35" a="1"/>
  <c r="J78" i="35" s="1"/>
  <c r="H78" i="35"/>
  <c r="H78" i="35" a="1"/>
  <c r="F78" i="35" a="1"/>
  <c r="F78" i="35" s="1"/>
  <c r="D78" i="35" a="1"/>
  <c r="D78" i="35" s="1"/>
  <c r="B78" i="35" a="1"/>
  <c r="B78" i="35" s="1"/>
  <c r="AV77" i="35" a="1"/>
  <c r="AV77" i="35" s="1"/>
  <c r="AT77" i="35"/>
  <c r="AT77" i="35" a="1"/>
  <c r="AR77" i="35" a="1"/>
  <c r="AR77" i="35" s="1"/>
  <c r="AP77" i="35" a="1"/>
  <c r="AP77" i="35" s="1"/>
  <c r="AN77" i="35"/>
  <c r="AN77" i="35" a="1"/>
  <c r="AL77" i="35" a="1"/>
  <c r="AL77" i="35" s="1"/>
  <c r="AJ77" i="35" a="1"/>
  <c r="AJ77" i="35" s="1"/>
  <c r="AH77" i="35" a="1"/>
  <c r="AH77" i="35" s="1"/>
  <c r="AF77" i="35" a="1"/>
  <c r="AF77" i="35" s="1"/>
  <c r="AD77" i="35"/>
  <c r="AD77" i="35" a="1"/>
  <c r="AB77" i="35" a="1"/>
  <c r="AB77" i="35" s="1"/>
  <c r="Z77" i="35" a="1"/>
  <c r="Z77" i="35" s="1"/>
  <c r="X77" i="35"/>
  <c r="X77" i="35" a="1"/>
  <c r="V77" i="35" a="1"/>
  <c r="V77" i="35" s="1"/>
  <c r="T77" i="35" a="1"/>
  <c r="T77" i="35" s="1"/>
  <c r="R77" i="35" a="1"/>
  <c r="R77" i="35" s="1"/>
  <c r="P77" i="35" a="1"/>
  <c r="P77" i="35" s="1"/>
  <c r="N77" i="35"/>
  <c r="N77" i="35" a="1"/>
  <c r="L77" i="35" a="1"/>
  <c r="L77" i="35" s="1"/>
  <c r="J77" i="35" a="1"/>
  <c r="J77" i="35" s="1"/>
  <c r="H77" i="35"/>
  <c r="H77" i="35" a="1"/>
  <c r="F77" i="35" a="1"/>
  <c r="F77" i="35" s="1"/>
  <c r="D77" i="35" a="1"/>
  <c r="D77" i="35" s="1"/>
  <c r="B77" i="35" a="1"/>
  <c r="B77" i="35" s="1"/>
  <c r="AV76" i="35" a="1"/>
  <c r="AV76" i="35" s="1"/>
  <c r="AT76" i="35"/>
  <c r="AT76" i="35" a="1"/>
  <c r="AR76" i="35" a="1"/>
  <c r="AR76" i="35" s="1"/>
  <c r="AP76" i="35" a="1"/>
  <c r="AP76" i="35" s="1"/>
  <c r="AN76" i="35"/>
  <c r="AN76" i="35" a="1"/>
  <c r="AL76" i="35" a="1"/>
  <c r="AL76" i="35" s="1"/>
  <c r="AJ76" i="35" a="1"/>
  <c r="AJ76" i="35" s="1"/>
  <c r="AH76" i="35" a="1"/>
  <c r="AH76" i="35" s="1"/>
  <c r="AF76" i="35" a="1"/>
  <c r="AF76" i="35" s="1"/>
  <c r="AD76" i="35"/>
  <c r="AD76" i="35" a="1"/>
  <c r="AB76" i="35" a="1"/>
  <c r="AB76" i="35" s="1"/>
  <c r="Z76" i="35" a="1"/>
  <c r="Z76" i="35" s="1"/>
  <c r="X76" i="35"/>
  <c r="X76" i="35" a="1"/>
  <c r="V76" i="35" a="1"/>
  <c r="V76" i="35" s="1"/>
  <c r="T76" i="35" a="1"/>
  <c r="T76" i="35" s="1"/>
  <c r="R76" i="35" a="1"/>
  <c r="R76" i="35" s="1"/>
  <c r="P76" i="35" a="1"/>
  <c r="P76" i="35" s="1"/>
  <c r="N76" i="35"/>
  <c r="N76" i="35" a="1"/>
  <c r="L76" i="35" a="1"/>
  <c r="L76" i="35" s="1"/>
  <c r="J76" i="35" a="1"/>
  <c r="J76" i="35" s="1"/>
  <c r="H76" i="35"/>
  <c r="H76" i="35" a="1"/>
  <c r="F76" i="35" a="1"/>
  <c r="F76" i="35" s="1"/>
  <c r="D76" i="35" a="1"/>
  <c r="D76" i="35" s="1"/>
  <c r="B76" i="35" a="1"/>
  <c r="B76" i="35" s="1"/>
  <c r="AV75" i="35" a="1"/>
  <c r="AV75" i="35" s="1"/>
  <c r="AT75" i="35"/>
  <c r="AT75" i="35" a="1"/>
  <c r="AR75" i="35" a="1"/>
  <c r="AR75" i="35" s="1"/>
  <c r="AP75" i="35" a="1"/>
  <c r="AP75" i="35" s="1"/>
  <c r="AN75" i="35"/>
  <c r="AN75" i="35" a="1"/>
  <c r="AL75" i="35" a="1"/>
  <c r="AL75" i="35" s="1"/>
  <c r="AJ75" i="35" a="1"/>
  <c r="AJ75" i="35" s="1"/>
  <c r="AH75" i="35" a="1"/>
  <c r="AH75" i="35" s="1"/>
  <c r="AF75" i="35" a="1"/>
  <c r="AF75" i="35" s="1"/>
  <c r="AD75" i="35"/>
  <c r="AD75" i="35" a="1"/>
  <c r="AB75" i="35" a="1"/>
  <c r="AB75" i="35" s="1"/>
  <c r="Z75" i="35" a="1"/>
  <c r="Z75" i="35" s="1"/>
  <c r="X75" i="35"/>
  <c r="X75" i="35" a="1"/>
  <c r="V75" i="35" a="1"/>
  <c r="V75" i="35" s="1"/>
  <c r="T75" i="35" a="1"/>
  <c r="T75" i="35" s="1"/>
  <c r="R75" i="35" a="1"/>
  <c r="R75" i="35" s="1"/>
  <c r="P75" i="35" a="1"/>
  <c r="P75" i="35" s="1"/>
  <c r="N75" i="35"/>
  <c r="N75" i="35" a="1"/>
  <c r="L75" i="35" a="1"/>
  <c r="L75" i="35" s="1"/>
  <c r="J75" i="35" a="1"/>
  <c r="J75" i="35" s="1"/>
  <c r="H75" i="35"/>
  <c r="H75" i="35" a="1"/>
  <c r="F75" i="35" a="1"/>
  <c r="F75" i="35" s="1"/>
  <c r="D75" i="35" a="1"/>
  <c r="D75" i="35" s="1"/>
  <c r="B75" i="35" a="1"/>
  <c r="B75" i="35" s="1"/>
  <c r="AV74" i="35" a="1"/>
  <c r="AV74" i="35" s="1"/>
  <c r="AT74" i="35"/>
  <c r="AT74" i="35" a="1"/>
  <c r="AR74" i="35" a="1"/>
  <c r="AR74" i="35" s="1"/>
  <c r="AP74" i="35" a="1"/>
  <c r="AP74" i="35" s="1"/>
  <c r="AN74" i="35"/>
  <c r="AN74" i="35" a="1"/>
  <c r="AL74" i="35" a="1"/>
  <c r="AL74" i="35" s="1"/>
  <c r="AJ74" i="35" a="1"/>
  <c r="AJ74" i="35" s="1"/>
  <c r="AH74" i="35" a="1"/>
  <c r="AH74" i="35" s="1"/>
  <c r="AF74" i="35" a="1"/>
  <c r="AF74" i="35" s="1"/>
  <c r="AD74" i="35"/>
  <c r="AD74" i="35" a="1"/>
  <c r="AB74" i="35" a="1"/>
  <c r="AB74" i="35" s="1"/>
  <c r="Z74" i="35" a="1"/>
  <c r="Z74" i="35" s="1"/>
  <c r="X74" i="35"/>
  <c r="X74" i="35" a="1"/>
  <c r="V74" i="35" a="1"/>
  <c r="V74" i="35" s="1"/>
  <c r="T74" i="35" a="1"/>
  <c r="T74" i="35" s="1"/>
  <c r="R74" i="35" a="1"/>
  <c r="R74" i="35" s="1"/>
  <c r="P74" i="35" a="1"/>
  <c r="P74" i="35" s="1"/>
  <c r="N74" i="35"/>
  <c r="N74" i="35" a="1"/>
  <c r="L74" i="35" a="1"/>
  <c r="L74" i="35" s="1"/>
  <c r="J74" i="35" a="1"/>
  <c r="J74" i="35" s="1"/>
  <c r="H74" i="35"/>
  <c r="H74" i="35" a="1"/>
  <c r="F74" i="35" a="1"/>
  <c r="F74" i="35" s="1"/>
  <c r="D74" i="35" a="1"/>
  <c r="D74" i="35" s="1"/>
  <c r="B74" i="35" a="1"/>
  <c r="B74" i="35" s="1"/>
  <c r="AV73" i="35" a="1"/>
  <c r="AV73" i="35" s="1"/>
  <c r="AT73" i="35"/>
  <c r="AT73" i="35" a="1"/>
  <c r="AR73" i="35" a="1"/>
  <c r="AR73" i="35" s="1"/>
  <c r="AP73" i="35" a="1"/>
  <c r="AP73" i="35" s="1"/>
  <c r="AN73" i="35"/>
  <c r="AN73" i="35" a="1"/>
  <c r="AL73" i="35" a="1"/>
  <c r="AL73" i="35" s="1"/>
  <c r="AJ73" i="35" a="1"/>
  <c r="AJ73" i="35" s="1"/>
  <c r="AH73" i="35" a="1"/>
  <c r="AH73" i="35" s="1"/>
  <c r="AF73" i="35" a="1"/>
  <c r="AF73" i="35" s="1"/>
  <c r="AD73" i="35"/>
  <c r="AD73" i="35" a="1"/>
  <c r="AB73" i="35" a="1"/>
  <c r="AB73" i="35" s="1"/>
  <c r="Z73" i="35" a="1"/>
  <c r="Z73" i="35" s="1"/>
  <c r="X73" i="35"/>
  <c r="X73" i="35" a="1"/>
  <c r="V73" i="35" a="1"/>
  <c r="V73" i="35" s="1"/>
  <c r="T73" i="35" a="1"/>
  <c r="T73" i="35" s="1"/>
  <c r="R73" i="35" a="1"/>
  <c r="R73" i="35" s="1"/>
  <c r="P73" i="35" a="1"/>
  <c r="P73" i="35" s="1"/>
  <c r="N73" i="35"/>
  <c r="N73" i="35" a="1"/>
  <c r="L73" i="35" a="1"/>
  <c r="L73" i="35" s="1"/>
  <c r="J73" i="35" a="1"/>
  <c r="J73" i="35" s="1"/>
  <c r="H73" i="35"/>
  <c r="H73" i="35" a="1"/>
  <c r="F73" i="35" a="1"/>
  <c r="F73" i="35" s="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V69" i="35"/>
  <c r="B69" i="35"/>
  <c r="AL68" i="35"/>
  <c r="F68" i="35"/>
  <c r="AV67" i="35"/>
  <c r="AV67" i="35" a="1"/>
  <c r="AT67" i="35" a="1"/>
  <c r="AT67" i="35" s="1"/>
  <c r="AR67" i="35" a="1"/>
  <c r="AR67" i="35" s="1"/>
  <c r="AP67" i="35" a="1"/>
  <c r="AP67" i="35" s="1"/>
  <c r="AN67" i="35" a="1"/>
  <c r="AN67" i="35" s="1"/>
  <c r="AL67" i="35"/>
  <c r="AL67" i="35" a="1"/>
  <c r="AJ67" i="35" a="1"/>
  <c r="AJ67" i="35" s="1"/>
  <c r="AH67" i="35" a="1"/>
  <c r="AH67" i="35" s="1"/>
  <c r="AF67" i="35"/>
  <c r="AF67" i="35" a="1"/>
  <c r="AD67" i="35" a="1"/>
  <c r="AD67" i="35" s="1"/>
  <c r="AB67" i="35" a="1"/>
  <c r="AB67" i="35" s="1"/>
  <c r="Z67" i="35" a="1"/>
  <c r="Z67" i="35" s="1"/>
  <c r="X67" i="35" a="1"/>
  <c r="X67" i="35" s="1"/>
  <c r="V67" i="35"/>
  <c r="V67" i="35" a="1"/>
  <c r="T67" i="35" a="1"/>
  <c r="T67" i="35" s="1"/>
  <c r="R67" i="35" a="1"/>
  <c r="R67" i="35" s="1"/>
  <c r="P67" i="35"/>
  <c r="P67" i="35" a="1"/>
  <c r="N67" i="35" a="1"/>
  <c r="N67" i="35" s="1"/>
  <c r="L67" i="35" a="1"/>
  <c r="L67" i="35" s="1"/>
  <c r="J67" i="35" a="1"/>
  <c r="J67" i="35" s="1"/>
  <c r="H67" i="35" a="1"/>
  <c r="H67" i="35" s="1"/>
  <c r="F67" i="35"/>
  <c r="F67" i="35" a="1"/>
  <c r="D67" i="35" a="1"/>
  <c r="D67" i="35" s="1"/>
  <c r="B67" i="35" a="1"/>
  <c r="B67" i="35" s="1"/>
  <c r="AV66" i="35"/>
  <c r="AV68" i="35" s="1"/>
  <c r="AV66" i="35" a="1"/>
  <c r="AT66" i="35" a="1"/>
  <c r="AT66" i="35" s="1"/>
  <c r="AR66" i="35" a="1"/>
  <c r="AR66" i="35" s="1"/>
  <c r="AP66" i="35" a="1"/>
  <c r="AP66" i="35" s="1"/>
  <c r="AP68" i="35" s="1"/>
  <c r="AN66" i="35" a="1"/>
  <c r="AN66" i="35" s="1"/>
  <c r="AN68" i="35" s="1"/>
  <c r="AL66" i="35"/>
  <c r="AL66" i="35" a="1"/>
  <c r="AJ66" i="35" a="1"/>
  <c r="AJ66" i="35" s="1"/>
  <c r="AH66" i="35" a="1"/>
  <c r="AH66" i="35" s="1"/>
  <c r="AF66" i="35"/>
  <c r="AF68" i="35" s="1"/>
  <c r="AF66" i="35" a="1"/>
  <c r="AD66" i="35" a="1"/>
  <c r="AD66" i="35" s="1"/>
  <c r="AB66" i="35" a="1"/>
  <c r="AB66" i="35" s="1"/>
  <c r="AB68" i="35" s="1"/>
  <c r="Z66" i="35" a="1"/>
  <c r="Z66" i="35" s="1"/>
  <c r="Z68" i="35" s="1"/>
  <c r="X66" i="35" a="1"/>
  <c r="X66" i="35" s="1"/>
  <c r="V66" i="35"/>
  <c r="V68" i="35" s="1"/>
  <c r="V66" i="35" a="1"/>
  <c r="T66" i="35" a="1"/>
  <c r="T66" i="35" s="1"/>
  <c r="R66" i="35" a="1"/>
  <c r="R66" i="35" s="1"/>
  <c r="P66" i="35"/>
  <c r="P68" i="35" s="1"/>
  <c r="P66" i="35" a="1"/>
  <c r="N66" i="35" a="1"/>
  <c r="N66" i="35" s="1"/>
  <c r="L66" i="35" a="1"/>
  <c r="L66" i="35" s="1"/>
  <c r="L68" i="35" s="1"/>
  <c r="J66" i="35" a="1"/>
  <c r="J66" i="35" s="1"/>
  <c r="H66" i="35" a="1"/>
  <c r="H66" i="35" s="1"/>
  <c r="F66" i="35"/>
  <c r="F66" i="35" a="1"/>
  <c r="D66" i="35" a="1"/>
  <c r="D66" i="35" s="1"/>
  <c r="B66" i="35" a="1"/>
  <c r="B66" i="35" s="1"/>
  <c r="B68" i="35" s="1"/>
  <c r="AV65" i="35"/>
  <c r="AV69" i="35" s="1"/>
  <c r="AV65" i="35" a="1"/>
  <c r="AT65" i="35" a="1"/>
  <c r="AT65" i="35" s="1"/>
  <c r="AT69" i="35" s="1"/>
  <c r="AR65" i="35" a="1"/>
  <c r="AR65" i="35" s="1"/>
  <c r="AR69" i="35" s="1"/>
  <c r="AP65" i="35" a="1"/>
  <c r="AP65" i="35" s="1"/>
  <c r="AP69" i="35" s="1"/>
  <c r="AN65" i="35" a="1"/>
  <c r="AN65" i="35" s="1"/>
  <c r="AN69" i="35" s="1"/>
  <c r="AL65" i="35"/>
  <c r="AL69" i="35" s="1"/>
  <c r="AL65" i="35" a="1"/>
  <c r="AJ65" i="35" a="1"/>
  <c r="AJ65" i="35" s="1"/>
  <c r="AJ69" i="35" s="1"/>
  <c r="AH65" i="35" a="1"/>
  <c r="AH65" i="35" s="1"/>
  <c r="AH69" i="35" s="1"/>
  <c r="AF65" i="35"/>
  <c r="AF69" i="35" s="1"/>
  <c r="AF65" i="35" a="1"/>
  <c r="AD65" i="35" a="1"/>
  <c r="AD65" i="35" s="1"/>
  <c r="AD69" i="35" s="1"/>
  <c r="AB65" i="35" a="1"/>
  <c r="AB65" i="35" s="1"/>
  <c r="AB69" i="35" s="1"/>
  <c r="Z65" i="35" a="1"/>
  <c r="Z65" i="35" s="1"/>
  <c r="Z69" i="35" s="1"/>
  <c r="X65" i="35" a="1"/>
  <c r="X65" i="35" s="1"/>
  <c r="X69" i="35" s="1"/>
  <c r="V65" i="35"/>
  <c r="V65" i="35" a="1"/>
  <c r="T65" i="35" a="1"/>
  <c r="T65" i="35" s="1"/>
  <c r="T69" i="35" s="1"/>
  <c r="R65" i="35" a="1"/>
  <c r="R65" i="35" s="1"/>
  <c r="R69" i="35" s="1"/>
  <c r="P65" i="35"/>
  <c r="P69" i="35" s="1"/>
  <c r="P65" i="35" a="1"/>
  <c r="N65" i="35" a="1"/>
  <c r="N65" i="35" s="1"/>
  <c r="N69" i="35" s="1"/>
  <c r="L65" i="35" a="1"/>
  <c r="L65" i="35" s="1"/>
  <c r="L69" i="35" s="1"/>
  <c r="J65" i="35" a="1"/>
  <c r="J65" i="35" s="1"/>
  <c r="J69" i="35" s="1"/>
  <c r="H65" i="35" a="1"/>
  <c r="H65" i="35" s="1"/>
  <c r="H69" i="35" s="1"/>
  <c r="F65" i="35"/>
  <c r="F69" i="35" s="1"/>
  <c r="F65" i="35" a="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a="1"/>
  <c r="AT58" i="35" s="1"/>
  <c r="AR58" i="35" a="1"/>
  <c r="AR58" i="35" s="1"/>
  <c r="AP58" i="35"/>
  <c r="AP58" i="35" a="1"/>
  <c r="AN58" i="35" a="1"/>
  <c r="AN58" i="35" s="1"/>
  <c r="AL58" i="35" a="1"/>
  <c r="AL58" i="35" s="1"/>
  <c r="AJ58" i="35"/>
  <c r="AJ58" i="35" a="1"/>
  <c r="AH58" i="35" a="1"/>
  <c r="AH58" i="35" s="1"/>
  <c r="AF58" i="35"/>
  <c r="AF58" i="35" a="1"/>
  <c r="AD58" i="35" a="1"/>
  <c r="AD58" i="35" s="1"/>
  <c r="AB58" i="35" a="1"/>
  <c r="AB58" i="35" s="1"/>
  <c r="Z58" i="35"/>
  <c r="Z58" i="35" a="1"/>
  <c r="X58" i="35" a="1"/>
  <c r="X58" i="35" s="1"/>
  <c r="V58" i="35" a="1"/>
  <c r="V58" i="35" s="1"/>
  <c r="T58" i="35"/>
  <c r="T58" i="35" a="1"/>
  <c r="R58" i="35" a="1"/>
  <c r="R58" i="35" s="1"/>
  <c r="P58" i="35"/>
  <c r="P58" i="35" a="1"/>
  <c r="N58" i="35" a="1"/>
  <c r="N58" i="35" s="1"/>
  <c r="L58" i="35" a="1"/>
  <c r="L58" i="35" s="1"/>
  <c r="J58" i="35"/>
  <c r="J58" i="35" a="1"/>
  <c r="H58" i="35" a="1"/>
  <c r="H58" i="35" s="1"/>
  <c r="F58" i="35" a="1"/>
  <c r="F58" i="35" s="1"/>
  <c r="D58" i="35"/>
  <c r="D58" i="35" a="1"/>
  <c r="B58" i="35" a="1"/>
  <c r="B58" i="35" s="1"/>
  <c r="AV57" i="35"/>
  <c r="AV57" i="35" a="1"/>
  <c r="AT57" i="35" a="1"/>
  <c r="AT57" i="35" s="1"/>
  <c r="AR57" i="35" a="1"/>
  <c r="AR57" i="35" s="1"/>
  <c r="AP57" i="35"/>
  <c r="AP57" i="35" a="1"/>
  <c r="AN57" i="35" a="1"/>
  <c r="AN57" i="35" s="1"/>
  <c r="AL57" i="35" a="1"/>
  <c r="AL57" i="35" s="1"/>
  <c r="AJ57" i="35"/>
  <c r="AJ57" i="35" a="1"/>
  <c r="AH57" i="35" a="1"/>
  <c r="AH57" i="35" s="1"/>
  <c r="AF57" i="35"/>
  <c r="AF57" i="35" a="1"/>
  <c r="AD57" i="35" a="1"/>
  <c r="AD57" i="35" s="1"/>
  <c r="AB57" i="35" a="1"/>
  <c r="AB57" i="35" s="1"/>
  <c r="Z57" i="35"/>
  <c r="Z57" i="35" a="1"/>
  <c r="X57" i="35" a="1"/>
  <c r="X57" i="35" s="1"/>
  <c r="V57" i="35" a="1"/>
  <c r="V57" i="35" s="1"/>
  <c r="T57" i="35"/>
  <c r="T57" i="35" a="1"/>
  <c r="R57" i="35" a="1"/>
  <c r="R57" i="35" s="1"/>
  <c r="P57" i="35"/>
  <c r="P57" i="35" a="1"/>
  <c r="N57" i="35" a="1"/>
  <c r="N57" i="35" s="1"/>
  <c r="L57" i="35" a="1"/>
  <c r="L57" i="35" s="1"/>
  <c r="J57" i="35"/>
  <c r="J57" i="35" a="1"/>
  <c r="H57" i="35" a="1"/>
  <c r="H57" i="35" s="1"/>
  <c r="F57" i="35" a="1"/>
  <c r="F57" i="35" s="1"/>
  <c r="D57" i="35"/>
  <c r="D57" i="35" a="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T80" i="35" s="1"/>
  <c r="AR55" i="35"/>
  <c r="AP55" i="35"/>
  <c r="AN55" i="35"/>
  <c r="AN80" i="35" s="1"/>
  <c r="AL55" i="35"/>
  <c r="AJ55" i="35"/>
  <c r="AH55" i="35"/>
  <c r="AF55" i="35"/>
  <c r="AF80" i="35" s="1"/>
  <c r="AD55" i="35"/>
  <c r="AB55" i="35"/>
  <c r="Z55" i="35"/>
  <c r="Z80" i="35" s="1"/>
  <c r="X55" i="35"/>
  <c r="V55" i="35"/>
  <c r="T55" i="35"/>
  <c r="T80" i="35" s="1"/>
  <c r="R55" i="35"/>
  <c r="R80" i="35" s="1"/>
  <c r="P55" i="35"/>
  <c r="N55" i="35"/>
  <c r="N80" i="35" s="1"/>
  <c r="L55" i="35"/>
  <c r="J55" i="35"/>
  <c r="H55" i="35"/>
  <c r="H80" i="35" s="1"/>
  <c r="F55" i="35"/>
  <c r="D55" i="35"/>
  <c r="B55" i="35"/>
  <c r="AV53" i="35" a="1"/>
  <c r="AT53" i="35" a="1"/>
  <c r="AR53" i="35" a="1"/>
  <c r="AP53" i="35" a="1"/>
  <c r="AN53" i="35" a="1"/>
  <c r="AL53" i="35" a="1"/>
  <c r="AJ53" i="35" a="1"/>
  <c r="AH53" i="35" a="1"/>
  <c r="AF53" i="35" a="1"/>
  <c r="AD53" i="35" a="1"/>
  <c r="AB53" i="35" a="1"/>
  <c r="Z53" i="35" a="1"/>
  <c r="X53" i="35" a="1"/>
  <c r="V53" i="35" a="1"/>
  <c r="T53" i="35" a="1"/>
  <c r="R53" i="35" a="1"/>
  <c r="P53" i="35" a="1"/>
  <c r="N53" i="35" a="1"/>
  <c r="L53" i="35" a="1"/>
  <c r="J53" i="35" a="1"/>
  <c r="H53" i="35" a="1"/>
  <c r="F53" i="35" a="1"/>
  <c r="D53" i="35" a="1"/>
  <c r="B53" i="35" a="1"/>
  <c r="AV52" i="35" a="1"/>
  <c r="AT52" i="35" a="1"/>
  <c r="AR52" i="35" a="1"/>
  <c r="AP52" i="35" a="1"/>
  <c r="AN52" i="35" a="1"/>
  <c r="AL52" i="35" a="1"/>
  <c r="AJ52" i="35" a="1"/>
  <c r="AH52" i="35" a="1"/>
  <c r="AF52" i="35" a="1"/>
  <c r="AD52" i="35" a="1"/>
  <c r="AB52" i="35" a="1"/>
  <c r="Z52" i="35" a="1"/>
  <c r="X52" i="35" a="1"/>
  <c r="V52" i="35" a="1"/>
  <c r="T52" i="35" a="1"/>
  <c r="R52" i="35" a="1"/>
  <c r="P52" i="35" a="1"/>
  <c r="N52" i="35" a="1"/>
  <c r="L52" i="35" a="1"/>
  <c r="J52" i="35" a="1"/>
  <c r="H52" i="35" a="1"/>
  <c r="F52" i="35" a="1"/>
  <c r="D52" i="35" a="1"/>
  <c r="B52" i="35" a="1"/>
  <c r="AV51" i="35"/>
  <c r="AV81" i="35" s="1"/>
  <c r="AT51" i="35"/>
  <c r="AT81" i="35" s="1"/>
  <c r="AR51" i="35"/>
  <c r="AP51" i="35"/>
  <c r="AP81" i="35" s="1"/>
  <c r="AN51" i="35"/>
  <c r="AL51" i="35"/>
  <c r="AJ51" i="35"/>
  <c r="AJ81" i="35" s="1"/>
  <c r="AH51" i="35"/>
  <c r="AH81" i="35" s="1"/>
  <c r="AF51" i="35"/>
  <c r="AD51" i="35"/>
  <c r="AD81" i="35" s="1"/>
  <c r="AB51" i="35"/>
  <c r="Z51" i="35"/>
  <c r="X51" i="35"/>
  <c r="X81" i="35" s="1"/>
  <c r="V51" i="35"/>
  <c r="V81" i="35" s="1"/>
  <c r="T51" i="35"/>
  <c r="R51" i="35"/>
  <c r="P51" i="35"/>
  <c r="P81" i="35" s="1"/>
  <c r="N51" i="35"/>
  <c r="N81" i="35" s="1"/>
  <c r="L51" i="35"/>
  <c r="J51" i="35"/>
  <c r="J81" i="35" s="1"/>
  <c r="H51" i="35"/>
  <c r="F51" i="35"/>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c r="AP43" i="35" a="1"/>
  <c r="AN43" i="35" a="1"/>
  <c r="AN43" i="35" s="1"/>
  <c r="AL43" i="35" a="1"/>
  <c r="AL43" i="35" s="1"/>
  <c r="AJ43" i="35"/>
  <c r="AJ43" i="35" a="1"/>
  <c r="AH43" i="35" a="1"/>
  <c r="AH43" i="35" s="1"/>
  <c r="AF43" i="35"/>
  <c r="AF43" i="35" a="1"/>
  <c r="AD43" i="35" a="1"/>
  <c r="AD43" i="35" s="1"/>
  <c r="AB43" i="35" a="1"/>
  <c r="AB43" i="35" s="1"/>
  <c r="Z43" i="35"/>
  <c r="Z43" i="35" a="1"/>
  <c r="X43" i="35" a="1"/>
  <c r="X43" i="35" s="1"/>
  <c r="V43" i="35" a="1"/>
  <c r="V43" i="35" s="1"/>
  <c r="T43" i="35"/>
  <c r="T43" i="35" a="1"/>
  <c r="R43" i="35" a="1"/>
  <c r="R43" i="35" s="1"/>
  <c r="P43" i="35"/>
  <c r="P43" i="35" a="1"/>
  <c r="N43" i="35" a="1"/>
  <c r="N43" i="35" s="1"/>
  <c r="L43" i="35" a="1"/>
  <c r="L43" i="35" s="1"/>
  <c r="J43" i="35"/>
  <c r="J43" i="35" a="1"/>
  <c r="H43" i="35" a="1"/>
  <c r="H43" i="35" s="1"/>
  <c r="F43" i="35" a="1"/>
  <c r="F43" i="35" s="1"/>
  <c r="D43" i="35"/>
  <c r="D43" i="35" a="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AN81" i="38"/>
  <c r="AH81" i="38"/>
  <c r="AF81" i="38"/>
  <c r="AB81" i="38"/>
  <c r="Z81" i="38"/>
  <c r="V81" i="38"/>
  <c r="T81" i="38"/>
  <c r="R81" i="38"/>
  <c r="H81" i="38"/>
  <c r="B81" i="38"/>
  <c r="AV80" i="38"/>
  <c r="AR80" i="38"/>
  <c r="AP80" i="38"/>
  <c r="AL80" i="38"/>
  <c r="AJ80" i="38"/>
  <c r="X80" i="38"/>
  <c r="R80" i="38"/>
  <c r="P80" i="38"/>
  <c r="L80" i="38"/>
  <c r="J80" i="38"/>
  <c r="F80" i="38"/>
  <c r="D80" i="38"/>
  <c r="AV79" i="38" a="1"/>
  <c r="AV79" i="38" s="1"/>
  <c r="AT79" i="38" a="1"/>
  <c r="AT79" i="38" s="1"/>
  <c r="AR79" i="38"/>
  <c r="AR79" i="38" a="1"/>
  <c r="AP79" i="38" a="1"/>
  <c r="AP79" i="38" s="1"/>
  <c r="AN79" i="38"/>
  <c r="AN79" i="38" a="1"/>
  <c r="AL79" i="38" a="1"/>
  <c r="AL79" i="38" s="1"/>
  <c r="AJ79" i="38" a="1"/>
  <c r="AJ79" i="38" s="1"/>
  <c r="AH79" i="38" a="1"/>
  <c r="AH79" i="38" s="1"/>
  <c r="AF79" i="38" a="1"/>
  <c r="AF79" i="38" s="1"/>
  <c r="AD79" i="38" a="1"/>
  <c r="AD79" i="38" s="1"/>
  <c r="AB79" i="38"/>
  <c r="AB79" i="38" a="1"/>
  <c r="Z79" i="38" a="1"/>
  <c r="Z79" i="38" s="1"/>
  <c r="X79" i="38"/>
  <c r="X79" i="38" a="1"/>
  <c r="V79" i="38" a="1"/>
  <c r="V79" i="38" s="1"/>
  <c r="T79" i="38" a="1"/>
  <c r="T79" i="38" s="1"/>
  <c r="R79" i="38" a="1"/>
  <c r="R79" i="38" s="1"/>
  <c r="P79" i="38" a="1"/>
  <c r="P79" i="38" s="1"/>
  <c r="N79" i="38" a="1"/>
  <c r="N79" i="38" s="1"/>
  <c r="L79" i="38"/>
  <c r="L79" i="38" a="1"/>
  <c r="J79" i="38" a="1"/>
  <c r="J79" i="38" s="1"/>
  <c r="H79" i="38"/>
  <c r="H79" i="38" a="1"/>
  <c r="F79" i="38" a="1"/>
  <c r="F79" i="38" s="1"/>
  <c r="D79" i="38" a="1"/>
  <c r="D79" i="38" s="1"/>
  <c r="B79" i="38" a="1"/>
  <c r="B79" i="38" s="1"/>
  <c r="AV78" i="38" a="1"/>
  <c r="AV78" i="38" s="1"/>
  <c r="AT78" i="38" a="1"/>
  <c r="AT78" i="38" s="1"/>
  <c r="AR78" i="38"/>
  <c r="AR78" i="38" a="1"/>
  <c r="AP78" i="38" a="1"/>
  <c r="AP78" i="38" s="1"/>
  <c r="AN78" i="38"/>
  <c r="AN78" i="38" a="1"/>
  <c r="AL78" i="38" a="1"/>
  <c r="AL78" i="38" s="1"/>
  <c r="AJ78" i="38" a="1"/>
  <c r="AJ78" i="38" s="1"/>
  <c r="AH78" i="38" a="1"/>
  <c r="AH78" i="38" s="1"/>
  <c r="AF78" i="38" a="1"/>
  <c r="AF78" i="38" s="1"/>
  <c r="AD78" i="38" a="1"/>
  <c r="AD78" i="38" s="1"/>
  <c r="AB78" i="38"/>
  <c r="AB78" i="38" a="1"/>
  <c r="Z78" i="38" a="1"/>
  <c r="Z78" i="38" s="1"/>
  <c r="X78" i="38"/>
  <c r="X78" i="38" a="1"/>
  <c r="V78" i="38" a="1"/>
  <c r="V78" i="38" s="1"/>
  <c r="T78" i="38" a="1"/>
  <c r="T78" i="38" s="1"/>
  <c r="R78" i="38" a="1"/>
  <c r="R78" i="38" s="1"/>
  <c r="P78" i="38" a="1"/>
  <c r="P78" i="38" s="1"/>
  <c r="N78" i="38" a="1"/>
  <c r="N78" i="38" s="1"/>
  <c r="L78" i="38"/>
  <c r="L78" i="38" a="1"/>
  <c r="J78" i="38" a="1"/>
  <c r="J78" i="38" s="1"/>
  <c r="H78" i="38"/>
  <c r="H78" i="38" a="1"/>
  <c r="F78" i="38" a="1"/>
  <c r="F78" i="38" s="1"/>
  <c r="D78" i="38" a="1"/>
  <c r="D78" i="38" s="1"/>
  <c r="B78" i="38" a="1"/>
  <c r="B78" i="38" s="1"/>
  <c r="AV77" i="38" a="1"/>
  <c r="AV77" i="38" s="1"/>
  <c r="AT77" i="38" a="1"/>
  <c r="AT77" i="38" s="1"/>
  <c r="AR77" i="38"/>
  <c r="AR77" i="38" a="1"/>
  <c r="AP77" i="38" a="1"/>
  <c r="AP77" i="38" s="1"/>
  <c r="AN77" i="38"/>
  <c r="AN77" i="38" a="1"/>
  <c r="AL77" i="38" a="1"/>
  <c r="AL77" i="38" s="1"/>
  <c r="AJ77" i="38" a="1"/>
  <c r="AJ77" i="38" s="1"/>
  <c r="AH77" i="38" a="1"/>
  <c r="AH77" i="38" s="1"/>
  <c r="AF77" i="38" a="1"/>
  <c r="AF77" i="38" s="1"/>
  <c r="AD77" i="38" a="1"/>
  <c r="AD77" i="38" s="1"/>
  <c r="AB77" i="38"/>
  <c r="AB77" i="38" a="1"/>
  <c r="Z77" i="38" a="1"/>
  <c r="Z77" i="38" s="1"/>
  <c r="X77" i="38"/>
  <c r="X77" i="38" a="1"/>
  <c r="V77" i="38" a="1"/>
  <c r="V77" i="38" s="1"/>
  <c r="T77" i="38" a="1"/>
  <c r="T77" i="38" s="1"/>
  <c r="R77" i="38" a="1"/>
  <c r="R77" i="38" s="1"/>
  <c r="P77" i="38" a="1"/>
  <c r="P77" i="38" s="1"/>
  <c r="N77" i="38" a="1"/>
  <c r="N77" i="38" s="1"/>
  <c r="L77" i="38"/>
  <c r="L77" i="38" a="1"/>
  <c r="J77" i="38" a="1"/>
  <c r="J77" i="38" s="1"/>
  <c r="H77" i="38"/>
  <c r="H77" i="38" a="1"/>
  <c r="F77" i="38" a="1"/>
  <c r="F77" i="38" s="1"/>
  <c r="D77" i="38" a="1"/>
  <c r="D77" i="38" s="1"/>
  <c r="B77" i="38" a="1"/>
  <c r="B77" i="38" s="1"/>
  <c r="AV76" i="38" a="1"/>
  <c r="AV76" i="38" s="1"/>
  <c r="AT76" i="38" a="1"/>
  <c r="AT76" i="38" s="1"/>
  <c r="AR76" i="38"/>
  <c r="AR76" i="38" a="1"/>
  <c r="AP76" i="38" a="1"/>
  <c r="AP76" i="38" s="1"/>
  <c r="AN76" i="38"/>
  <c r="AN76" i="38" a="1"/>
  <c r="AL76" i="38" a="1"/>
  <c r="AL76" i="38" s="1"/>
  <c r="AJ76" i="38" a="1"/>
  <c r="AJ76" i="38" s="1"/>
  <c r="AH76" i="38" a="1"/>
  <c r="AH76" i="38" s="1"/>
  <c r="AF76" i="38" a="1"/>
  <c r="AF76" i="38" s="1"/>
  <c r="AD76" i="38" a="1"/>
  <c r="AD76" i="38" s="1"/>
  <c r="AB76" i="38"/>
  <c r="AB76" i="38" a="1"/>
  <c r="Z76" i="38" a="1"/>
  <c r="Z76" i="38" s="1"/>
  <c r="X76" i="38"/>
  <c r="X76" i="38" a="1"/>
  <c r="V76" i="38" a="1"/>
  <c r="V76" i="38" s="1"/>
  <c r="T76" i="38" a="1"/>
  <c r="T76" i="38" s="1"/>
  <c r="R76" i="38" a="1"/>
  <c r="R76" i="38" s="1"/>
  <c r="P76" i="38" a="1"/>
  <c r="P76" i="38" s="1"/>
  <c r="N76" i="38" a="1"/>
  <c r="N76" i="38" s="1"/>
  <c r="L76" i="38"/>
  <c r="L76" i="38" a="1"/>
  <c r="J76" i="38" a="1"/>
  <c r="J76" i="38" s="1"/>
  <c r="H76" i="38"/>
  <c r="H76" i="38" a="1"/>
  <c r="F76" i="38" a="1"/>
  <c r="F76" i="38" s="1"/>
  <c r="D76" i="38" a="1"/>
  <c r="D76" i="38" s="1"/>
  <c r="B76" i="38" a="1"/>
  <c r="B76" i="38" s="1"/>
  <c r="AV75" i="38" a="1"/>
  <c r="AV75" i="38" s="1"/>
  <c r="AT75" i="38" a="1"/>
  <c r="AT75" i="38" s="1"/>
  <c r="AR75" i="38"/>
  <c r="AR75" i="38" a="1"/>
  <c r="AP75" i="38" a="1"/>
  <c r="AP75" i="38" s="1"/>
  <c r="AN75" i="38"/>
  <c r="AN75" i="38" a="1"/>
  <c r="AL75" i="38" a="1"/>
  <c r="AL75" i="38" s="1"/>
  <c r="AJ75" i="38" a="1"/>
  <c r="AJ75" i="38" s="1"/>
  <c r="AH75" i="38" a="1"/>
  <c r="AH75" i="38" s="1"/>
  <c r="AF75" i="38" a="1"/>
  <c r="AF75" i="38" s="1"/>
  <c r="AD75" i="38" a="1"/>
  <c r="AD75" i="38" s="1"/>
  <c r="AB75" i="38"/>
  <c r="AB75" i="38" a="1"/>
  <c r="Z75" i="38" a="1"/>
  <c r="Z75" i="38" s="1"/>
  <c r="X75" i="38"/>
  <c r="X75" i="38" a="1"/>
  <c r="V75" i="38" a="1"/>
  <c r="V75" i="38" s="1"/>
  <c r="T75" i="38" a="1"/>
  <c r="T75" i="38" s="1"/>
  <c r="R75" i="38" a="1"/>
  <c r="R75" i="38" s="1"/>
  <c r="P75" i="38" a="1"/>
  <c r="P75" i="38" s="1"/>
  <c r="N75" i="38" a="1"/>
  <c r="N75" i="38" s="1"/>
  <c r="L75" i="38"/>
  <c r="L75" i="38" a="1"/>
  <c r="J75" i="38" a="1"/>
  <c r="J75" i="38" s="1"/>
  <c r="H75" i="38"/>
  <c r="H75" i="38" a="1"/>
  <c r="F75" i="38" a="1"/>
  <c r="F75" i="38" s="1"/>
  <c r="D75" i="38" a="1"/>
  <c r="D75" i="38" s="1"/>
  <c r="B75" i="38" a="1"/>
  <c r="B75" i="38" s="1"/>
  <c r="AV74" i="38" a="1"/>
  <c r="AV74" i="38" s="1"/>
  <c r="AT74" i="38" a="1"/>
  <c r="AT74" i="38" s="1"/>
  <c r="AR74" i="38"/>
  <c r="AR74" i="38" a="1"/>
  <c r="AP74" i="38" a="1"/>
  <c r="AP74" i="38" s="1"/>
  <c r="AN74" i="38"/>
  <c r="AN74" i="38" a="1"/>
  <c r="AL74" i="38" a="1"/>
  <c r="AL74" i="38" s="1"/>
  <c r="AJ74" i="38" a="1"/>
  <c r="AJ74" i="38" s="1"/>
  <c r="AH74" i="38" a="1"/>
  <c r="AH74" i="38" s="1"/>
  <c r="AF74" i="38" a="1"/>
  <c r="AF74" i="38" s="1"/>
  <c r="AD74" i="38" a="1"/>
  <c r="AD74" i="38" s="1"/>
  <c r="AB74" i="38"/>
  <c r="AB74" i="38" a="1"/>
  <c r="Z74" i="38" a="1"/>
  <c r="Z74" i="38" s="1"/>
  <c r="X74" i="38"/>
  <c r="X74" i="38" a="1"/>
  <c r="V74" i="38" a="1"/>
  <c r="V74" i="38" s="1"/>
  <c r="T74" i="38" a="1"/>
  <c r="T74" i="38" s="1"/>
  <c r="R74" i="38" a="1"/>
  <c r="R74" i="38" s="1"/>
  <c r="P74" i="38" a="1"/>
  <c r="P74" i="38" s="1"/>
  <c r="N74" i="38" a="1"/>
  <c r="N74" i="38" s="1"/>
  <c r="L74" i="38"/>
  <c r="L74" i="38" a="1"/>
  <c r="J74" i="38" a="1"/>
  <c r="J74" i="38" s="1"/>
  <c r="H74" i="38"/>
  <c r="H74" i="38" a="1"/>
  <c r="F74" i="38" a="1"/>
  <c r="F74" i="38" s="1"/>
  <c r="D74" i="38" a="1"/>
  <c r="D74" i="38" s="1"/>
  <c r="B74" i="38" a="1"/>
  <c r="B74" i="38" s="1"/>
  <c r="AV73" i="38" a="1"/>
  <c r="AV73" i="38" s="1"/>
  <c r="AT73" i="38" a="1"/>
  <c r="AT73" i="38" s="1"/>
  <c r="AR73" i="38"/>
  <c r="AR73" i="38" a="1"/>
  <c r="AP73" i="38" a="1"/>
  <c r="AP73" i="38" s="1"/>
  <c r="AN73" i="38"/>
  <c r="AN73" i="38" a="1"/>
  <c r="AL73" i="38" a="1"/>
  <c r="AL73" i="38" s="1"/>
  <c r="AJ73" i="38" a="1"/>
  <c r="AJ73" i="38" s="1"/>
  <c r="AH73" i="38" a="1"/>
  <c r="AH73" i="38" s="1"/>
  <c r="AF73" i="38" a="1"/>
  <c r="AF73" i="38" s="1"/>
  <c r="AD73" i="38" a="1"/>
  <c r="AD73" i="38" s="1"/>
  <c r="AB73" i="38"/>
  <c r="AB73" i="38" a="1"/>
  <c r="Z73" i="38" a="1"/>
  <c r="Z73" i="38" s="1"/>
  <c r="X73" i="38"/>
  <c r="X73" i="38" a="1"/>
  <c r="V73" i="38" a="1"/>
  <c r="V73" i="38" s="1"/>
  <c r="T73" i="38" a="1"/>
  <c r="T73" i="38" s="1"/>
  <c r="R73" i="38" a="1"/>
  <c r="R73" i="38" s="1"/>
  <c r="P73" i="38" a="1"/>
  <c r="P73" i="38" s="1"/>
  <c r="N73" i="38" a="1"/>
  <c r="N73" i="38" s="1"/>
  <c r="L73" i="38"/>
  <c r="L73" i="38" a="1"/>
  <c r="J73" i="38" a="1"/>
  <c r="J73" i="38" s="1"/>
  <c r="H73" i="38"/>
  <c r="H73" i="38" a="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J69" i="38"/>
  <c r="AH69" i="38"/>
  <c r="D69" i="38"/>
  <c r="B69" i="38"/>
  <c r="T68" i="38"/>
  <c r="R68" i="38"/>
  <c r="AV67" i="38"/>
  <c r="AV67" i="38" a="1"/>
  <c r="AT67" i="38" a="1"/>
  <c r="AT67" i="38" s="1"/>
  <c r="AR67" i="38" a="1"/>
  <c r="AR67" i="38" s="1"/>
  <c r="AP67" i="38" a="1"/>
  <c r="AP67" i="38" s="1"/>
  <c r="AN67" i="38" a="1"/>
  <c r="AN67" i="38" s="1"/>
  <c r="AL67" i="38" a="1"/>
  <c r="AL67" i="38" s="1"/>
  <c r="AJ67" i="38"/>
  <c r="AJ67" i="38" a="1"/>
  <c r="AH67" i="38" a="1"/>
  <c r="AH67" i="38" s="1"/>
  <c r="AF67" i="38"/>
  <c r="AF67" i="38" a="1"/>
  <c r="AD67" i="38" a="1"/>
  <c r="AD67" i="38" s="1"/>
  <c r="AB67" i="38" a="1"/>
  <c r="AB67" i="38" s="1"/>
  <c r="Z67" i="38" a="1"/>
  <c r="Z67" i="38" s="1"/>
  <c r="X67" i="38" a="1"/>
  <c r="X67" i="38" s="1"/>
  <c r="V67" i="38" a="1"/>
  <c r="V67" i="38" s="1"/>
  <c r="T67" i="38"/>
  <c r="T67" i="38" a="1"/>
  <c r="R67" i="38" a="1"/>
  <c r="R67" i="38" s="1"/>
  <c r="P67" i="38"/>
  <c r="P67" i="38" a="1"/>
  <c r="N67" i="38" a="1"/>
  <c r="N67" i="38" s="1"/>
  <c r="L67" i="38" a="1"/>
  <c r="L67" i="38" s="1"/>
  <c r="J67" i="38" a="1"/>
  <c r="J67" i="38" s="1"/>
  <c r="H67" i="38" a="1"/>
  <c r="H67" i="38" s="1"/>
  <c r="F67" i="38" a="1"/>
  <c r="F67" i="38" s="1"/>
  <c r="D67" i="38"/>
  <c r="D67" i="38" a="1"/>
  <c r="B67" i="38" a="1"/>
  <c r="B67" i="38" s="1"/>
  <c r="AV66" i="38"/>
  <c r="AV68" i="38" s="1"/>
  <c r="AV66" i="38" a="1"/>
  <c r="AT66" i="38" a="1"/>
  <c r="AT66" i="38" s="1"/>
  <c r="AT68" i="38" s="1"/>
  <c r="AR66" i="38" a="1"/>
  <c r="AR66" i="38" s="1"/>
  <c r="AP66" i="38"/>
  <c r="AP68" i="38" s="1"/>
  <c r="AP66" i="38" a="1"/>
  <c r="AN66" i="38" a="1"/>
  <c r="AN66" i="38" s="1"/>
  <c r="AN68" i="38" s="1"/>
  <c r="AL66" i="38" a="1"/>
  <c r="AL66" i="38" s="1"/>
  <c r="AL68" i="38" s="1"/>
  <c r="AJ66" i="38"/>
  <c r="AJ68" i="38" s="1"/>
  <c r="AJ66" i="38" a="1"/>
  <c r="AH66" i="38" a="1"/>
  <c r="AH66" i="38" s="1"/>
  <c r="AH68" i="38" s="1"/>
  <c r="AF66" i="38"/>
  <c r="AF68" i="38" s="1"/>
  <c r="AF66" i="38" a="1"/>
  <c r="AD66" i="38" a="1"/>
  <c r="AD66" i="38" s="1"/>
  <c r="AD68" i="38" s="1"/>
  <c r="AB66" i="38" a="1"/>
  <c r="AB66" i="38" s="1"/>
  <c r="AB68" i="38" s="1"/>
  <c r="Z66" i="38" a="1"/>
  <c r="Z66" i="38" s="1"/>
  <c r="Z68" i="38" s="1"/>
  <c r="X66" i="38" a="1"/>
  <c r="X66" i="38" s="1"/>
  <c r="X68" i="38" s="1"/>
  <c r="V66" i="38" a="1"/>
  <c r="V66" i="38" s="1"/>
  <c r="T66" i="38"/>
  <c r="T66" i="38" a="1"/>
  <c r="R66" i="38" a="1"/>
  <c r="R66" i="38" s="1"/>
  <c r="P66" i="38"/>
  <c r="P68" i="38" s="1"/>
  <c r="P66" i="38" a="1"/>
  <c r="N66" i="38" a="1"/>
  <c r="N66" i="38" s="1"/>
  <c r="L66" i="38" a="1"/>
  <c r="L66" i="38" s="1"/>
  <c r="L68" i="38" s="1"/>
  <c r="J66" i="38" a="1"/>
  <c r="J66" i="38" s="1"/>
  <c r="H66" i="38" a="1"/>
  <c r="H66" i="38" s="1"/>
  <c r="H68" i="38" s="1"/>
  <c r="F66" i="38" a="1"/>
  <c r="F66" i="38" s="1"/>
  <c r="F68" i="38" s="1"/>
  <c r="D66" i="38"/>
  <c r="D68" i="38" s="1"/>
  <c r="D66" i="38" a="1"/>
  <c r="B66" i="38" a="1"/>
  <c r="B66" i="38" s="1"/>
  <c r="B68" i="38" s="1"/>
  <c r="AV65" i="38"/>
  <c r="AV69" i="38" s="1"/>
  <c r="AV65" i="38" a="1"/>
  <c r="AT65" i="38" a="1"/>
  <c r="AT65" i="38" s="1"/>
  <c r="AT69" i="38" s="1"/>
  <c r="AR65" i="38" a="1"/>
  <c r="AR65" i="38" s="1"/>
  <c r="AR69" i="38" s="1"/>
  <c r="AP65" i="38" a="1"/>
  <c r="AP65" i="38" s="1"/>
  <c r="AP69" i="38" s="1"/>
  <c r="AN65" i="38" a="1"/>
  <c r="AN65" i="38" s="1"/>
  <c r="AN69" i="38" s="1"/>
  <c r="AL65" i="38" a="1"/>
  <c r="AL65" i="38" s="1"/>
  <c r="AL69" i="38" s="1"/>
  <c r="AJ65" i="38"/>
  <c r="AJ65" i="38" a="1"/>
  <c r="AH65" i="38" a="1"/>
  <c r="AH65" i="38" s="1"/>
  <c r="AF65" i="38"/>
  <c r="AF69" i="38" s="1"/>
  <c r="AF65" i="38" a="1"/>
  <c r="AD65" i="38" a="1"/>
  <c r="AD65" i="38" s="1"/>
  <c r="AD69" i="38" s="1"/>
  <c r="AB65" i="38" a="1"/>
  <c r="AB65" i="38" s="1"/>
  <c r="AB69" i="38" s="1"/>
  <c r="Z65" i="38" a="1"/>
  <c r="Z65" i="38" s="1"/>
  <c r="Z69" i="38" s="1"/>
  <c r="X65" i="38" a="1"/>
  <c r="X65" i="38" s="1"/>
  <c r="X69" i="38" s="1"/>
  <c r="V65" i="38" a="1"/>
  <c r="V65" i="38" s="1"/>
  <c r="V69" i="38" s="1"/>
  <c r="T65" i="38"/>
  <c r="T69" i="38" s="1"/>
  <c r="T65" i="38" a="1"/>
  <c r="R65" i="38" a="1"/>
  <c r="R65" i="38" s="1"/>
  <c r="R69" i="38" s="1"/>
  <c r="P65" i="38"/>
  <c r="P69" i="38" s="1"/>
  <c r="P65" i="38" a="1"/>
  <c r="N65" i="38" a="1"/>
  <c r="N65" i="38" s="1"/>
  <c r="N69" i="38" s="1"/>
  <c r="L65" i="38" a="1"/>
  <c r="L65" i="38" s="1"/>
  <c r="L69" i="38" s="1"/>
  <c r="J65" i="38" a="1"/>
  <c r="J65" i="38" s="1"/>
  <c r="J69" i="38" s="1"/>
  <c r="H65" i="38" a="1"/>
  <c r="H65" i="38" s="1"/>
  <c r="H69" i="38" s="1"/>
  <c r="F65" i="38" a="1"/>
  <c r="F65" i="38" s="1"/>
  <c r="F69" i="38" s="1"/>
  <c r="D65" i="38"/>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c r="AP58" i="38" a="1"/>
  <c r="AN58" i="38" a="1"/>
  <c r="AN58" i="38" s="1"/>
  <c r="AL58" i="38" a="1"/>
  <c r="AL58" i="38" s="1"/>
  <c r="AJ58" i="38"/>
  <c r="AJ58" i="38" a="1"/>
  <c r="AH58" i="38" a="1"/>
  <c r="AH58" i="38" s="1"/>
  <c r="AF58" i="38"/>
  <c r="AF58" i="38" a="1"/>
  <c r="AD58" i="38"/>
  <c r="AD58" i="38" a="1"/>
  <c r="AB58" i="38" a="1"/>
  <c r="AB58" i="38" s="1"/>
  <c r="Z58" i="38"/>
  <c r="Z58" i="38" a="1"/>
  <c r="X58" i="38" a="1"/>
  <c r="X58" i="38" s="1"/>
  <c r="V58" i="38" a="1"/>
  <c r="V58" i="38" s="1"/>
  <c r="T58" i="38"/>
  <c r="T58" i="38" a="1"/>
  <c r="R58" i="38" a="1"/>
  <c r="R58" i="38" s="1"/>
  <c r="P58" i="38"/>
  <c r="P58" i="38" a="1"/>
  <c r="N58" i="38"/>
  <c r="N58" i="38" a="1"/>
  <c r="L58" i="38" a="1"/>
  <c r="L58" i="38" s="1"/>
  <c r="J58" i="38"/>
  <c r="J58" i="38" a="1"/>
  <c r="H58" i="38" a="1"/>
  <c r="H58" i="38" s="1"/>
  <c r="F58" i="38" a="1"/>
  <c r="F58" i="38" s="1"/>
  <c r="D58" i="38"/>
  <c r="D58" i="38" a="1"/>
  <c r="B58" i="38" a="1"/>
  <c r="B58" i="38" s="1"/>
  <c r="AV57" i="38"/>
  <c r="AV57" i="38" a="1"/>
  <c r="AT57" i="38"/>
  <c r="AT57" i="38" a="1"/>
  <c r="AR57" i="38" a="1"/>
  <c r="AR57" i="38" s="1"/>
  <c r="AP57" i="38"/>
  <c r="AP57" i="38" a="1"/>
  <c r="AN57" i="38" a="1"/>
  <c r="AN57" i="38" s="1"/>
  <c r="AL57" i="38" a="1"/>
  <c r="AL57" i="38" s="1"/>
  <c r="AJ57" i="38"/>
  <c r="AJ57" i="38" a="1"/>
  <c r="AH57" i="38" a="1"/>
  <c r="AH57" i="38" s="1"/>
  <c r="AF57" i="38"/>
  <c r="AF57" i="38" a="1"/>
  <c r="AD57" i="38"/>
  <c r="AD57" i="38" a="1"/>
  <c r="AB57" i="38" a="1"/>
  <c r="AB57" i="38" s="1"/>
  <c r="Z57" i="38"/>
  <c r="Z57" i="38" a="1"/>
  <c r="X57" i="38" a="1"/>
  <c r="X57" i="38" s="1"/>
  <c r="V57" i="38" a="1"/>
  <c r="V57" i="38" s="1"/>
  <c r="T57" i="38"/>
  <c r="T57" i="38" a="1"/>
  <c r="R57" i="38" a="1"/>
  <c r="R57" i="38" s="1"/>
  <c r="P57" i="38"/>
  <c r="P57" i="38" a="1"/>
  <c r="N57" i="38"/>
  <c r="N57" i="38" a="1"/>
  <c r="L57" i="38" a="1"/>
  <c r="L57" i="38" s="1"/>
  <c r="J57" i="38"/>
  <c r="J57" i="38" a="1"/>
  <c r="H57" i="38" a="1"/>
  <c r="H57" i="38" s="1"/>
  <c r="F57" i="38" a="1"/>
  <c r="F57" i="38" s="1"/>
  <c r="D57" i="38"/>
  <c r="D57" i="38" a="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T80" i="38" s="1"/>
  <c r="AR55" i="38"/>
  <c r="AP55" i="38"/>
  <c r="AN55" i="38"/>
  <c r="AN80" i="38" s="1"/>
  <c r="AL55" i="38"/>
  <c r="AJ55" i="38"/>
  <c r="AH55" i="38"/>
  <c r="AH80" i="38" s="1"/>
  <c r="AF55" i="38"/>
  <c r="AF80" i="38" s="1"/>
  <c r="AD55" i="38"/>
  <c r="AD80" i="38" s="1"/>
  <c r="AB55" i="38"/>
  <c r="AB80" i="38" s="1"/>
  <c r="Z55" i="38"/>
  <c r="Z80" i="38" s="1"/>
  <c r="X55" i="38"/>
  <c r="V55" i="38"/>
  <c r="V80" i="38" s="1"/>
  <c r="T55" i="38"/>
  <c r="T80" i="38" s="1"/>
  <c r="R55" i="38"/>
  <c r="P55" i="38"/>
  <c r="N55" i="38"/>
  <c r="N80" i="38" s="1"/>
  <c r="L55" i="38"/>
  <c r="J55" i="38"/>
  <c r="H55" i="38"/>
  <c r="H80" i="38" s="1"/>
  <c r="F55" i="38"/>
  <c r="D55" i="38"/>
  <c r="B55" i="38"/>
  <c r="B80" i="38" s="1"/>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L51" i="38"/>
  <c r="AL81" i="38" s="1"/>
  <c r="AJ51" i="38"/>
  <c r="AJ81" i="38" s="1"/>
  <c r="AH51" i="38"/>
  <c r="AF51" i="38"/>
  <c r="AD51" i="38"/>
  <c r="AD81" i="38" s="1"/>
  <c r="AB51" i="38"/>
  <c r="Z51" i="38"/>
  <c r="X51" i="38"/>
  <c r="X81" i="38" s="1"/>
  <c r="V51" i="38"/>
  <c r="T51" i="38"/>
  <c r="R51" i="38"/>
  <c r="P51" i="38"/>
  <c r="P81" i="38" s="1"/>
  <c r="N51" i="38"/>
  <c r="N81" i="38" s="1"/>
  <c r="L51" i="38"/>
  <c r="L81" i="38" s="1"/>
  <c r="J51" i="38"/>
  <c r="J81" i="38" s="1"/>
  <c r="H51" i="38"/>
  <c r="F51" i="38"/>
  <c r="F81" i="38" s="1"/>
  <c r="D51" i="38"/>
  <c r="D81" i="38" s="1"/>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c r="AP43" i="38" a="1"/>
  <c r="AN43" i="38" a="1"/>
  <c r="AN43" i="38" s="1"/>
  <c r="AL43" i="38" a="1"/>
  <c r="AL43" i="38" s="1"/>
  <c r="AJ43" i="38"/>
  <c r="AJ43" i="38" a="1"/>
  <c r="AH43" i="38" a="1"/>
  <c r="AH43" i="38" s="1"/>
  <c r="AF43" i="38"/>
  <c r="AF43" i="38" a="1"/>
  <c r="AD43" i="38" a="1"/>
  <c r="AD43" i="38" s="1"/>
  <c r="AB43" i="38" a="1"/>
  <c r="AB43" i="38" s="1"/>
  <c r="Z43" i="38"/>
  <c r="Z43" i="38" a="1"/>
  <c r="X43" i="38" a="1"/>
  <c r="X43" i="38" s="1"/>
  <c r="V43" i="38" a="1"/>
  <c r="V43" i="38" s="1"/>
  <c r="T43" i="38"/>
  <c r="T43" i="38" a="1"/>
  <c r="R43" i="38" a="1"/>
  <c r="R43" i="38" s="1"/>
  <c r="P43" i="38"/>
  <c r="P43" i="38" a="1"/>
  <c r="N43" i="38" a="1"/>
  <c r="N43" i="38" s="1"/>
  <c r="L43" i="38" a="1"/>
  <c r="L43" i="38" s="1"/>
  <c r="J43" i="38"/>
  <c r="J43" i="38" a="1"/>
  <c r="H43" i="38" a="1"/>
  <c r="H43" i="38" s="1"/>
  <c r="F43" i="38" a="1"/>
  <c r="F43" i="38" s="1"/>
  <c r="D43" i="38"/>
  <c r="D43" i="38" a="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P81" i="21"/>
  <c r="AN81" i="21"/>
  <c r="AH81" i="21"/>
  <c r="AF81" i="21"/>
  <c r="AD81" i="21"/>
  <c r="AB81" i="21"/>
  <c r="R81" i="21"/>
  <c r="J81" i="21"/>
  <c r="H81" i="21"/>
  <c r="B81" i="21"/>
  <c r="AV80" i="21"/>
  <c r="AT80" i="21"/>
  <c r="AR80" i="21"/>
  <c r="AH80" i="21"/>
  <c r="Z80" i="21"/>
  <c r="X80" i="21"/>
  <c r="R80" i="21"/>
  <c r="P80" i="21"/>
  <c r="N80" i="21"/>
  <c r="L80" i="21"/>
  <c r="B80" i="21"/>
  <c r="AV79" i="21" a="1"/>
  <c r="AV79" i="21" s="1"/>
  <c r="AT79" i="21" a="1"/>
  <c r="AT79" i="21" s="1"/>
  <c r="AR79" i="21"/>
  <c r="AR79" i="21" a="1"/>
  <c r="AP79" i="21" a="1"/>
  <c r="AP79" i="21" s="1"/>
  <c r="AN79" i="21" a="1"/>
  <c r="AN79" i="21" s="1"/>
  <c r="AL79" i="21" a="1"/>
  <c r="AL79" i="21" s="1"/>
  <c r="AJ79" i="21" a="1"/>
  <c r="AJ79" i="21" s="1"/>
  <c r="AH79" i="21" a="1"/>
  <c r="AH79" i="21" s="1"/>
  <c r="AF79" i="21" a="1"/>
  <c r="AF79" i="21" s="1"/>
  <c r="AD79" i="21" a="1"/>
  <c r="AD79" i="21" s="1"/>
  <c r="AB79" i="21"/>
  <c r="AB79" i="21" a="1"/>
  <c r="Z79" i="21" a="1"/>
  <c r="Z79" i="21" s="1"/>
  <c r="X79" i="21" a="1"/>
  <c r="X79" i="21" s="1"/>
  <c r="V79" i="21"/>
  <c r="V79" i="21" a="1"/>
  <c r="T79" i="21" a="1"/>
  <c r="T79" i="21" s="1"/>
  <c r="R79" i="21" a="1"/>
  <c r="R79" i="21" s="1"/>
  <c r="P79" i="21" a="1"/>
  <c r="P79" i="21" s="1"/>
  <c r="N79" i="21" a="1"/>
  <c r="N79" i="21" s="1"/>
  <c r="L79" i="21"/>
  <c r="L79" i="21" a="1"/>
  <c r="J79" i="21" a="1"/>
  <c r="J79" i="21" s="1"/>
  <c r="H79" i="21" a="1"/>
  <c r="H79" i="21" s="1"/>
  <c r="F79" i="21" a="1"/>
  <c r="F79" i="21" s="1"/>
  <c r="D79" i="21" a="1"/>
  <c r="D79" i="21" s="1"/>
  <c r="B79" i="21" a="1"/>
  <c r="B79" i="21" s="1"/>
  <c r="AV78" i="21" a="1"/>
  <c r="AV78" i="21" s="1"/>
  <c r="AT78" i="21" a="1"/>
  <c r="AT78" i="21" s="1"/>
  <c r="AR78" i="21"/>
  <c r="AR78" i="21" a="1"/>
  <c r="AP78" i="21" a="1"/>
  <c r="AP78" i="21" s="1"/>
  <c r="AN78" i="21" a="1"/>
  <c r="AN78" i="21" s="1"/>
  <c r="AL78" i="21"/>
  <c r="AL78" i="21" a="1"/>
  <c r="AJ78" i="21" a="1"/>
  <c r="AJ78" i="21" s="1"/>
  <c r="AH78" i="21" a="1"/>
  <c r="AH78" i="21" s="1"/>
  <c r="AF78" i="21" a="1"/>
  <c r="AF78" i="21" s="1"/>
  <c r="AD78" i="21" a="1"/>
  <c r="AD78" i="21" s="1"/>
  <c r="AB78" i="21"/>
  <c r="AB78" i="21" a="1"/>
  <c r="Z78" i="21" a="1"/>
  <c r="Z78" i="21" s="1"/>
  <c r="X78" i="21" a="1"/>
  <c r="X78" i="21" s="1"/>
  <c r="V78" i="21" a="1"/>
  <c r="V78" i="21" s="1"/>
  <c r="T78" i="21" a="1"/>
  <c r="T78" i="21" s="1"/>
  <c r="R78" i="21" a="1"/>
  <c r="R78" i="21" s="1"/>
  <c r="P78" i="21" a="1"/>
  <c r="P78" i="21" s="1"/>
  <c r="N78" i="21" a="1"/>
  <c r="N78" i="21" s="1"/>
  <c r="L78" i="21"/>
  <c r="L78" i="21" a="1"/>
  <c r="J78" i="21" a="1"/>
  <c r="J78" i="21" s="1"/>
  <c r="H78" i="21" a="1"/>
  <c r="H78" i="21" s="1"/>
  <c r="F78" i="21" a="1"/>
  <c r="F78" i="21" s="1"/>
  <c r="D78" i="21" a="1"/>
  <c r="D78" i="21" s="1"/>
  <c r="B78" i="21" a="1"/>
  <c r="B78" i="21" s="1"/>
  <c r="AV77" i="21" a="1"/>
  <c r="AV77" i="21" s="1"/>
  <c r="AT77" i="21" a="1"/>
  <c r="AT77" i="21" s="1"/>
  <c r="AR77" i="21"/>
  <c r="AR77" i="21" a="1"/>
  <c r="AP77" i="21" a="1"/>
  <c r="AP77" i="21" s="1"/>
  <c r="AN77" i="21" a="1"/>
  <c r="AN77" i="21" s="1"/>
  <c r="AL77" i="21"/>
  <c r="AL77" i="21" a="1"/>
  <c r="AJ77" i="21" a="1"/>
  <c r="AJ77" i="21" s="1"/>
  <c r="AH77" i="21" a="1"/>
  <c r="AH77" i="21" s="1"/>
  <c r="AF77" i="21" a="1"/>
  <c r="AF77" i="21" s="1"/>
  <c r="AD77" i="21" a="1"/>
  <c r="AD77" i="21" s="1"/>
  <c r="AB77" i="21"/>
  <c r="AB77" i="21" a="1"/>
  <c r="Z77" i="21" a="1"/>
  <c r="Z77" i="21" s="1"/>
  <c r="X77" i="21" a="1"/>
  <c r="X77" i="21" s="1"/>
  <c r="V77" i="21"/>
  <c r="V77" i="21" a="1"/>
  <c r="T77" i="21" a="1"/>
  <c r="T77" i="21" s="1"/>
  <c r="R77" i="21" a="1"/>
  <c r="R77" i="21" s="1"/>
  <c r="P77" i="21" a="1"/>
  <c r="P77" i="21" s="1"/>
  <c r="N77" i="21" a="1"/>
  <c r="N77" i="21" s="1"/>
  <c r="L77" i="21"/>
  <c r="L77" i="21" a="1"/>
  <c r="J77" i="21" a="1"/>
  <c r="J77" i="21" s="1"/>
  <c r="H77" i="21" a="1"/>
  <c r="H77" i="21" s="1"/>
  <c r="F77" i="21"/>
  <c r="F77" i="21" a="1"/>
  <c r="D77" i="21" a="1"/>
  <c r="D77" i="21" s="1"/>
  <c r="B77" i="21" a="1"/>
  <c r="B77" i="21" s="1"/>
  <c r="AV76" i="21" a="1"/>
  <c r="AV76" i="21" s="1"/>
  <c r="AT76" i="21" a="1"/>
  <c r="AT76" i="21" s="1"/>
  <c r="AR76" i="21"/>
  <c r="AR76" i="21" a="1"/>
  <c r="AP76" i="21" a="1"/>
  <c r="AP76" i="21" s="1"/>
  <c r="AN76" i="21" a="1"/>
  <c r="AN76" i="21" s="1"/>
  <c r="AL76" i="21"/>
  <c r="AL76" i="21" a="1"/>
  <c r="AJ76" i="21" a="1"/>
  <c r="AJ76" i="21" s="1"/>
  <c r="AH76" i="21" a="1"/>
  <c r="AH76" i="21" s="1"/>
  <c r="AF76" i="21" a="1"/>
  <c r="AF76" i="21" s="1"/>
  <c r="AD76" i="21" a="1"/>
  <c r="AD76" i="21" s="1"/>
  <c r="AB76" i="21"/>
  <c r="AB76" i="21" a="1"/>
  <c r="Z76" i="21" a="1"/>
  <c r="Z76" i="21" s="1"/>
  <c r="X76" i="21" a="1"/>
  <c r="X76" i="21" s="1"/>
  <c r="V76" i="21" a="1"/>
  <c r="V76" i="21" s="1"/>
  <c r="T76" i="21" a="1"/>
  <c r="T76" i="21" s="1"/>
  <c r="R76" i="21" a="1"/>
  <c r="R76" i="21" s="1"/>
  <c r="P76" i="21" a="1"/>
  <c r="P76" i="21" s="1"/>
  <c r="N76" i="21" a="1"/>
  <c r="N76" i="21" s="1"/>
  <c r="L76" i="21"/>
  <c r="L76" i="21" a="1"/>
  <c r="J76" i="21" a="1"/>
  <c r="J76" i="21" s="1"/>
  <c r="H76" i="21" a="1"/>
  <c r="H76" i="21" s="1"/>
  <c r="F76" i="21"/>
  <c r="F76" i="21" a="1"/>
  <c r="D76" i="21" a="1"/>
  <c r="D76" i="21" s="1"/>
  <c r="B76" i="21" a="1"/>
  <c r="B76" i="21" s="1"/>
  <c r="AV75" i="21" a="1"/>
  <c r="AV75" i="21" s="1"/>
  <c r="AT75" i="21" a="1"/>
  <c r="AT75" i="21" s="1"/>
  <c r="AR75" i="21"/>
  <c r="AR75" i="21" a="1"/>
  <c r="AP75" i="21" a="1"/>
  <c r="AP75" i="21" s="1"/>
  <c r="AN75" i="21" a="1"/>
  <c r="AN75" i="21" s="1"/>
  <c r="AL75" i="21" a="1"/>
  <c r="AL75" i="21" s="1"/>
  <c r="AJ75" i="21" a="1"/>
  <c r="AJ75" i="21" s="1"/>
  <c r="AH75" i="21" a="1"/>
  <c r="AH75" i="21" s="1"/>
  <c r="AF75" i="21" a="1"/>
  <c r="AF75" i="21" s="1"/>
  <c r="AD75" i="21" a="1"/>
  <c r="AD75" i="21" s="1"/>
  <c r="AB75" i="21"/>
  <c r="AB75" i="21" a="1"/>
  <c r="Z75" i="21" a="1"/>
  <c r="Z75" i="21" s="1"/>
  <c r="X75" i="21" a="1"/>
  <c r="X75" i="21" s="1"/>
  <c r="V75" i="21" a="1"/>
  <c r="V75" i="21" s="1"/>
  <c r="T75" i="21" a="1"/>
  <c r="T75" i="21" s="1"/>
  <c r="R75" i="21" a="1"/>
  <c r="R75" i="21" s="1"/>
  <c r="P75" i="21" a="1"/>
  <c r="P75" i="21" s="1"/>
  <c r="N75" i="21" a="1"/>
  <c r="N75" i="21" s="1"/>
  <c r="L75" i="21"/>
  <c r="L75" i="21" a="1"/>
  <c r="J75" i="21" a="1"/>
  <c r="J75" i="21" s="1"/>
  <c r="H75" i="21" a="1"/>
  <c r="H75" i="21" s="1"/>
  <c r="F75" i="21"/>
  <c r="F75" i="21" a="1"/>
  <c r="D75" i="21" a="1"/>
  <c r="D75" i="21" s="1"/>
  <c r="B75" i="21" a="1"/>
  <c r="B75" i="21" s="1"/>
  <c r="AV74" i="21" a="1"/>
  <c r="AV74" i="21" s="1"/>
  <c r="AT74" i="21" a="1"/>
  <c r="AT74" i="21" s="1"/>
  <c r="AR74" i="21"/>
  <c r="AR74" i="21" a="1"/>
  <c r="AP74" i="21" a="1"/>
  <c r="AP74" i="21" s="1"/>
  <c r="AN74" i="21" a="1"/>
  <c r="AN74" i="21" s="1"/>
  <c r="AL74" i="21"/>
  <c r="AL74" i="21" a="1"/>
  <c r="AJ74" i="21" a="1"/>
  <c r="AJ74" i="21" s="1"/>
  <c r="AH74" i="21" a="1"/>
  <c r="AH74" i="21" s="1"/>
  <c r="AF74" i="21" a="1"/>
  <c r="AF74" i="21" s="1"/>
  <c r="AD74" i="21" a="1"/>
  <c r="AD74" i="21" s="1"/>
  <c r="AB74" i="21"/>
  <c r="AB74" i="21" a="1"/>
  <c r="Z74" i="21" a="1"/>
  <c r="Z74" i="21" s="1"/>
  <c r="X74" i="21" a="1"/>
  <c r="X74" i="21" s="1"/>
  <c r="V74" i="21"/>
  <c r="V74" i="21" a="1"/>
  <c r="T74" i="21" a="1"/>
  <c r="T74" i="21" s="1"/>
  <c r="R74" i="21" a="1"/>
  <c r="R74" i="21" s="1"/>
  <c r="P74" i="21" a="1"/>
  <c r="P74" i="21" s="1"/>
  <c r="N74" i="21" a="1"/>
  <c r="N74" i="21" s="1"/>
  <c r="L74" i="21"/>
  <c r="L74" i="21" a="1"/>
  <c r="J74" i="21" a="1"/>
  <c r="J74" i="21" s="1"/>
  <c r="H74" i="21" a="1"/>
  <c r="H74" i="21" s="1"/>
  <c r="F74" i="21"/>
  <c r="F74" i="21" a="1"/>
  <c r="D74" i="21" a="1"/>
  <c r="D74" i="21" s="1"/>
  <c r="B74" i="21" a="1"/>
  <c r="B74" i="21" s="1"/>
  <c r="AV73" i="21" a="1"/>
  <c r="AV73" i="21" s="1"/>
  <c r="AT73" i="21" a="1"/>
  <c r="AT73" i="21" s="1"/>
  <c r="AR73" i="21"/>
  <c r="AR73" i="21" a="1"/>
  <c r="AP73" i="21" a="1"/>
  <c r="AP73" i="21" s="1"/>
  <c r="AN73" i="21" a="1"/>
  <c r="AN73" i="21" s="1"/>
  <c r="AL73" i="21" a="1"/>
  <c r="AL73" i="21" s="1"/>
  <c r="AJ73" i="21" a="1"/>
  <c r="AJ73" i="21" s="1"/>
  <c r="AH73" i="21" a="1"/>
  <c r="AH73" i="21" s="1"/>
  <c r="AF73" i="21" a="1"/>
  <c r="AF73" i="21" s="1"/>
  <c r="AD73" i="21" a="1"/>
  <c r="AD73" i="21" s="1"/>
  <c r="AB73" i="21"/>
  <c r="AB73" i="21" a="1"/>
  <c r="Z73" i="21" a="1"/>
  <c r="Z73" i="21" s="1"/>
  <c r="X73" i="21" a="1"/>
  <c r="X73" i="21" s="1"/>
  <c r="V73" i="21"/>
  <c r="V73" i="21" a="1"/>
  <c r="T73" i="21" a="1"/>
  <c r="T73" i="21" s="1"/>
  <c r="R73" i="21" a="1"/>
  <c r="R73" i="21" s="1"/>
  <c r="P73" i="21" a="1"/>
  <c r="P73" i="21" s="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P69" i="21"/>
  <c r="L69" i="21"/>
  <c r="B69" i="21"/>
  <c r="Z68" i="21"/>
  <c r="AV67" i="21" a="1"/>
  <c r="AV67" i="21" s="1"/>
  <c r="AT67" i="21" a="1"/>
  <c r="AT67" i="21" s="1"/>
  <c r="AR67" i="21" a="1"/>
  <c r="AR67" i="21" s="1"/>
  <c r="AP67" i="21" a="1"/>
  <c r="AP67" i="21" s="1"/>
  <c r="AN67" i="21" a="1"/>
  <c r="AN67" i="21" s="1"/>
  <c r="AL67" i="21" a="1"/>
  <c r="AL67" i="21" s="1"/>
  <c r="AJ67" i="21"/>
  <c r="AJ67" i="21" a="1"/>
  <c r="AH67" i="21" a="1"/>
  <c r="AH67" i="21" s="1"/>
  <c r="AF67" i="21" a="1"/>
  <c r="AF67" i="21" s="1"/>
  <c r="AD67" i="21"/>
  <c r="AD67" i="21" a="1"/>
  <c r="AB67" i="21" a="1"/>
  <c r="AB67" i="21" s="1"/>
  <c r="Z67" i="21" a="1"/>
  <c r="Z67" i="21" s="1"/>
  <c r="X67" i="21" a="1"/>
  <c r="X67" i="21" s="1"/>
  <c r="V67" i="21" a="1"/>
  <c r="V67" i="21" s="1"/>
  <c r="T67" i="21"/>
  <c r="T67" i="21" a="1"/>
  <c r="R67" i="21" a="1"/>
  <c r="R67" i="21" s="1"/>
  <c r="P67" i="21" a="1"/>
  <c r="P67" i="21" s="1"/>
  <c r="N67" i="21"/>
  <c r="N67" i="21" a="1"/>
  <c r="L67" i="21" a="1"/>
  <c r="L67" i="21" s="1"/>
  <c r="J67" i="21" a="1"/>
  <c r="J67" i="21" s="1"/>
  <c r="H67" i="21" a="1"/>
  <c r="H67" i="21" s="1"/>
  <c r="F67" i="21" a="1"/>
  <c r="F67" i="21" s="1"/>
  <c r="D67" i="21"/>
  <c r="D67" i="21" a="1"/>
  <c r="B67" i="21" a="1"/>
  <c r="B67" i="21" s="1"/>
  <c r="AV66" i="21" a="1"/>
  <c r="AV66" i="21" s="1"/>
  <c r="AV68" i="21" s="1"/>
  <c r="AT66" i="21"/>
  <c r="AT66" i="21" a="1"/>
  <c r="AR66" i="21" a="1"/>
  <c r="AR66" i="21" s="1"/>
  <c r="AP66" i="21" a="1"/>
  <c r="AP66" i="21" s="1"/>
  <c r="AN66" i="21" a="1"/>
  <c r="AN66" i="21" s="1"/>
  <c r="AN68" i="21" s="1"/>
  <c r="AL66" i="21" a="1"/>
  <c r="AL66" i="21" s="1"/>
  <c r="AL68" i="21" s="1"/>
  <c r="AJ66" i="21"/>
  <c r="AJ68" i="21" s="1"/>
  <c r="AJ66" i="21" a="1"/>
  <c r="AH66" i="21" a="1"/>
  <c r="AH66" i="21" s="1"/>
  <c r="AF66" i="21" a="1"/>
  <c r="AF66" i="21" s="1"/>
  <c r="AD66" i="21" a="1"/>
  <c r="AD66" i="21" s="1"/>
  <c r="AD68" i="21" s="1"/>
  <c r="AB66" i="21" a="1"/>
  <c r="AB66" i="21" s="1"/>
  <c r="AB68" i="21" s="1"/>
  <c r="Z66" i="21" a="1"/>
  <c r="Z66" i="21" s="1"/>
  <c r="X66" i="21" a="1"/>
  <c r="X66" i="21" s="1"/>
  <c r="V66" i="21" a="1"/>
  <c r="V66" i="21" s="1"/>
  <c r="V68" i="21" s="1"/>
  <c r="T66" i="21"/>
  <c r="T68" i="21" s="1"/>
  <c r="T66" i="21" a="1"/>
  <c r="R66" i="21" a="1"/>
  <c r="R66" i="21" s="1"/>
  <c r="P66" i="21" a="1"/>
  <c r="P66" i="21" s="1"/>
  <c r="N66" i="21"/>
  <c r="N68" i="21" s="1"/>
  <c r="N66" i="21" a="1"/>
  <c r="L66" i="21" a="1"/>
  <c r="L66" i="21" s="1"/>
  <c r="J66" i="21" a="1"/>
  <c r="J66" i="21" s="1"/>
  <c r="H66" i="21" a="1"/>
  <c r="H66" i="21" s="1"/>
  <c r="F66" i="21" a="1"/>
  <c r="F66" i="21" s="1"/>
  <c r="D66" i="21"/>
  <c r="D68" i="21" s="1"/>
  <c r="D66" i="21" a="1"/>
  <c r="B66" i="21" a="1"/>
  <c r="B66" i="21" s="1"/>
  <c r="B68" i="21" s="1"/>
  <c r="AV65" i="21" a="1"/>
  <c r="AV65" i="21" s="1"/>
  <c r="AV69" i="21" s="1"/>
  <c r="AT65" i="21" a="1"/>
  <c r="AT65" i="21" s="1"/>
  <c r="AT69" i="21" s="1"/>
  <c r="AR65" i="21" a="1"/>
  <c r="AR65" i="21" s="1"/>
  <c r="AR69" i="21" s="1"/>
  <c r="AP65" i="21" a="1"/>
  <c r="AP65" i="21" s="1"/>
  <c r="AN65" i="21" a="1"/>
  <c r="AN65" i="21" s="1"/>
  <c r="AN69" i="21" s="1"/>
  <c r="AL65" i="21" a="1"/>
  <c r="AL65" i="21" s="1"/>
  <c r="AL69" i="21" s="1"/>
  <c r="AJ65" i="21"/>
  <c r="AJ69" i="21" s="1"/>
  <c r="AJ65" i="21" a="1"/>
  <c r="AH65" i="21" a="1"/>
  <c r="AH65" i="21" s="1"/>
  <c r="AH69" i="21" s="1"/>
  <c r="AF65" i="21" a="1"/>
  <c r="AF65" i="21" s="1"/>
  <c r="AF69" i="21" s="1"/>
  <c r="AD65" i="21" a="1"/>
  <c r="AD65" i="21" s="1"/>
  <c r="AD69" i="21" s="1"/>
  <c r="AB65" i="21" a="1"/>
  <c r="AB65" i="21" s="1"/>
  <c r="AB69" i="21" s="1"/>
  <c r="Z65" i="21" a="1"/>
  <c r="Z65" i="21" s="1"/>
  <c r="Z69" i="21" s="1"/>
  <c r="X65" i="21" a="1"/>
  <c r="X65" i="21" s="1"/>
  <c r="X69" i="21" s="1"/>
  <c r="V65" i="21" a="1"/>
  <c r="V65" i="21" s="1"/>
  <c r="V69" i="21" s="1"/>
  <c r="T65" i="21"/>
  <c r="T69" i="21" s="1"/>
  <c r="T65" i="21" a="1"/>
  <c r="R65" i="21" a="1"/>
  <c r="R65" i="21" s="1"/>
  <c r="R69" i="21" s="1"/>
  <c r="P65" i="21" a="1"/>
  <c r="P65" i="21" s="1"/>
  <c r="P69" i="21" s="1"/>
  <c r="N65" i="21"/>
  <c r="N69" i="21" s="1"/>
  <c r="N65" i="21" a="1"/>
  <c r="L65" i="21" a="1"/>
  <c r="L65" i="21" s="1"/>
  <c r="J65" i="21" a="1"/>
  <c r="J65" i="21" s="1"/>
  <c r="J69" i="21" s="1"/>
  <c r="H65" i="21" a="1"/>
  <c r="H65" i="21" s="1"/>
  <c r="H69" i="21" s="1"/>
  <c r="F65" i="21" a="1"/>
  <c r="F65" i="21" s="1"/>
  <c r="F69" i="21" s="1"/>
  <c r="D65" i="21"/>
  <c r="D69" i="21" s="1"/>
  <c r="D65" i="21" a="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a="1"/>
  <c r="AP58" i="21" s="1"/>
  <c r="AN58" i="21" a="1"/>
  <c r="AN58" i="21" s="1"/>
  <c r="AL58" i="21" a="1"/>
  <c r="AL58" i="21" s="1"/>
  <c r="AJ58" i="21"/>
  <c r="AJ58" i="21" a="1"/>
  <c r="AH58" i="21"/>
  <c r="AH58" i="21" a="1"/>
  <c r="AF58" i="21"/>
  <c r="AF58" i="21" a="1"/>
  <c r="AD58" i="21"/>
  <c r="AD58" i="21" a="1"/>
  <c r="AB58" i="21" a="1"/>
  <c r="AB58" i="21" s="1"/>
  <c r="Z58" i="21" a="1"/>
  <c r="Z58" i="21" s="1"/>
  <c r="X58" i="21" a="1"/>
  <c r="X58" i="21" s="1"/>
  <c r="V58" i="21" a="1"/>
  <c r="V58" i="21" s="1"/>
  <c r="T58" i="21"/>
  <c r="T58" i="21" a="1"/>
  <c r="R58" i="21"/>
  <c r="R58" i="21" a="1"/>
  <c r="P58" i="21"/>
  <c r="P58" i="21" a="1"/>
  <c r="N58" i="21"/>
  <c r="N58" i="21" a="1"/>
  <c r="L58" i="21" a="1"/>
  <c r="L58" i="21" s="1"/>
  <c r="J58" i="21" a="1"/>
  <c r="J58" i="21" s="1"/>
  <c r="H58" i="21" a="1"/>
  <c r="H58" i="21" s="1"/>
  <c r="F58" i="21" a="1"/>
  <c r="F58" i="21" s="1"/>
  <c r="D58" i="21"/>
  <c r="D58" i="21" a="1"/>
  <c r="B58" i="21"/>
  <c r="B58" i="21" a="1"/>
  <c r="AV57" i="21"/>
  <c r="AV57" i="21" a="1"/>
  <c r="AT57" i="21" a="1"/>
  <c r="AT57" i="21" s="1"/>
  <c r="AR57" i="21" a="1"/>
  <c r="AR57" i="21" s="1"/>
  <c r="AP57" i="21" a="1"/>
  <c r="AP57" i="21" s="1"/>
  <c r="AN57" i="21" a="1"/>
  <c r="AN57" i="21" s="1"/>
  <c r="AL57" i="21" a="1"/>
  <c r="AL57" i="21" s="1"/>
  <c r="AJ57" i="21"/>
  <c r="AJ57" i="21" a="1"/>
  <c r="AH57" i="21" a="1"/>
  <c r="AH57" i="21" s="1"/>
  <c r="AF57" i="21"/>
  <c r="AF57" i="21" a="1"/>
  <c r="AD57" i="21" a="1"/>
  <c r="AD57" i="21" s="1"/>
  <c r="AB57" i="21" a="1"/>
  <c r="AB57" i="21" s="1"/>
  <c r="Z57" i="21" a="1"/>
  <c r="Z57" i="21" s="1"/>
  <c r="X57" i="21" a="1"/>
  <c r="X57" i="21" s="1"/>
  <c r="V57" i="21" a="1"/>
  <c r="V57" i="21" s="1"/>
  <c r="T57" i="21"/>
  <c r="T57" i="21" a="1"/>
  <c r="R57" i="21" a="1"/>
  <c r="R57" i="21" s="1"/>
  <c r="P57" i="21"/>
  <c r="P57" i="21" a="1"/>
  <c r="N57" i="21" a="1"/>
  <c r="N57" i="21" s="1"/>
  <c r="L57" i="21" a="1"/>
  <c r="L57" i="21" s="1"/>
  <c r="J57" i="21" a="1"/>
  <c r="J57" i="21" s="1"/>
  <c r="H57" i="21" a="1"/>
  <c r="H57" i="21" s="1"/>
  <c r="F57" i="21" a="1"/>
  <c r="F57" i="21" s="1"/>
  <c r="D57" i="21"/>
  <c r="D57" i="21" a="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P80" i="21" s="1"/>
  <c r="AN55" i="21"/>
  <c r="AN80" i="21" s="1"/>
  <c r="AL55" i="21"/>
  <c r="AL80" i="21" s="1"/>
  <c r="AJ55" i="21"/>
  <c r="AJ80" i="21" s="1"/>
  <c r="AH55" i="21"/>
  <c r="AF55" i="21"/>
  <c r="AF80" i="21" s="1"/>
  <c r="AD55" i="21"/>
  <c r="AD80" i="21" s="1"/>
  <c r="AB55" i="21"/>
  <c r="AB80" i="21" s="1"/>
  <c r="Z55" i="21"/>
  <c r="X55" i="21"/>
  <c r="V55" i="21"/>
  <c r="V80" i="21" s="1"/>
  <c r="T55" i="21"/>
  <c r="T80" i="21" s="1"/>
  <c r="R55" i="21"/>
  <c r="P55" i="21"/>
  <c r="N55" i="21"/>
  <c r="L55" i="21"/>
  <c r="J55" i="21"/>
  <c r="J80" i="21" s="1"/>
  <c r="H55" i="21"/>
  <c r="H80" i="21" s="1"/>
  <c r="F55" i="21"/>
  <c r="F80" i="21" s="1"/>
  <c r="D55" i="21"/>
  <c r="D80" i="21" s="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N51" i="21"/>
  <c r="AL51" i="21"/>
  <c r="AL81" i="21" s="1"/>
  <c r="AJ51" i="21"/>
  <c r="AJ81" i="21" s="1"/>
  <c r="AH51" i="21"/>
  <c r="AF51" i="21"/>
  <c r="AD51" i="21"/>
  <c r="AB51" i="21"/>
  <c r="Z51" i="21"/>
  <c r="Z81" i="21" s="1"/>
  <c r="X51" i="21"/>
  <c r="X81" i="21" s="1"/>
  <c r="V51" i="21"/>
  <c r="V81" i="21" s="1"/>
  <c r="T51" i="21"/>
  <c r="T81" i="21" s="1"/>
  <c r="R51" i="21"/>
  <c r="P51" i="21"/>
  <c r="P81" i="21" s="1"/>
  <c r="N51" i="21"/>
  <c r="N81" i="21" s="1"/>
  <c r="L51" i="21"/>
  <c r="L81" i="21" s="1"/>
  <c r="J51" i="21"/>
  <c r="H51" i="21"/>
  <c r="F51" i="21"/>
  <c r="F81" i="21" s="1"/>
  <c r="D51" i="21"/>
  <c r="D81" i="21" s="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c r="AJ43" i="21" a="1"/>
  <c r="AH43" i="21" a="1"/>
  <c r="AH43" i="21" s="1"/>
  <c r="AF43" i="21"/>
  <c r="AF43" i="21" a="1"/>
  <c r="AD43" i="21" a="1"/>
  <c r="AD43" i="21" s="1"/>
  <c r="AB43" i="21" a="1"/>
  <c r="AB43" i="21" s="1"/>
  <c r="Z43" i="21" a="1"/>
  <c r="Z43" i="21" s="1"/>
  <c r="X43" i="21" a="1"/>
  <c r="X43" i="21" s="1"/>
  <c r="V43" i="21" a="1"/>
  <c r="V43" i="21" s="1"/>
  <c r="T43" i="21"/>
  <c r="T43" i="21" a="1"/>
  <c r="R43" i="21" a="1"/>
  <c r="R43" i="21" s="1"/>
  <c r="P43" i="21"/>
  <c r="P43" i="21" a="1"/>
  <c r="N43" i="21" a="1"/>
  <c r="N43" i="21" s="1"/>
  <c r="L43" i="21" a="1"/>
  <c r="L43" i="21" s="1"/>
  <c r="J43" i="21" a="1"/>
  <c r="J43" i="21" s="1"/>
  <c r="H43" i="21" a="1"/>
  <c r="H43" i="21" s="1"/>
  <c r="F43" i="21" a="1"/>
  <c r="F43" i="21" s="1"/>
  <c r="D43" i="21"/>
  <c r="D43" i="21" a="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P81" i="22"/>
  <c r="AN81" i="22"/>
  <c r="AF81" i="22"/>
  <c r="AD81" i="22"/>
  <c r="AB81" i="22"/>
  <c r="V81" i="22"/>
  <c r="T81" i="22"/>
  <c r="J81" i="22"/>
  <c r="H81" i="22"/>
  <c r="AV80" i="22"/>
  <c r="AT80" i="22"/>
  <c r="AR80" i="22"/>
  <c r="AL80" i="22"/>
  <c r="AJ80" i="22"/>
  <c r="AH80" i="22"/>
  <c r="Z80" i="22"/>
  <c r="X80" i="22"/>
  <c r="P80" i="22"/>
  <c r="N80" i="22"/>
  <c r="L80" i="22"/>
  <c r="F80" i="22"/>
  <c r="D80" i="22"/>
  <c r="B80" i="22"/>
  <c r="AV79" i="22" a="1"/>
  <c r="AV79" i="22" s="1"/>
  <c r="AT79" i="22" a="1"/>
  <c r="AT79" i="22" s="1"/>
  <c r="AR79" i="22"/>
  <c r="AR79" i="22" a="1"/>
  <c r="AP79" i="22" a="1"/>
  <c r="AP79" i="22" s="1"/>
  <c r="AN79" i="22" a="1"/>
  <c r="AN79" i="22" s="1"/>
  <c r="AL79" i="22" a="1"/>
  <c r="AL79" i="22" s="1"/>
  <c r="AJ79" i="22" a="1"/>
  <c r="AJ79" i="22" s="1"/>
  <c r="AH79" i="22"/>
  <c r="AH79" i="22" a="1"/>
  <c r="AF79" i="22" a="1"/>
  <c r="AF79" i="22" s="1"/>
  <c r="AD79" i="22" a="1"/>
  <c r="AD79" i="22" s="1"/>
  <c r="AB79" i="22"/>
  <c r="AB79" i="22" a="1"/>
  <c r="Z79" i="22" a="1"/>
  <c r="Z79" i="22" s="1"/>
  <c r="X79" i="22" a="1"/>
  <c r="X79" i="22" s="1"/>
  <c r="V79" i="22" a="1"/>
  <c r="V79" i="22" s="1"/>
  <c r="T79" i="22" a="1"/>
  <c r="T79" i="22" s="1"/>
  <c r="R79" i="22"/>
  <c r="R79" i="22" a="1"/>
  <c r="P79" i="22" a="1"/>
  <c r="P79" i="22" s="1"/>
  <c r="N79" i="22" a="1"/>
  <c r="N79" i="22" s="1"/>
  <c r="L79" i="22"/>
  <c r="L79" i="22" a="1"/>
  <c r="J79" i="22" a="1"/>
  <c r="J79" i="22" s="1"/>
  <c r="H79" i="22" a="1"/>
  <c r="H79" i="22" s="1"/>
  <c r="F79" i="22" a="1"/>
  <c r="F79" i="22" s="1"/>
  <c r="D79" i="22" a="1"/>
  <c r="D79" i="22" s="1"/>
  <c r="B79" i="22"/>
  <c r="B79" i="22" a="1"/>
  <c r="AV78" i="22" a="1"/>
  <c r="AV78" i="22" s="1"/>
  <c r="AT78" i="22" a="1"/>
  <c r="AT78" i="22" s="1"/>
  <c r="AR78" i="22"/>
  <c r="AR78" i="22" a="1"/>
  <c r="AP78" i="22" a="1"/>
  <c r="AP78" i="22" s="1"/>
  <c r="AN78" i="22" a="1"/>
  <c r="AN78" i="22" s="1"/>
  <c r="AL78" i="22" a="1"/>
  <c r="AL78" i="22" s="1"/>
  <c r="AJ78" i="22" a="1"/>
  <c r="AJ78" i="22" s="1"/>
  <c r="AH78" i="22"/>
  <c r="AH78" i="22" a="1"/>
  <c r="AF78" i="22" a="1"/>
  <c r="AF78" i="22" s="1"/>
  <c r="AD78" i="22" a="1"/>
  <c r="AD78" i="22" s="1"/>
  <c r="AB78" i="22"/>
  <c r="AB78" i="22" a="1"/>
  <c r="Z78" i="22" a="1"/>
  <c r="Z78" i="22" s="1"/>
  <c r="X78" i="22" a="1"/>
  <c r="X78" i="22" s="1"/>
  <c r="V78" i="22" a="1"/>
  <c r="V78" i="22" s="1"/>
  <c r="T78" i="22" a="1"/>
  <c r="T78" i="22" s="1"/>
  <c r="R78" i="22" a="1"/>
  <c r="R78" i="22" s="1"/>
  <c r="P78" i="22" a="1"/>
  <c r="P78" i="22" s="1"/>
  <c r="N78" i="22" a="1"/>
  <c r="N78" i="22" s="1"/>
  <c r="L78" i="22"/>
  <c r="L78" i="22" a="1"/>
  <c r="J78" i="22" a="1"/>
  <c r="J78" i="22" s="1"/>
  <c r="H78" i="22" a="1"/>
  <c r="H78" i="22" s="1"/>
  <c r="F78" i="22" a="1"/>
  <c r="F78" i="22" s="1"/>
  <c r="D78" i="22" a="1"/>
  <c r="D78" i="22" s="1"/>
  <c r="B78" i="22" a="1"/>
  <c r="B78" i="22" s="1"/>
  <c r="AV77" i="22" a="1"/>
  <c r="AV77" i="22" s="1"/>
  <c r="AT77" i="22" a="1"/>
  <c r="AT77" i="22" s="1"/>
  <c r="AR77" i="22"/>
  <c r="AR77" i="22" a="1"/>
  <c r="AP77" i="22" a="1"/>
  <c r="AP77" i="22" s="1"/>
  <c r="AN77" i="22" a="1"/>
  <c r="AN77" i="22" s="1"/>
  <c r="AL77" i="22"/>
  <c r="AL77" i="22" a="1"/>
  <c r="AJ77" i="22" a="1"/>
  <c r="AJ77" i="22" s="1"/>
  <c r="AH77" i="22" a="1"/>
  <c r="AH77" i="22" s="1"/>
  <c r="AF77" i="22" a="1"/>
  <c r="AF77" i="22" s="1"/>
  <c r="AD77" i="22" a="1"/>
  <c r="AD77" i="22" s="1"/>
  <c r="AB77" i="22"/>
  <c r="AB77" i="22" a="1"/>
  <c r="Z77" i="22" a="1"/>
  <c r="Z77" i="22" s="1"/>
  <c r="X77" i="22" a="1"/>
  <c r="X77" i="22" s="1"/>
  <c r="V77" i="22" a="1"/>
  <c r="V77" i="22" s="1"/>
  <c r="T77" i="22" a="1"/>
  <c r="T77" i="22" s="1"/>
  <c r="R77" i="22" a="1"/>
  <c r="R77" i="22" s="1"/>
  <c r="P77" i="22" a="1"/>
  <c r="P77" i="22" s="1"/>
  <c r="N77" i="22" a="1"/>
  <c r="N77" i="22" s="1"/>
  <c r="L77" i="22"/>
  <c r="L77" i="22" a="1"/>
  <c r="J77" i="22" a="1"/>
  <c r="J77" i="22" s="1"/>
  <c r="H77" i="22" a="1"/>
  <c r="H77" i="22" s="1"/>
  <c r="F77" i="22"/>
  <c r="F77" i="22" a="1"/>
  <c r="D77" i="22" a="1"/>
  <c r="D77" i="22" s="1"/>
  <c r="B77" i="22"/>
  <c r="B77" i="22" a="1"/>
  <c r="AV76" i="22" a="1"/>
  <c r="AV76" i="22" s="1"/>
  <c r="AT76" i="22" a="1"/>
  <c r="AT76" i="22" s="1"/>
  <c r="AR76" i="22"/>
  <c r="AR76" i="22" a="1"/>
  <c r="AP76" i="22" a="1"/>
  <c r="AP76" i="22" s="1"/>
  <c r="AN76" i="22" a="1"/>
  <c r="AN76" i="22" s="1"/>
  <c r="AL76" i="22" a="1"/>
  <c r="AL76" i="22" s="1"/>
  <c r="AJ76" i="22" a="1"/>
  <c r="AJ76" i="22" s="1"/>
  <c r="AH76" i="22"/>
  <c r="AH76" i="22" a="1"/>
  <c r="AF76" i="22" a="1"/>
  <c r="AF76" i="22" s="1"/>
  <c r="AD76" i="22" a="1"/>
  <c r="AD76" i="22" s="1"/>
  <c r="AB76" i="22"/>
  <c r="AB76" i="22" a="1"/>
  <c r="Z76" i="22" a="1"/>
  <c r="Z76" i="22" s="1"/>
  <c r="X76" i="22" a="1"/>
  <c r="X76" i="22" s="1"/>
  <c r="V76" i="22" a="1"/>
  <c r="V76" i="22" s="1"/>
  <c r="T76" i="22" a="1"/>
  <c r="T76" i="22" s="1"/>
  <c r="R76" i="22" a="1"/>
  <c r="R76" i="22" s="1"/>
  <c r="P76" i="22" a="1"/>
  <c r="P76" i="22" s="1"/>
  <c r="N76" i="22" a="1"/>
  <c r="N76" i="22" s="1"/>
  <c r="L76" i="22"/>
  <c r="L76" i="22" a="1"/>
  <c r="J76" i="22" a="1"/>
  <c r="J76" i="22" s="1"/>
  <c r="H76" i="22" a="1"/>
  <c r="H76" i="22" s="1"/>
  <c r="F76" i="22" a="1"/>
  <c r="F76" i="22" s="1"/>
  <c r="D76" i="22" a="1"/>
  <c r="D76" i="22" s="1"/>
  <c r="B76" i="22"/>
  <c r="B76" i="22" a="1"/>
  <c r="AV75" i="22" a="1"/>
  <c r="AV75" i="22" s="1"/>
  <c r="AT75" i="22" a="1"/>
  <c r="AT75" i="22" s="1"/>
  <c r="AR75" i="22"/>
  <c r="AR75" i="22" a="1"/>
  <c r="AP75" i="22" a="1"/>
  <c r="AP75" i="22" s="1"/>
  <c r="AN75" i="22" a="1"/>
  <c r="AN75" i="22" s="1"/>
  <c r="AL75" i="22" a="1"/>
  <c r="AL75" i="22" s="1"/>
  <c r="AJ75" i="22" a="1"/>
  <c r="AJ75" i="22" s="1"/>
  <c r="AH75" i="22" a="1"/>
  <c r="AH75" i="22" s="1"/>
  <c r="AF75" i="22" a="1"/>
  <c r="AF75" i="22" s="1"/>
  <c r="AD75" i="22" a="1"/>
  <c r="AD75" i="22" s="1"/>
  <c r="AB75" i="22"/>
  <c r="AB75" i="22" a="1"/>
  <c r="Z75" i="22" a="1"/>
  <c r="Z75" i="22" s="1"/>
  <c r="X75" i="22" a="1"/>
  <c r="X75" i="22" s="1"/>
  <c r="V75" i="22" a="1"/>
  <c r="V75" i="22" s="1"/>
  <c r="T75" i="22" a="1"/>
  <c r="T75" i="22" s="1"/>
  <c r="R75" i="22"/>
  <c r="R75" i="22" a="1"/>
  <c r="P75" i="22" a="1"/>
  <c r="P75" i="22" s="1"/>
  <c r="N75" i="22" a="1"/>
  <c r="N75" i="22" s="1"/>
  <c r="L75" i="22"/>
  <c r="L75" i="22" a="1"/>
  <c r="J75" i="22" a="1"/>
  <c r="J75" i="22" s="1"/>
  <c r="H75" i="22" a="1"/>
  <c r="H75" i="22" s="1"/>
  <c r="F75" i="22" a="1"/>
  <c r="F75" i="22" s="1"/>
  <c r="D75" i="22" a="1"/>
  <c r="D75" i="22" s="1"/>
  <c r="B75" i="22" a="1"/>
  <c r="B75" i="22" s="1"/>
  <c r="AV74" i="22" a="1"/>
  <c r="AV74" i="22" s="1"/>
  <c r="AT74" i="22" a="1"/>
  <c r="AT74" i="22" s="1"/>
  <c r="AR74" i="22"/>
  <c r="AR74" i="22" a="1"/>
  <c r="AP74" i="22" a="1"/>
  <c r="AP74" i="22" s="1"/>
  <c r="AN74" i="22" a="1"/>
  <c r="AN74" i="22" s="1"/>
  <c r="AL74" i="22" a="1"/>
  <c r="AL74" i="22" s="1"/>
  <c r="AJ74" i="22" a="1"/>
  <c r="AJ74" i="22" s="1"/>
  <c r="AH74" i="22"/>
  <c r="AH74" i="22" a="1"/>
  <c r="AF74" i="22" a="1"/>
  <c r="AF74" i="22" s="1"/>
  <c r="AD74" i="22" a="1"/>
  <c r="AD74" i="22" s="1"/>
  <c r="AB74" i="22"/>
  <c r="AB74" i="22" a="1"/>
  <c r="Z74" i="22" a="1"/>
  <c r="Z74" i="22" s="1"/>
  <c r="X74" i="22" a="1"/>
  <c r="X74" i="22" s="1"/>
  <c r="V74" i="22" a="1"/>
  <c r="V74" i="22" s="1"/>
  <c r="T74" i="22" a="1"/>
  <c r="T74" i="22" s="1"/>
  <c r="R74" i="22" a="1"/>
  <c r="R74" i="22" s="1"/>
  <c r="P74" i="22" a="1"/>
  <c r="P74" i="22" s="1"/>
  <c r="N74" i="22" a="1"/>
  <c r="N74" i="22" s="1"/>
  <c r="L74" i="22"/>
  <c r="L74" i="22" a="1"/>
  <c r="J74" i="22" a="1"/>
  <c r="J74" i="22" s="1"/>
  <c r="H74" i="22" a="1"/>
  <c r="H74" i="22" s="1"/>
  <c r="F74" i="22"/>
  <c r="F74" i="22" a="1"/>
  <c r="D74" i="22" a="1"/>
  <c r="D74" i="22" s="1"/>
  <c r="B74" i="22" a="1"/>
  <c r="B74" i="22" s="1"/>
  <c r="AV73" i="22" a="1"/>
  <c r="AV73" i="22" s="1"/>
  <c r="AT73" i="22" a="1"/>
  <c r="AT73" i="22" s="1"/>
  <c r="AR73" i="22"/>
  <c r="AR73" i="22" a="1"/>
  <c r="AP73" i="22" a="1"/>
  <c r="AP73" i="22" s="1"/>
  <c r="AN73" i="22" a="1"/>
  <c r="AN73" i="22" s="1"/>
  <c r="AL73" i="22"/>
  <c r="AL73" i="22" a="1"/>
  <c r="AJ73" i="22" a="1"/>
  <c r="AJ73" i="22" s="1"/>
  <c r="AH73" i="22" a="1"/>
  <c r="AH73" i="22" s="1"/>
  <c r="AF73" i="22" a="1"/>
  <c r="AF73" i="22" s="1"/>
  <c r="AD73" i="22" a="1"/>
  <c r="AD73" i="22" s="1"/>
  <c r="AB73" i="22"/>
  <c r="AB73" i="22" a="1"/>
  <c r="Z73" i="22" a="1"/>
  <c r="Z73" i="22" s="1"/>
  <c r="X73" i="22" a="1"/>
  <c r="X73" i="22" s="1"/>
  <c r="V73" i="22" a="1"/>
  <c r="V73" i="22" s="1"/>
  <c r="T73" i="22" a="1"/>
  <c r="T73" i="22" s="1"/>
  <c r="R73" i="22" a="1"/>
  <c r="R73" i="22" s="1"/>
  <c r="P73" i="22" a="1"/>
  <c r="P73" i="22" s="1"/>
  <c r="N73" i="22" a="1"/>
  <c r="N73" i="22" s="1"/>
  <c r="L73" i="22"/>
  <c r="L73" i="22" a="1"/>
  <c r="J73" i="22" a="1"/>
  <c r="J73" i="22" s="1"/>
  <c r="H73" i="22" a="1"/>
  <c r="H73" i="22" s="1"/>
  <c r="F73" i="22"/>
  <c r="F73" i="22" a="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J69" i="22"/>
  <c r="AH69" i="22"/>
  <c r="L69" i="22"/>
  <c r="J69" i="22"/>
  <c r="D69" i="22"/>
  <c r="B69" i="22"/>
  <c r="AB68" i="22"/>
  <c r="T68" i="22"/>
  <c r="R68" i="22"/>
  <c r="AV67" i="22" a="1"/>
  <c r="AV67" i="22" s="1"/>
  <c r="AT67" i="22"/>
  <c r="AT67" i="22" a="1"/>
  <c r="AR67" i="22" a="1"/>
  <c r="AR67" i="22" s="1"/>
  <c r="AP67" i="22" a="1"/>
  <c r="AP67" i="22" s="1"/>
  <c r="AN67" i="22" a="1"/>
  <c r="AN67" i="22" s="1"/>
  <c r="AL67" i="22" a="1"/>
  <c r="AL67" i="22" s="1"/>
  <c r="AJ67" i="22"/>
  <c r="AJ67" i="22" a="1"/>
  <c r="AH67" i="22"/>
  <c r="AH67" i="22" a="1"/>
  <c r="AF67" i="22" a="1"/>
  <c r="AF67" i="22" s="1"/>
  <c r="AD67" i="22"/>
  <c r="AD67" i="22" a="1"/>
  <c r="AB67" i="22" a="1"/>
  <c r="AB67" i="22" s="1"/>
  <c r="Z67" i="22" a="1"/>
  <c r="Z67" i="22" s="1"/>
  <c r="Z68" i="22" s="1"/>
  <c r="X67" i="22" a="1"/>
  <c r="X67" i="22" s="1"/>
  <c r="V67" i="22" a="1"/>
  <c r="V67" i="22" s="1"/>
  <c r="T67" i="22"/>
  <c r="T67" i="22" a="1"/>
  <c r="R67" i="22"/>
  <c r="R67" i="22" a="1"/>
  <c r="P67" i="22" a="1"/>
  <c r="P67" i="22" s="1"/>
  <c r="N67" i="22" a="1"/>
  <c r="N67" i="22" s="1"/>
  <c r="L67" i="22" a="1"/>
  <c r="L67" i="22" s="1"/>
  <c r="J67" i="22" a="1"/>
  <c r="J67" i="22" s="1"/>
  <c r="H67" i="22" a="1"/>
  <c r="H67" i="22" s="1"/>
  <c r="F67" i="22" a="1"/>
  <c r="F67" i="22" s="1"/>
  <c r="D67" i="22"/>
  <c r="D67" i="22" a="1"/>
  <c r="B67" i="22"/>
  <c r="B67" i="22" a="1"/>
  <c r="AV66" i="22" a="1"/>
  <c r="AV66" i="22" s="1"/>
  <c r="AT66" i="22" a="1"/>
  <c r="AT66" i="22" s="1"/>
  <c r="AT68" i="22" s="1"/>
  <c r="AR66" i="22" a="1"/>
  <c r="AR66" i="22" s="1"/>
  <c r="AR68" i="22" s="1"/>
  <c r="AP66" i="22" a="1"/>
  <c r="AP66" i="22" s="1"/>
  <c r="AN66" i="22" a="1"/>
  <c r="AN66" i="22" s="1"/>
  <c r="AN68" i="22" s="1"/>
  <c r="AL66" i="22" a="1"/>
  <c r="AL66" i="22" s="1"/>
  <c r="AL68" i="22" s="1"/>
  <c r="AJ66" i="22"/>
  <c r="AJ68" i="22" s="1"/>
  <c r="AJ66" i="22" a="1"/>
  <c r="AH66" i="22"/>
  <c r="AH68" i="22" s="1"/>
  <c r="AH66" i="22" a="1"/>
  <c r="AF66" i="22" a="1"/>
  <c r="AF66" i="22" s="1"/>
  <c r="AD66" i="22"/>
  <c r="AD66" i="22" a="1"/>
  <c r="AB66" i="22" a="1"/>
  <c r="AB66" i="22" s="1"/>
  <c r="Z66" i="22"/>
  <c r="Z66" i="22" a="1"/>
  <c r="X66" i="22" a="1"/>
  <c r="X66" i="22" s="1"/>
  <c r="X68" i="22" s="1"/>
  <c r="V66" i="22" a="1"/>
  <c r="V66" i="22" s="1"/>
  <c r="V68" i="22" s="1"/>
  <c r="T66" i="22"/>
  <c r="T66" i="22" a="1"/>
  <c r="R66" i="22"/>
  <c r="R66" i="22" a="1"/>
  <c r="P66" i="22" a="1"/>
  <c r="P66" i="22" s="1"/>
  <c r="P68" i="22" s="1"/>
  <c r="N66" i="22"/>
  <c r="N66" i="22" a="1"/>
  <c r="L66" i="22" a="1"/>
  <c r="L66" i="22" s="1"/>
  <c r="J66" i="22" a="1"/>
  <c r="J66" i="22" s="1"/>
  <c r="J68" i="22" s="1"/>
  <c r="H66" i="22" a="1"/>
  <c r="H66" i="22" s="1"/>
  <c r="F66" i="22" a="1"/>
  <c r="F66" i="22" s="1"/>
  <c r="D66" i="22"/>
  <c r="D68" i="22" s="1"/>
  <c r="D66" i="22" a="1"/>
  <c r="B66" i="22"/>
  <c r="B68" i="22" s="1"/>
  <c r="B66" i="22" a="1"/>
  <c r="AV65" i="22" a="1"/>
  <c r="AV65" i="22" s="1"/>
  <c r="AV69" i="22" s="1"/>
  <c r="AT65" i="22" a="1"/>
  <c r="AT65" i="22" s="1"/>
  <c r="AT69" i="22" s="1"/>
  <c r="AR65" i="22" a="1"/>
  <c r="AR65" i="22" s="1"/>
  <c r="AR69" i="22" s="1"/>
  <c r="AP65" i="22" a="1"/>
  <c r="AP65" i="22" s="1"/>
  <c r="AP69" i="22" s="1"/>
  <c r="AN65" i="22" a="1"/>
  <c r="AN65" i="22" s="1"/>
  <c r="AN69" i="22" s="1"/>
  <c r="AL65" i="22" a="1"/>
  <c r="AL65" i="22" s="1"/>
  <c r="AL69" i="22" s="1"/>
  <c r="AJ65" i="22"/>
  <c r="AJ65" i="22" a="1"/>
  <c r="AH65" i="22"/>
  <c r="AH65" i="22" a="1"/>
  <c r="AF65" i="22" a="1"/>
  <c r="AF65" i="22" s="1"/>
  <c r="AF69" i="22" s="1"/>
  <c r="AD65" i="22" a="1"/>
  <c r="AD65" i="22" s="1"/>
  <c r="AD69" i="22" s="1"/>
  <c r="AB65" i="22" a="1"/>
  <c r="AB65" i="22" s="1"/>
  <c r="AB69" i="22" s="1"/>
  <c r="Z65" i="22" a="1"/>
  <c r="Z65" i="22" s="1"/>
  <c r="Z69" i="22" s="1"/>
  <c r="X65" i="22" a="1"/>
  <c r="X65" i="22" s="1"/>
  <c r="X69" i="22" s="1"/>
  <c r="V65" i="22" a="1"/>
  <c r="V65" i="22" s="1"/>
  <c r="V69" i="22" s="1"/>
  <c r="T65" i="22"/>
  <c r="T69" i="22" s="1"/>
  <c r="T65" i="22" a="1"/>
  <c r="R65" i="22"/>
  <c r="R69" i="22" s="1"/>
  <c r="R65" i="22" a="1"/>
  <c r="P65" i="22" a="1"/>
  <c r="P65" i="22" s="1"/>
  <c r="P69" i="22" s="1"/>
  <c r="N65" i="22"/>
  <c r="N69" i="22" s="1"/>
  <c r="N65" i="22" a="1"/>
  <c r="L65" i="22" a="1"/>
  <c r="L65" i="22" s="1"/>
  <c r="J65" i="22"/>
  <c r="J65" i="22" a="1"/>
  <c r="H65" i="22" a="1"/>
  <c r="H65" i="22" s="1"/>
  <c r="H69" i="22" s="1"/>
  <c r="F65" i="22" a="1"/>
  <c r="F65" i="22" s="1"/>
  <c r="F69" i="22" s="1"/>
  <c r="D65" i="22"/>
  <c r="D65" i="22" a="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c r="AT58" i="22" a="1"/>
  <c r="AR58" i="22" a="1"/>
  <c r="AR58" i="22" s="1"/>
  <c r="AP58" i="22" a="1"/>
  <c r="AP58" i="22" s="1"/>
  <c r="AN58" i="22" a="1"/>
  <c r="AN58" i="22" s="1"/>
  <c r="AL58" i="22" a="1"/>
  <c r="AL58" i="22" s="1"/>
  <c r="AJ58" i="22"/>
  <c r="AJ58" i="22" a="1"/>
  <c r="AH58" i="22" a="1"/>
  <c r="AH58" i="22" s="1"/>
  <c r="AF58" i="22"/>
  <c r="AF58" i="22" a="1"/>
  <c r="AD58" i="22"/>
  <c r="AD58" i="22" a="1"/>
  <c r="AB58" i="22" a="1"/>
  <c r="AB58" i="22" s="1"/>
  <c r="Z58" i="22" a="1"/>
  <c r="Z58" i="22" s="1"/>
  <c r="X58" i="22" a="1"/>
  <c r="X58" i="22" s="1"/>
  <c r="V58" i="22" a="1"/>
  <c r="V58" i="22" s="1"/>
  <c r="T58" i="22"/>
  <c r="T58" i="22" a="1"/>
  <c r="R58" i="22" a="1"/>
  <c r="R58" i="22" s="1"/>
  <c r="P58" i="22"/>
  <c r="P58" i="22" a="1"/>
  <c r="N58" i="22"/>
  <c r="N58" i="22" a="1"/>
  <c r="L58" i="22" a="1"/>
  <c r="L58" i="22" s="1"/>
  <c r="J58" i="22" a="1"/>
  <c r="J58" i="22" s="1"/>
  <c r="H58" i="22" a="1"/>
  <c r="H58" i="22" s="1"/>
  <c r="F58" i="22" a="1"/>
  <c r="F58" i="22" s="1"/>
  <c r="D58" i="22"/>
  <c r="D58" i="22" a="1"/>
  <c r="B58" i="22" a="1"/>
  <c r="B58" i="22" s="1"/>
  <c r="AV57" i="22"/>
  <c r="AV57" i="22" a="1"/>
  <c r="AT57" i="22"/>
  <c r="AT57" i="22" a="1"/>
  <c r="AR57" i="22" a="1"/>
  <c r="AR57" i="22" s="1"/>
  <c r="AP57" i="22" a="1"/>
  <c r="AP57" i="22" s="1"/>
  <c r="AN57" i="22" a="1"/>
  <c r="AN57" i="22" s="1"/>
  <c r="AL57" i="22" a="1"/>
  <c r="AL57" i="22" s="1"/>
  <c r="AJ57" i="22"/>
  <c r="AJ57" i="22" a="1"/>
  <c r="AH57" i="22" a="1"/>
  <c r="AH57" i="22" s="1"/>
  <c r="AF57" i="22"/>
  <c r="AF57" i="22" a="1"/>
  <c r="AD57" i="22"/>
  <c r="AD57" i="22" a="1"/>
  <c r="AB57" i="22" a="1"/>
  <c r="AB57" i="22" s="1"/>
  <c r="Z57" i="22" a="1"/>
  <c r="Z57" i="22" s="1"/>
  <c r="X57" i="22" a="1"/>
  <c r="X57" i="22" s="1"/>
  <c r="V57" i="22" a="1"/>
  <c r="V57" i="22" s="1"/>
  <c r="T57" i="22"/>
  <c r="T57" i="22" a="1"/>
  <c r="R57" i="22" a="1"/>
  <c r="R57" i="22" s="1"/>
  <c r="P57" i="22"/>
  <c r="P57" i="22" a="1"/>
  <c r="N57" i="22"/>
  <c r="N57" i="22" a="1"/>
  <c r="L57" i="22" a="1"/>
  <c r="L57" i="22" s="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H55" i="22"/>
  <c r="AF55" i="22"/>
  <c r="AF80" i="22" s="1"/>
  <c r="AD55" i="22"/>
  <c r="AD80" i="22" s="1"/>
  <c r="AB55" i="22"/>
  <c r="AB80" i="22" s="1"/>
  <c r="Z55" i="22"/>
  <c r="X55" i="22"/>
  <c r="V55" i="22"/>
  <c r="V80" i="22" s="1"/>
  <c r="T55" i="22"/>
  <c r="T80" i="22" s="1"/>
  <c r="R55" i="22"/>
  <c r="R80" i="22" s="1"/>
  <c r="P55" i="22"/>
  <c r="N55" i="22"/>
  <c r="L55" i="22"/>
  <c r="J55" i="22"/>
  <c r="J80" i="22" s="1"/>
  <c r="H55" i="22"/>
  <c r="H80" i="22" s="1"/>
  <c r="F55" i="22"/>
  <c r="D55" i="22"/>
  <c r="B55" i="22"/>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N51" i="22"/>
  <c r="AL51" i="22"/>
  <c r="AL81" i="22" s="1"/>
  <c r="AJ51" i="22"/>
  <c r="AJ81" i="22" s="1"/>
  <c r="AH51" i="22"/>
  <c r="AH81" i="22" s="1"/>
  <c r="AF51" i="22"/>
  <c r="AD51" i="22"/>
  <c r="AB51" i="22"/>
  <c r="Z51" i="22"/>
  <c r="Z81" i="22" s="1"/>
  <c r="X51" i="22"/>
  <c r="X81" i="22" s="1"/>
  <c r="V51" i="22"/>
  <c r="T51" i="22"/>
  <c r="R51" i="22"/>
  <c r="R81" i="22" s="1"/>
  <c r="P51" i="22"/>
  <c r="P81" i="22" s="1"/>
  <c r="N51" i="22"/>
  <c r="N81" i="22" s="1"/>
  <c r="L51" i="22"/>
  <c r="L81" i="22" s="1"/>
  <c r="J51" i="22"/>
  <c r="H51" i="22"/>
  <c r="F51" i="22"/>
  <c r="F81" i="22" s="1"/>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c r="AJ43" i="22" a="1"/>
  <c r="AH43" i="22" a="1"/>
  <c r="AH43" i="22" s="1"/>
  <c r="AF43" i="22"/>
  <c r="AF43" i="22" a="1"/>
  <c r="AD43" i="22" a="1"/>
  <c r="AD43" i="22" s="1"/>
  <c r="AB43" i="22" a="1"/>
  <c r="AB43" i="22" s="1"/>
  <c r="Z43" i="22" a="1"/>
  <c r="Z43" i="22" s="1"/>
  <c r="X43" i="22" a="1"/>
  <c r="X43" i="22" s="1"/>
  <c r="V43" i="22" a="1"/>
  <c r="V43" i="22" s="1"/>
  <c r="T43" i="22"/>
  <c r="T43" i="22" a="1"/>
  <c r="R43" i="22" a="1"/>
  <c r="R43" i="22" s="1"/>
  <c r="P43" i="22"/>
  <c r="P43" i="22" a="1"/>
  <c r="N43" i="22" a="1"/>
  <c r="N43" i="22" s="1"/>
  <c r="L43" i="22" a="1"/>
  <c r="L43" i="22" s="1"/>
  <c r="J43" i="22" a="1"/>
  <c r="J43" i="22" s="1"/>
  <c r="H43" i="22" a="1"/>
  <c r="H43" i="22" s="1"/>
  <c r="F43" i="22" a="1"/>
  <c r="F43" i="22" s="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F81" i="12"/>
  <c r="AD81" i="12"/>
  <c r="AB81" i="12"/>
  <c r="Z81" i="12"/>
  <c r="R81" i="12"/>
  <c r="AV80" i="12"/>
  <c r="AT80" i="12"/>
  <c r="AR80" i="12"/>
  <c r="AP80" i="12"/>
  <c r="AH80" i="12"/>
  <c r="AD80" i="12"/>
  <c r="P80" i="12"/>
  <c r="N80" i="12"/>
  <c r="L80" i="12"/>
  <c r="J80" i="12"/>
  <c r="B80" i="12"/>
  <c r="AV79" i="12" a="1"/>
  <c r="AV79" i="12" s="1"/>
  <c r="AT79" i="12"/>
  <c r="AT79" i="12" a="1"/>
  <c r="AR79" i="12"/>
  <c r="AR79" i="12" a="1"/>
  <c r="AP79" i="12" a="1"/>
  <c r="AP79" i="12" s="1"/>
  <c r="AN79" i="12" a="1"/>
  <c r="AN79" i="12" s="1"/>
  <c r="AL79" i="12" a="1"/>
  <c r="AL79" i="12" s="1"/>
  <c r="AJ79" i="12"/>
  <c r="AJ79" i="12" a="1"/>
  <c r="AH79" i="12" a="1"/>
  <c r="AH79" i="12" s="1"/>
  <c r="AF79" i="12" a="1"/>
  <c r="AF79" i="12" s="1"/>
  <c r="AD79" i="12"/>
  <c r="AD79" i="12" a="1"/>
  <c r="AB79" i="12"/>
  <c r="AB79" i="12" a="1"/>
  <c r="Z79" i="12" a="1"/>
  <c r="Z79" i="12" s="1"/>
  <c r="X79" i="12" a="1"/>
  <c r="X79" i="12" s="1"/>
  <c r="V79" i="12" a="1"/>
  <c r="V79" i="12" s="1"/>
  <c r="T79" i="12"/>
  <c r="T79" i="12" a="1"/>
  <c r="R79" i="12" a="1"/>
  <c r="R79" i="12" s="1"/>
  <c r="P79" i="12" a="1"/>
  <c r="P79" i="12" s="1"/>
  <c r="N79" i="12"/>
  <c r="N79" i="12" a="1"/>
  <c r="L79" i="12"/>
  <c r="L79" i="12" a="1"/>
  <c r="J79" i="12" a="1"/>
  <c r="J79" i="12" s="1"/>
  <c r="H79" i="12" a="1"/>
  <c r="H79" i="12" s="1"/>
  <c r="F79" i="12" a="1"/>
  <c r="F79" i="12" s="1"/>
  <c r="D79" i="12"/>
  <c r="D79" i="12" a="1"/>
  <c r="B79" i="12" a="1"/>
  <c r="B79" i="12" s="1"/>
  <c r="AV78" i="12" a="1"/>
  <c r="AV78" i="12" s="1"/>
  <c r="AT78" i="12"/>
  <c r="AT78" i="12" a="1"/>
  <c r="AR78" i="12"/>
  <c r="AR78" i="12" a="1"/>
  <c r="AP78" i="12" a="1"/>
  <c r="AP78" i="12" s="1"/>
  <c r="AN78" i="12" a="1"/>
  <c r="AN78" i="12" s="1"/>
  <c r="AL78" i="12" a="1"/>
  <c r="AL78" i="12" s="1"/>
  <c r="AJ78" i="12"/>
  <c r="AJ78" i="12" a="1"/>
  <c r="AH78" i="12" a="1"/>
  <c r="AH78" i="12" s="1"/>
  <c r="AF78" i="12" a="1"/>
  <c r="AF78" i="12" s="1"/>
  <c r="AD78" i="12"/>
  <c r="AD78" i="12" a="1"/>
  <c r="AB78" i="12"/>
  <c r="AB78" i="12" a="1"/>
  <c r="Z78" i="12" a="1"/>
  <c r="Z78" i="12" s="1"/>
  <c r="X78" i="12" a="1"/>
  <c r="X78" i="12" s="1"/>
  <c r="V78" i="12" a="1"/>
  <c r="V78" i="12" s="1"/>
  <c r="T78" i="12"/>
  <c r="T78" i="12" a="1"/>
  <c r="R78" i="12" a="1"/>
  <c r="R78" i="12" s="1"/>
  <c r="P78" i="12" a="1"/>
  <c r="P78" i="12" s="1"/>
  <c r="N78" i="12"/>
  <c r="N78" i="12" a="1"/>
  <c r="L78" i="12"/>
  <c r="L78" i="12" a="1"/>
  <c r="J78" i="12" a="1"/>
  <c r="J78" i="12" s="1"/>
  <c r="H78" i="12" a="1"/>
  <c r="H78" i="12" s="1"/>
  <c r="F78" i="12" a="1"/>
  <c r="F78" i="12" s="1"/>
  <c r="D78" i="12"/>
  <c r="D78" i="12" a="1"/>
  <c r="B78" i="12" a="1"/>
  <c r="B78" i="12" s="1"/>
  <c r="AV77" i="12" a="1"/>
  <c r="AV77" i="12" s="1"/>
  <c r="AT77" i="12"/>
  <c r="AT77" i="12" a="1"/>
  <c r="AR77" i="12"/>
  <c r="AR77" i="12" a="1"/>
  <c r="AP77" i="12" a="1"/>
  <c r="AP77" i="12" s="1"/>
  <c r="AN77" i="12" a="1"/>
  <c r="AN77" i="12" s="1"/>
  <c r="AL77" i="12" a="1"/>
  <c r="AL77" i="12" s="1"/>
  <c r="AJ77" i="12" a="1"/>
  <c r="AJ77" i="12" s="1"/>
  <c r="AH77" i="12" a="1"/>
  <c r="AH77" i="12" s="1"/>
  <c r="AF77" i="12" a="1"/>
  <c r="AF77" i="12" s="1"/>
  <c r="AD77" i="12"/>
  <c r="AD77" i="12" a="1"/>
  <c r="AB77" i="12"/>
  <c r="AB77" i="12" a="1"/>
  <c r="Z77" i="12" a="1"/>
  <c r="Z77" i="12" s="1"/>
  <c r="X77" i="12" a="1"/>
  <c r="X77" i="12" s="1"/>
  <c r="V77" i="12" a="1"/>
  <c r="V77" i="12" s="1"/>
  <c r="T77" i="12" a="1"/>
  <c r="T77" i="12" s="1"/>
  <c r="R77" i="12" a="1"/>
  <c r="R77" i="12" s="1"/>
  <c r="P77" i="12" a="1"/>
  <c r="P77" i="12" s="1"/>
  <c r="N77" i="12"/>
  <c r="N77" i="12" a="1"/>
  <c r="L77" i="12"/>
  <c r="L77" i="12" a="1"/>
  <c r="J77" i="12" a="1"/>
  <c r="J77" i="12" s="1"/>
  <c r="H77" i="12" a="1"/>
  <c r="H77" i="12" s="1"/>
  <c r="F77" i="12" a="1"/>
  <c r="F77" i="12" s="1"/>
  <c r="D77" i="12" a="1"/>
  <c r="D77" i="12" s="1"/>
  <c r="B77" i="12" a="1"/>
  <c r="B77" i="12" s="1"/>
  <c r="AV76" i="12" a="1"/>
  <c r="AV76" i="12" s="1"/>
  <c r="AT76" i="12"/>
  <c r="AT76" i="12" a="1"/>
  <c r="AR76" i="12"/>
  <c r="AR76" i="12" a="1"/>
  <c r="AP76" i="12" a="1"/>
  <c r="AP76" i="12" s="1"/>
  <c r="AN76" i="12" a="1"/>
  <c r="AN76" i="12" s="1"/>
  <c r="AL76" i="12" a="1"/>
  <c r="AL76" i="12" s="1"/>
  <c r="AJ76" i="12" a="1"/>
  <c r="AJ76" i="12" s="1"/>
  <c r="AH76" i="12" a="1"/>
  <c r="AH76" i="12" s="1"/>
  <c r="AF76" i="12" a="1"/>
  <c r="AF76" i="12" s="1"/>
  <c r="AD76" i="12"/>
  <c r="AD76" i="12" a="1"/>
  <c r="AB76" i="12"/>
  <c r="AB76" i="12" a="1"/>
  <c r="Z76" i="12" a="1"/>
  <c r="Z76" i="12" s="1"/>
  <c r="X76" i="12" a="1"/>
  <c r="X76" i="12" s="1"/>
  <c r="V76" i="12" a="1"/>
  <c r="V76" i="12" s="1"/>
  <c r="T76" i="12" a="1"/>
  <c r="T76" i="12" s="1"/>
  <c r="R76" i="12" a="1"/>
  <c r="R76" i="12" s="1"/>
  <c r="P76" i="12" a="1"/>
  <c r="P76" i="12" s="1"/>
  <c r="N76" i="12"/>
  <c r="N76" i="12" a="1"/>
  <c r="L76" i="12"/>
  <c r="L76" i="12" a="1"/>
  <c r="J76" i="12" a="1"/>
  <c r="J76" i="12" s="1"/>
  <c r="H76" i="12" a="1"/>
  <c r="H76" i="12" s="1"/>
  <c r="F76" i="12" a="1"/>
  <c r="F76" i="12" s="1"/>
  <c r="D76" i="12" a="1"/>
  <c r="D76" i="12" s="1"/>
  <c r="B76" i="12" a="1"/>
  <c r="B76" i="12" s="1"/>
  <c r="AV75" i="12" a="1"/>
  <c r="AV75" i="12" s="1"/>
  <c r="AT75" i="12"/>
  <c r="AT75" i="12" a="1"/>
  <c r="AR75" i="12"/>
  <c r="AR75" i="12" a="1"/>
  <c r="AP75" i="12" a="1"/>
  <c r="AP75" i="12" s="1"/>
  <c r="AN75" i="12" a="1"/>
  <c r="AN75" i="12" s="1"/>
  <c r="AL75" i="12" a="1"/>
  <c r="AL75" i="12" s="1"/>
  <c r="AJ75" i="12" a="1"/>
  <c r="AJ75" i="12" s="1"/>
  <c r="AH75" i="12" a="1"/>
  <c r="AH75" i="12" s="1"/>
  <c r="AF75" i="12" a="1"/>
  <c r="AF75" i="12" s="1"/>
  <c r="AD75" i="12"/>
  <c r="AD75" i="12" a="1"/>
  <c r="AB75" i="12"/>
  <c r="AB75" i="12" a="1"/>
  <c r="Z75" i="12" a="1"/>
  <c r="Z75" i="12" s="1"/>
  <c r="X75" i="12" a="1"/>
  <c r="X75" i="12" s="1"/>
  <c r="V75" i="12" a="1"/>
  <c r="V75" i="12" s="1"/>
  <c r="T75" i="12" a="1"/>
  <c r="T75" i="12" s="1"/>
  <c r="R75" i="12" a="1"/>
  <c r="R75" i="12" s="1"/>
  <c r="P75" i="12" a="1"/>
  <c r="P75" i="12" s="1"/>
  <c r="N75" i="12"/>
  <c r="N75" i="12" a="1"/>
  <c r="L75" i="12"/>
  <c r="L75" i="12" a="1"/>
  <c r="J75" i="12" a="1"/>
  <c r="J75" i="12" s="1"/>
  <c r="H75" i="12" a="1"/>
  <c r="H75" i="12" s="1"/>
  <c r="F75" i="12" a="1"/>
  <c r="F75" i="12" s="1"/>
  <c r="D75" i="12" a="1"/>
  <c r="D75" i="12" s="1"/>
  <c r="B75" i="12" a="1"/>
  <c r="B75" i="12" s="1"/>
  <c r="AV74" i="12" a="1"/>
  <c r="AV74" i="12" s="1"/>
  <c r="AT74" i="12"/>
  <c r="AT74" i="12" a="1"/>
  <c r="AR74" i="12"/>
  <c r="AR74" i="12" a="1"/>
  <c r="AP74" i="12" a="1"/>
  <c r="AP74" i="12" s="1"/>
  <c r="AN74" i="12" a="1"/>
  <c r="AN74" i="12" s="1"/>
  <c r="AL74" i="12" a="1"/>
  <c r="AL74" i="12" s="1"/>
  <c r="AJ74" i="12" a="1"/>
  <c r="AJ74" i="12" s="1"/>
  <c r="AH74" i="12" a="1"/>
  <c r="AH74" i="12" s="1"/>
  <c r="AF74" i="12" a="1"/>
  <c r="AF74" i="12" s="1"/>
  <c r="AD74" i="12"/>
  <c r="AD74" i="12" a="1"/>
  <c r="AB74" i="12"/>
  <c r="AB74" i="12" a="1"/>
  <c r="Z74" i="12" a="1"/>
  <c r="Z74" i="12" s="1"/>
  <c r="X74" i="12" a="1"/>
  <c r="X74" i="12" s="1"/>
  <c r="V74" i="12" a="1"/>
  <c r="V74" i="12" s="1"/>
  <c r="T74" i="12" a="1"/>
  <c r="T74" i="12" s="1"/>
  <c r="R74" i="12" a="1"/>
  <c r="R74" i="12" s="1"/>
  <c r="P74" i="12" a="1"/>
  <c r="P74" i="12" s="1"/>
  <c r="N74" i="12"/>
  <c r="N74" i="12" a="1"/>
  <c r="L74" i="12"/>
  <c r="L74" i="12" a="1"/>
  <c r="J74" i="12" a="1"/>
  <c r="J74" i="12" s="1"/>
  <c r="H74" i="12" a="1"/>
  <c r="H74" i="12" s="1"/>
  <c r="F74" i="12" a="1"/>
  <c r="F74" i="12" s="1"/>
  <c r="D74" i="12" a="1"/>
  <c r="D74" i="12" s="1"/>
  <c r="B74" i="12" a="1"/>
  <c r="B74" i="12" s="1"/>
  <c r="AV73" i="12" a="1"/>
  <c r="AV73" i="12" s="1"/>
  <c r="AT73" i="12"/>
  <c r="AT73" i="12" a="1"/>
  <c r="AR73" i="12"/>
  <c r="AR73" i="12" a="1"/>
  <c r="AP73" i="12" a="1"/>
  <c r="AP73" i="12" s="1"/>
  <c r="AN73" i="12" a="1"/>
  <c r="AN73" i="12" s="1"/>
  <c r="AL73" i="12" a="1"/>
  <c r="AL73" i="12" s="1"/>
  <c r="AJ73" i="12" a="1"/>
  <c r="AJ73" i="12" s="1"/>
  <c r="AH73" i="12" a="1"/>
  <c r="AH73" i="12" s="1"/>
  <c r="AF73" i="12" a="1"/>
  <c r="AF73" i="12" s="1"/>
  <c r="AD73" i="12"/>
  <c r="AD73" i="12" a="1"/>
  <c r="AB73" i="12" a="1"/>
  <c r="AB73" i="12" s="1"/>
  <c r="Z73" i="12" a="1"/>
  <c r="Z73" i="12" s="1"/>
  <c r="X73" i="12" a="1"/>
  <c r="X73" i="12" s="1"/>
  <c r="V73" i="12" a="1"/>
  <c r="V73" i="12" s="1"/>
  <c r="T73" i="12" a="1"/>
  <c r="T73" i="12" s="1"/>
  <c r="R73" i="12" a="1"/>
  <c r="R73" i="12" s="1"/>
  <c r="P73" i="12" a="1"/>
  <c r="P73" i="12" s="1"/>
  <c r="N73" i="12"/>
  <c r="N73" i="12" a="1"/>
  <c r="L73" i="12" a="1"/>
  <c r="L73" i="12" s="1"/>
  <c r="J73" i="12" a="1"/>
  <c r="J73" i="12" s="1"/>
  <c r="H73" i="12" a="1"/>
  <c r="H73" i="12" s="1"/>
  <c r="F73" i="12" a="1"/>
  <c r="F73" i="12" s="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B69" i="12"/>
  <c r="AL68" i="12"/>
  <c r="F68" i="12"/>
  <c r="AV67" i="12" a="1"/>
  <c r="AV67" i="12" s="1"/>
  <c r="AT67" i="12" a="1"/>
  <c r="AT67" i="12" s="1"/>
  <c r="AR67" i="12" a="1"/>
  <c r="AR67" i="12" s="1"/>
  <c r="AP67" i="12" a="1"/>
  <c r="AP67" i="12" s="1"/>
  <c r="AN67" i="12" a="1"/>
  <c r="AN67" i="12" s="1"/>
  <c r="AL67" i="12"/>
  <c r="AL67" i="12" a="1"/>
  <c r="AJ67" i="12" a="1"/>
  <c r="AJ67" i="12" s="1"/>
  <c r="AH67" i="12" a="1"/>
  <c r="AH67" i="12" s="1"/>
  <c r="AF67" i="12" a="1"/>
  <c r="AF67" i="12" s="1"/>
  <c r="AD67" i="12" a="1"/>
  <c r="AD67" i="12" s="1"/>
  <c r="AB67" i="12" a="1"/>
  <c r="AB67" i="12" s="1"/>
  <c r="Z67" i="12" a="1"/>
  <c r="Z67" i="12" s="1"/>
  <c r="X67" i="12" a="1"/>
  <c r="X67" i="12" s="1"/>
  <c r="V67" i="12"/>
  <c r="V67" i="12" a="1"/>
  <c r="T67" i="12" a="1"/>
  <c r="T67" i="12" s="1"/>
  <c r="R67" i="12" a="1"/>
  <c r="R67" i="12" s="1"/>
  <c r="P67" i="12" a="1"/>
  <c r="P67" i="12" s="1"/>
  <c r="N67" i="12" a="1"/>
  <c r="N67" i="12" s="1"/>
  <c r="L67" i="12" a="1"/>
  <c r="L67" i="12" s="1"/>
  <c r="J67" i="12" a="1"/>
  <c r="J67" i="12" s="1"/>
  <c r="H67" i="12" a="1"/>
  <c r="H67" i="12" s="1"/>
  <c r="F67" i="12"/>
  <c r="F67" i="12" a="1"/>
  <c r="D67" i="12" a="1"/>
  <c r="D67" i="12" s="1"/>
  <c r="B67" i="12" a="1"/>
  <c r="B67" i="12" s="1"/>
  <c r="AV66" i="12" a="1"/>
  <c r="AV66" i="12" s="1"/>
  <c r="AV68" i="12" s="1"/>
  <c r="AT66" i="12" a="1"/>
  <c r="AT66" i="12" s="1"/>
  <c r="AR66" i="12" a="1"/>
  <c r="AR66" i="12" s="1"/>
  <c r="AR68" i="12" s="1"/>
  <c r="AP66" i="12" a="1"/>
  <c r="AP66" i="12" s="1"/>
  <c r="AP68" i="12" s="1"/>
  <c r="AN66" i="12" a="1"/>
  <c r="AN66" i="12" s="1"/>
  <c r="AL66" i="12"/>
  <c r="AL66" i="12" a="1"/>
  <c r="AJ66" i="12" a="1"/>
  <c r="AJ66" i="12" s="1"/>
  <c r="AH66" i="12" a="1"/>
  <c r="AH66" i="12" s="1"/>
  <c r="AF66" i="12" a="1"/>
  <c r="AF66" i="12" s="1"/>
  <c r="AF68" i="12" s="1"/>
  <c r="AD66" i="12" a="1"/>
  <c r="AD66" i="12" s="1"/>
  <c r="AB66" i="12" a="1"/>
  <c r="AB66" i="12" s="1"/>
  <c r="Z66" i="12" a="1"/>
  <c r="Z66" i="12" s="1"/>
  <c r="Z68" i="12" s="1"/>
  <c r="X66" i="12" a="1"/>
  <c r="X66" i="12" s="1"/>
  <c r="V66" i="12"/>
  <c r="V68" i="12" s="1"/>
  <c r="V66" i="12" a="1"/>
  <c r="T66" i="12" a="1"/>
  <c r="T66" i="12" s="1"/>
  <c r="T68" i="12" s="1"/>
  <c r="R66" i="12" a="1"/>
  <c r="R66" i="12" s="1"/>
  <c r="P66" i="12" a="1"/>
  <c r="P66" i="12" s="1"/>
  <c r="P68" i="12" s="1"/>
  <c r="N66" i="12" a="1"/>
  <c r="N66" i="12" s="1"/>
  <c r="N68" i="12" s="1"/>
  <c r="L66" i="12" a="1"/>
  <c r="L66" i="12" s="1"/>
  <c r="J66" i="12" a="1"/>
  <c r="J66" i="12" s="1"/>
  <c r="J68" i="12" s="1"/>
  <c r="H66" i="12" a="1"/>
  <c r="H66" i="12" s="1"/>
  <c r="F66" i="12"/>
  <c r="F66" i="12" a="1"/>
  <c r="D66" i="12" a="1"/>
  <c r="D66" i="12" s="1"/>
  <c r="D68" i="12" s="1"/>
  <c r="B66" i="12" a="1"/>
  <c r="B66" i="12" s="1"/>
  <c r="AV65" i="12" a="1"/>
  <c r="AV65" i="12" s="1"/>
  <c r="AV69" i="12" s="1"/>
  <c r="AT65" i="12" a="1"/>
  <c r="AT65" i="12" s="1"/>
  <c r="AT69" i="12" s="1"/>
  <c r="AR65" i="12" a="1"/>
  <c r="AR65" i="12" s="1"/>
  <c r="AR69" i="12" s="1"/>
  <c r="AP65" i="12" a="1"/>
  <c r="AP65" i="12" s="1"/>
  <c r="AP69" i="12" s="1"/>
  <c r="AN65" i="12" a="1"/>
  <c r="AN65" i="12" s="1"/>
  <c r="AN69" i="12" s="1"/>
  <c r="AL65" i="12"/>
  <c r="AL69" i="12" s="1"/>
  <c r="AL65" i="12" a="1"/>
  <c r="AJ65" i="12" a="1"/>
  <c r="AJ65" i="12" s="1"/>
  <c r="AJ69" i="12" s="1"/>
  <c r="AH65" i="12" a="1"/>
  <c r="AH65" i="12" s="1"/>
  <c r="AH69" i="12" s="1"/>
  <c r="AF65" i="12" a="1"/>
  <c r="AF65" i="12" s="1"/>
  <c r="AF69" i="12" s="1"/>
  <c r="AD65" i="12" a="1"/>
  <c r="AD65" i="12" s="1"/>
  <c r="AD69" i="12" s="1"/>
  <c r="AB65" i="12" a="1"/>
  <c r="AB65" i="12" s="1"/>
  <c r="AB69" i="12" s="1"/>
  <c r="Z65" i="12" a="1"/>
  <c r="Z65" i="12" s="1"/>
  <c r="Z69" i="12" s="1"/>
  <c r="X65" i="12" a="1"/>
  <c r="X65" i="12" s="1"/>
  <c r="X69" i="12" s="1"/>
  <c r="V65" i="12"/>
  <c r="V69" i="12" s="1"/>
  <c r="V65" i="12" a="1"/>
  <c r="T65" i="12" a="1"/>
  <c r="T65" i="12" s="1"/>
  <c r="T69" i="12" s="1"/>
  <c r="R65" i="12" a="1"/>
  <c r="R65" i="12" s="1"/>
  <c r="R69" i="12" s="1"/>
  <c r="P65" i="12" a="1"/>
  <c r="P65" i="12" s="1"/>
  <c r="P69" i="12" s="1"/>
  <c r="N65" i="12" a="1"/>
  <c r="N65" i="12" s="1"/>
  <c r="N69" i="12" s="1"/>
  <c r="L65" i="12" a="1"/>
  <c r="L65" i="12" s="1"/>
  <c r="L69" i="12" s="1"/>
  <c r="J65" i="12" a="1"/>
  <c r="J65" i="12" s="1"/>
  <c r="J69" i="12" s="1"/>
  <c r="H65" i="12" a="1"/>
  <c r="H65" i="12" s="1"/>
  <c r="H69" i="12" s="1"/>
  <c r="F65" i="12"/>
  <c r="F69" i="12" s="1"/>
  <c r="F65" i="12" a="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c r="AP58" i="12" a="1"/>
  <c r="AN58" i="12" a="1"/>
  <c r="AN58" i="12" s="1"/>
  <c r="AL58" i="12" a="1"/>
  <c r="AL58" i="12" s="1"/>
  <c r="AJ58" i="12"/>
  <c r="AJ58" i="12" a="1"/>
  <c r="AH58" i="12" a="1"/>
  <c r="AH58" i="12" s="1"/>
  <c r="AF58" i="12"/>
  <c r="AF58" i="12" a="1"/>
  <c r="AD58" i="12" a="1"/>
  <c r="AD58" i="12" s="1"/>
  <c r="AB58" i="12" a="1"/>
  <c r="AB58" i="12" s="1"/>
  <c r="Z58" i="12"/>
  <c r="Z58" i="12" a="1"/>
  <c r="X58" i="12" a="1"/>
  <c r="X58" i="12" s="1"/>
  <c r="V58" i="12" a="1"/>
  <c r="V58" i="12" s="1"/>
  <c r="T58" i="12"/>
  <c r="T58" i="12" a="1"/>
  <c r="R58" i="12" a="1"/>
  <c r="R58" i="12" s="1"/>
  <c r="P58" i="12"/>
  <c r="P58" i="12" a="1"/>
  <c r="N58" i="12" a="1"/>
  <c r="N58" i="12" s="1"/>
  <c r="L58" i="12" a="1"/>
  <c r="L58" i="12" s="1"/>
  <c r="J58" i="12"/>
  <c r="J58" i="12" a="1"/>
  <c r="H58" i="12" a="1"/>
  <c r="H58" i="12" s="1"/>
  <c r="F58" i="12" a="1"/>
  <c r="F58" i="12" s="1"/>
  <c r="D58" i="12"/>
  <c r="D58" i="12" a="1"/>
  <c r="B58" i="12" a="1"/>
  <c r="B58" i="12" s="1"/>
  <c r="AV57" i="12"/>
  <c r="AV57" i="12" a="1"/>
  <c r="AT57" i="12" a="1"/>
  <c r="AT57" i="12" s="1"/>
  <c r="AR57" i="12" a="1"/>
  <c r="AR57" i="12" s="1"/>
  <c r="AP57" i="12"/>
  <c r="AP57" i="12" a="1"/>
  <c r="AN57" i="12" a="1"/>
  <c r="AN57" i="12" s="1"/>
  <c r="AL57" i="12" a="1"/>
  <c r="AL57" i="12" s="1"/>
  <c r="AJ57" i="12"/>
  <c r="AJ57" i="12" a="1"/>
  <c r="AH57" i="12" a="1"/>
  <c r="AH57" i="12" s="1"/>
  <c r="AF57" i="12"/>
  <c r="AF57" i="12" a="1"/>
  <c r="AD57" i="12" a="1"/>
  <c r="AD57" i="12" s="1"/>
  <c r="AB57" i="12" a="1"/>
  <c r="AB57" i="12" s="1"/>
  <c r="Z57" i="12"/>
  <c r="Z57" i="12" a="1"/>
  <c r="X57" i="12" a="1"/>
  <c r="X57" i="12" s="1"/>
  <c r="V57" i="12" a="1"/>
  <c r="V57" i="12" s="1"/>
  <c r="T57" i="12"/>
  <c r="T57" i="12" a="1"/>
  <c r="R57" i="12" a="1"/>
  <c r="R57" i="12" s="1"/>
  <c r="P57" i="12"/>
  <c r="P57" i="12" a="1"/>
  <c r="N57" i="12" a="1"/>
  <c r="N57" i="12" s="1"/>
  <c r="L57" i="12" a="1"/>
  <c r="L57" i="12" s="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N55" i="12"/>
  <c r="AN80" i="12" s="1"/>
  <c r="AL55" i="12"/>
  <c r="AL80" i="12" s="1"/>
  <c r="AJ55" i="12"/>
  <c r="AJ80" i="12" s="1"/>
  <c r="AH55" i="12"/>
  <c r="AF55" i="12"/>
  <c r="AF80" i="12" s="1"/>
  <c r="AD55" i="12"/>
  <c r="AB55" i="12"/>
  <c r="AB80" i="12" s="1"/>
  <c r="Z55" i="12"/>
  <c r="Z80" i="12" s="1"/>
  <c r="X55" i="12"/>
  <c r="X80" i="12" s="1"/>
  <c r="V55" i="12"/>
  <c r="V80" i="12" s="1"/>
  <c r="T55" i="12"/>
  <c r="T80" i="12" s="1"/>
  <c r="R55" i="12"/>
  <c r="R80" i="12" s="1"/>
  <c r="P55" i="12"/>
  <c r="N55" i="12"/>
  <c r="L55" i="12"/>
  <c r="J55" i="12"/>
  <c r="H55" i="12"/>
  <c r="H80" i="12" s="1"/>
  <c r="F55" i="12"/>
  <c r="F80" i="12" s="1"/>
  <c r="D55" i="12"/>
  <c r="D80" i="12" s="1"/>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J81" i="12" s="1"/>
  <c r="AH51" i="12"/>
  <c r="AH81" i="12" s="1"/>
  <c r="AF51" i="12"/>
  <c r="AD51" i="12"/>
  <c r="AB51" i="12"/>
  <c r="Z51" i="12"/>
  <c r="X51" i="12"/>
  <c r="X81" i="12" s="1"/>
  <c r="V51" i="12"/>
  <c r="V81" i="12" s="1"/>
  <c r="T51" i="12"/>
  <c r="T81" i="12" s="1"/>
  <c r="R51" i="12"/>
  <c r="P51" i="12"/>
  <c r="P81" i="12" s="1"/>
  <c r="N51" i="12"/>
  <c r="N81" i="12" s="1"/>
  <c r="L51" i="12"/>
  <c r="L81" i="12" s="1"/>
  <c r="J51" i="12"/>
  <c r="J81" i="12" s="1"/>
  <c r="H51" i="12"/>
  <c r="H81" i="12" s="1"/>
  <c r="F51" i="12"/>
  <c r="F81" i="12" s="1"/>
  <c r="D51" i="12"/>
  <c r="D81" i="12" s="1"/>
  <c r="B51" i="12"/>
  <c r="B81" i="12" s="1"/>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c r="AP43" i="12" a="1"/>
  <c r="AN43" i="12" a="1"/>
  <c r="AN43" i="12" s="1"/>
  <c r="AL43" i="12" a="1"/>
  <c r="AL43" i="12" s="1"/>
  <c r="AJ43" i="12"/>
  <c r="AJ43" i="12" a="1"/>
  <c r="AH43" i="12" a="1"/>
  <c r="AH43" i="12" s="1"/>
  <c r="AF43" i="12"/>
  <c r="AF43" i="12" a="1"/>
  <c r="AD43" i="12" a="1"/>
  <c r="AD43" i="12" s="1"/>
  <c r="AB43" i="12" a="1"/>
  <c r="AB43" i="12" s="1"/>
  <c r="Z43" i="12"/>
  <c r="Z43" i="12" a="1"/>
  <c r="X43" i="12" a="1"/>
  <c r="X43" i="12" s="1"/>
  <c r="V43" i="12" a="1"/>
  <c r="V43" i="12" s="1"/>
  <c r="T43" i="12"/>
  <c r="T43" i="12" a="1"/>
  <c r="R43" i="12" a="1"/>
  <c r="R43" i="12" s="1"/>
  <c r="P43" i="12"/>
  <c r="P43" i="12" a="1"/>
  <c r="N43" i="12" a="1"/>
  <c r="N43" i="12" s="1"/>
  <c r="L43" i="12" a="1"/>
  <c r="L43" i="12" s="1"/>
  <c r="J43" i="12"/>
  <c r="J43" i="12" a="1"/>
  <c r="H43" i="12" a="1"/>
  <c r="H43" i="12" s="1"/>
  <c r="F43" i="12" a="1"/>
  <c r="F43" i="12" s="1"/>
  <c r="D43" i="12"/>
  <c r="D43" i="12" a="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L81" i="11"/>
  <c r="AF81" i="11"/>
  <c r="AD81" i="11"/>
  <c r="AB81" i="11"/>
  <c r="Z81" i="11"/>
  <c r="R81" i="11"/>
  <c r="F81" i="11"/>
  <c r="AV80" i="11"/>
  <c r="AT80" i="11"/>
  <c r="AR80" i="11"/>
  <c r="AP80" i="11"/>
  <c r="AH80" i="11"/>
  <c r="V80" i="11"/>
  <c r="P80" i="11"/>
  <c r="N80" i="11"/>
  <c r="L80" i="11"/>
  <c r="J80" i="11"/>
  <c r="B80" i="11"/>
  <c r="AV79" i="11" a="1"/>
  <c r="AV79" i="11" s="1"/>
  <c r="AT79" i="11"/>
  <c r="AT79" i="11" a="1"/>
  <c r="AR79" i="11" a="1"/>
  <c r="AR79" i="11" s="1"/>
  <c r="AP79" i="11"/>
  <c r="AP79" i="11" a="1"/>
  <c r="AN79" i="11" a="1"/>
  <c r="AN79" i="11" s="1"/>
  <c r="AL79" i="11" a="1"/>
  <c r="AL79" i="11" s="1"/>
  <c r="AJ79" i="11" a="1"/>
  <c r="AJ79" i="11" s="1"/>
  <c r="AH79" i="11" a="1"/>
  <c r="AH79" i="11" s="1"/>
  <c r="AF79" i="11" a="1"/>
  <c r="AF79" i="11" s="1"/>
  <c r="AD79" i="11"/>
  <c r="AD79" i="11" a="1"/>
  <c r="AB79" i="11" a="1"/>
  <c r="AB79" i="11" s="1"/>
  <c r="Z79" i="11"/>
  <c r="Z79" i="11" a="1"/>
  <c r="X79" i="11" a="1"/>
  <c r="X79" i="11" s="1"/>
  <c r="V79" i="11" a="1"/>
  <c r="V79" i="11" s="1"/>
  <c r="T79" i="11" a="1"/>
  <c r="T79" i="11" s="1"/>
  <c r="R79" i="11" a="1"/>
  <c r="R79" i="11" s="1"/>
  <c r="P79" i="11" a="1"/>
  <c r="P79" i="11" s="1"/>
  <c r="N79" i="11"/>
  <c r="N79" i="11" a="1"/>
  <c r="L79" i="11" a="1"/>
  <c r="L79" i="11" s="1"/>
  <c r="J79" i="11"/>
  <c r="J79" i="11" a="1"/>
  <c r="H79" i="11" a="1"/>
  <c r="H79" i="11" s="1"/>
  <c r="F79" i="11" a="1"/>
  <c r="F79" i="11" s="1"/>
  <c r="D79" i="11" a="1"/>
  <c r="D79" i="11" s="1"/>
  <c r="B79" i="11" a="1"/>
  <c r="B79" i="11" s="1"/>
  <c r="AV78" i="11" a="1"/>
  <c r="AV78" i="11" s="1"/>
  <c r="AT78" i="11"/>
  <c r="AT78" i="11" a="1"/>
  <c r="AR78" i="11" a="1"/>
  <c r="AR78" i="11" s="1"/>
  <c r="AP78" i="11"/>
  <c r="AP78" i="11" a="1"/>
  <c r="AN78" i="11" a="1"/>
  <c r="AN78" i="11" s="1"/>
  <c r="AL78" i="11" a="1"/>
  <c r="AL78" i="11" s="1"/>
  <c r="AJ78" i="11" a="1"/>
  <c r="AJ78" i="11" s="1"/>
  <c r="AH78" i="11" a="1"/>
  <c r="AH78" i="11" s="1"/>
  <c r="AF78" i="11" a="1"/>
  <c r="AF78" i="11" s="1"/>
  <c r="AD78" i="11"/>
  <c r="AD78" i="11" a="1"/>
  <c r="AB78" i="11" a="1"/>
  <c r="AB78" i="11" s="1"/>
  <c r="Z78" i="11"/>
  <c r="Z78" i="11" a="1"/>
  <c r="X78" i="11" a="1"/>
  <c r="X78" i="11" s="1"/>
  <c r="V78" i="11" a="1"/>
  <c r="V78" i="11" s="1"/>
  <c r="T78" i="11" a="1"/>
  <c r="T78" i="11" s="1"/>
  <c r="R78" i="11" a="1"/>
  <c r="R78" i="11" s="1"/>
  <c r="P78" i="11" a="1"/>
  <c r="P78" i="11" s="1"/>
  <c r="N78" i="11" a="1"/>
  <c r="N78" i="11" s="1"/>
  <c r="L78" i="11" a="1"/>
  <c r="L78" i="11" s="1"/>
  <c r="J78" i="11"/>
  <c r="J78" i="11" a="1"/>
  <c r="H78" i="11" a="1"/>
  <c r="H78" i="11" s="1"/>
  <c r="F78" i="11" a="1"/>
  <c r="F78" i="11" s="1"/>
  <c r="D78" i="11" a="1"/>
  <c r="D78" i="11" s="1"/>
  <c r="B78" i="11" a="1"/>
  <c r="B78" i="11" s="1"/>
  <c r="AV77" i="11" a="1"/>
  <c r="AV77" i="11" s="1"/>
  <c r="AT77" i="11" a="1"/>
  <c r="AT77" i="11" s="1"/>
  <c r="AR77" i="11" a="1"/>
  <c r="AR77" i="11" s="1"/>
  <c r="AP77" i="11"/>
  <c r="AP77" i="11" a="1"/>
  <c r="AN77" i="11" a="1"/>
  <c r="AN77" i="11" s="1"/>
  <c r="AL77" i="11" a="1"/>
  <c r="AL77" i="11" s="1"/>
  <c r="AJ77" i="11" a="1"/>
  <c r="AJ77" i="11" s="1"/>
  <c r="AH77" i="11" a="1"/>
  <c r="AH77" i="11" s="1"/>
  <c r="AF77" i="11" a="1"/>
  <c r="AF77" i="11" s="1"/>
  <c r="AD77" i="11" a="1"/>
  <c r="AD77" i="11" s="1"/>
  <c r="AB77" i="11" a="1"/>
  <c r="AB77" i="11" s="1"/>
  <c r="Z77" i="11"/>
  <c r="Z77" i="11" a="1"/>
  <c r="X77" i="11" a="1"/>
  <c r="X77" i="11" s="1"/>
  <c r="V77" i="11" a="1"/>
  <c r="V77" i="11" s="1"/>
  <c r="T77" i="11" a="1"/>
  <c r="T77" i="11" s="1"/>
  <c r="R77" i="11" a="1"/>
  <c r="R77" i="11" s="1"/>
  <c r="P77" i="11" a="1"/>
  <c r="P77" i="11" s="1"/>
  <c r="N77" i="11" a="1"/>
  <c r="N77" i="11" s="1"/>
  <c r="L77" i="11" a="1"/>
  <c r="L77" i="11" s="1"/>
  <c r="J77" i="11"/>
  <c r="J77" i="11" a="1"/>
  <c r="H77" i="11" a="1"/>
  <c r="H77" i="11" s="1"/>
  <c r="F77" i="11" a="1"/>
  <c r="F77" i="11" s="1"/>
  <c r="D77" i="11" a="1"/>
  <c r="D77" i="11" s="1"/>
  <c r="B77" i="11" a="1"/>
  <c r="B77" i="11" s="1"/>
  <c r="AV76" i="11" a="1"/>
  <c r="AV76" i="11" s="1"/>
  <c r="AT76" i="11" a="1"/>
  <c r="AT76" i="11" s="1"/>
  <c r="AR76" i="11" a="1"/>
  <c r="AR76" i="11" s="1"/>
  <c r="AP76" i="11"/>
  <c r="AP76" i="11" a="1"/>
  <c r="AN76" i="11" a="1"/>
  <c r="AN76" i="11" s="1"/>
  <c r="AL76" i="11" a="1"/>
  <c r="AL76" i="11" s="1"/>
  <c r="AJ76" i="11" a="1"/>
  <c r="AJ76" i="11" s="1"/>
  <c r="AH76" i="11" a="1"/>
  <c r="AH76" i="11" s="1"/>
  <c r="AF76" i="11" a="1"/>
  <c r="AF76" i="11" s="1"/>
  <c r="AD76" i="11" a="1"/>
  <c r="AD76" i="11" s="1"/>
  <c r="AB76" i="11" a="1"/>
  <c r="AB76" i="11" s="1"/>
  <c r="Z76" i="11"/>
  <c r="Z76" i="11" a="1"/>
  <c r="X76" i="11" a="1"/>
  <c r="X76" i="11" s="1"/>
  <c r="V76" i="11" a="1"/>
  <c r="V76" i="11" s="1"/>
  <c r="T76" i="11" a="1"/>
  <c r="T76" i="11" s="1"/>
  <c r="R76" i="11" a="1"/>
  <c r="R76" i="11" s="1"/>
  <c r="P76" i="11" a="1"/>
  <c r="P76" i="11" s="1"/>
  <c r="N76" i="11" a="1"/>
  <c r="N76" i="11" s="1"/>
  <c r="L76" i="11" a="1"/>
  <c r="L76" i="11" s="1"/>
  <c r="J76" i="11"/>
  <c r="J76" i="11" a="1"/>
  <c r="H76" i="11" a="1"/>
  <c r="H76" i="11" s="1"/>
  <c r="F76" i="11" a="1"/>
  <c r="F76" i="11" s="1"/>
  <c r="D76" i="11" a="1"/>
  <c r="D76" i="11" s="1"/>
  <c r="B76" i="11" a="1"/>
  <c r="B76" i="11" s="1"/>
  <c r="AV75" i="11" a="1"/>
  <c r="AV75" i="11" s="1"/>
  <c r="AT75" i="11" a="1"/>
  <c r="AT75" i="11" s="1"/>
  <c r="AR75" i="11" a="1"/>
  <c r="AR75" i="11" s="1"/>
  <c r="AP75" i="11"/>
  <c r="AP75" i="11" a="1"/>
  <c r="AN75" i="11" a="1"/>
  <c r="AN75" i="11" s="1"/>
  <c r="AL75" i="11" a="1"/>
  <c r="AL75" i="11" s="1"/>
  <c r="AJ75" i="11" a="1"/>
  <c r="AJ75" i="11" s="1"/>
  <c r="AH75" i="11" a="1"/>
  <c r="AH75" i="11" s="1"/>
  <c r="AF75" i="11" a="1"/>
  <c r="AF75" i="11" s="1"/>
  <c r="AD75" i="11" a="1"/>
  <c r="AD75" i="11" s="1"/>
  <c r="AB75" i="11" a="1"/>
  <c r="AB75" i="11" s="1"/>
  <c r="Z75" i="11"/>
  <c r="Z75" i="11" a="1"/>
  <c r="X75" i="11" a="1"/>
  <c r="X75" i="11" s="1"/>
  <c r="V75" i="11" a="1"/>
  <c r="V75" i="11" s="1"/>
  <c r="T75" i="11" a="1"/>
  <c r="T75" i="11" s="1"/>
  <c r="R75" i="11" a="1"/>
  <c r="R75" i="11" s="1"/>
  <c r="P75" i="11" a="1"/>
  <c r="P75" i="11" s="1"/>
  <c r="N75" i="11" a="1"/>
  <c r="N75" i="11" s="1"/>
  <c r="L75" i="11" a="1"/>
  <c r="L75" i="11" s="1"/>
  <c r="J75" i="11"/>
  <c r="J75" i="11" a="1"/>
  <c r="H75" i="11" a="1"/>
  <c r="H75" i="11" s="1"/>
  <c r="F75" i="11" a="1"/>
  <c r="F75" i="11" s="1"/>
  <c r="D75" i="11" a="1"/>
  <c r="D75" i="11" s="1"/>
  <c r="B75" i="11" a="1"/>
  <c r="B75" i="11" s="1"/>
  <c r="AV74" i="11" a="1"/>
  <c r="AV74" i="11" s="1"/>
  <c r="AT74" i="11" a="1"/>
  <c r="AT74" i="11" s="1"/>
  <c r="AR74" i="11" a="1"/>
  <c r="AR74" i="11" s="1"/>
  <c r="AP74" i="11"/>
  <c r="AP74" i="11" a="1"/>
  <c r="AN74" i="11" a="1"/>
  <c r="AN74" i="11" s="1"/>
  <c r="AL74" i="11" a="1"/>
  <c r="AL74" i="11" s="1"/>
  <c r="AJ74" i="11" a="1"/>
  <c r="AJ74" i="11" s="1"/>
  <c r="AH74" i="11" a="1"/>
  <c r="AH74" i="11" s="1"/>
  <c r="AF74" i="11" a="1"/>
  <c r="AF74" i="11" s="1"/>
  <c r="AD74" i="11" a="1"/>
  <c r="AD74" i="11" s="1"/>
  <c r="AB74" i="11" a="1"/>
  <c r="AB74" i="11" s="1"/>
  <c r="Z74" i="11"/>
  <c r="Z74" i="11" a="1"/>
  <c r="X74" i="11" a="1"/>
  <c r="X74" i="11" s="1"/>
  <c r="V74" i="11" a="1"/>
  <c r="V74" i="11" s="1"/>
  <c r="T74" i="11" a="1"/>
  <c r="T74" i="11" s="1"/>
  <c r="R74" i="11" a="1"/>
  <c r="R74" i="11" s="1"/>
  <c r="P74" i="11" a="1"/>
  <c r="P74" i="11" s="1"/>
  <c r="N74" i="11" a="1"/>
  <c r="N74" i="11" s="1"/>
  <c r="L74" i="11" a="1"/>
  <c r="L74" i="11" s="1"/>
  <c r="J74" i="11"/>
  <c r="J74" i="11" a="1"/>
  <c r="H74" i="11" a="1"/>
  <c r="H74" i="11" s="1"/>
  <c r="F74" i="11" a="1"/>
  <c r="F74" i="11" s="1"/>
  <c r="D74" i="11" a="1"/>
  <c r="D74" i="11" s="1"/>
  <c r="B74" i="11" a="1"/>
  <c r="B74" i="11" s="1"/>
  <c r="AV73" i="11" a="1"/>
  <c r="AV73" i="11" s="1"/>
  <c r="AT73" i="11" a="1"/>
  <c r="AT73" i="11" s="1"/>
  <c r="AR73" i="11" a="1"/>
  <c r="AR73" i="11" s="1"/>
  <c r="AP73" i="11" a="1"/>
  <c r="AP73" i="11" s="1"/>
  <c r="AN73" i="11" a="1"/>
  <c r="AN73" i="11" s="1"/>
  <c r="AL73" i="11" a="1"/>
  <c r="AL73" i="11" s="1"/>
  <c r="AJ73" i="11" a="1"/>
  <c r="AJ73" i="11" s="1"/>
  <c r="AH73" i="11" a="1"/>
  <c r="AH73" i="11" s="1"/>
  <c r="AF73" i="11" a="1"/>
  <c r="AF73" i="11" s="1"/>
  <c r="AD73" i="11" a="1"/>
  <c r="AD73" i="11" s="1"/>
  <c r="AB73" i="11" a="1"/>
  <c r="AB73" i="11" s="1"/>
  <c r="Z73" i="11" a="1"/>
  <c r="Z73" i="11" s="1"/>
  <c r="X73" i="11" a="1"/>
  <c r="X73" i="11" s="1"/>
  <c r="V73" i="11" a="1"/>
  <c r="V73" i="11" s="1"/>
  <c r="T73" i="11" a="1"/>
  <c r="T73" i="11" s="1"/>
  <c r="R73" i="11" a="1"/>
  <c r="R73" i="11" s="1"/>
  <c r="P73" i="11" a="1"/>
  <c r="P73" i="11" s="1"/>
  <c r="N73" i="11" a="1"/>
  <c r="N73" i="11" s="1"/>
  <c r="L73" i="11" a="1"/>
  <c r="L73" i="11" s="1"/>
  <c r="J73" i="11" a="1"/>
  <c r="J73" i="11" s="1"/>
  <c r="H73" i="11" a="1"/>
  <c r="H73" i="11" s="1"/>
  <c r="F73" i="11" a="1"/>
  <c r="F73" i="11" s="1"/>
  <c r="D73" i="11" a="1"/>
  <c r="D73" i="11" s="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B69" i="11"/>
  <c r="AV67" i="11" a="1"/>
  <c r="AV67" i="11" s="1"/>
  <c r="AT67" i="11" a="1"/>
  <c r="AT67" i="11" s="1"/>
  <c r="AR67" i="11" a="1"/>
  <c r="AR67" i="11" s="1"/>
  <c r="AP67" i="11" a="1"/>
  <c r="AP67" i="11" s="1"/>
  <c r="AN67" i="11" a="1"/>
  <c r="AN67" i="11" s="1"/>
  <c r="AL67" i="11" a="1"/>
  <c r="AL67" i="11" s="1"/>
  <c r="AJ67" i="11" a="1"/>
  <c r="AJ67" i="11" s="1"/>
  <c r="AH67" i="11" a="1"/>
  <c r="AH67" i="11" s="1"/>
  <c r="AF67" i="11" a="1"/>
  <c r="AF67" i="11" s="1"/>
  <c r="AD67" i="11" a="1"/>
  <c r="AD67" i="11" s="1"/>
  <c r="AB67" i="11" a="1"/>
  <c r="AB67" i="11" s="1"/>
  <c r="Z67" i="11" a="1"/>
  <c r="Z67" i="11" s="1"/>
  <c r="X67" i="11" a="1"/>
  <c r="X67" i="11" s="1"/>
  <c r="V67" i="11" a="1"/>
  <c r="V67" i="11" s="1"/>
  <c r="T67" i="11" a="1"/>
  <c r="T67" i="11" s="1"/>
  <c r="R67" i="11" a="1"/>
  <c r="R67" i="11" s="1"/>
  <c r="P67" i="11" a="1"/>
  <c r="P67" i="11" s="1"/>
  <c r="N67" i="11" a="1"/>
  <c r="N67" i="11" s="1"/>
  <c r="L67" i="11" a="1"/>
  <c r="L67" i="11" s="1"/>
  <c r="J67" i="11" a="1"/>
  <c r="J67" i="11" s="1"/>
  <c r="H67" i="11" a="1"/>
  <c r="H67" i="11" s="1"/>
  <c r="F67" i="11" a="1"/>
  <c r="F67" i="11" s="1"/>
  <c r="D67" i="11" a="1"/>
  <c r="D67" i="11" s="1"/>
  <c r="B67" i="11" a="1"/>
  <c r="B67" i="11" s="1"/>
  <c r="AV66" i="11" a="1"/>
  <c r="AV66" i="11" s="1"/>
  <c r="AV68" i="11" s="1"/>
  <c r="AT66" i="11" a="1"/>
  <c r="AT66" i="11" s="1"/>
  <c r="AT68" i="11" s="1"/>
  <c r="AR66" i="11" a="1"/>
  <c r="AR66" i="11" s="1"/>
  <c r="AR68" i="11" s="1"/>
  <c r="AP66" i="11" a="1"/>
  <c r="AP66" i="11" s="1"/>
  <c r="AP68" i="11" s="1"/>
  <c r="AN66" i="11" a="1"/>
  <c r="AN66" i="11" s="1"/>
  <c r="AN68" i="11" s="1"/>
  <c r="AL66" i="11" a="1"/>
  <c r="AL66" i="11" s="1"/>
  <c r="AL68" i="11" s="1"/>
  <c r="AJ66" i="11" a="1"/>
  <c r="AJ66" i="11" s="1"/>
  <c r="AJ68" i="11" s="1"/>
  <c r="AH66" i="11" a="1"/>
  <c r="AH66" i="11" s="1"/>
  <c r="AF66" i="11" a="1"/>
  <c r="AF66" i="11" s="1"/>
  <c r="AD66" i="11" a="1"/>
  <c r="AD66" i="11" s="1"/>
  <c r="AB66" i="11" a="1"/>
  <c r="AB66" i="11" s="1"/>
  <c r="Z66" i="11" a="1"/>
  <c r="Z66" i="11" s="1"/>
  <c r="X66" i="11" a="1"/>
  <c r="X66" i="11" s="1"/>
  <c r="V66" i="11" a="1"/>
  <c r="V66" i="11" s="1"/>
  <c r="T66" i="11" a="1"/>
  <c r="T66" i="11" s="1"/>
  <c r="R66" i="11" a="1"/>
  <c r="R66" i="11" s="1"/>
  <c r="R68" i="11" s="1"/>
  <c r="P66" i="11" a="1"/>
  <c r="P66" i="11" s="1"/>
  <c r="P68" i="11" s="1"/>
  <c r="N66" i="11" a="1"/>
  <c r="N66" i="11" s="1"/>
  <c r="N68" i="11" s="1"/>
  <c r="L66" i="11" a="1"/>
  <c r="L66" i="11" s="1"/>
  <c r="L68" i="11" s="1"/>
  <c r="J66" i="11" a="1"/>
  <c r="J66" i="11" s="1"/>
  <c r="J68" i="11" s="1"/>
  <c r="H66" i="11" a="1"/>
  <c r="H66" i="11" s="1"/>
  <c r="H68" i="11" s="1"/>
  <c r="F66" i="11" a="1"/>
  <c r="F66" i="11" s="1"/>
  <c r="F68" i="11" s="1"/>
  <c r="D66" i="11" a="1"/>
  <c r="D66" i="11" s="1"/>
  <c r="D68" i="11" s="1"/>
  <c r="B66" i="11" a="1"/>
  <c r="B66" i="11" s="1"/>
  <c r="AV65" i="11" a="1"/>
  <c r="AV65" i="11" s="1"/>
  <c r="AV69" i="11" s="1"/>
  <c r="AT65" i="11" a="1"/>
  <c r="AT65" i="11" s="1"/>
  <c r="AT69" i="11" s="1"/>
  <c r="AR65" i="11" a="1"/>
  <c r="AR65" i="11" s="1"/>
  <c r="AR69" i="11" s="1"/>
  <c r="AP65" i="11" a="1"/>
  <c r="AP65" i="11" s="1"/>
  <c r="AP69" i="11" s="1"/>
  <c r="AN65" i="11" a="1"/>
  <c r="AN65" i="11" s="1"/>
  <c r="AN69" i="11" s="1"/>
  <c r="AL65" i="11" a="1"/>
  <c r="AL65" i="11" s="1"/>
  <c r="AL69" i="11" s="1"/>
  <c r="AJ65" i="11" a="1"/>
  <c r="AJ65" i="11" s="1"/>
  <c r="AJ69" i="11" s="1"/>
  <c r="AH65" i="11" a="1"/>
  <c r="AH65" i="11" s="1"/>
  <c r="AH69" i="11" s="1"/>
  <c r="AF65" i="11" a="1"/>
  <c r="AF65" i="11" s="1"/>
  <c r="AF69" i="11" s="1"/>
  <c r="AD65" i="11" a="1"/>
  <c r="AD65" i="11" s="1"/>
  <c r="AD69" i="11" s="1"/>
  <c r="AB65" i="11" a="1"/>
  <c r="AB65" i="11" s="1"/>
  <c r="AB69" i="11" s="1"/>
  <c r="Z65" i="11" a="1"/>
  <c r="Z65" i="11" s="1"/>
  <c r="Z69" i="11" s="1"/>
  <c r="X65" i="11" a="1"/>
  <c r="X65" i="11" s="1"/>
  <c r="X69" i="11" s="1"/>
  <c r="V65" i="11" a="1"/>
  <c r="V65" i="11" s="1"/>
  <c r="V69" i="11" s="1"/>
  <c r="T65" i="11" a="1"/>
  <c r="T65" i="11" s="1"/>
  <c r="T69" i="11" s="1"/>
  <c r="R65" i="11" a="1"/>
  <c r="R65" i="11" s="1"/>
  <c r="R69" i="11" s="1"/>
  <c r="P65" i="11" a="1"/>
  <c r="P65" i="11" s="1"/>
  <c r="P69" i="11" s="1"/>
  <c r="N65" i="11" a="1"/>
  <c r="N65" i="11" s="1"/>
  <c r="N69" i="11" s="1"/>
  <c r="L65" i="11" a="1"/>
  <c r="L65" i="11" s="1"/>
  <c r="L69" i="11" s="1"/>
  <c r="J65" i="11" a="1"/>
  <c r="J65" i="11" s="1"/>
  <c r="J69" i="11" s="1"/>
  <c r="H65" i="11" a="1"/>
  <c r="H65" i="11" s="1"/>
  <c r="H69" i="11" s="1"/>
  <c r="F65" i="11" a="1"/>
  <c r="F65" i="11" s="1"/>
  <c r="F69" i="11" s="1"/>
  <c r="D65" i="11" a="1"/>
  <c r="D65" i="11" s="1"/>
  <c r="D69" i="11" s="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c r="AR58" i="11" a="1"/>
  <c r="AP58" i="11"/>
  <c r="AP58" i="11" a="1"/>
  <c r="AN58" i="11" a="1"/>
  <c r="AN58" i="11" s="1"/>
  <c r="AL58" i="11" a="1"/>
  <c r="AL58" i="11" s="1"/>
  <c r="AJ58" i="11"/>
  <c r="AJ58" i="11" a="1"/>
  <c r="AH58" i="11"/>
  <c r="AH58" i="11" a="1"/>
  <c r="AF58" i="11"/>
  <c r="AF58" i="11" a="1"/>
  <c r="AD58" i="11"/>
  <c r="AD58" i="11" a="1"/>
  <c r="AB58" i="11"/>
  <c r="AB58" i="11" a="1"/>
  <c r="Z58" i="11"/>
  <c r="Z58" i="11" a="1"/>
  <c r="X58" i="11" a="1"/>
  <c r="X58" i="11" s="1"/>
  <c r="V58" i="11" a="1"/>
  <c r="V58" i="11" s="1"/>
  <c r="T58" i="11"/>
  <c r="T58" i="11" a="1"/>
  <c r="R58" i="11"/>
  <c r="R58" i="11" a="1"/>
  <c r="P58" i="11"/>
  <c r="P58" i="11" a="1"/>
  <c r="N58" i="11" a="1"/>
  <c r="N58" i="11" s="1"/>
  <c r="L58" i="11"/>
  <c r="L58" i="11" a="1"/>
  <c r="J58" i="11"/>
  <c r="J58" i="11" a="1"/>
  <c r="H58" i="11" a="1"/>
  <c r="H58" i="11" s="1"/>
  <c r="F58" i="11" a="1"/>
  <c r="F58" i="11" s="1"/>
  <c r="D58" i="11"/>
  <c r="D58" i="11" a="1"/>
  <c r="B58" i="11" a="1"/>
  <c r="B58" i="11" s="1"/>
  <c r="AV57" i="11"/>
  <c r="AV57" i="11" a="1"/>
  <c r="AT57" i="11" a="1"/>
  <c r="AT57" i="11" s="1"/>
  <c r="AR57" i="11" a="1"/>
  <c r="AR57" i="11" s="1"/>
  <c r="AP57" i="11"/>
  <c r="AP57" i="11" a="1"/>
  <c r="AN57" i="11" a="1"/>
  <c r="AN57" i="11" s="1"/>
  <c r="AL57" i="11" a="1"/>
  <c r="AL57" i="11" s="1"/>
  <c r="AJ57" i="11"/>
  <c r="AJ57" i="11" a="1"/>
  <c r="AH57" i="11" a="1"/>
  <c r="AH57" i="11" s="1"/>
  <c r="AF57" i="11"/>
  <c r="AF57" i="11" a="1"/>
  <c r="AD57" i="11" a="1"/>
  <c r="AD57" i="11" s="1"/>
  <c r="AB57" i="11" a="1"/>
  <c r="AB57" i="11" s="1"/>
  <c r="Z57" i="11"/>
  <c r="Z57" i="11" a="1"/>
  <c r="X57" i="11" a="1"/>
  <c r="X57" i="11" s="1"/>
  <c r="V57" i="11" a="1"/>
  <c r="V57" i="11" s="1"/>
  <c r="T57" i="11"/>
  <c r="T57" i="11" a="1"/>
  <c r="R57" i="11" a="1"/>
  <c r="R57" i="11" s="1"/>
  <c r="P57" i="11"/>
  <c r="P57" i="11" a="1"/>
  <c r="N57" i="11" a="1"/>
  <c r="N57" i="11" s="1"/>
  <c r="L57" i="11" a="1"/>
  <c r="L57" i="11" s="1"/>
  <c r="J57" i="11"/>
  <c r="J57" i="11" a="1"/>
  <c r="H57" i="11" a="1"/>
  <c r="H57" i="11" s="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N55" i="11"/>
  <c r="AN80" i="11" s="1"/>
  <c r="AL55" i="11"/>
  <c r="AL80" i="11" s="1"/>
  <c r="AJ55" i="11"/>
  <c r="AJ80" i="11" s="1"/>
  <c r="AH55" i="11"/>
  <c r="AF55" i="11"/>
  <c r="AF80" i="11" s="1"/>
  <c r="AD55" i="11"/>
  <c r="AD80" i="11" s="1"/>
  <c r="AB55" i="11"/>
  <c r="AB80" i="11" s="1"/>
  <c r="Z55" i="11"/>
  <c r="Z80" i="11" s="1"/>
  <c r="X55" i="11"/>
  <c r="X80" i="11" s="1"/>
  <c r="V55" i="11"/>
  <c r="T55" i="11"/>
  <c r="T80" i="11" s="1"/>
  <c r="R55" i="11"/>
  <c r="R80" i="11" s="1"/>
  <c r="P55" i="11"/>
  <c r="N55" i="11"/>
  <c r="L55" i="11"/>
  <c r="J55" i="11"/>
  <c r="H55" i="11"/>
  <c r="H80" i="11" s="1"/>
  <c r="F55" i="11"/>
  <c r="F80" i="11" s="1"/>
  <c r="D55" i="11"/>
  <c r="D80" i="11" s="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T81" i="11" s="1"/>
  <c r="AR51" i="11"/>
  <c r="AR81" i="11" s="1"/>
  <c r="AP51" i="11"/>
  <c r="AP81" i="11" s="1"/>
  <c r="AN51" i="11"/>
  <c r="AN81" i="11" s="1"/>
  <c r="AL51" i="11"/>
  <c r="AJ51" i="11"/>
  <c r="AJ81" i="11" s="1"/>
  <c r="AH51" i="11"/>
  <c r="AH81" i="11" s="1"/>
  <c r="AF51" i="11"/>
  <c r="AD51" i="11"/>
  <c r="AB51" i="11"/>
  <c r="Z51" i="11"/>
  <c r="X51" i="11"/>
  <c r="X81" i="11" s="1"/>
  <c r="V51" i="11"/>
  <c r="V81" i="11" s="1"/>
  <c r="T51" i="11"/>
  <c r="T81" i="11" s="1"/>
  <c r="R51" i="11"/>
  <c r="P51" i="11"/>
  <c r="P81" i="11" s="1"/>
  <c r="N51" i="11"/>
  <c r="N81" i="11" s="1"/>
  <c r="L51" i="11"/>
  <c r="L81" i="11" s="1"/>
  <c r="J51" i="11"/>
  <c r="J81" i="11" s="1"/>
  <c r="H51" i="11"/>
  <c r="H81" i="11" s="1"/>
  <c r="F51" i="11"/>
  <c r="D51" i="11"/>
  <c r="D81" i="11" s="1"/>
  <c r="B51" i="11"/>
  <c r="B81" i="11" s="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a="1"/>
  <c r="AT43" i="11" s="1"/>
  <c r="AR43" i="11" a="1"/>
  <c r="AR43" i="11" s="1"/>
  <c r="AP43" i="11"/>
  <c r="AP43" i="11" a="1"/>
  <c r="AN43" i="11" a="1"/>
  <c r="AN43" i="11" s="1"/>
  <c r="AL43" i="11" a="1"/>
  <c r="AL43" i="11" s="1"/>
  <c r="AJ43" i="11"/>
  <c r="AJ43" i="11" a="1"/>
  <c r="AH43" i="11" a="1"/>
  <c r="AH43" i="11" s="1"/>
  <c r="AF43" i="11"/>
  <c r="AF43" i="11" a="1"/>
  <c r="AD43" i="11" a="1"/>
  <c r="AD43" i="11" s="1"/>
  <c r="AB43" i="11" a="1"/>
  <c r="AB43" i="11" s="1"/>
  <c r="Z43" i="11"/>
  <c r="Z43" i="11" a="1"/>
  <c r="X43" i="11" a="1"/>
  <c r="X43" i="11" s="1"/>
  <c r="V43" i="11" a="1"/>
  <c r="V43" i="11" s="1"/>
  <c r="T43" i="11"/>
  <c r="T43" i="11" a="1"/>
  <c r="R43" i="11" a="1"/>
  <c r="R43" i="11" s="1"/>
  <c r="P43" i="11"/>
  <c r="P43" i="11" a="1"/>
  <c r="N43" i="11" a="1"/>
  <c r="N43" i="11" s="1"/>
  <c r="L43" i="11" a="1"/>
  <c r="L43" i="11" s="1"/>
  <c r="J43" i="11"/>
  <c r="J43" i="11" a="1"/>
  <c r="H43" i="11" a="1"/>
  <c r="H43" i="11" s="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AL81" i="24"/>
  <c r="AH81" i="24"/>
  <c r="AF81" i="24"/>
  <c r="AD81" i="24"/>
  <c r="AB81" i="24"/>
  <c r="F81" i="24"/>
  <c r="B81" i="24"/>
  <c r="AV80" i="24"/>
  <c r="AT80" i="24"/>
  <c r="AR80" i="24"/>
  <c r="AP80" i="24"/>
  <c r="AN80" i="24"/>
  <c r="V80" i="24"/>
  <c r="R80" i="24"/>
  <c r="P80" i="24"/>
  <c r="N80" i="24"/>
  <c r="L80" i="24"/>
  <c r="J80" i="24"/>
  <c r="AV79" i="24" a="1"/>
  <c r="AV79" i="24" s="1"/>
  <c r="AT79" i="24"/>
  <c r="AT79" i="24" a="1"/>
  <c r="AR79" i="24" a="1"/>
  <c r="AR79" i="24" s="1"/>
  <c r="AP79" i="24" a="1"/>
  <c r="AP79" i="24" s="1"/>
  <c r="AN79" i="24" a="1"/>
  <c r="AN79" i="24" s="1"/>
  <c r="AL79" i="24" a="1"/>
  <c r="AL79" i="24" s="1"/>
  <c r="AJ79" i="24"/>
  <c r="AJ79" i="24" a="1"/>
  <c r="AH79" i="24"/>
  <c r="AH79" i="24" a="1"/>
  <c r="AF79" i="24" a="1"/>
  <c r="AF79" i="24" s="1"/>
  <c r="AD79" i="24"/>
  <c r="AD79" i="24" a="1"/>
  <c r="AB79" i="24" a="1"/>
  <c r="AB79" i="24" s="1"/>
  <c r="Z79" i="24" a="1"/>
  <c r="Z79" i="24" s="1"/>
  <c r="X79" i="24" a="1"/>
  <c r="X79" i="24" s="1"/>
  <c r="V79" i="24" a="1"/>
  <c r="V79" i="24" s="1"/>
  <c r="T79" i="24"/>
  <c r="T79" i="24" a="1"/>
  <c r="R79" i="24"/>
  <c r="R79" i="24" a="1"/>
  <c r="P79" i="24" a="1"/>
  <c r="P79" i="24" s="1"/>
  <c r="N79" i="24"/>
  <c r="N79" i="24" a="1"/>
  <c r="L79" i="24" a="1"/>
  <c r="L79" i="24" s="1"/>
  <c r="J79" i="24" a="1"/>
  <c r="J79" i="24" s="1"/>
  <c r="H79" i="24" a="1"/>
  <c r="H79" i="24" s="1"/>
  <c r="F79" i="24" a="1"/>
  <c r="F79" i="24" s="1"/>
  <c r="D79" i="24"/>
  <c r="D79" i="24" a="1"/>
  <c r="B79" i="24"/>
  <c r="B79" i="24" a="1"/>
  <c r="AV78" i="24" a="1"/>
  <c r="AV78" i="24" s="1"/>
  <c r="AT78" i="24"/>
  <c r="AT78" i="24" a="1"/>
  <c r="AR78" i="24" a="1"/>
  <c r="AR78" i="24" s="1"/>
  <c r="AP78" i="24" a="1"/>
  <c r="AP78" i="24" s="1"/>
  <c r="AN78" i="24" a="1"/>
  <c r="AN78" i="24" s="1"/>
  <c r="AL78" i="24" a="1"/>
  <c r="AL78" i="24" s="1"/>
  <c r="AJ78" i="24"/>
  <c r="AJ78" i="24" a="1"/>
  <c r="AH78" i="24"/>
  <c r="AH78" i="24" a="1"/>
  <c r="AF78" i="24" a="1"/>
  <c r="AF78" i="24" s="1"/>
  <c r="AD78" i="24"/>
  <c r="AD78" i="24" a="1"/>
  <c r="AB78" i="24" a="1"/>
  <c r="AB78" i="24" s="1"/>
  <c r="Z78" i="24" a="1"/>
  <c r="Z78" i="24" s="1"/>
  <c r="X78" i="24" a="1"/>
  <c r="X78" i="24" s="1"/>
  <c r="V78" i="24" a="1"/>
  <c r="V78" i="24" s="1"/>
  <c r="T78" i="24"/>
  <c r="T78" i="24" a="1"/>
  <c r="R78" i="24"/>
  <c r="R78" i="24" a="1"/>
  <c r="P78" i="24" a="1"/>
  <c r="P78" i="24" s="1"/>
  <c r="N78" i="24"/>
  <c r="N78" i="24" a="1"/>
  <c r="L78" i="24" a="1"/>
  <c r="L78" i="24" s="1"/>
  <c r="J78" i="24" a="1"/>
  <c r="J78" i="24" s="1"/>
  <c r="H78" i="24" a="1"/>
  <c r="H78" i="24" s="1"/>
  <c r="F78" i="24" a="1"/>
  <c r="F78" i="24" s="1"/>
  <c r="D78" i="24"/>
  <c r="D78" i="24" a="1"/>
  <c r="B78" i="24"/>
  <c r="B78" i="24" a="1"/>
  <c r="AV77" i="24" a="1"/>
  <c r="AV77" i="24" s="1"/>
  <c r="AT77" i="24"/>
  <c r="AT77" i="24" a="1"/>
  <c r="AR77" i="24" a="1"/>
  <c r="AR77" i="24" s="1"/>
  <c r="AP77" i="24" a="1"/>
  <c r="AP77" i="24" s="1"/>
  <c r="AN77" i="24" a="1"/>
  <c r="AN77" i="24" s="1"/>
  <c r="AL77" i="24" a="1"/>
  <c r="AL77" i="24" s="1"/>
  <c r="AJ77" i="24"/>
  <c r="AJ77" i="24" a="1"/>
  <c r="AH77" i="24"/>
  <c r="AH77" i="24" a="1"/>
  <c r="AF77" i="24" a="1"/>
  <c r="AF77" i="24" s="1"/>
  <c r="AD77" i="24"/>
  <c r="AD77" i="24" a="1"/>
  <c r="AB77" i="24" a="1"/>
  <c r="AB77" i="24" s="1"/>
  <c r="Z77" i="24" a="1"/>
  <c r="Z77" i="24" s="1"/>
  <c r="X77" i="24" a="1"/>
  <c r="X77" i="24" s="1"/>
  <c r="V77" i="24" a="1"/>
  <c r="V77" i="24" s="1"/>
  <c r="T77" i="24"/>
  <c r="T77" i="24" a="1"/>
  <c r="R77" i="24"/>
  <c r="R77" i="24" a="1"/>
  <c r="P77" i="24" a="1"/>
  <c r="P77" i="24" s="1"/>
  <c r="N77" i="24"/>
  <c r="N77" i="24" a="1"/>
  <c r="L77" i="24" a="1"/>
  <c r="L77" i="24" s="1"/>
  <c r="J77" i="24" a="1"/>
  <c r="J77" i="24" s="1"/>
  <c r="H77" i="24" a="1"/>
  <c r="H77" i="24" s="1"/>
  <c r="F77" i="24" a="1"/>
  <c r="F77" i="24" s="1"/>
  <c r="D77" i="24"/>
  <c r="D77" i="24" a="1"/>
  <c r="B77" i="24"/>
  <c r="B77" i="24" a="1"/>
  <c r="AV76" i="24" a="1"/>
  <c r="AV76" i="24" s="1"/>
  <c r="AT76" i="24"/>
  <c r="AT76" i="24" a="1"/>
  <c r="AR76" i="24" a="1"/>
  <c r="AR76" i="24" s="1"/>
  <c r="AP76" i="24" a="1"/>
  <c r="AP76" i="24" s="1"/>
  <c r="AN76" i="24" a="1"/>
  <c r="AN76" i="24" s="1"/>
  <c r="AL76" i="24" a="1"/>
  <c r="AL76" i="24" s="1"/>
  <c r="AJ76" i="24"/>
  <c r="AJ76" i="24" a="1"/>
  <c r="AH76" i="24"/>
  <c r="AH76" i="24" a="1"/>
  <c r="AF76" i="24" a="1"/>
  <c r="AF76" i="24" s="1"/>
  <c r="AD76" i="24"/>
  <c r="AD76" i="24" a="1"/>
  <c r="AB76" i="24" a="1"/>
  <c r="AB76" i="24" s="1"/>
  <c r="Z76" i="24" a="1"/>
  <c r="Z76" i="24" s="1"/>
  <c r="X76" i="24" a="1"/>
  <c r="X76" i="24" s="1"/>
  <c r="V76" i="24" a="1"/>
  <c r="V76" i="24" s="1"/>
  <c r="T76" i="24"/>
  <c r="T76" i="24" a="1"/>
  <c r="R76" i="24"/>
  <c r="R76" i="24" a="1"/>
  <c r="P76" i="24" a="1"/>
  <c r="P76" i="24" s="1"/>
  <c r="N76" i="24"/>
  <c r="N76" i="24" a="1"/>
  <c r="L76" i="24" a="1"/>
  <c r="L76" i="24" s="1"/>
  <c r="J76" i="24" a="1"/>
  <c r="J76" i="24" s="1"/>
  <c r="H76" i="24" a="1"/>
  <c r="H76" i="24" s="1"/>
  <c r="F76" i="24" a="1"/>
  <c r="F76" i="24" s="1"/>
  <c r="D76" i="24"/>
  <c r="D76" i="24" a="1"/>
  <c r="B76" i="24"/>
  <c r="B76" i="24" a="1"/>
  <c r="AV75" i="24" a="1"/>
  <c r="AV75" i="24" s="1"/>
  <c r="AT75" i="24"/>
  <c r="AT75" i="24" a="1"/>
  <c r="AR75" i="24" a="1"/>
  <c r="AR75" i="24" s="1"/>
  <c r="AP75" i="24" a="1"/>
  <c r="AP75" i="24" s="1"/>
  <c r="AN75" i="24" a="1"/>
  <c r="AN75" i="24" s="1"/>
  <c r="AL75" i="24" a="1"/>
  <c r="AL75" i="24" s="1"/>
  <c r="AJ75" i="24"/>
  <c r="AJ75" i="24" a="1"/>
  <c r="AH75" i="24"/>
  <c r="AH75" i="24" a="1"/>
  <c r="AF75" i="24" a="1"/>
  <c r="AF75" i="24" s="1"/>
  <c r="AD75" i="24"/>
  <c r="AD75" i="24" a="1"/>
  <c r="AB75" i="24" a="1"/>
  <c r="AB75" i="24" s="1"/>
  <c r="Z75" i="24" a="1"/>
  <c r="Z75" i="24" s="1"/>
  <c r="X75" i="24" a="1"/>
  <c r="X75" i="24" s="1"/>
  <c r="V75" i="24" a="1"/>
  <c r="V75" i="24" s="1"/>
  <c r="T75" i="24"/>
  <c r="T75" i="24" a="1"/>
  <c r="R75" i="24"/>
  <c r="R75" i="24" a="1"/>
  <c r="P75" i="24" a="1"/>
  <c r="P75" i="24" s="1"/>
  <c r="N75" i="24"/>
  <c r="N75" i="24" a="1"/>
  <c r="L75" i="24" a="1"/>
  <c r="L75" i="24" s="1"/>
  <c r="J75" i="24" a="1"/>
  <c r="J75" i="24" s="1"/>
  <c r="H75" i="24" a="1"/>
  <c r="H75" i="24" s="1"/>
  <c r="F75" i="24" a="1"/>
  <c r="F75" i="24" s="1"/>
  <c r="D75" i="24"/>
  <c r="D75" i="24" a="1"/>
  <c r="B75" i="24" a="1"/>
  <c r="B75" i="24" s="1"/>
  <c r="AV74" i="24" a="1"/>
  <c r="AV74" i="24" s="1"/>
  <c r="AT74" i="24"/>
  <c r="AT74" i="24" a="1"/>
  <c r="AR74" i="24" a="1"/>
  <c r="AR74" i="24" s="1"/>
  <c r="AP74" i="24" a="1"/>
  <c r="AP74" i="24" s="1"/>
  <c r="AN74" i="24" a="1"/>
  <c r="AN74" i="24" s="1"/>
  <c r="AL74" i="24" a="1"/>
  <c r="AL74" i="24" s="1"/>
  <c r="AJ74" i="24"/>
  <c r="AJ74" i="24" a="1"/>
  <c r="AH74" i="24" a="1"/>
  <c r="AH74" i="24" s="1"/>
  <c r="AF74" i="24" a="1"/>
  <c r="AF74" i="24" s="1"/>
  <c r="AD74" i="24"/>
  <c r="AD74" i="24" a="1"/>
  <c r="AB74" i="24" a="1"/>
  <c r="AB74" i="24" s="1"/>
  <c r="Z74" i="24" a="1"/>
  <c r="Z74" i="24" s="1"/>
  <c r="X74" i="24" a="1"/>
  <c r="X74" i="24" s="1"/>
  <c r="V74" i="24" a="1"/>
  <c r="V74" i="24" s="1"/>
  <c r="T74" i="24"/>
  <c r="T74" i="24" a="1"/>
  <c r="R74" i="24" a="1"/>
  <c r="R74" i="24" s="1"/>
  <c r="P74" i="24" a="1"/>
  <c r="P74" i="24" s="1"/>
  <c r="N74" i="24"/>
  <c r="N74" i="24" a="1"/>
  <c r="L74" i="24" a="1"/>
  <c r="L74" i="24" s="1"/>
  <c r="J74" i="24" a="1"/>
  <c r="J74" i="24" s="1"/>
  <c r="H74" i="24" a="1"/>
  <c r="H74" i="24" s="1"/>
  <c r="F74" i="24" a="1"/>
  <c r="F74" i="24" s="1"/>
  <c r="D74" i="24"/>
  <c r="D74" i="24" a="1"/>
  <c r="B74" i="24" a="1"/>
  <c r="B74" i="24" s="1"/>
  <c r="AV73" i="24" a="1"/>
  <c r="AV73" i="24" s="1"/>
  <c r="AT73" i="24"/>
  <c r="AT73" i="24" a="1"/>
  <c r="AR73" i="24" a="1"/>
  <c r="AR73" i="24" s="1"/>
  <c r="AP73" i="24" a="1"/>
  <c r="AP73" i="24" s="1"/>
  <c r="AN73" i="24" a="1"/>
  <c r="AN73" i="24" s="1"/>
  <c r="AL73" i="24" a="1"/>
  <c r="AL73" i="24" s="1"/>
  <c r="AJ73" i="24"/>
  <c r="AJ73" i="24" a="1"/>
  <c r="AH73" i="24" a="1"/>
  <c r="AH73" i="24" s="1"/>
  <c r="AF73" i="24" a="1"/>
  <c r="AF73" i="24" s="1"/>
  <c r="AD73" i="24"/>
  <c r="AD73" i="24" a="1"/>
  <c r="AB73" i="24" a="1"/>
  <c r="AB73" i="24" s="1"/>
  <c r="Z73" i="24" a="1"/>
  <c r="Z73" i="24" s="1"/>
  <c r="X73" i="24" a="1"/>
  <c r="X73" i="24" s="1"/>
  <c r="V73" i="24" a="1"/>
  <c r="V73" i="24" s="1"/>
  <c r="T73" i="24"/>
  <c r="T73" i="24" a="1"/>
  <c r="R73" i="24" a="1"/>
  <c r="R73" i="24" s="1"/>
  <c r="P73" i="24" a="1"/>
  <c r="P73" i="24" s="1"/>
  <c r="N73" i="24"/>
  <c r="N73" i="24" a="1"/>
  <c r="L73" i="24" a="1"/>
  <c r="L73" i="24" s="1"/>
  <c r="J73" i="24" a="1"/>
  <c r="J73" i="24" s="1"/>
  <c r="H73" i="24" a="1"/>
  <c r="H73" i="24" s="1"/>
  <c r="F73" i="24" a="1"/>
  <c r="F73" i="24" s="1"/>
  <c r="D73" i="24"/>
  <c r="D73" i="24" a="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B69" i="24"/>
  <c r="AB68" i="24"/>
  <c r="X68" i="24"/>
  <c r="AV67" i="24" a="1"/>
  <c r="AV67" i="24" s="1"/>
  <c r="AT67" i="24" a="1"/>
  <c r="AT67" i="24" s="1"/>
  <c r="AR67" i="24"/>
  <c r="AR67" i="24" a="1"/>
  <c r="AP67" i="24" a="1"/>
  <c r="AP67" i="24" s="1"/>
  <c r="AN67" i="24" a="1"/>
  <c r="AN67" i="24" s="1"/>
  <c r="AL67" i="24"/>
  <c r="AL67" i="24" a="1"/>
  <c r="AJ67" i="24" a="1"/>
  <c r="AJ67" i="24" s="1"/>
  <c r="AH67" i="24" a="1"/>
  <c r="AH67" i="24" s="1"/>
  <c r="AF67" i="24" a="1"/>
  <c r="AF67" i="24" s="1"/>
  <c r="AD67" i="24" a="1"/>
  <c r="AD67" i="24" s="1"/>
  <c r="AB67" i="24"/>
  <c r="AB67" i="24" a="1"/>
  <c r="Z67" i="24" a="1"/>
  <c r="Z67" i="24" s="1"/>
  <c r="X67" i="24" a="1"/>
  <c r="X67" i="24" s="1"/>
  <c r="V67" i="24"/>
  <c r="V67" i="24" a="1"/>
  <c r="T67" i="24" a="1"/>
  <c r="T67" i="24" s="1"/>
  <c r="R67" i="24" a="1"/>
  <c r="R67" i="24" s="1"/>
  <c r="P67" i="24" a="1"/>
  <c r="P67" i="24" s="1"/>
  <c r="N67" i="24" a="1"/>
  <c r="N67" i="24" s="1"/>
  <c r="L67" i="24"/>
  <c r="L67" i="24" a="1"/>
  <c r="J67" i="24" a="1"/>
  <c r="J67" i="24" s="1"/>
  <c r="H67" i="24" a="1"/>
  <c r="H67" i="24" s="1"/>
  <c r="F67" i="24"/>
  <c r="F67" i="24" a="1"/>
  <c r="D67" i="24" a="1"/>
  <c r="D67" i="24" s="1"/>
  <c r="B67" i="24" a="1"/>
  <c r="B67" i="24" s="1"/>
  <c r="AV66" i="24" a="1"/>
  <c r="AV66" i="24" s="1"/>
  <c r="AT66" i="24" a="1"/>
  <c r="AT66" i="24" s="1"/>
  <c r="AT68" i="24" s="1"/>
  <c r="AR66" i="24"/>
  <c r="AR68" i="24" s="1"/>
  <c r="AR66" i="24" a="1"/>
  <c r="AP66" i="24" a="1"/>
  <c r="AP66" i="24" s="1"/>
  <c r="AP68" i="24" s="1"/>
  <c r="AN66" i="24" a="1"/>
  <c r="AN66" i="24" s="1"/>
  <c r="AL66" i="24" a="1"/>
  <c r="AL66" i="24" s="1"/>
  <c r="AL68" i="24" s="1"/>
  <c r="AJ66" i="24" a="1"/>
  <c r="AJ66" i="24" s="1"/>
  <c r="AJ68" i="24" s="1"/>
  <c r="AH66" i="24" a="1"/>
  <c r="AH66" i="24" s="1"/>
  <c r="AH68" i="24" s="1"/>
  <c r="AF66" i="24" a="1"/>
  <c r="AF66" i="24" s="1"/>
  <c r="AF68" i="24" s="1"/>
  <c r="AD66" i="24" a="1"/>
  <c r="AD66" i="24" s="1"/>
  <c r="AD68" i="24" s="1"/>
  <c r="AB66" i="24"/>
  <c r="AB66" i="24" a="1"/>
  <c r="Z66" i="24" a="1"/>
  <c r="Z66" i="24" s="1"/>
  <c r="Z68" i="24" s="1"/>
  <c r="X66" i="24" a="1"/>
  <c r="X66" i="24" s="1"/>
  <c r="V66" i="24" a="1"/>
  <c r="V66" i="24" s="1"/>
  <c r="V68" i="24" s="1"/>
  <c r="T66" i="24" a="1"/>
  <c r="T66" i="24" s="1"/>
  <c r="R66" i="24" a="1"/>
  <c r="R66" i="24" s="1"/>
  <c r="P66" i="24" a="1"/>
  <c r="P66" i="24" s="1"/>
  <c r="N66" i="24"/>
  <c r="N66" i="24" a="1"/>
  <c r="L66" i="24"/>
  <c r="L66" i="24" a="1"/>
  <c r="J66" i="24" a="1"/>
  <c r="J66" i="24" s="1"/>
  <c r="J68" i="24" s="1"/>
  <c r="H66" i="24" a="1"/>
  <c r="H66" i="24" s="1"/>
  <c r="F66" i="24" a="1"/>
  <c r="F66" i="24" s="1"/>
  <c r="F68" i="24" s="1"/>
  <c r="D66" i="24" a="1"/>
  <c r="D66" i="24" s="1"/>
  <c r="B66" i="24" a="1"/>
  <c r="B66" i="24" s="1"/>
  <c r="AV65" i="24" a="1"/>
  <c r="AV65" i="24" s="1"/>
  <c r="AV69" i="24" s="1"/>
  <c r="AT65" i="24" a="1"/>
  <c r="AT65" i="24" s="1"/>
  <c r="AT69" i="24" s="1"/>
  <c r="AR65" i="24"/>
  <c r="AR65" i="24" a="1"/>
  <c r="AP65" i="24" a="1"/>
  <c r="AP65" i="24" s="1"/>
  <c r="AP69" i="24" s="1"/>
  <c r="AN65" i="24" a="1"/>
  <c r="AN65" i="24" s="1"/>
  <c r="AN69" i="24" s="1"/>
  <c r="AL65" i="24" a="1"/>
  <c r="AL65" i="24" s="1"/>
  <c r="AL69" i="24" s="1"/>
  <c r="AJ65" i="24" a="1"/>
  <c r="AJ65" i="24" s="1"/>
  <c r="AJ69" i="24" s="1"/>
  <c r="AH65" i="24" a="1"/>
  <c r="AH65" i="24" s="1"/>
  <c r="AH69" i="24" s="1"/>
  <c r="AF65" i="24" a="1"/>
  <c r="AF65" i="24" s="1"/>
  <c r="AF69" i="24" s="1"/>
  <c r="AD65" i="24"/>
  <c r="AD69" i="24" s="1"/>
  <c r="AD65" i="24" a="1"/>
  <c r="AB65" i="24"/>
  <c r="AB69" i="24" s="1"/>
  <c r="AB65" i="24" a="1"/>
  <c r="Z65" i="24" a="1"/>
  <c r="Z65" i="24" s="1"/>
  <c r="Z69" i="24" s="1"/>
  <c r="X65" i="24" a="1"/>
  <c r="X65" i="24" s="1"/>
  <c r="X69" i="24" s="1"/>
  <c r="V65" i="24" a="1"/>
  <c r="V65" i="24" s="1"/>
  <c r="V69" i="24" s="1"/>
  <c r="T65" i="24" a="1"/>
  <c r="T65" i="24" s="1"/>
  <c r="T69" i="24" s="1"/>
  <c r="R65" i="24" a="1"/>
  <c r="R65" i="24" s="1"/>
  <c r="R69" i="24" s="1"/>
  <c r="P65" i="24" a="1"/>
  <c r="P65" i="24" s="1"/>
  <c r="P69" i="24" s="1"/>
  <c r="N65" i="24" a="1"/>
  <c r="N65" i="24" s="1"/>
  <c r="N69" i="24" s="1"/>
  <c r="L65" i="24"/>
  <c r="L69" i="24" s="1"/>
  <c r="L65" i="24" a="1"/>
  <c r="J65" i="24" a="1"/>
  <c r="J65" i="24" s="1"/>
  <c r="J69" i="24" s="1"/>
  <c r="H65" i="24" a="1"/>
  <c r="H65" i="24" s="1"/>
  <c r="H69" i="24" s="1"/>
  <c r="F65" i="24" a="1"/>
  <c r="F65" i="24" s="1"/>
  <c r="F69" i="24" s="1"/>
  <c r="D65" i="24" a="1"/>
  <c r="D65" i="24" s="1"/>
  <c r="D69" i="24" s="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c r="AR58" i="24" a="1"/>
  <c r="AP58" i="24"/>
  <c r="AP58" i="24" a="1"/>
  <c r="AN58" i="24" a="1"/>
  <c r="AN58" i="24" s="1"/>
  <c r="AL58" i="24" a="1"/>
  <c r="AL58" i="24" s="1"/>
  <c r="AJ58" i="24" a="1"/>
  <c r="AJ58" i="24" s="1"/>
  <c r="AH58" i="24"/>
  <c r="AH58" i="24" a="1"/>
  <c r="AF58" i="24"/>
  <c r="AF58" i="24" a="1"/>
  <c r="AD58" i="24" a="1"/>
  <c r="AD58" i="24" s="1"/>
  <c r="AB58" i="24"/>
  <c r="AB58" i="24" a="1"/>
  <c r="Z58" i="24"/>
  <c r="Z58" i="24" a="1"/>
  <c r="X58" i="24" a="1"/>
  <c r="X58" i="24" s="1"/>
  <c r="V58" i="24" a="1"/>
  <c r="V58" i="24" s="1"/>
  <c r="T58" i="24" a="1"/>
  <c r="T58" i="24" s="1"/>
  <c r="R58" i="24"/>
  <c r="R58" i="24" a="1"/>
  <c r="P58" i="24"/>
  <c r="P58" i="24" a="1"/>
  <c r="N58" i="24" a="1"/>
  <c r="N58" i="24" s="1"/>
  <c r="L58" i="24"/>
  <c r="L58" i="24" a="1"/>
  <c r="J58" i="24"/>
  <c r="J58" i="24" a="1"/>
  <c r="H58" i="24" a="1"/>
  <c r="H58" i="24" s="1"/>
  <c r="F58" i="24" a="1"/>
  <c r="F58" i="24" s="1"/>
  <c r="D58" i="24" a="1"/>
  <c r="D58" i="24" s="1"/>
  <c r="B58" i="24"/>
  <c r="B58" i="24" a="1"/>
  <c r="AV57" i="24"/>
  <c r="AV57" i="24" a="1"/>
  <c r="AT57" i="24" a="1"/>
  <c r="AT57" i="24" s="1"/>
  <c r="AR57" i="24"/>
  <c r="AR57" i="24" a="1"/>
  <c r="AP57" i="24"/>
  <c r="AP57" i="24" a="1"/>
  <c r="AN57" i="24" a="1"/>
  <c r="AN57" i="24" s="1"/>
  <c r="AL57" i="24" a="1"/>
  <c r="AL57" i="24" s="1"/>
  <c r="AJ57" i="24" a="1"/>
  <c r="AJ57" i="24" s="1"/>
  <c r="AH57" i="24"/>
  <c r="AH57" i="24" a="1"/>
  <c r="AF57" i="24"/>
  <c r="AF57" i="24" a="1"/>
  <c r="AD57" i="24" a="1"/>
  <c r="AD57" i="24" s="1"/>
  <c r="AB57" i="24"/>
  <c r="AB57" i="24" a="1"/>
  <c r="Z57" i="24"/>
  <c r="Z57" i="24" a="1"/>
  <c r="X57" i="24" a="1"/>
  <c r="X57" i="24" s="1"/>
  <c r="V57" i="24" a="1"/>
  <c r="V57" i="24" s="1"/>
  <c r="T57" i="24" a="1"/>
  <c r="T57" i="24" s="1"/>
  <c r="R57" i="24"/>
  <c r="R57" i="24" a="1"/>
  <c r="P57" i="24"/>
  <c r="P57" i="24" a="1"/>
  <c r="N57" i="24" a="1"/>
  <c r="N57" i="24" s="1"/>
  <c r="L57" i="24"/>
  <c r="L57" i="24" a="1"/>
  <c r="J57" i="24"/>
  <c r="J57" i="24" a="1"/>
  <c r="H57" i="24" a="1"/>
  <c r="H57" i="24" s="1"/>
  <c r="F57" i="24" a="1"/>
  <c r="F57" i="24" s="1"/>
  <c r="D57" i="24"/>
  <c r="D57" i="24" a="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N55" i="24"/>
  <c r="AL55" i="24"/>
  <c r="AL80" i="24" s="1"/>
  <c r="AJ55" i="24"/>
  <c r="AJ80" i="24" s="1"/>
  <c r="AH55" i="24"/>
  <c r="AH80" i="24" s="1"/>
  <c r="AF55" i="24"/>
  <c r="AF80" i="24" s="1"/>
  <c r="AD55" i="24"/>
  <c r="AD80" i="24" s="1"/>
  <c r="AB55" i="24"/>
  <c r="AB80" i="24" s="1"/>
  <c r="Z55" i="24"/>
  <c r="Z80" i="24" s="1"/>
  <c r="X55" i="24"/>
  <c r="X80" i="24" s="1"/>
  <c r="V55" i="24"/>
  <c r="T55" i="24"/>
  <c r="T80" i="24" s="1"/>
  <c r="R55" i="24"/>
  <c r="P55" i="24"/>
  <c r="N55" i="24"/>
  <c r="L55" i="24"/>
  <c r="J55" i="24"/>
  <c r="H55" i="24"/>
  <c r="H80" i="24" s="1"/>
  <c r="F55" i="24"/>
  <c r="F80" i="24" s="1"/>
  <c r="D55" i="24"/>
  <c r="D80" i="24" s="1"/>
  <c r="B55" i="24"/>
  <c r="B80" i="24" s="1"/>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N81" i="24" s="1"/>
  <c r="AL51" i="24"/>
  <c r="AJ51" i="24"/>
  <c r="AJ81" i="24" s="1"/>
  <c r="AH51" i="24"/>
  <c r="AF51" i="24"/>
  <c r="AD51" i="24"/>
  <c r="AB51" i="24"/>
  <c r="Z51" i="24"/>
  <c r="Z81" i="24" s="1"/>
  <c r="X51" i="24"/>
  <c r="X81" i="24" s="1"/>
  <c r="V51" i="24"/>
  <c r="V81" i="24" s="1"/>
  <c r="T51" i="24"/>
  <c r="T81" i="24" s="1"/>
  <c r="R51" i="24"/>
  <c r="R81" i="24" s="1"/>
  <c r="P51" i="24"/>
  <c r="P81" i="24" s="1"/>
  <c r="N51" i="24"/>
  <c r="N81" i="24" s="1"/>
  <c r="L51" i="24"/>
  <c r="L81" i="24" s="1"/>
  <c r="J51" i="24"/>
  <c r="J81" i="24" s="1"/>
  <c r="H51" i="24"/>
  <c r="H81" i="24" s="1"/>
  <c r="F51" i="24"/>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c r="AR43" i="24" a="1"/>
  <c r="AP43" i="24"/>
  <c r="AP43" i="24" a="1"/>
  <c r="AN43" i="24" a="1"/>
  <c r="AN43" i="24" s="1"/>
  <c r="AL43" i="24" a="1"/>
  <c r="AL43" i="24" s="1"/>
  <c r="AJ43" i="24"/>
  <c r="AJ43" i="24" a="1"/>
  <c r="AH43" i="24"/>
  <c r="AH43" i="24" a="1"/>
  <c r="AF43" i="24"/>
  <c r="AF43" i="24" a="1"/>
  <c r="AD43" i="24" a="1"/>
  <c r="AD43" i="24" s="1"/>
  <c r="AB43" i="24"/>
  <c r="AB43" i="24" a="1"/>
  <c r="Z43" i="24"/>
  <c r="Z43" i="24" a="1"/>
  <c r="X43" i="24" a="1"/>
  <c r="X43" i="24" s="1"/>
  <c r="V43" i="24" a="1"/>
  <c r="V43" i="24" s="1"/>
  <c r="T43" i="24" a="1"/>
  <c r="T43" i="24" s="1"/>
  <c r="R43" i="24"/>
  <c r="R43" i="24" a="1"/>
  <c r="P43" i="24"/>
  <c r="P43" i="24" a="1"/>
  <c r="N43" i="24" a="1"/>
  <c r="N43" i="24" s="1"/>
  <c r="L43" i="24"/>
  <c r="L43" i="24" a="1"/>
  <c r="J43" i="24"/>
  <c r="J43" i="24" a="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L81" i="18"/>
  <c r="AB81" i="18"/>
  <c r="Z81" i="18"/>
  <c r="X81" i="18"/>
  <c r="T81" i="18"/>
  <c r="R81" i="18"/>
  <c r="F81" i="18"/>
  <c r="AR80" i="18"/>
  <c r="AP80" i="18"/>
  <c r="AN80" i="18"/>
  <c r="AJ80" i="18"/>
  <c r="AH80" i="18"/>
  <c r="V80" i="18"/>
  <c r="L80" i="18"/>
  <c r="J80" i="18"/>
  <c r="H80" i="18"/>
  <c r="D80" i="18"/>
  <c r="B80" i="18"/>
  <c r="AV79" i="18" a="1"/>
  <c r="AV79" i="18" s="1"/>
  <c r="AT79" i="18" a="1"/>
  <c r="AT79" i="18" s="1"/>
  <c r="AR79" i="18" a="1"/>
  <c r="AR79" i="18" s="1"/>
  <c r="AP79" i="18"/>
  <c r="AP79" i="18" a="1"/>
  <c r="AN79" i="18" a="1"/>
  <c r="AN79" i="18" s="1"/>
  <c r="AL79" i="18" a="1"/>
  <c r="AL79" i="18" s="1"/>
  <c r="AJ79" i="18"/>
  <c r="AJ79" i="18" a="1"/>
  <c r="AH79" i="18" a="1"/>
  <c r="AH79" i="18" s="1"/>
  <c r="AF79" i="18" a="1"/>
  <c r="AF79" i="18" s="1"/>
  <c r="AD79" i="18" a="1"/>
  <c r="AD79" i="18" s="1"/>
  <c r="AB79" i="18" a="1"/>
  <c r="AB79" i="18" s="1"/>
  <c r="Z79" i="18"/>
  <c r="Z79" i="18" a="1"/>
  <c r="X79" i="18" a="1"/>
  <c r="X79" i="18" s="1"/>
  <c r="V79" i="18" a="1"/>
  <c r="V79" i="18" s="1"/>
  <c r="T79" i="18"/>
  <c r="T79" i="18" a="1"/>
  <c r="R79" i="18" a="1"/>
  <c r="R79" i="18" s="1"/>
  <c r="P79" i="18" a="1"/>
  <c r="P79" i="18" s="1"/>
  <c r="N79" i="18" a="1"/>
  <c r="N79" i="18" s="1"/>
  <c r="L79" i="18" a="1"/>
  <c r="L79" i="18" s="1"/>
  <c r="J79" i="18"/>
  <c r="J79" i="18" a="1"/>
  <c r="H79" i="18" a="1"/>
  <c r="H79" i="18" s="1"/>
  <c r="F79" i="18" a="1"/>
  <c r="F79" i="18" s="1"/>
  <c r="D79" i="18"/>
  <c r="D79" i="18" a="1"/>
  <c r="B79" i="18" a="1"/>
  <c r="B79" i="18" s="1"/>
  <c r="AV78" i="18" a="1"/>
  <c r="AV78" i="18" s="1"/>
  <c r="AT78" i="18" a="1"/>
  <c r="AT78" i="18" s="1"/>
  <c r="AR78" i="18" a="1"/>
  <c r="AR78" i="18" s="1"/>
  <c r="AP78" i="18"/>
  <c r="AP78" i="18" a="1"/>
  <c r="AN78" i="18" a="1"/>
  <c r="AN78" i="18" s="1"/>
  <c r="AL78" i="18" a="1"/>
  <c r="AL78" i="18" s="1"/>
  <c r="AJ78" i="18"/>
  <c r="AJ78" i="18" a="1"/>
  <c r="AH78" i="18" a="1"/>
  <c r="AH78" i="18" s="1"/>
  <c r="AF78" i="18" a="1"/>
  <c r="AF78" i="18" s="1"/>
  <c r="AD78" i="18" a="1"/>
  <c r="AD78" i="18" s="1"/>
  <c r="AB78" i="18" a="1"/>
  <c r="AB78" i="18" s="1"/>
  <c r="Z78" i="18"/>
  <c r="Z78" i="18" a="1"/>
  <c r="X78" i="18" a="1"/>
  <c r="X78" i="18" s="1"/>
  <c r="V78" i="18" a="1"/>
  <c r="V78" i="18" s="1"/>
  <c r="T78" i="18"/>
  <c r="T78" i="18" a="1"/>
  <c r="R78" i="18" a="1"/>
  <c r="R78" i="18" s="1"/>
  <c r="P78" i="18" a="1"/>
  <c r="P78" i="18" s="1"/>
  <c r="N78" i="18" a="1"/>
  <c r="N78" i="18" s="1"/>
  <c r="L78" i="18" a="1"/>
  <c r="L78" i="18" s="1"/>
  <c r="J78" i="18"/>
  <c r="J78" i="18" a="1"/>
  <c r="H78" i="18" a="1"/>
  <c r="H78" i="18" s="1"/>
  <c r="F78" i="18" a="1"/>
  <c r="F78" i="18" s="1"/>
  <c r="D78" i="18"/>
  <c r="D78" i="18" a="1"/>
  <c r="B78" i="18" a="1"/>
  <c r="B78" i="18" s="1"/>
  <c r="AV77" i="18" a="1"/>
  <c r="AV77" i="18" s="1"/>
  <c r="AT77" i="18" a="1"/>
  <c r="AT77" i="18" s="1"/>
  <c r="AR77" i="18" a="1"/>
  <c r="AR77" i="18" s="1"/>
  <c r="AP77" i="18"/>
  <c r="AP77" i="18" a="1"/>
  <c r="AN77" i="18" a="1"/>
  <c r="AN77" i="18" s="1"/>
  <c r="AL77" i="18" a="1"/>
  <c r="AL77" i="18" s="1"/>
  <c r="AJ77" i="18"/>
  <c r="AJ77" i="18" a="1"/>
  <c r="AH77" i="18" a="1"/>
  <c r="AH77" i="18" s="1"/>
  <c r="AF77" i="18" a="1"/>
  <c r="AF77" i="18" s="1"/>
  <c r="AD77" i="18" a="1"/>
  <c r="AD77" i="18" s="1"/>
  <c r="AB77" i="18" a="1"/>
  <c r="AB77" i="18" s="1"/>
  <c r="Z77" i="18"/>
  <c r="Z77" i="18" a="1"/>
  <c r="X77" i="18" a="1"/>
  <c r="X77" i="18" s="1"/>
  <c r="V77" i="18" a="1"/>
  <c r="V77" i="18" s="1"/>
  <c r="T77" i="18"/>
  <c r="T77" i="18" a="1"/>
  <c r="R77" i="18" a="1"/>
  <c r="R77" i="18" s="1"/>
  <c r="P77" i="18" a="1"/>
  <c r="P77" i="18" s="1"/>
  <c r="N77" i="18" a="1"/>
  <c r="N77" i="18" s="1"/>
  <c r="L77" i="18" a="1"/>
  <c r="L77" i="18" s="1"/>
  <c r="J77" i="18"/>
  <c r="J77" i="18" a="1"/>
  <c r="H77" i="18" a="1"/>
  <c r="H77" i="18" s="1"/>
  <c r="F77" i="18" a="1"/>
  <c r="F77" i="18" s="1"/>
  <c r="D77" i="18"/>
  <c r="D77" i="18" a="1"/>
  <c r="B77" i="18" a="1"/>
  <c r="B77" i="18" s="1"/>
  <c r="AV76" i="18" a="1"/>
  <c r="AV76" i="18" s="1"/>
  <c r="AT76" i="18" a="1"/>
  <c r="AT76" i="18" s="1"/>
  <c r="AR76" i="18" a="1"/>
  <c r="AR76" i="18" s="1"/>
  <c r="AP76" i="18"/>
  <c r="AP76" i="18" a="1"/>
  <c r="AN76" i="18" a="1"/>
  <c r="AN76" i="18" s="1"/>
  <c r="AL76" i="18" a="1"/>
  <c r="AL76" i="18" s="1"/>
  <c r="AJ76" i="18"/>
  <c r="AJ76" i="18" a="1"/>
  <c r="AH76" i="18" a="1"/>
  <c r="AH76" i="18" s="1"/>
  <c r="AF76" i="18" a="1"/>
  <c r="AF76" i="18" s="1"/>
  <c r="AD76" i="18" a="1"/>
  <c r="AD76" i="18" s="1"/>
  <c r="AB76" i="18" a="1"/>
  <c r="AB76" i="18" s="1"/>
  <c r="Z76" i="18"/>
  <c r="Z76" i="18" a="1"/>
  <c r="X76" i="18" a="1"/>
  <c r="X76" i="18" s="1"/>
  <c r="V76" i="18" a="1"/>
  <c r="V76" i="18" s="1"/>
  <c r="T76" i="18"/>
  <c r="T76" i="18" a="1"/>
  <c r="R76" i="18" a="1"/>
  <c r="R76" i="18" s="1"/>
  <c r="P76" i="18" a="1"/>
  <c r="P76" i="18" s="1"/>
  <c r="N76" i="18" a="1"/>
  <c r="N76" i="18" s="1"/>
  <c r="L76" i="18" a="1"/>
  <c r="L76" i="18" s="1"/>
  <c r="J76" i="18"/>
  <c r="J76" i="18" a="1"/>
  <c r="H76" i="18" a="1"/>
  <c r="H76" i="18" s="1"/>
  <c r="F76" i="18" a="1"/>
  <c r="F76" i="18" s="1"/>
  <c r="D76" i="18"/>
  <c r="D76" i="18" a="1"/>
  <c r="B76" i="18" a="1"/>
  <c r="B76" i="18" s="1"/>
  <c r="AV75" i="18" a="1"/>
  <c r="AV75" i="18" s="1"/>
  <c r="AT75" i="18" a="1"/>
  <c r="AT75" i="18" s="1"/>
  <c r="AR75" i="18" a="1"/>
  <c r="AR75" i="18" s="1"/>
  <c r="AP75" i="18"/>
  <c r="AP75" i="18" a="1"/>
  <c r="AN75" i="18" a="1"/>
  <c r="AN75" i="18" s="1"/>
  <c r="AL75" i="18" a="1"/>
  <c r="AL75" i="18" s="1"/>
  <c r="AJ75" i="18"/>
  <c r="AJ75" i="18" a="1"/>
  <c r="AH75" i="18" a="1"/>
  <c r="AH75" i="18" s="1"/>
  <c r="AF75" i="18" a="1"/>
  <c r="AF75" i="18" s="1"/>
  <c r="AD75" i="18" a="1"/>
  <c r="AD75" i="18" s="1"/>
  <c r="AB75" i="18" a="1"/>
  <c r="AB75" i="18" s="1"/>
  <c r="Z75" i="18"/>
  <c r="Z75" i="18" a="1"/>
  <c r="X75" i="18" a="1"/>
  <c r="X75" i="18" s="1"/>
  <c r="V75" i="18" a="1"/>
  <c r="V75" i="18" s="1"/>
  <c r="T75" i="18"/>
  <c r="T75" i="18" a="1"/>
  <c r="R75" i="18" a="1"/>
  <c r="R75" i="18" s="1"/>
  <c r="P75" i="18" a="1"/>
  <c r="P75" i="18" s="1"/>
  <c r="N75" i="18" a="1"/>
  <c r="N75" i="18" s="1"/>
  <c r="L75" i="18" a="1"/>
  <c r="L75" i="18" s="1"/>
  <c r="J75" i="18"/>
  <c r="J75" i="18" a="1"/>
  <c r="H75" i="18" a="1"/>
  <c r="H75" i="18" s="1"/>
  <c r="F75" i="18" a="1"/>
  <c r="F75" i="18" s="1"/>
  <c r="D75" i="18"/>
  <c r="D75" i="18" a="1"/>
  <c r="B75" i="18" a="1"/>
  <c r="B75" i="18" s="1"/>
  <c r="AV74" i="18" a="1"/>
  <c r="AV74" i="18" s="1"/>
  <c r="AT74" i="18" a="1"/>
  <c r="AT74" i="18" s="1"/>
  <c r="AR74" i="18" a="1"/>
  <c r="AR74" i="18" s="1"/>
  <c r="AP74" i="18"/>
  <c r="AP74" i="18" a="1"/>
  <c r="AN74" i="18" a="1"/>
  <c r="AN74" i="18" s="1"/>
  <c r="AL74" i="18" a="1"/>
  <c r="AL74" i="18" s="1"/>
  <c r="AJ74" i="18"/>
  <c r="AJ74" i="18" a="1"/>
  <c r="AH74" i="18" a="1"/>
  <c r="AH74" i="18" s="1"/>
  <c r="AF74" i="18" a="1"/>
  <c r="AF74" i="18" s="1"/>
  <c r="AD74" i="18" a="1"/>
  <c r="AD74" i="18" s="1"/>
  <c r="AB74" i="18" a="1"/>
  <c r="AB74" i="18" s="1"/>
  <c r="Z74" i="18" a="1"/>
  <c r="Z74" i="18" s="1"/>
  <c r="X74" i="18" a="1"/>
  <c r="X74" i="18" s="1"/>
  <c r="V74" i="18" a="1"/>
  <c r="V74" i="18" s="1"/>
  <c r="T74" i="18"/>
  <c r="T74" i="18" a="1"/>
  <c r="R74" i="18" a="1"/>
  <c r="R74" i="18" s="1"/>
  <c r="P74" i="18" a="1"/>
  <c r="P74" i="18" s="1"/>
  <c r="N74" i="18" a="1"/>
  <c r="N74" i="18" s="1"/>
  <c r="L74" i="18" a="1"/>
  <c r="L74" i="18" s="1"/>
  <c r="J74" i="18" a="1"/>
  <c r="J74" i="18" s="1"/>
  <c r="H74" i="18" a="1"/>
  <c r="H74" i="18" s="1"/>
  <c r="F74" i="18" a="1"/>
  <c r="F74" i="18" s="1"/>
  <c r="D74" i="18"/>
  <c r="D74" i="18" a="1"/>
  <c r="B74" i="18" a="1"/>
  <c r="B74" i="18" s="1"/>
  <c r="AV73" i="18" a="1"/>
  <c r="AV73" i="18" s="1"/>
  <c r="AT73" i="18" a="1"/>
  <c r="AT73" i="18" s="1"/>
  <c r="AR73" i="18" a="1"/>
  <c r="AR73" i="18" s="1"/>
  <c r="AP73" i="18" a="1"/>
  <c r="AP73" i="18" s="1"/>
  <c r="AN73" i="18" a="1"/>
  <c r="AN73" i="18" s="1"/>
  <c r="AL73" i="18" a="1"/>
  <c r="AL73" i="18" s="1"/>
  <c r="AJ73" i="18"/>
  <c r="AJ73" i="18" a="1"/>
  <c r="AH73" i="18" a="1"/>
  <c r="AH73" i="18" s="1"/>
  <c r="AF73" i="18" a="1"/>
  <c r="AF73" i="18" s="1"/>
  <c r="AD73" i="18" a="1"/>
  <c r="AD73" i="18" s="1"/>
  <c r="AB73" i="18" a="1"/>
  <c r="AB73" i="18" s="1"/>
  <c r="Z73" i="18" a="1"/>
  <c r="Z73" i="18" s="1"/>
  <c r="X73" i="18" a="1"/>
  <c r="X73" i="18" s="1"/>
  <c r="V73" i="18" a="1"/>
  <c r="V73" i="18" s="1"/>
  <c r="T73" i="18"/>
  <c r="T73" i="18" a="1"/>
  <c r="R73" i="18" a="1"/>
  <c r="R73" i="18" s="1"/>
  <c r="P73" i="18" a="1"/>
  <c r="P73" i="18" s="1"/>
  <c r="N73" i="18" a="1"/>
  <c r="N73" i="18" s="1"/>
  <c r="L73" i="18" a="1"/>
  <c r="L73" i="18" s="1"/>
  <c r="J73" i="18" a="1"/>
  <c r="J73" i="18" s="1"/>
  <c r="H73" i="18" a="1"/>
  <c r="H73" i="18" s="1"/>
  <c r="F73" i="18" a="1"/>
  <c r="F73" i="18" s="1"/>
  <c r="D73" i="18"/>
  <c r="D73" i="18" a="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a="1"/>
  <c r="AT67" i="18" s="1"/>
  <c r="AR67" i="18"/>
  <c r="AR67" i="18" a="1"/>
  <c r="AP67" i="18" a="1"/>
  <c r="AP67" i="18" s="1"/>
  <c r="AN67" i="18" a="1"/>
  <c r="AN67" i="18" s="1"/>
  <c r="AL67" i="18" a="1"/>
  <c r="AL67" i="18" s="1"/>
  <c r="AJ67" i="18" a="1"/>
  <c r="AJ67" i="18" s="1"/>
  <c r="AH67" i="18" a="1"/>
  <c r="AH67" i="18" s="1"/>
  <c r="AF67" i="18" a="1"/>
  <c r="AF67" i="18" s="1"/>
  <c r="AD67" i="18" a="1"/>
  <c r="AD67" i="18" s="1"/>
  <c r="AB67" i="18"/>
  <c r="AB67" i="18" a="1"/>
  <c r="Z67" i="18" a="1"/>
  <c r="Z67" i="18" s="1"/>
  <c r="X67" i="18" a="1"/>
  <c r="X67" i="18" s="1"/>
  <c r="V67" i="18" a="1"/>
  <c r="V67" i="18" s="1"/>
  <c r="T67" i="18" a="1"/>
  <c r="T67" i="18" s="1"/>
  <c r="R67" i="18" a="1"/>
  <c r="R67" i="18" s="1"/>
  <c r="P67" i="18" a="1"/>
  <c r="P67" i="18" s="1"/>
  <c r="N67" i="18" a="1"/>
  <c r="N67" i="18" s="1"/>
  <c r="L67" i="18"/>
  <c r="L67" i="18" a="1"/>
  <c r="J67" i="18" a="1"/>
  <c r="J67" i="18" s="1"/>
  <c r="H67" i="18" a="1"/>
  <c r="H67" i="18" s="1"/>
  <c r="F67" i="18" a="1"/>
  <c r="F67" i="18" s="1"/>
  <c r="D67" i="18" a="1"/>
  <c r="D67" i="18" s="1"/>
  <c r="B67" i="18" a="1"/>
  <c r="B67" i="18" s="1"/>
  <c r="AV66" i="18" a="1"/>
  <c r="AV66" i="18" s="1"/>
  <c r="AV68" i="18" s="1"/>
  <c r="AT66" i="18" a="1"/>
  <c r="AT66" i="18" s="1"/>
  <c r="AR66" i="18"/>
  <c r="AR68" i="18" s="1"/>
  <c r="AR66" i="18" a="1"/>
  <c r="AP66" i="18" a="1"/>
  <c r="AP66" i="18" s="1"/>
  <c r="AP68" i="18" s="1"/>
  <c r="AN66" i="18" a="1"/>
  <c r="AN66" i="18" s="1"/>
  <c r="AN68" i="18" s="1"/>
  <c r="AL66" i="18" a="1"/>
  <c r="AL66" i="18" s="1"/>
  <c r="AL68" i="18" s="1"/>
  <c r="AJ66" i="18" a="1"/>
  <c r="AJ66" i="18" s="1"/>
  <c r="AH66" i="18" a="1"/>
  <c r="AH66" i="18" s="1"/>
  <c r="AF66" i="18" a="1"/>
  <c r="AF66" i="18" s="1"/>
  <c r="AD66" i="18" a="1"/>
  <c r="AD66" i="18" s="1"/>
  <c r="AB66" i="18"/>
  <c r="AB68" i="18" s="1"/>
  <c r="AB66" i="18" a="1"/>
  <c r="Z66" i="18" a="1"/>
  <c r="Z66" i="18" s="1"/>
  <c r="X66" i="18" a="1"/>
  <c r="X66" i="18" s="1"/>
  <c r="V66" i="18" a="1"/>
  <c r="V66" i="18" s="1"/>
  <c r="T66" i="18" a="1"/>
  <c r="T66" i="18" s="1"/>
  <c r="T68" i="18" s="1"/>
  <c r="R66" i="18" a="1"/>
  <c r="R66" i="18" s="1"/>
  <c r="P66" i="18" a="1"/>
  <c r="P66" i="18" s="1"/>
  <c r="P68" i="18" s="1"/>
  <c r="N66" i="18" a="1"/>
  <c r="N66" i="18" s="1"/>
  <c r="N68" i="18" s="1"/>
  <c r="L66" i="18"/>
  <c r="L68" i="18" s="1"/>
  <c r="L66" i="18" a="1"/>
  <c r="J66" i="18" a="1"/>
  <c r="J66" i="18" s="1"/>
  <c r="J68" i="18" s="1"/>
  <c r="H66" i="18" a="1"/>
  <c r="H66" i="18" s="1"/>
  <c r="F66" i="18" a="1"/>
  <c r="F66" i="18" s="1"/>
  <c r="D66" i="18" a="1"/>
  <c r="D66" i="18" s="1"/>
  <c r="B66" i="18" a="1"/>
  <c r="B66" i="18" s="1"/>
  <c r="AV65" i="18" a="1"/>
  <c r="AV65" i="18" s="1"/>
  <c r="AV69" i="18" s="1"/>
  <c r="AT65" i="18" a="1"/>
  <c r="AT65" i="18" s="1"/>
  <c r="AT69" i="18" s="1"/>
  <c r="AR65" i="18"/>
  <c r="AR69" i="18" s="1"/>
  <c r="AR65" i="18" a="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a="1"/>
  <c r="AD65" i="18" s="1"/>
  <c r="AD69" i="18" s="1"/>
  <c r="AB65" i="18"/>
  <c r="AB69" i="18" s="1"/>
  <c r="AB65" i="18" a="1"/>
  <c r="Z65" i="18" a="1"/>
  <c r="Z65" i="18" s="1"/>
  <c r="Z69" i="18" s="1"/>
  <c r="X65" i="18" a="1"/>
  <c r="X65" i="18" s="1"/>
  <c r="X69" i="18" s="1"/>
  <c r="V65" i="18" a="1"/>
  <c r="V65" i="18" s="1"/>
  <c r="V69" i="18" s="1"/>
  <c r="T65" i="18" a="1"/>
  <c r="T65" i="18" s="1"/>
  <c r="T69" i="18" s="1"/>
  <c r="R65" i="18" a="1"/>
  <c r="R65" i="18" s="1"/>
  <c r="R69" i="18" s="1"/>
  <c r="P65" i="18" a="1"/>
  <c r="P65" i="18" s="1"/>
  <c r="P69" i="18" s="1"/>
  <c r="N65" i="18" a="1"/>
  <c r="N65" i="18" s="1"/>
  <c r="N69" i="18" s="1"/>
  <c r="L65" i="18"/>
  <c r="L69" i="18" s="1"/>
  <c r="L65" i="18" a="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c r="AP58" i="18" a="1"/>
  <c r="AN58" i="18"/>
  <c r="AN58" i="18" a="1"/>
  <c r="AL58" i="18" a="1"/>
  <c r="AL58" i="18" s="1"/>
  <c r="AJ58" i="18" a="1"/>
  <c r="AJ58" i="18" s="1"/>
  <c r="AH58" i="18" a="1"/>
  <c r="AH58" i="18" s="1"/>
  <c r="AF58" i="18"/>
  <c r="AF58" i="18" a="1"/>
  <c r="AD58" i="18"/>
  <c r="AD58" i="18" a="1"/>
  <c r="AB58" i="18"/>
  <c r="AB58" i="18" a="1"/>
  <c r="Z58" i="18"/>
  <c r="Z58" i="18" a="1"/>
  <c r="X58" i="18" a="1"/>
  <c r="X58" i="18" s="1"/>
  <c r="V58" i="18" a="1"/>
  <c r="V58" i="18" s="1"/>
  <c r="T58" i="18" a="1"/>
  <c r="T58" i="18" s="1"/>
  <c r="R58" i="18" a="1"/>
  <c r="R58" i="18" s="1"/>
  <c r="P58" i="18"/>
  <c r="P58" i="18" a="1"/>
  <c r="N58" i="18" a="1"/>
  <c r="N58" i="18" s="1"/>
  <c r="L58" i="18"/>
  <c r="L58" i="18" a="1"/>
  <c r="J58" i="18"/>
  <c r="J58" i="18" a="1"/>
  <c r="H58" i="18" a="1"/>
  <c r="H58" i="18" s="1"/>
  <c r="F58" i="18" a="1"/>
  <c r="F58" i="18" s="1"/>
  <c r="D58" i="18" a="1"/>
  <c r="D58" i="18" s="1"/>
  <c r="B58" i="18" a="1"/>
  <c r="B58" i="18" s="1"/>
  <c r="AV57" i="18"/>
  <c r="AV57" i="18" a="1"/>
  <c r="AT57" i="18" a="1"/>
  <c r="AT57" i="18" s="1"/>
  <c r="AR57" i="18"/>
  <c r="AR57" i="18" a="1"/>
  <c r="AP57" i="18"/>
  <c r="AP57" i="18" a="1"/>
  <c r="AN57" i="18" a="1"/>
  <c r="AN57" i="18" s="1"/>
  <c r="AL57" i="18" a="1"/>
  <c r="AL57" i="18" s="1"/>
  <c r="AJ57" i="18" a="1"/>
  <c r="AJ57" i="18" s="1"/>
  <c r="AH57" i="18" a="1"/>
  <c r="AH57" i="18" s="1"/>
  <c r="AF57" i="18"/>
  <c r="AF57" i="18" a="1"/>
  <c r="AD57" i="18" a="1"/>
  <c r="AD57" i="18" s="1"/>
  <c r="AB57" i="18"/>
  <c r="AB57" i="18" a="1"/>
  <c r="Z57" i="18"/>
  <c r="Z57" i="18" a="1"/>
  <c r="X57" i="18" a="1"/>
  <c r="X57" i="18" s="1"/>
  <c r="V57" i="18" a="1"/>
  <c r="V57" i="18" s="1"/>
  <c r="T57" i="18" a="1"/>
  <c r="T57" i="18" s="1"/>
  <c r="R57" i="18" a="1"/>
  <c r="R57" i="18" s="1"/>
  <c r="P57" i="18" a="1"/>
  <c r="P57" i="18" s="1"/>
  <c r="N57" i="18" a="1"/>
  <c r="N57" i="18" s="1"/>
  <c r="L57" i="18"/>
  <c r="L57" i="18" a="1"/>
  <c r="J57" i="18"/>
  <c r="J57" i="18" a="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T80" i="18" s="1"/>
  <c r="AR55" i="18"/>
  <c r="AP55" i="18"/>
  <c r="AN55" i="18"/>
  <c r="AL55" i="18"/>
  <c r="AL80" i="18" s="1"/>
  <c r="AJ55" i="18"/>
  <c r="AH55" i="18"/>
  <c r="AF55" i="18"/>
  <c r="AF80" i="18" s="1"/>
  <c r="AD55" i="18"/>
  <c r="AD80" i="18" s="1"/>
  <c r="AB55" i="18"/>
  <c r="AB80" i="18" s="1"/>
  <c r="Z55" i="18"/>
  <c r="Z80" i="18" s="1"/>
  <c r="X55" i="18"/>
  <c r="X80" i="18" s="1"/>
  <c r="V55" i="18"/>
  <c r="T55" i="18"/>
  <c r="T80" i="18" s="1"/>
  <c r="R55" i="18"/>
  <c r="R80" i="18" s="1"/>
  <c r="P55" i="18"/>
  <c r="P80" i="18" s="1"/>
  <c r="N55" i="18"/>
  <c r="N80" i="18" s="1"/>
  <c r="L55" i="18"/>
  <c r="J55" i="18"/>
  <c r="H55" i="18"/>
  <c r="F55" i="18"/>
  <c r="F80" i="18" s="1"/>
  <c r="D55" i="18"/>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J51" i="18"/>
  <c r="AJ81" i="18" s="1"/>
  <c r="AH51" i="18"/>
  <c r="AH81" i="18" s="1"/>
  <c r="AF51" i="18"/>
  <c r="AF81" i="18" s="1"/>
  <c r="AD51" i="18"/>
  <c r="AD81" i="18" s="1"/>
  <c r="AB51" i="18"/>
  <c r="Z51" i="18"/>
  <c r="X51" i="18"/>
  <c r="V51" i="18"/>
  <c r="V81" i="18" s="1"/>
  <c r="T51" i="18"/>
  <c r="R51" i="18"/>
  <c r="P51" i="18"/>
  <c r="P81" i="18" s="1"/>
  <c r="N51" i="18"/>
  <c r="N81" i="18" s="1"/>
  <c r="L51" i="18"/>
  <c r="L81" i="18" s="1"/>
  <c r="J51" i="18"/>
  <c r="J81" i="18" s="1"/>
  <c r="H51" i="18"/>
  <c r="H81" i="18" s="1"/>
  <c r="F51" i="18"/>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a="1"/>
  <c r="AV43" i="18" s="1"/>
  <c r="AT43" i="18" a="1"/>
  <c r="AT43" i="18" s="1"/>
  <c r="AR43" i="18"/>
  <c r="AR43" i="18" a="1"/>
  <c r="AP43" i="18"/>
  <c r="AP43" i="18" a="1"/>
  <c r="AN43" i="18" a="1"/>
  <c r="AN43" i="18" s="1"/>
  <c r="AL43" i="18" a="1"/>
  <c r="AL43" i="18" s="1"/>
  <c r="AJ43" i="18" a="1"/>
  <c r="AJ43" i="18" s="1"/>
  <c r="AH43" i="18" a="1"/>
  <c r="AH43" i="18" s="1"/>
  <c r="AF43" i="18" a="1"/>
  <c r="AF43" i="18" s="1"/>
  <c r="AD43" i="18" a="1"/>
  <c r="AD43" i="18" s="1"/>
  <c r="AB43" i="18"/>
  <c r="AB43" i="18" a="1"/>
  <c r="Z43" i="18"/>
  <c r="Z43" i="18" a="1"/>
  <c r="X43" i="18" a="1"/>
  <c r="X43" i="18" s="1"/>
  <c r="V43" i="18" a="1"/>
  <c r="V43" i="18" s="1"/>
  <c r="T43" i="18" a="1"/>
  <c r="T43" i="18" s="1"/>
  <c r="R43" i="18" a="1"/>
  <c r="R43" i="18" s="1"/>
  <c r="P43" i="18" a="1"/>
  <c r="P43" i="18" s="1"/>
  <c r="N43" i="18" a="1"/>
  <c r="N43" i="18" s="1"/>
  <c r="L43" i="18" a="1"/>
  <c r="L43" i="18" s="1"/>
  <c r="J43" i="18"/>
  <c r="J43" i="18" a="1"/>
  <c r="H43" i="18" a="1"/>
  <c r="H43" i="18" s="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X4" i="23"/>
  <c r="W4" i="23"/>
  <c r="Y11" i="23"/>
  <c r="X11" i="23"/>
  <c r="W11" i="23"/>
  <c r="V11" i="23"/>
  <c r="U11" i="23"/>
  <c r="T11" i="23"/>
  <c r="S11" i="23"/>
  <c r="R11" i="23"/>
  <c r="Q11" i="23"/>
  <c r="P11" i="23"/>
  <c r="O11" i="23"/>
  <c r="N11" i="23"/>
  <c r="M11" i="23"/>
  <c r="L11" i="23"/>
  <c r="K11" i="23"/>
  <c r="J11" i="23"/>
  <c r="I11" i="23"/>
  <c r="H11" i="23"/>
  <c r="G11" i="23"/>
  <c r="F11" i="23"/>
  <c r="E11" i="23"/>
  <c r="D11" i="23"/>
  <c r="C11" i="23"/>
  <c r="B11" i="23"/>
  <c r="Y10" i="23"/>
  <c r="X10" i="23"/>
  <c r="W10" i="23"/>
  <c r="V10" i="23"/>
  <c r="U10" i="23"/>
  <c r="T10" i="23"/>
  <c r="S10" i="23"/>
  <c r="R10" i="23"/>
  <c r="Q10" i="23"/>
  <c r="P10" i="23"/>
  <c r="O10" i="23"/>
  <c r="N10" i="23"/>
  <c r="M10" i="23"/>
  <c r="L10" i="23"/>
  <c r="K10" i="23"/>
  <c r="J10" i="23"/>
  <c r="I10" i="23"/>
  <c r="H10" i="23"/>
  <c r="G10" i="23"/>
  <c r="F10" i="23"/>
  <c r="E10" i="23"/>
  <c r="D10" i="23"/>
  <c r="C10" i="23"/>
  <c r="B10" i="23"/>
  <c r="Y9" i="23"/>
  <c r="X9" i="23"/>
  <c r="W9" i="23"/>
  <c r="V9" i="23"/>
  <c r="U9" i="23"/>
  <c r="T9" i="23"/>
  <c r="S9" i="23"/>
  <c r="R9" i="23"/>
  <c r="R8" i="39" s="1"/>
  <c r="Q9" i="23"/>
  <c r="P9" i="23"/>
  <c r="P8" i="39" s="1"/>
  <c r="O9" i="23"/>
  <c r="N9" i="23"/>
  <c r="M9" i="23"/>
  <c r="L9" i="23"/>
  <c r="K9" i="23"/>
  <c r="J9" i="23"/>
  <c r="I9" i="23"/>
  <c r="H9" i="23"/>
  <c r="G9" i="23"/>
  <c r="F9" i="23"/>
  <c r="E9" i="23"/>
  <c r="D9" i="23"/>
  <c r="C9" i="23"/>
  <c r="B9" i="23"/>
  <c r="Y8" i="23"/>
  <c r="X8" i="23"/>
  <c r="W8" i="23"/>
  <c r="V8" i="23"/>
  <c r="U8" i="23"/>
  <c r="T8" i="23"/>
  <c r="S8" i="23"/>
  <c r="R8" i="23"/>
  <c r="Q8" i="23"/>
  <c r="P8" i="23"/>
  <c r="O8" i="23"/>
  <c r="N8" i="23"/>
  <c r="M8" i="23"/>
  <c r="M7" i="39" s="1"/>
  <c r="L8" i="23"/>
  <c r="L7" i="39" s="1"/>
  <c r="K8" i="23"/>
  <c r="K7" i="39" s="1"/>
  <c r="J8" i="23"/>
  <c r="J7" i="39" s="1"/>
  <c r="I8" i="23"/>
  <c r="H8" i="23"/>
  <c r="G8" i="23"/>
  <c r="F8" i="23"/>
  <c r="E8" i="23"/>
  <c r="D8" i="23"/>
  <c r="C8" i="23"/>
  <c r="B8" i="23"/>
  <c r="Y7" i="23"/>
  <c r="X7" i="23"/>
  <c r="W7" i="23"/>
  <c r="V7" i="23"/>
  <c r="U7" i="23"/>
  <c r="T7" i="23"/>
  <c r="S7" i="23"/>
  <c r="R7" i="23"/>
  <c r="Q7" i="23"/>
  <c r="P7" i="23"/>
  <c r="P6" i="39" s="1"/>
  <c r="O7" i="23"/>
  <c r="O6" i="39" s="1"/>
  <c r="N7" i="23"/>
  <c r="N6" i="39" s="1"/>
  <c r="M7" i="23"/>
  <c r="M6" i="39" s="1"/>
  <c r="L7" i="23"/>
  <c r="L6" i="39" s="1"/>
  <c r="K7" i="23"/>
  <c r="K6" i="39" s="1"/>
  <c r="J7" i="23"/>
  <c r="I7" i="23"/>
  <c r="H7" i="23"/>
  <c r="G7" i="23"/>
  <c r="F7" i="23"/>
  <c r="E7" i="23"/>
  <c r="D7" i="23"/>
  <c r="C7" i="23"/>
  <c r="B7" i="23"/>
  <c r="Y6" i="23"/>
  <c r="X6" i="23"/>
  <c r="W6" i="23"/>
  <c r="V6" i="23"/>
  <c r="U6" i="23"/>
  <c r="T6" i="23"/>
  <c r="T5" i="39" s="1"/>
  <c r="S6" i="23"/>
  <c r="S5" i="39" s="1"/>
  <c r="R6" i="23"/>
  <c r="R5" i="39" s="1"/>
  <c r="Q6" i="23"/>
  <c r="Q5" i="39" s="1"/>
  <c r="P6" i="23"/>
  <c r="P5" i="39" s="1"/>
  <c r="O6" i="23"/>
  <c r="O5" i="39" s="1"/>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Y4" i="23"/>
  <c r="V4" i="23"/>
  <c r="U4" i="23"/>
  <c r="T4" i="23"/>
  <c r="T3" i="39" s="1"/>
  <c r="S4" i="23"/>
  <c r="S3" i="39" s="1"/>
  <c r="R4" i="23"/>
  <c r="R3" i="39" s="1"/>
  <c r="Q4" i="23"/>
  <c r="Q3" i="39" s="1"/>
  <c r="P4" i="23"/>
  <c r="P3" i="39" s="1"/>
  <c r="O4" i="23"/>
  <c r="O3" i="39" s="1"/>
  <c r="N4" i="23"/>
  <c r="N3" i="39" s="1"/>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R68" i="35" l="1"/>
  <c r="AR68" i="35"/>
  <c r="T68" i="35"/>
  <c r="AT68" i="35"/>
  <c r="X68" i="35"/>
  <c r="D68" i="35"/>
  <c r="AD68" i="35"/>
  <c r="H68" i="35"/>
  <c r="AH68" i="35"/>
  <c r="J68" i="35"/>
  <c r="AJ68" i="35"/>
  <c r="N68" i="35"/>
  <c r="J68" i="38"/>
  <c r="N68" i="38"/>
  <c r="AR68" i="38"/>
  <c r="V68" i="38"/>
  <c r="AT68" i="21"/>
  <c r="X68" i="21"/>
  <c r="AF68" i="21"/>
  <c r="H68" i="21"/>
  <c r="AH68" i="21"/>
  <c r="J68" i="21"/>
  <c r="L68" i="21"/>
  <c r="F68" i="21"/>
  <c r="P68" i="21"/>
  <c r="AP68" i="21"/>
  <c r="R68" i="21"/>
  <c r="AR68" i="21"/>
  <c r="AP68" i="22"/>
  <c r="AF68" i="22"/>
  <c r="L68" i="22"/>
  <c r="AD68" i="22"/>
  <c r="AV68" i="22"/>
  <c r="N68" i="22"/>
  <c r="F68" i="22"/>
  <c r="H68" i="22"/>
  <c r="X68" i="12"/>
  <c r="AB68" i="12"/>
  <c r="B68" i="12"/>
  <c r="AD68" i="12"/>
  <c r="AH68" i="12"/>
  <c r="AJ68" i="12"/>
  <c r="H68" i="12"/>
  <c r="L68" i="12"/>
  <c r="AN68" i="12"/>
  <c r="R68" i="12"/>
  <c r="AT68" i="12"/>
  <c r="AB68" i="11"/>
  <c r="AD68" i="11"/>
  <c r="AF68" i="11"/>
  <c r="B68" i="11"/>
  <c r="AH68" i="11"/>
  <c r="T68" i="11"/>
  <c r="V68" i="11"/>
  <c r="X68" i="11"/>
  <c r="Z68" i="11"/>
  <c r="L68" i="24"/>
  <c r="AN68" i="24"/>
  <c r="T68" i="24"/>
  <c r="AV68" i="24"/>
  <c r="N68" i="24"/>
  <c r="B68" i="24"/>
  <c r="P68" i="24"/>
  <c r="D68" i="24"/>
  <c r="R68" i="24"/>
  <c r="H68" i="24"/>
  <c r="AT68" i="18"/>
  <c r="V68" i="18"/>
  <c r="R68" i="18"/>
  <c r="X68" i="18"/>
  <c r="Z68" i="18"/>
  <c r="B68" i="18"/>
  <c r="AD68" i="18"/>
  <c r="D68" i="18"/>
  <c r="AF68" i="18"/>
  <c r="F68" i="18"/>
  <c r="AH68" i="18"/>
  <c r="H68" i="18"/>
  <c r="AJ68" i="18"/>
  <c r="B1" i="39"/>
  <c r="C1" i="39"/>
  <c r="D1" i="39"/>
  <c r="E1" i="39"/>
  <c r="F1" i="39"/>
  <c r="G1" i="39"/>
  <c r="H1" i="39"/>
  <c r="I1" i="39"/>
  <c r="J1" i="39"/>
  <c r="K1" i="39"/>
  <c r="L1" i="39"/>
  <c r="M1" i="39"/>
  <c r="N1" i="39"/>
  <c r="O1" i="39"/>
  <c r="P1" i="39"/>
  <c r="Q1" i="39"/>
  <c r="R1" i="39"/>
  <c r="S1" i="39"/>
  <c r="T1" i="39"/>
  <c r="U1" i="39"/>
  <c r="V1" i="39"/>
  <c r="W1" i="39"/>
  <c r="X1" i="39"/>
  <c r="Y1" i="39"/>
  <c r="G6" i="39"/>
  <c r="A2" i="39"/>
  <c r="A3" i="39"/>
  <c r="A4" i="39"/>
  <c r="A5" i="39"/>
  <c r="A6" i="39"/>
  <c r="A7" i="39"/>
  <c r="A8" i="39"/>
  <c r="A9" i="39"/>
  <c r="J6" i="39"/>
  <c r="I6" i="39"/>
  <c r="H6" i="39"/>
  <c r="C66" i="1" l="1"/>
  <c r="Y51" i="23"/>
  <c r="Y65" i="23" s="1"/>
  <c r="X51" i="23"/>
  <c r="X65" i="23" s="1"/>
  <c r="W51" i="23"/>
  <c r="W65" i="23" s="1"/>
  <c r="V51" i="23"/>
  <c r="V65" i="23" s="1"/>
  <c r="U51" i="23"/>
  <c r="U65" i="23" s="1"/>
  <c r="T51" i="23"/>
  <c r="T65" i="23" s="1"/>
  <c r="S51" i="23"/>
  <c r="S65" i="23" s="1"/>
  <c r="R51" i="23"/>
  <c r="R65" i="23" s="1"/>
  <c r="Q51" i="23"/>
  <c r="Q65" i="23" s="1"/>
  <c r="P51" i="23"/>
  <c r="P65" i="23" s="1"/>
  <c r="O51" i="23"/>
  <c r="O65" i="23" s="1"/>
  <c r="N51" i="23"/>
  <c r="N65" i="23" s="1"/>
  <c r="M51" i="23"/>
  <c r="M65" i="23" s="1"/>
  <c r="L51" i="23"/>
  <c r="L65" i="23" s="1"/>
  <c r="K51" i="23"/>
  <c r="K65" i="23" s="1"/>
  <c r="J51" i="23"/>
  <c r="I51" i="23"/>
  <c r="H51" i="23"/>
  <c r="G51" i="23"/>
  <c r="F51" i="23"/>
  <c r="E51" i="23"/>
  <c r="D51" i="23"/>
  <c r="C51" i="23"/>
  <c r="Y50" i="23"/>
  <c r="X50" i="23"/>
  <c r="W50" i="23"/>
  <c r="V50" i="23"/>
  <c r="U50" i="23"/>
  <c r="T50" i="23"/>
  <c r="S50" i="23"/>
  <c r="R50" i="23"/>
  <c r="Q50" i="23"/>
  <c r="P50" i="23"/>
  <c r="O50" i="23"/>
  <c r="N50" i="23"/>
  <c r="M50" i="23"/>
  <c r="L50" i="23"/>
  <c r="K50" i="23"/>
  <c r="J50" i="23"/>
  <c r="I50" i="23"/>
  <c r="H50" i="23"/>
  <c r="G50" i="23"/>
  <c r="F50" i="23"/>
  <c r="E50" i="23"/>
  <c r="D50" i="23"/>
  <c r="C50" i="23"/>
  <c r="B50" i="23"/>
  <c r="Y55" i="23"/>
  <c r="Y69" i="23" s="1"/>
  <c r="X55" i="23"/>
  <c r="W55" i="23"/>
  <c r="U55" i="23"/>
  <c r="T55" i="23"/>
  <c r="S55" i="23"/>
  <c r="R55" i="23"/>
  <c r="Q55" i="23"/>
  <c r="P55" i="23"/>
  <c r="O55" i="23"/>
  <c r="N55" i="23"/>
  <c r="L55" i="23"/>
  <c r="K55" i="23"/>
  <c r="J55" i="23"/>
  <c r="I55" i="23"/>
  <c r="H55" i="23"/>
  <c r="G55" i="23"/>
  <c r="F55" i="23"/>
  <c r="E55" i="23"/>
  <c r="D55" i="23"/>
  <c r="C55" i="23"/>
  <c r="S19" i="23"/>
  <c r="T19" i="23"/>
  <c r="U19" i="23"/>
  <c r="V19" i="23"/>
  <c r="W19" i="23"/>
  <c r="X19" i="23"/>
  <c r="Y19" i="23"/>
  <c r="U21" i="23"/>
  <c r="V21" i="23"/>
  <c r="W21" i="23"/>
  <c r="X21" i="23"/>
  <c r="Y21" i="23"/>
  <c r="L22" i="23"/>
  <c r="M22" i="23"/>
  <c r="N22" i="23"/>
  <c r="O22" i="23"/>
  <c r="P22" i="23"/>
  <c r="Q22" i="23"/>
  <c r="R22" i="23"/>
  <c r="S22" i="23"/>
  <c r="T22" i="23"/>
  <c r="U22" i="23"/>
  <c r="V22" i="23"/>
  <c r="W22" i="23"/>
  <c r="X22" i="23"/>
  <c r="Y22" i="23"/>
  <c r="Y23" i="23"/>
  <c r="B26" i="23"/>
  <c r="C26" i="23"/>
  <c r="D26" i="23"/>
  <c r="E26" i="23"/>
  <c r="F26" i="23"/>
  <c r="G26" i="23"/>
  <c r="H26" i="23"/>
  <c r="I26" i="23"/>
  <c r="J26" i="23"/>
  <c r="K26" i="23"/>
  <c r="L26" i="23"/>
  <c r="M26" i="23"/>
  <c r="N26" i="23"/>
  <c r="O26" i="23"/>
  <c r="P26" i="23"/>
  <c r="Q26" i="23"/>
  <c r="R26" i="23"/>
  <c r="S26" i="23"/>
  <c r="T26" i="23"/>
  <c r="U26" i="23"/>
  <c r="V26" i="23"/>
  <c r="W26" i="23"/>
  <c r="X26" i="23"/>
  <c r="Y26" i="23"/>
  <c r="Y36" i="23"/>
  <c r="Y87" i="23" s="1"/>
  <c r="X36" i="23"/>
  <c r="X87" i="23" s="1"/>
  <c r="W36" i="23"/>
  <c r="W87" i="23" s="1"/>
  <c r="V36" i="23"/>
  <c r="V87" i="23" s="1"/>
  <c r="U36" i="23"/>
  <c r="U87" i="23" s="1"/>
  <c r="T36" i="23"/>
  <c r="T87" i="23" s="1"/>
  <c r="S36" i="23"/>
  <c r="S87" i="23" s="1"/>
  <c r="R36" i="23"/>
  <c r="R87" i="23" s="1"/>
  <c r="Q36" i="23"/>
  <c r="Q87" i="23" s="1"/>
  <c r="P36" i="23"/>
  <c r="P87" i="23" s="1"/>
  <c r="O36" i="23"/>
  <c r="O87" i="23" s="1"/>
  <c r="N36" i="23"/>
  <c r="N87" i="23" s="1"/>
  <c r="M36" i="23"/>
  <c r="M87" i="23" s="1"/>
  <c r="L36" i="23"/>
  <c r="L87" i="23" s="1"/>
  <c r="K36" i="23"/>
  <c r="K87" i="23" s="1"/>
  <c r="J36" i="23"/>
  <c r="J87" i="23" s="1"/>
  <c r="I36" i="23"/>
  <c r="I87" i="23" s="1"/>
  <c r="H36" i="23"/>
  <c r="H87" i="23" s="1"/>
  <c r="G36" i="23"/>
  <c r="G87" i="23" s="1"/>
  <c r="F36" i="23"/>
  <c r="F87" i="23" s="1"/>
  <c r="E36" i="23"/>
  <c r="E87" i="23" s="1"/>
  <c r="D36" i="23"/>
  <c r="D87" i="23" s="1"/>
  <c r="C36" i="23"/>
  <c r="C87" i="23" s="1"/>
  <c r="B36" i="23"/>
  <c r="B87" i="23" s="1"/>
  <c r="Y35" i="23"/>
  <c r="Y86" i="23" s="1"/>
  <c r="X35" i="23"/>
  <c r="X86" i="23" s="1"/>
  <c r="W35" i="23"/>
  <c r="W86" i="23" s="1"/>
  <c r="V35" i="23"/>
  <c r="V86" i="23" s="1"/>
  <c r="U35" i="23"/>
  <c r="U86" i="23" s="1"/>
  <c r="T35" i="23"/>
  <c r="T86" i="23" s="1"/>
  <c r="S35" i="23"/>
  <c r="S86" i="23" s="1"/>
  <c r="R35" i="23"/>
  <c r="R86" i="23" s="1"/>
  <c r="Q35" i="23"/>
  <c r="Q86" i="23" s="1"/>
  <c r="P35" i="23"/>
  <c r="P86" i="23" s="1"/>
  <c r="O35" i="23"/>
  <c r="O86" i="23" s="1"/>
  <c r="N35" i="23"/>
  <c r="N86" i="23" s="1"/>
  <c r="M35" i="23"/>
  <c r="M86" i="23" s="1"/>
  <c r="L35" i="23"/>
  <c r="L86" i="23" s="1"/>
  <c r="K35" i="23"/>
  <c r="K86" i="23" s="1"/>
  <c r="J35" i="23"/>
  <c r="J86" i="23" s="1"/>
  <c r="I35" i="23"/>
  <c r="I86" i="23" s="1"/>
  <c r="H35" i="23"/>
  <c r="H86" i="23" s="1"/>
  <c r="G35" i="23"/>
  <c r="G86" i="23" s="1"/>
  <c r="F35" i="23"/>
  <c r="F86" i="23" s="1"/>
  <c r="E35" i="23"/>
  <c r="E86" i="23" s="1"/>
  <c r="D35" i="23"/>
  <c r="D86" i="23" s="1"/>
  <c r="C35" i="23"/>
  <c r="C86" i="23" s="1"/>
  <c r="B35" i="23"/>
  <c r="B86" i="23" s="1"/>
  <c r="C84" i="23"/>
  <c r="D84" i="23"/>
  <c r="E84" i="23"/>
  <c r="F84" i="23"/>
  <c r="G84" i="23"/>
  <c r="H84" i="23"/>
  <c r="I84" i="23"/>
  <c r="J84" i="23"/>
  <c r="K84" i="23"/>
  <c r="L84" i="23"/>
  <c r="M84" i="23"/>
  <c r="N84" i="23"/>
  <c r="O84" i="23"/>
  <c r="P84" i="23"/>
  <c r="Q84" i="23"/>
  <c r="R84" i="23"/>
  <c r="S84" i="23"/>
  <c r="T84" i="23"/>
  <c r="U84" i="23"/>
  <c r="V84" i="23"/>
  <c r="W84" i="23"/>
  <c r="X84" i="23"/>
  <c r="Y84" i="23"/>
  <c r="B84" i="23"/>
  <c r="A86" i="23"/>
  <c r="A87" i="23"/>
  <c r="A88" i="23"/>
  <c r="A89" i="23"/>
  <c r="A90" i="23"/>
  <c r="A91" i="23"/>
  <c r="A92" i="23"/>
  <c r="A93" i="23"/>
  <c r="A85" i="23"/>
  <c r="Y38" i="23"/>
  <c r="Y89" i="23" s="1"/>
  <c r="Y41" i="23"/>
  <c r="Y92" i="23" s="1"/>
  <c r="X41" i="23"/>
  <c r="X92" i="23" s="1"/>
  <c r="W41" i="23"/>
  <c r="W92" i="23" s="1"/>
  <c r="V41" i="23"/>
  <c r="V92" i="23" s="1"/>
  <c r="U41" i="23"/>
  <c r="U92" i="23" s="1"/>
  <c r="T41" i="23"/>
  <c r="T92" i="23" s="1"/>
  <c r="S41" i="23"/>
  <c r="S92" i="23" s="1"/>
  <c r="R41" i="23"/>
  <c r="R92" i="23" s="1"/>
  <c r="Q41" i="23"/>
  <c r="Q92" i="23" s="1"/>
  <c r="P41" i="23"/>
  <c r="P92" i="23" s="1"/>
  <c r="O41" i="23"/>
  <c r="O92" i="23" s="1"/>
  <c r="N41" i="23"/>
  <c r="N92" i="23" s="1"/>
  <c r="M41" i="23"/>
  <c r="M92" i="23" s="1"/>
  <c r="L41" i="23"/>
  <c r="L92" i="23" s="1"/>
  <c r="K41" i="23"/>
  <c r="K92" i="23" s="1"/>
  <c r="J41" i="23"/>
  <c r="J92" i="23" s="1"/>
  <c r="I41" i="23"/>
  <c r="I92" i="23" s="1"/>
  <c r="H41" i="23"/>
  <c r="H92" i="23" s="1"/>
  <c r="G41" i="23"/>
  <c r="G92" i="23" s="1"/>
  <c r="F41" i="23"/>
  <c r="F92" i="23" s="1"/>
  <c r="E41" i="23"/>
  <c r="E92" i="23" s="1"/>
  <c r="D41" i="23"/>
  <c r="D92" i="23" s="1"/>
  <c r="C41" i="23"/>
  <c r="C92" i="23" s="1"/>
  <c r="B41" i="23"/>
  <c r="B92" i="23" s="1"/>
  <c r="Y40" i="23"/>
  <c r="Y91" i="23" s="1"/>
  <c r="X40" i="23"/>
  <c r="X91" i="23" s="1"/>
  <c r="W40" i="23"/>
  <c r="W91" i="23" s="1"/>
  <c r="V40" i="23"/>
  <c r="V91" i="23" s="1"/>
  <c r="U40" i="23"/>
  <c r="U91" i="23" s="1"/>
  <c r="T40" i="23"/>
  <c r="T91" i="23" s="1"/>
  <c r="S40" i="23"/>
  <c r="S91" i="23" s="1"/>
  <c r="R40" i="23"/>
  <c r="R91" i="23" s="1"/>
  <c r="Q40" i="23"/>
  <c r="Q91" i="23" s="1"/>
  <c r="P40" i="23"/>
  <c r="P91" i="23" s="1"/>
  <c r="O40" i="23"/>
  <c r="O91" i="23" s="1"/>
  <c r="N40" i="23"/>
  <c r="N91" i="23" s="1"/>
  <c r="M40" i="23"/>
  <c r="M91" i="23" s="1"/>
  <c r="L40" i="23"/>
  <c r="L91" i="23" s="1"/>
  <c r="K40" i="23"/>
  <c r="K91" i="23" s="1"/>
  <c r="J40" i="23"/>
  <c r="J91" i="23" s="1"/>
  <c r="I40" i="23"/>
  <c r="I91" i="23" s="1"/>
  <c r="H40" i="23"/>
  <c r="H91" i="23" s="1"/>
  <c r="G40" i="23"/>
  <c r="G91" i="23" s="1"/>
  <c r="F40" i="23"/>
  <c r="F91" i="23" s="1"/>
  <c r="E40" i="23"/>
  <c r="E91" i="23" s="1"/>
  <c r="D40" i="23"/>
  <c r="D91" i="23" s="1"/>
  <c r="C40" i="23"/>
  <c r="C91" i="23" s="1"/>
  <c r="B40" i="23"/>
  <c r="B91" i="23" s="1"/>
  <c r="Y39" i="23"/>
  <c r="Y90" i="23" s="1"/>
  <c r="X39" i="23"/>
  <c r="X90" i="23" s="1"/>
  <c r="W39" i="23"/>
  <c r="W90" i="23" s="1"/>
  <c r="V39" i="23"/>
  <c r="V90" i="23" s="1"/>
  <c r="U39" i="23"/>
  <c r="U90" i="23" s="1"/>
  <c r="T39" i="23"/>
  <c r="T90" i="23" s="1"/>
  <c r="S39" i="23"/>
  <c r="S90" i="23" s="1"/>
  <c r="R39" i="23"/>
  <c r="R90" i="23" s="1"/>
  <c r="Q39" i="23"/>
  <c r="Q90" i="23" s="1"/>
  <c r="P39" i="23"/>
  <c r="P90" i="23" s="1"/>
  <c r="O39" i="23"/>
  <c r="O90" i="23" s="1"/>
  <c r="N39" i="23"/>
  <c r="N90" i="23" s="1"/>
  <c r="M39" i="23"/>
  <c r="M90" i="23" s="1"/>
  <c r="L39" i="23"/>
  <c r="L90" i="23" s="1"/>
  <c r="K39" i="23"/>
  <c r="K90" i="23" s="1"/>
  <c r="J39" i="23"/>
  <c r="J90" i="23" s="1"/>
  <c r="I39" i="23"/>
  <c r="I90" i="23" s="1"/>
  <c r="H39" i="23"/>
  <c r="H90" i="23" s="1"/>
  <c r="G39" i="23"/>
  <c r="G90" i="23" s="1"/>
  <c r="F39" i="23"/>
  <c r="F90" i="23" s="1"/>
  <c r="E39" i="23"/>
  <c r="E90" i="23" s="1"/>
  <c r="D39" i="23"/>
  <c r="D90" i="23" s="1"/>
  <c r="C39" i="23"/>
  <c r="C90" i="23" s="1"/>
  <c r="B39" i="23"/>
  <c r="B90" i="23" s="1"/>
  <c r="B34" i="23"/>
  <c r="B85" i="23" s="1"/>
  <c r="A35" i="23"/>
  <c r="A36" i="23"/>
  <c r="A37" i="23"/>
  <c r="A38" i="23"/>
  <c r="A39" i="23"/>
  <c r="A40" i="23"/>
  <c r="A41" i="23"/>
  <c r="A42" i="23"/>
  <c r="A34" i="23"/>
  <c r="V55" i="23"/>
  <c r="M55" i="23"/>
  <c r="A50" i="23"/>
  <c r="Y52" i="23"/>
  <c r="X52" i="23"/>
  <c r="W52" i="23"/>
  <c r="V52" i="23"/>
  <c r="U52" i="23"/>
  <c r="T52" i="23"/>
  <c r="AJ52" i="35" l="1"/>
  <c r="AJ82" i="35" s="1"/>
  <c r="J52" i="35"/>
  <c r="J82" i="35" s="1"/>
  <c r="AF52" i="35"/>
  <c r="AF82" i="35" s="1"/>
  <c r="P52" i="35"/>
  <c r="P82" i="35" s="1"/>
  <c r="D52" i="35"/>
  <c r="D82" i="35" s="1"/>
  <c r="Z52" i="35"/>
  <c r="Z82" i="35" s="1"/>
  <c r="AV52" i="35"/>
  <c r="AV82" i="35" s="1"/>
  <c r="T52" i="35"/>
  <c r="T82" i="35" s="1"/>
  <c r="AP52" i="35"/>
  <c r="AP82" i="35" s="1"/>
  <c r="R52" i="35"/>
  <c r="R82" i="35" s="1"/>
  <c r="H52" i="35"/>
  <c r="H82" i="35" s="1"/>
  <c r="V52" i="35"/>
  <c r="V82" i="35" s="1"/>
  <c r="X52" i="35"/>
  <c r="X82" i="35" s="1"/>
  <c r="L52" i="35"/>
  <c r="L82" i="35" s="1"/>
  <c r="AD52" i="35"/>
  <c r="AD82" i="35" s="1"/>
  <c r="N52" i="35"/>
  <c r="N82" i="35" s="1"/>
  <c r="AR52" i="35"/>
  <c r="AR82" i="35" s="1"/>
  <c r="AT52" i="35"/>
  <c r="AT82" i="35" s="1"/>
  <c r="AH52" i="35"/>
  <c r="AH82" i="35" s="1"/>
  <c r="AL52" i="35"/>
  <c r="AL82" i="35" s="1"/>
  <c r="B52" i="35"/>
  <c r="B82" i="35" s="1"/>
  <c r="AN52" i="35"/>
  <c r="AN82" i="35" s="1"/>
  <c r="AB52" i="35"/>
  <c r="AB82" i="35" s="1"/>
  <c r="F52" i="35"/>
  <c r="F82" i="35" s="1"/>
  <c r="P52" i="38"/>
  <c r="P82" i="38" s="1"/>
  <c r="D52" i="38"/>
  <c r="D82" i="38" s="1"/>
  <c r="Z52" i="38"/>
  <c r="Z82" i="38" s="1"/>
  <c r="AV52" i="38"/>
  <c r="AV82" i="38" s="1"/>
  <c r="AP52" i="38"/>
  <c r="AP82" i="38" s="1"/>
  <c r="T52" i="38"/>
  <c r="T82" i="38" s="1"/>
  <c r="AJ52" i="38"/>
  <c r="AJ82" i="38" s="1"/>
  <c r="AF52" i="38"/>
  <c r="AF82" i="38" s="1"/>
  <c r="J52" i="38"/>
  <c r="J82" i="38" s="1"/>
  <c r="B52" i="38"/>
  <c r="B82" i="38" s="1"/>
  <c r="AH52" i="38"/>
  <c r="AH82" i="38" s="1"/>
  <c r="L52" i="38"/>
  <c r="L82" i="38" s="1"/>
  <c r="AT52" i="38"/>
  <c r="AT82" i="38" s="1"/>
  <c r="AB52" i="38"/>
  <c r="AB82" i="38" s="1"/>
  <c r="R52" i="38"/>
  <c r="R82" i="38" s="1"/>
  <c r="H52" i="38"/>
  <c r="H82" i="38" s="1"/>
  <c r="X52" i="38"/>
  <c r="X82" i="38" s="1"/>
  <c r="AN52" i="38"/>
  <c r="AN82" i="38" s="1"/>
  <c r="AD52" i="38"/>
  <c r="AD82" i="38" s="1"/>
  <c r="N52" i="38"/>
  <c r="N82" i="38" s="1"/>
  <c r="F52" i="38"/>
  <c r="F82" i="38" s="1"/>
  <c r="V52" i="38"/>
  <c r="V82" i="38" s="1"/>
  <c r="AR52" i="38"/>
  <c r="AR82" i="38" s="1"/>
  <c r="AL52" i="38"/>
  <c r="AL82" i="38" s="1"/>
  <c r="AF52" i="21"/>
  <c r="AF82" i="21" s="1"/>
  <c r="AV52" i="21"/>
  <c r="AV82" i="21" s="1"/>
  <c r="T52" i="21"/>
  <c r="T82" i="21" s="1"/>
  <c r="D52" i="21"/>
  <c r="D82" i="21" s="1"/>
  <c r="P52" i="21"/>
  <c r="P82" i="21" s="1"/>
  <c r="AJ52" i="21"/>
  <c r="AJ82" i="21" s="1"/>
  <c r="AH52" i="21"/>
  <c r="AH82" i="21" s="1"/>
  <c r="J52" i="21"/>
  <c r="J82" i="21" s="1"/>
  <c r="X52" i="21"/>
  <c r="X82" i="21" s="1"/>
  <c r="L52" i="21"/>
  <c r="L82" i="21" s="1"/>
  <c r="Z52" i="21"/>
  <c r="Z82" i="21" s="1"/>
  <c r="H52" i="21"/>
  <c r="H82" i="21" s="1"/>
  <c r="N52" i="21"/>
  <c r="N82" i="21" s="1"/>
  <c r="AL52" i="21"/>
  <c r="AL82" i="21" s="1"/>
  <c r="B52" i="21"/>
  <c r="B82" i="21" s="1"/>
  <c r="AN52" i="21"/>
  <c r="AN82" i="21" s="1"/>
  <c r="AP52" i="21"/>
  <c r="AP82" i="21" s="1"/>
  <c r="AR52" i="21"/>
  <c r="AR82" i="21" s="1"/>
  <c r="AT52" i="21"/>
  <c r="AT82" i="21" s="1"/>
  <c r="V52" i="21"/>
  <c r="V82" i="21" s="1"/>
  <c r="AB52" i="21"/>
  <c r="AB82" i="21" s="1"/>
  <c r="F52" i="21"/>
  <c r="F82" i="21" s="1"/>
  <c r="AD52" i="21"/>
  <c r="AD82" i="21" s="1"/>
  <c r="R52" i="21"/>
  <c r="R82" i="21" s="1"/>
  <c r="T52" i="22"/>
  <c r="T82" i="22" s="1"/>
  <c r="P52" i="22"/>
  <c r="P82" i="22" s="1"/>
  <c r="AJ52" i="22"/>
  <c r="AJ82" i="22" s="1"/>
  <c r="N52" i="22"/>
  <c r="N82" i="22" s="1"/>
  <c r="AD52" i="22"/>
  <c r="AD82" i="22" s="1"/>
  <c r="D52" i="22"/>
  <c r="D82" i="22" s="1"/>
  <c r="AF52" i="22"/>
  <c r="AF82" i="22" s="1"/>
  <c r="AV52" i="22"/>
  <c r="AV82" i="22" s="1"/>
  <c r="AT52" i="22"/>
  <c r="AT82" i="22" s="1"/>
  <c r="X52" i="22"/>
  <c r="X82" i="22" s="1"/>
  <c r="F52" i="22"/>
  <c r="F82" i="22" s="1"/>
  <c r="B52" i="22"/>
  <c r="B82" i="22" s="1"/>
  <c r="R52" i="22"/>
  <c r="R82" i="22" s="1"/>
  <c r="AR52" i="22"/>
  <c r="AR82" i="22" s="1"/>
  <c r="Z52" i="22"/>
  <c r="Z82" i="22" s="1"/>
  <c r="AL52" i="22"/>
  <c r="AL82" i="22" s="1"/>
  <c r="AN52" i="22"/>
  <c r="AN82" i="22" s="1"/>
  <c r="H52" i="22"/>
  <c r="H82" i="22" s="1"/>
  <c r="J52" i="22"/>
  <c r="J82" i="22" s="1"/>
  <c r="L52" i="22"/>
  <c r="L82" i="22" s="1"/>
  <c r="V52" i="22"/>
  <c r="V82" i="22" s="1"/>
  <c r="AB52" i="22"/>
  <c r="AB82" i="22" s="1"/>
  <c r="AP52" i="22"/>
  <c r="AP82" i="22" s="1"/>
  <c r="AH52" i="22"/>
  <c r="AH82" i="22" s="1"/>
  <c r="AJ52" i="12"/>
  <c r="AJ82" i="12" s="1"/>
  <c r="J52" i="12"/>
  <c r="J82" i="12" s="1"/>
  <c r="AF52" i="12"/>
  <c r="AF82" i="12" s="1"/>
  <c r="D52" i="12"/>
  <c r="D82" i="12" s="1"/>
  <c r="T52" i="12"/>
  <c r="T82" i="12" s="1"/>
  <c r="Z52" i="12"/>
  <c r="Z82" i="12" s="1"/>
  <c r="AV52" i="12"/>
  <c r="AV82" i="12" s="1"/>
  <c r="AP52" i="12"/>
  <c r="AP82" i="12" s="1"/>
  <c r="P52" i="12"/>
  <c r="P82" i="12" s="1"/>
  <c r="AL52" i="12"/>
  <c r="AL82" i="12" s="1"/>
  <c r="H52" i="12"/>
  <c r="H82" i="12" s="1"/>
  <c r="AR52" i="12"/>
  <c r="AR82" i="12" s="1"/>
  <c r="AB52" i="12"/>
  <c r="AB82" i="12" s="1"/>
  <c r="AD52" i="12"/>
  <c r="AD82" i="12" s="1"/>
  <c r="AT52" i="12"/>
  <c r="AT82" i="12" s="1"/>
  <c r="AN52" i="12"/>
  <c r="AN82" i="12" s="1"/>
  <c r="V52" i="12"/>
  <c r="V82" i="12" s="1"/>
  <c r="N52" i="12"/>
  <c r="N82" i="12" s="1"/>
  <c r="R52" i="12"/>
  <c r="R82" i="12" s="1"/>
  <c r="F52" i="12"/>
  <c r="F82" i="12" s="1"/>
  <c r="X52" i="12"/>
  <c r="X82" i="12" s="1"/>
  <c r="AH52" i="12"/>
  <c r="AH82" i="12" s="1"/>
  <c r="L52" i="12"/>
  <c r="L82" i="12" s="1"/>
  <c r="B52" i="12"/>
  <c r="B82" i="12" s="1"/>
  <c r="AJ52" i="11"/>
  <c r="AJ82" i="11" s="1"/>
  <c r="T52" i="11"/>
  <c r="T82" i="11" s="1"/>
  <c r="AP52" i="11"/>
  <c r="AP82" i="11" s="1"/>
  <c r="P52" i="11"/>
  <c r="P82" i="11" s="1"/>
  <c r="J52" i="11"/>
  <c r="J82" i="11" s="1"/>
  <c r="AF52" i="11"/>
  <c r="AF82" i="11" s="1"/>
  <c r="D52" i="11"/>
  <c r="D82" i="11" s="1"/>
  <c r="AV52" i="11"/>
  <c r="AV82" i="11" s="1"/>
  <c r="Z52" i="11"/>
  <c r="Z82" i="11" s="1"/>
  <c r="B52" i="11"/>
  <c r="B82" i="11" s="1"/>
  <c r="AD52" i="11"/>
  <c r="AD82" i="11" s="1"/>
  <c r="AR52" i="11"/>
  <c r="AR82" i="11" s="1"/>
  <c r="X52" i="11"/>
  <c r="X82" i="11" s="1"/>
  <c r="AN52" i="11"/>
  <c r="AN82" i="11" s="1"/>
  <c r="R52" i="11"/>
  <c r="R82" i="11" s="1"/>
  <c r="AB52" i="11"/>
  <c r="AB82" i="11" s="1"/>
  <c r="H52" i="11"/>
  <c r="H82" i="11" s="1"/>
  <c r="V52" i="11"/>
  <c r="V82" i="11" s="1"/>
  <c r="AT52" i="11"/>
  <c r="AT82" i="11" s="1"/>
  <c r="L52" i="11"/>
  <c r="L82" i="11" s="1"/>
  <c r="F52" i="11"/>
  <c r="F82" i="11" s="1"/>
  <c r="N52" i="11"/>
  <c r="N82" i="11" s="1"/>
  <c r="AH52" i="11"/>
  <c r="AH82" i="11" s="1"/>
  <c r="AL52" i="11"/>
  <c r="AL82" i="11" s="1"/>
  <c r="J52" i="24"/>
  <c r="J82" i="24" s="1"/>
  <c r="AB52" i="24"/>
  <c r="AB82" i="24" s="1"/>
  <c r="P52" i="24"/>
  <c r="P82" i="24" s="1"/>
  <c r="Z52" i="24"/>
  <c r="Z82" i="24" s="1"/>
  <c r="D52" i="24"/>
  <c r="D82" i="24" s="1"/>
  <c r="AR52" i="24"/>
  <c r="AR82" i="24" s="1"/>
  <c r="AP52" i="24"/>
  <c r="AP82" i="24" s="1"/>
  <c r="R52" i="24"/>
  <c r="R82" i="24" s="1"/>
  <c r="AH52" i="24"/>
  <c r="AH82" i="24" s="1"/>
  <c r="B52" i="24"/>
  <c r="B82" i="24" s="1"/>
  <c r="T52" i="24"/>
  <c r="T82" i="24" s="1"/>
  <c r="AF52" i="24"/>
  <c r="AF82" i="24" s="1"/>
  <c r="L52" i="24"/>
  <c r="L82" i="24" s="1"/>
  <c r="AV52" i="24"/>
  <c r="AV82" i="24" s="1"/>
  <c r="AL52" i="24"/>
  <c r="AL82" i="24" s="1"/>
  <c r="N52" i="24"/>
  <c r="N82" i="24" s="1"/>
  <c r="AN52" i="24"/>
  <c r="AN82" i="24" s="1"/>
  <c r="V52" i="24"/>
  <c r="V82" i="24" s="1"/>
  <c r="AJ52" i="24"/>
  <c r="AJ82" i="24" s="1"/>
  <c r="X52" i="24"/>
  <c r="X82" i="24" s="1"/>
  <c r="AD52" i="24"/>
  <c r="AD82" i="24" s="1"/>
  <c r="AT52" i="24"/>
  <c r="AT82" i="24" s="1"/>
  <c r="H52" i="24"/>
  <c r="H82" i="24" s="1"/>
  <c r="F52" i="24"/>
  <c r="F82" i="24" s="1"/>
  <c r="Z52" i="18"/>
  <c r="Z82" i="18" s="1"/>
  <c r="J52" i="18"/>
  <c r="J82" i="18" s="1"/>
  <c r="AR52" i="18"/>
  <c r="AR82" i="18" s="1"/>
  <c r="AP52" i="18"/>
  <c r="AP82" i="18" s="1"/>
  <c r="L52" i="18"/>
  <c r="L82" i="18" s="1"/>
  <c r="AB52" i="18"/>
  <c r="AB82" i="18" s="1"/>
  <c r="D52" i="18"/>
  <c r="D82" i="18" s="1"/>
  <c r="T52" i="18"/>
  <c r="T82" i="18" s="1"/>
  <c r="AN52" i="18"/>
  <c r="AN82" i="18" s="1"/>
  <c r="V52" i="18"/>
  <c r="V82" i="18" s="1"/>
  <c r="F52" i="18"/>
  <c r="F82" i="18" s="1"/>
  <c r="H52" i="18"/>
  <c r="H82" i="18" s="1"/>
  <c r="AD52" i="18"/>
  <c r="AD82" i="18" s="1"/>
  <c r="AF52" i="18"/>
  <c r="AF82" i="18" s="1"/>
  <c r="X52" i="18"/>
  <c r="X82" i="18" s="1"/>
  <c r="AV52" i="18"/>
  <c r="AV82" i="18" s="1"/>
  <c r="N52" i="18"/>
  <c r="N82" i="18" s="1"/>
  <c r="B52" i="18"/>
  <c r="B82" i="18" s="1"/>
  <c r="AJ52" i="18"/>
  <c r="AJ82" i="18" s="1"/>
  <c r="R52" i="18"/>
  <c r="R82" i="18" s="1"/>
  <c r="AH52" i="18"/>
  <c r="AH82" i="18" s="1"/>
  <c r="AT52" i="18"/>
  <c r="AT82" i="18" s="1"/>
  <c r="AL52" i="18"/>
  <c r="AL82" i="18" s="1"/>
  <c r="P52" i="18"/>
  <c r="P82" i="18" s="1"/>
  <c r="E57" i="1" l="1"/>
  <c r="G8" i="1" l="1"/>
  <c r="F8" i="1"/>
  <c r="A17" i="23" l="1"/>
  <c r="A18" i="23"/>
  <c r="A19" i="23"/>
  <c r="A20" i="23"/>
  <c r="A21" i="23"/>
  <c r="A22" i="23"/>
  <c r="A23" i="23"/>
  <c r="A24" i="23"/>
  <c r="A25" i="23"/>
  <c r="A26" i="23"/>
  <c r="A16" i="23"/>
  <c r="R19" i="23"/>
  <c r="Q19" i="23"/>
  <c r="P19" i="23"/>
  <c r="O19" i="23"/>
  <c r="B19" i="23" l="1"/>
  <c r="B3" i="39"/>
  <c r="C19" i="23"/>
  <c r="C3" i="39"/>
  <c r="I19" i="23"/>
  <c r="I3" i="39"/>
  <c r="N19" i="23"/>
  <c r="D19" i="23"/>
  <c r="D3" i="39"/>
  <c r="E19" i="23"/>
  <c r="E3" i="39"/>
  <c r="F19" i="23"/>
  <c r="F3" i="39"/>
  <c r="G19" i="23"/>
  <c r="G3" i="39"/>
  <c r="H19" i="23"/>
  <c r="H3" i="39"/>
  <c r="J19" i="23"/>
  <c r="J3" i="39"/>
  <c r="K19" i="23"/>
  <c r="K3" i="39"/>
  <c r="L19" i="23"/>
  <c r="L3" i="39"/>
  <c r="M19" i="23"/>
  <c r="M3" i="39"/>
  <c r="Y20" i="23"/>
  <c r="Y4" i="39"/>
  <c r="V20" i="23"/>
  <c r="V4" i="39"/>
  <c r="X20" i="23"/>
  <c r="X4" i="39"/>
  <c r="M20" i="23"/>
  <c r="M4" i="39"/>
  <c r="S20" i="23"/>
  <c r="S4" i="39"/>
  <c r="G20" i="23"/>
  <c r="G4" i="39"/>
  <c r="H20" i="23"/>
  <c r="H4" i="39"/>
  <c r="I20" i="23"/>
  <c r="I4" i="39"/>
  <c r="K20" i="23"/>
  <c r="K4" i="39"/>
  <c r="L20" i="23"/>
  <c r="L4" i="39"/>
  <c r="O20" i="23"/>
  <c r="O4" i="39"/>
  <c r="Q20" i="23"/>
  <c r="Q4" i="39"/>
  <c r="R20" i="23"/>
  <c r="R4" i="39"/>
  <c r="T20" i="23"/>
  <c r="T4" i="39"/>
  <c r="F20" i="23"/>
  <c r="F4" i="39"/>
  <c r="W20" i="23"/>
  <c r="W4" i="39"/>
  <c r="J20" i="23"/>
  <c r="J4" i="39"/>
  <c r="N20" i="23"/>
  <c r="N4" i="39"/>
  <c r="P20" i="23"/>
  <c r="P4" i="39"/>
  <c r="B20" i="23"/>
  <c r="B4" i="39"/>
  <c r="C20" i="23"/>
  <c r="C4" i="39"/>
  <c r="D20" i="23"/>
  <c r="D4" i="39"/>
  <c r="E20" i="23"/>
  <c r="E4" i="39"/>
  <c r="U20" i="23"/>
  <c r="U4" i="39"/>
  <c r="B51" i="3"/>
  <c r="B81" i="3" s="1"/>
  <c r="AV79" i="3" a="1"/>
  <c r="AV79" i="3" s="1"/>
  <c r="AT79" i="3" a="1"/>
  <c r="AT79" i="3" s="1"/>
  <c r="AR79" i="3" a="1"/>
  <c r="AR79" i="3" s="1"/>
  <c r="AP79" i="3" a="1"/>
  <c r="AP79" i="3" s="1"/>
  <c r="AN79" i="3" a="1"/>
  <c r="AN79" i="3" s="1"/>
  <c r="AL79" i="3" a="1"/>
  <c r="AL79" i="3" s="1"/>
  <c r="AJ79" i="3" a="1"/>
  <c r="AJ79" i="3" s="1"/>
  <c r="AH79" i="3" a="1"/>
  <c r="AH79" i="3" s="1"/>
  <c r="AF79" i="3" a="1"/>
  <c r="AF79" i="3" s="1"/>
  <c r="AD79" i="3" a="1"/>
  <c r="AD79" i="3" s="1"/>
  <c r="AB79" i="3" a="1"/>
  <c r="AB79" i="3" s="1"/>
  <c r="Z79" i="3" a="1"/>
  <c r="Z79" i="3" s="1"/>
  <c r="X79" i="3" a="1"/>
  <c r="X79" i="3" s="1"/>
  <c r="V79" i="3" a="1"/>
  <c r="V79" i="3" s="1"/>
  <c r="T79" i="3" a="1"/>
  <c r="T79" i="3" s="1"/>
  <c r="R79" i="3" a="1"/>
  <c r="R79" i="3" s="1"/>
  <c r="P79" i="3" a="1"/>
  <c r="P79" i="3" s="1"/>
  <c r="N79" i="3" a="1"/>
  <c r="N79" i="3" s="1"/>
  <c r="L79" i="3" a="1"/>
  <c r="L79" i="3" s="1"/>
  <c r="J79" i="3" a="1"/>
  <c r="J79" i="3" s="1"/>
  <c r="H79" i="3" a="1"/>
  <c r="H79" i="3" s="1"/>
  <c r="F79" i="3" a="1"/>
  <c r="F79" i="3" s="1"/>
  <c r="D79" i="3" a="1"/>
  <c r="D79" i="3" s="1"/>
  <c r="B79" i="3" a="1"/>
  <c r="B79" i="3" s="1"/>
  <c r="AV78" i="3" a="1"/>
  <c r="AV78" i="3" s="1"/>
  <c r="AT78" i="3" a="1"/>
  <c r="AT78" i="3" s="1"/>
  <c r="AR78" i="3" a="1"/>
  <c r="AR78" i="3" s="1"/>
  <c r="AP78" i="3" a="1"/>
  <c r="AP78" i="3" s="1"/>
  <c r="AN78" i="3" a="1"/>
  <c r="AN78" i="3" s="1"/>
  <c r="AL78" i="3" a="1"/>
  <c r="AL78" i="3" s="1"/>
  <c r="AJ78" i="3" a="1"/>
  <c r="AJ78" i="3" s="1"/>
  <c r="AH78" i="3" a="1"/>
  <c r="AH78" i="3" s="1"/>
  <c r="AF78" i="3" a="1"/>
  <c r="AF78" i="3" s="1"/>
  <c r="AD78" i="3" a="1"/>
  <c r="AD78" i="3" s="1"/>
  <c r="AB78" i="3" a="1"/>
  <c r="AB78" i="3" s="1"/>
  <c r="Z78" i="3" a="1"/>
  <c r="Z78" i="3" s="1"/>
  <c r="X78" i="3" a="1"/>
  <c r="X78" i="3" s="1"/>
  <c r="V78" i="3"/>
  <c r="V78" i="3" a="1"/>
  <c r="T78" i="3" a="1"/>
  <c r="T78" i="3" s="1"/>
  <c r="R78" i="3" a="1"/>
  <c r="R78" i="3" s="1"/>
  <c r="P78" i="3" a="1"/>
  <c r="P78" i="3" s="1"/>
  <c r="N78" i="3" a="1"/>
  <c r="N78" i="3" s="1"/>
  <c r="L78" i="3" a="1"/>
  <c r="L78" i="3" s="1"/>
  <c r="J78" i="3" a="1"/>
  <c r="J78" i="3" s="1"/>
  <c r="H78" i="3" a="1"/>
  <c r="H78" i="3" s="1"/>
  <c r="F78" i="3" a="1"/>
  <c r="F78" i="3" s="1"/>
  <c r="D78" i="3" a="1"/>
  <c r="D78" i="3" s="1"/>
  <c r="B78" i="3" a="1"/>
  <c r="B78" i="3" s="1"/>
  <c r="AV77" i="3" a="1"/>
  <c r="AV77" i="3" s="1"/>
  <c r="AT77" i="3" a="1"/>
  <c r="AT77" i="3" s="1"/>
  <c r="AR77" i="3" a="1"/>
  <c r="AR77" i="3" s="1"/>
  <c r="AP77" i="3" a="1"/>
  <c r="AP77" i="3" s="1"/>
  <c r="AN77" i="3" a="1"/>
  <c r="AN77" i="3" s="1"/>
  <c r="AL77" i="3" a="1"/>
  <c r="AL77" i="3" s="1"/>
  <c r="AJ77" i="3" a="1"/>
  <c r="AJ77" i="3" s="1"/>
  <c r="AH77" i="3" a="1"/>
  <c r="AH77" i="3" s="1"/>
  <c r="AF77" i="3" a="1"/>
  <c r="AF77" i="3" s="1"/>
  <c r="AD77" i="3" a="1"/>
  <c r="AD77" i="3" s="1"/>
  <c r="AB77" i="3" a="1"/>
  <c r="AB77" i="3" s="1"/>
  <c r="Z77" i="3" a="1"/>
  <c r="Z77" i="3" s="1"/>
  <c r="X77" i="3" a="1"/>
  <c r="X77" i="3" s="1"/>
  <c r="V77" i="3" a="1"/>
  <c r="V77" i="3" s="1"/>
  <c r="T77" i="3" a="1"/>
  <c r="T77" i="3" s="1"/>
  <c r="R77" i="3" a="1"/>
  <c r="R77" i="3" s="1"/>
  <c r="P77" i="3" a="1"/>
  <c r="P77" i="3" s="1"/>
  <c r="N77" i="3" a="1"/>
  <c r="N77" i="3" s="1"/>
  <c r="L77" i="3" a="1"/>
  <c r="L77" i="3" s="1"/>
  <c r="J77" i="3" a="1"/>
  <c r="J77" i="3" s="1"/>
  <c r="H77" i="3" a="1"/>
  <c r="H77" i="3" s="1"/>
  <c r="F77" i="3" a="1"/>
  <c r="F77" i="3" s="1"/>
  <c r="D77" i="3" a="1"/>
  <c r="D77" i="3" s="1"/>
  <c r="B77" i="3" a="1"/>
  <c r="B77" i="3" s="1"/>
  <c r="AV76" i="3" a="1"/>
  <c r="AV76" i="3" s="1"/>
  <c r="AT76" i="3" a="1"/>
  <c r="AT76" i="3" s="1"/>
  <c r="AR76" i="3" a="1"/>
  <c r="AR76" i="3" s="1"/>
  <c r="AP76" i="3" a="1"/>
  <c r="AP76" i="3" s="1"/>
  <c r="AN76" i="3" a="1"/>
  <c r="AN76" i="3" s="1"/>
  <c r="AL76" i="3" a="1"/>
  <c r="AL76" i="3" s="1"/>
  <c r="AJ76" i="3" a="1"/>
  <c r="AJ76" i="3" s="1"/>
  <c r="AH76" i="3" a="1"/>
  <c r="AH76" i="3" s="1"/>
  <c r="AF76" i="3" a="1"/>
  <c r="AF76" i="3" s="1"/>
  <c r="AD76" i="3" a="1"/>
  <c r="AD76" i="3" s="1"/>
  <c r="AB76" i="3" a="1"/>
  <c r="AB76" i="3" s="1"/>
  <c r="Z76" i="3" a="1"/>
  <c r="Z76" i="3" s="1"/>
  <c r="X76" i="3" a="1"/>
  <c r="X76" i="3" s="1"/>
  <c r="V76" i="3"/>
  <c r="V76" i="3" a="1"/>
  <c r="T76" i="3" a="1"/>
  <c r="T76" i="3" s="1"/>
  <c r="R76" i="3" a="1"/>
  <c r="R76" i="3" s="1"/>
  <c r="P76" i="3" a="1"/>
  <c r="P76" i="3" s="1"/>
  <c r="N76" i="3" a="1"/>
  <c r="N76" i="3" s="1"/>
  <c r="L76" i="3" a="1"/>
  <c r="L76" i="3" s="1"/>
  <c r="J76" i="3" a="1"/>
  <c r="J76" i="3" s="1"/>
  <c r="H76" i="3" a="1"/>
  <c r="H76" i="3" s="1"/>
  <c r="F76" i="3" a="1"/>
  <c r="F76" i="3" s="1"/>
  <c r="D76" i="3" a="1"/>
  <c r="D76" i="3" s="1"/>
  <c r="B76" i="3" a="1"/>
  <c r="B76" i="3" s="1"/>
  <c r="AV75" i="3" a="1"/>
  <c r="AV75" i="3" s="1"/>
  <c r="AT75" i="3" a="1"/>
  <c r="AT75" i="3" s="1"/>
  <c r="AR75" i="3" a="1"/>
  <c r="AR75" i="3" s="1"/>
  <c r="AP75" i="3" a="1"/>
  <c r="AP75" i="3" s="1"/>
  <c r="AN75" i="3" a="1"/>
  <c r="AN75" i="3" s="1"/>
  <c r="AL75" i="3"/>
  <c r="AL75" i="3" a="1"/>
  <c r="AJ75" i="3" a="1"/>
  <c r="AJ75" i="3" s="1"/>
  <c r="AH75" i="3" a="1"/>
  <c r="AH75" i="3" s="1"/>
  <c r="AF75" i="3" a="1"/>
  <c r="AF75" i="3" s="1"/>
  <c r="AD75" i="3" a="1"/>
  <c r="AD75" i="3" s="1"/>
  <c r="AB75" i="3" a="1"/>
  <c r="AB75" i="3" s="1"/>
  <c r="Z75" i="3" a="1"/>
  <c r="Z75" i="3" s="1"/>
  <c r="X75" i="3" a="1"/>
  <c r="X75" i="3" s="1"/>
  <c r="V75" i="3" a="1"/>
  <c r="V75" i="3" s="1"/>
  <c r="T75" i="3" a="1"/>
  <c r="T75" i="3" s="1"/>
  <c r="R75" i="3" a="1"/>
  <c r="R75" i="3" s="1"/>
  <c r="P75" i="3" a="1"/>
  <c r="P75" i="3" s="1"/>
  <c r="N75" i="3" a="1"/>
  <c r="N75" i="3" s="1"/>
  <c r="L75" i="3" a="1"/>
  <c r="L75" i="3" s="1"/>
  <c r="J75" i="3" a="1"/>
  <c r="J75" i="3" s="1"/>
  <c r="H75" i="3" a="1"/>
  <c r="H75" i="3" s="1"/>
  <c r="F75" i="3" a="1"/>
  <c r="F75" i="3" s="1"/>
  <c r="D75" i="3" a="1"/>
  <c r="D75" i="3" s="1"/>
  <c r="B75" i="3" a="1"/>
  <c r="B75" i="3" s="1"/>
  <c r="AV74" i="3" a="1"/>
  <c r="AV74" i="3" s="1"/>
  <c r="AT74" i="3" a="1"/>
  <c r="AT74" i="3" s="1"/>
  <c r="AR74" i="3" a="1"/>
  <c r="AR74" i="3" s="1"/>
  <c r="AP74" i="3" a="1"/>
  <c r="AP74" i="3" s="1"/>
  <c r="AN74" i="3" a="1"/>
  <c r="AN74" i="3" s="1"/>
  <c r="AL74" i="3" a="1"/>
  <c r="AL74" i="3" s="1"/>
  <c r="AJ74" i="3" a="1"/>
  <c r="AJ74" i="3" s="1"/>
  <c r="AH74" i="3" a="1"/>
  <c r="AH74" i="3" s="1"/>
  <c r="AF74" i="3" a="1"/>
  <c r="AF74" i="3" s="1"/>
  <c r="AD74" i="3" a="1"/>
  <c r="AD74" i="3" s="1"/>
  <c r="AB74" i="3" a="1"/>
  <c r="AB74" i="3" s="1"/>
  <c r="Z74" i="3" a="1"/>
  <c r="Z74" i="3" s="1"/>
  <c r="X74" i="3" a="1"/>
  <c r="X74" i="3" s="1"/>
  <c r="V74" i="3" a="1"/>
  <c r="V74" i="3" s="1"/>
  <c r="T74" i="3" a="1"/>
  <c r="T74" i="3" s="1"/>
  <c r="R74" i="3" a="1"/>
  <c r="R74" i="3" s="1"/>
  <c r="P74" i="3" a="1"/>
  <c r="P74" i="3" s="1"/>
  <c r="N74" i="3" a="1"/>
  <c r="N74" i="3" s="1"/>
  <c r="L74" i="3" a="1"/>
  <c r="L74" i="3" s="1"/>
  <c r="J74" i="3" a="1"/>
  <c r="J74" i="3" s="1"/>
  <c r="H74" i="3" a="1"/>
  <c r="H74" i="3" s="1"/>
  <c r="F74" i="3" a="1"/>
  <c r="F74" i="3" s="1"/>
  <c r="D74" i="3" a="1"/>
  <c r="D74" i="3" s="1"/>
  <c r="B74" i="3" a="1"/>
  <c r="B74" i="3" s="1"/>
  <c r="AV73" i="3" a="1"/>
  <c r="AV73" i="3" s="1"/>
  <c r="AT73" i="3" a="1"/>
  <c r="AT73" i="3" s="1"/>
  <c r="AR73" i="3" a="1"/>
  <c r="AR73" i="3" s="1"/>
  <c r="AP73" i="3" a="1"/>
  <c r="AP73" i="3" s="1"/>
  <c r="AN73" i="3" a="1"/>
  <c r="AN73" i="3" s="1"/>
  <c r="AL73" i="3"/>
  <c r="AL73" i="3" a="1"/>
  <c r="AJ73" i="3" a="1"/>
  <c r="AJ73" i="3" s="1"/>
  <c r="AH73" i="3" a="1"/>
  <c r="AH73" i="3" s="1"/>
  <c r="AF73" i="3" a="1"/>
  <c r="AF73" i="3" s="1"/>
  <c r="AD73" i="3" a="1"/>
  <c r="AD73" i="3" s="1"/>
  <c r="AB73" i="3" a="1"/>
  <c r="AB73" i="3" s="1"/>
  <c r="Z73" i="3" a="1"/>
  <c r="Z73" i="3" s="1"/>
  <c r="X73" i="3" a="1"/>
  <c r="X73" i="3" s="1"/>
  <c r="V73" i="3" a="1"/>
  <c r="V73" i="3" s="1"/>
  <c r="T73" i="3" a="1"/>
  <c r="T73" i="3" s="1"/>
  <c r="R73" i="3" a="1"/>
  <c r="R73" i="3" s="1"/>
  <c r="P73" i="3" a="1"/>
  <c r="P73" i="3" s="1"/>
  <c r="N73" i="3" a="1"/>
  <c r="N73" i="3" s="1"/>
  <c r="L73" i="3" a="1"/>
  <c r="L73" i="3" s="1"/>
  <c r="J73" i="3" a="1"/>
  <c r="J73" i="3" s="1"/>
  <c r="H73" i="3" a="1"/>
  <c r="H73" i="3" s="1"/>
  <c r="F73" i="3"/>
  <c r="F73" i="3" a="1"/>
  <c r="D73" i="3" a="1"/>
  <c r="D73" i="3" s="1"/>
  <c r="B73" i="3" a="1"/>
  <c r="B73" i="3" s="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c r="AV67" i="3" a="1"/>
  <c r="AT67" i="3" a="1"/>
  <c r="AT67" i="3" s="1"/>
  <c r="AR67" i="3" a="1"/>
  <c r="AR67" i="3" s="1"/>
  <c r="AP67" i="3" a="1"/>
  <c r="AP67" i="3" s="1"/>
  <c r="AN67" i="3" a="1"/>
  <c r="AN67" i="3" s="1"/>
  <c r="AL67" i="3" a="1"/>
  <c r="AL67" i="3" s="1"/>
  <c r="AJ67" i="3" a="1"/>
  <c r="AJ67" i="3" s="1"/>
  <c r="AH67" i="3" a="1"/>
  <c r="AH67" i="3" s="1"/>
  <c r="AF67" i="3" a="1"/>
  <c r="AF67" i="3" s="1"/>
  <c r="AD67" i="3" a="1"/>
  <c r="AD67" i="3" s="1"/>
  <c r="AB67" i="3" a="1"/>
  <c r="AB67" i="3" s="1"/>
  <c r="Z67" i="3" a="1"/>
  <c r="Z67" i="3" s="1"/>
  <c r="X67" i="3"/>
  <c r="X67" i="3" a="1"/>
  <c r="V67" i="3" a="1"/>
  <c r="V67" i="3" s="1"/>
  <c r="T67" i="3" a="1"/>
  <c r="T67" i="3" s="1"/>
  <c r="R67" i="3" a="1"/>
  <c r="R67" i="3" s="1"/>
  <c r="P67" i="3" a="1"/>
  <c r="P67" i="3" s="1"/>
  <c r="N67" i="3" a="1"/>
  <c r="N67" i="3" s="1"/>
  <c r="L67" i="3" a="1"/>
  <c r="L67" i="3" s="1"/>
  <c r="J67" i="3" a="1"/>
  <c r="J67" i="3" s="1"/>
  <c r="H67" i="3" a="1"/>
  <c r="H67" i="3" s="1"/>
  <c r="F67" i="3" a="1"/>
  <c r="F67" i="3" s="1"/>
  <c r="D67" i="3" a="1"/>
  <c r="D67" i="3" s="1"/>
  <c r="B67" i="3" a="1"/>
  <c r="B67" i="3" s="1"/>
  <c r="AV66" i="3" a="1"/>
  <c r="AV66" i="3" s="1"/>
  <c r="AT66" i="3"/>
  <c r="AT66" i="3" a="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s="1"/>
  <c r="J69" i="3" s="1"/>
  <c r="H65" i="3" a="1"/>
  <c r="H65" i="3" s="1"/>
  <c r="H69" i="3" s="1"/>
  <c r="F65" i="3" a="1"/>
  <c r="F65" i="3" s="1"/>
  <c r="F69" i="3" s="1"/>
  <c r="D65" i="3" a="1"/>
  <c r="D65" i="3" s="1"/>
  <c r="D69" i="3" s="1"/>
  <c r="B65" i="3"/>
  <c r="B69" i="3" s="1"/>
  <c r="X68" i="3" l="1"/>
  <c r="Z68" i="3"/>
  <c r="V68" i="3"/>
  <c r="AF68" i="3"/>
  <c r="AT68" i="3"/>
  <c r="B68" i="3"/>
  <c r="AH68" i="3"/>
  <c r="AJ68" i="3"/>
  <c r="AP68" i="3"/>
  <c r="AV68" i="3"/>
  <c r="R68" i="3"/>
  <c r="N68" i="3"/>
  <c r="L68" i="3"/>
  <c r="AD68" i="3"/>
  <c r="T68" i="3"/>
  <c r="P68" i="3"/>
  <c r="F68" i="3"/>
  <c r="AL68" i="3"/>
  <c r="H68" i="3"/>
  <c r="D68" i="3"/>
  <c r="J68" i="3"/>
  <c r="AR68" i="3"/>
  <c r="AB68" i="3"/>
  <c r="AN68" i="3"/>
  <c r="AV62" i="3" l="1"/>
  <c r="AT62" i="3"/>
  <c r="AR62" i="3"/>
  <c r="AP62" i="3"/>
  <c r="AN62" i="3"/>
  <c r="AL62" i="3"/>
  <c r="AJ62" i="3"/>
  <c r="AH62" i="3"/>
  <c r="AF62" i="3"/>
  <c r="AD62" i="3"/>
  <c r="AB62" i="3"/>
  <c r="Z62" i="3"/>
  <c r="X62" i="3"/>
  <c r="V62" i="3"/>
  <c r="T62" i="3"/>
  <c r="R62" i="3"/>
  <c r="P62" i="3"/>
  <c r="N62" i="3"/>
  <c r="L62" i="3"/>
  <c r="J62" i="3"/>
  <c r="H62" i="3"/>
  <c r="F62" i="3"/>
  <c r="D62" i="3"/>
  <c r="B62" i="3"/>
  <c r="AV59" i="3" l="1"/>
  <c r="AT59" i="3"/>
  <c r="AR59" i="3"/>
  <c r="AP59" i="3"/>
  <c r="AN59" i="3"/>
  <c r="AL59" i="3"/>
  <c r="AJ59" i="3"/>
  <c r="AH59" i="3"/>
  <c r="AF59" i="3"/>
  <c r="AD59" i="3"/>
  <c r="AB59" i="3"/>
  <c r="Z59" i="3"/>
  <c r="X59" i="3"/>
  <c r="V59" i="3"/>
  <c r="T59" i="3"/>
  <c r="R59" i="3"/>
  <c r="P59" i="3"/>
  <c r="N59" i="3"/>
  <c r="L59" i="3"/>
  <c r="J59" i="3"/>
  <c r="H59" i="3"/>
  <c r="F59" i="3"/>
  <c r="D59" i="3"/>
  <c r="B59" i="3"/>
  <c r="B43" i="3" l="1"/>
  <c r="AV55" i="3"/>
  <c r="AV80" i="3" s="1"/>
  <c r="AT55" i="3"/>
  <c r="AT80" i="3" s="1"/>
  <c r="AR55" i="3"/>
  <c r="AR80" i="3" s="1"/>
  <c r="AP55" i="3"/>
  <c r="AP80" i="3" s="1"/>
  <c r="AN55" i="3"/>
  <c r="AN80" i="3" s="1"/>
  <c r="AL55" i="3"/>
  <c r="AL80" i="3" s="1"/>
  <c r="AJ55" i="3"/>
  <c r="AJ80" i="3" s="1"/>
  <c r="AH55" i="3"/>
  <c r="AH80" i="3" s="1"/>
  <c r="AF55" i="3"/>
  <c r="AF80" i="3" s="1"/>
  <c r="AD55" i="3"/>
  <c r="AD80" i="3" s="1"/>
  <c r="AB55" i="3"/>
  <c r="AB80" i="3" s="1"/>
  <c r="Z55" i="3"/>
  <c r="Z80" i="3" s="1"/>
  <c r="X55" i="3"/>
  <c r="X80" i="3" s="1"/>
  <c r="V55" i="3"/>
  <c r="V80" i="3" s="1"/>
  <c r="T55" i="3"/>
  <c r="T80" i="3" s="1"/>
  <c r="R55" i="3"/>
  <c r="R80" i="3" s="1"/>
  <c r="P55" i="3"/>
  <c r="P80" i="3" s="1"/>
  <c r="N55" i="3"/>
  <c r="N80" i="3" s="1"/>
  <c r="L55" i="3"/>
  <c r="L80" i="3" s="1"/>
  <c r="J55" i="3"/>
  <c r="J80" i="3" s="1"/>
  <c r="H55" i="3"/>
  <c r="H80" i="3" s="1"/>
  <c r="F55" i="3"/>
  <c r="F80" i="3" s="1"/>
  <c r="D55" i="3"/>
  <c r="D80" i="3" s="1"/>
  <c r="B55" i="3"/>
  <c r="B80" i="3" s="1"/>
  <c r="AV52" i="3" a="1"/>
  <c r="AT52" i="3" a="1"/>
  <c r="AR52" i="3" a="1"/>
  <c r="AP52" i="3" a="1"/>
  <c r="AN52" i="3" a="1"/>
  <c r="AL52" i="3" a="1"/>
  <c r="AJ52" i="3" a="1"/>
  <c r="AH52" i="3" a="1"/>
  <c r="AF52" i="3" a="1"/>
  <c r="AD52" i="3" a="1"/>
  <c r="AB52" i="3" a="1"/>
  <c r="Z52" i="3" a="1"/>
  <c r="X52" i="3" a="1"/>
  <c r="V52" i="3" a="1"/>
  <c r="T52" i="3" a="1"/>
  <c r="R52" i="3" a="1"/>
  <c r="P52" i="3" a="1"/>
  <c r="N52" i="3" a="1"/>
  <c r="L52" i="3" a="1"/>
  <c r="J52" i="3" a="1"/>
  <c r="H52" i="3" a="1"/>
  <c r="F52" i="3" a="1"/>
  <c r="D52" i="3" a="1"/>
  <c r="B52" i="3" a="1"/>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44" i="3"/>
  <c r="Y56" i="23" l="1"/>
  <c r="Y70" i="23" s="1"/>
  <c r="X56" i="23"/>
  <c r="X70" i="23" s="1"/>
  <c r="W56" i="23"/>
  <c r="W70" i="23" s="1"/>
  <c r="V56" i="23"/>
  <c r="V70" i="23" s="1"/>
  <c r="U56" i="23"/>
  <c r="U70" i="23" s="1"/>
  <c r="T56" i="23"/>
  <c r="T70" i="23" s="1"/>
  <c r="S56" i="23"/>
  <c r="S70" i="23" s="1"/>
  <c r="R56" i="23"/>
  <c r="R70" i="23" s="1"/>
  <c r="Q56" i="23"/>
  <c r="Q70" i="23" s="1"/>
  <c r="P56" i="23"/>
  <c r="P70" i="23" s="1"/>
  <c r="O56" i="23"/>
  <c r="O70" i="23" s="1"/>
  <c r="N56" i="23"/>
  <c r="N70" i="23" s="1"/>
  <c r="M56" i="23"/>
  <c r="M70" i="23" s="1"/>
  <c r="L56" i="23"/>
  <c r="L70" i="23" s="1"/>
  <c r="K56" i="23"/>
  <c r="J56" i="23"/>
  <c r="I56" i="23"/>
  <c r="H56" i="23"/>
  <c r="G56" i="23"/>
  <c r="F56" i="23"/>
  <c r="E56" i="23"/>
  <c r="D56" i="23"/>
  <c r="C56" i="23"/>
  <c r="B56" i="23"/>
  <c r="X69" i="23"/>
  <c r="B55"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S52" i="23"/>
  <c r="R52" i="23"/>
  <c r="R66" i="23" s="1"/>
  <c r="Q52" i="23"/>
  <c r="P52" i="23"/>
  <c r="O52" i="23"/>
  <c r="N52" i="23"/>
  <c r="M52" i="23"/>
  <c r="L52" i="23"/>
  <c r="K52" i="23"/>
  <c r="J52" i="23"/>
  <c r="I52" i="23"/>
  <c r="H52" i="23"/>
  <c r="G52" i="23"/>
  <c r="F52" i="23"/>
  <c r="E52" i="23"/>
  <c r="D52" i="23"/>
  <c r="C52" i="23"/>
  <c r="B52" i="23"/>
  <c r="B51" i="23"/>
  <c r="Y49" i="23"/>
  <c r="Y63" i="23" s="1"/>
  <c r="X49" i="23"/>
  <c r="X63" i="23" s="1"/>
  <c r="W49" i="23"/>
  <c r="V49" i="23"/>
  <c r="U49" i="23"/>
  <c r="T49" i="23"/>
  <c r="S49" i="23"/>
  <c r="R49" i="23"/>
  <c r="Q49" i="23"/>
  <c r="P49" i="23"/>
  <c r="O49" i="23"/>
  <c r="N49" i="23"/>
  <c r="M49" i="23"/>
  <c r="L49" i="23"/>
  <c r="K49" i="23"/>
  <c r="J49" i="23"/>
  <c r="I49" i="23"/>
  <c r="H49" i="23"/>
  <c r="G49" i="23"/>
  <c r="F49" i="23"/>
  <c r="E49" i="23"/>
  <c r="D49" i="23"/>
  <c r="C49" i="23"/>
  <c r="B49" i="23"/>
  <c r="Y81" i="23" l="1"/>
  <c r="X81" i="23"/>
  <c r="W81" i="23"/>
  <c r="V81" i="23"/>
  <c r="U81" i="23"/>
  <c r="T81" i="23"/>
  <c r="S81" i="23"/>
  <c r="R81" i="23"/>
  <c r="Q81" i="23"/>
  <c r="P81" i="23"/>
  <c r="O81" i="23"/>
  <c r="N81" i="23"/>
  <c r="M81" i="23"/>
  <c r="L81" i="23"/>
  <c r="K81" i="23"/>
  <c r="J81" i="23"/>
  <c r="I81" i="23"/>
  <c r="H81" i="23"/>
  <c r="G81" i="23"/>
  <c r="F81" i="23"/>
  <c r="E81" i="23"/>
  <c r="D81" i="23"/>
  <c r="C81" i="23"/>
  <c r="B81" i="23"/>
  <c r="Y80" i="23"/>
  <c r="X80" i="23"/>
  <c r="W80" i="23"/>
  <c r="V80" i="23"/>
  <c r="U80" i="23"/>
  <c r="T80" i="23"/>
  <c r="S80" i="23"/>
  <c r="R80" i="23"/>
  <c r="Q80" i="23"/>
  <c r="P80" i="23"/>
  <c r="O80" i="23"/>
  <c r="N80" i="23"/>
  <c r="M80" i="23"/>
  <c r="L80" i="23"/>
  <c r="K80" i="23"/>
  <c r="J80" i="23"/>
  <c r="I80" i="23"/>
  <c r="H80" i="23"/>
  <c r="G80" i="23"/>
  <c r="F80" i="23"/>
  <c r="E80" i="23"/>
  <c r="D80" i="23"/>
  <c r="C80" i="23"/>
  <c r="B80" i="23"/>
  <c r="Y79" i="23"/>
  <c r="X79" i="23"/>
  <c r="W79" i="23"/>
  <c r="V79" i="23"/>
  <c r="U79" i="23"/>
  <c r="T79" i="23"/>
  <c r="S79" i="23"/>
  <c r="R79" i="23"/>
  <c r="Q79" i="23"/>
  <c r="P79" i="23"/>
  <c r="O79" i="23"/>
  <c r="N79" i="23"/>
  <c r="M79" i="23"/>
  <c r="L79" i="23"/>
  <c r="K79" i="23"/>
  <c r="J79" i="23"/>
  <c r="I79" i="23"/>
  <c r="H79" i="23"/>
  <c r="G79" i="23"/>
  <c r="F79" i="23"/>
  <c r="E79" i="23"/>
  <c r="D79" i="23"/>
  <c r="C79" i="23"/>
  <c r="B79" i="23"/>
  <c r="Y78" i="23"/>
  <c r="X78" i="23"/>
  <c r="W78" i="23"/>
  <c r="V78" i="23"/>
  <c r="U78" i="23"/>
  <c r="T78" i="23"/>
  <c r="S78" i="23"/>
  <c r="R78" i="23"/>
  <c r="Q78" i="23"/>
  <c r="P78" i="23"/>
  <c r="O78" i="23"/>
  <c r="N78" i="23"/>
  <c r="M78" i="23"/>
  <c r="L78" i="23"/>
  <c r="K78" i="23"/>
  <c r="J78" i="23"/>
  <c r="I78" i="23"/>
  <c r="H78" i="23"/>
  <c r="G78" i="23"/>
  <c r="F78" i="23"/>
  <c r="E78" i="23"/>
  <c r="D78" i="23"/>
  <c r="C78" i="23"/>
  <c r="B78" i="23"/>
  <c r="Y77" i="23"/>
  <c r="X77" i="23"/>
  <c r="W77" i="23"/>
  <c r="V77" i="23"/>
  <c r="U77" i="23"/>
  <c r="T77" i="23"/>
  <c r="S77" i="23"/>
  <c r="R77" i="23"/>
  <c r="Q77" i="23"/>
  <c r="P77" i="23"/>
  <c r="O77" i="23"/>
  <c r="N77" i="23"/>
  <c r="M77" i="23"/>
  <c r="L77" i="23"/>
  <c r="K77" i="23"/>
  <c r="J77" i="23"/>
  <c r="I77" i="23"/>
  <c r="H77" i="23"/>
  <c r="G77" i="23"/>
  <c r="F77" i="23"/>
  <c r="E77" i="23"/>
  <c r="D77" i="23"/>
  <c r="C77" i="23"/>
  <c r="B77" i="23"/>
  <c r="Y76" i="23"/>
  <c r="X76" i="23"/>
  <c r="W76" i="23"/>
  <c r="V76" i="23"/>
  <c r="U76" i="23"/>
  <c r="T76" i="23"/>
  <c r="S76" i="23"/>
  <c r="R76" i="23"/>
  <c r="Q76" i="23"/>
  <c r="P76" i="23"/>
  <c r="O76" i="23"/>
  <c r="N76" i="23"/>
  <c r="M76" i="23"/>
  <c r="L76" i="23"/>
  <c r="K76" i="23"/>
  <c r="J76" i="23"/>
  <c r="I76" i="23"/>
  <c r="H76" i="23"/>
  <c r="G76" i="23"/>
  <c r="F76" i="23"/>
  <c r="E76" i="23"/>
  <c r="D76" i="23"/>
  <c r="C76" i="23"/>
  <c r="B76" i="23"/>
  <c r="Y75" i="23"/>
  <c r="X75" i="23"/>
  <c r="W75" i="23"/>
  <c r="V75" i="23"/>
  <c r="U75" i="23"/>
  <c r="T75" i="23"/>
  <c r="S75" i="23"/>
  <c r="R75" i="23"/>
  <c r="Q75" i="23"/>
  <c r="P75" i="23"/>
  <c r="O75" i="23"/>
  <c r="N75" i="23"/>
  <c r="M75" i="23"/>
  <c r="L75" i="23"/>
  <c r="K75" i="23"/>
  <c r="J75" i="23"/>
  <c r="I75" i="23"/>
  <c r="H75" i="23"/>
  <c r="G75" i="23"/>
  <c r="F75" i="23"/>
  <c r="E75" i="23"/>
  <c r="D75" i="23"/>
  <c r="C75" i="23"/>
  <c r="B75" i="23"/>
  <c r="Y74" i="23"/>
  <c r="X74" i="23"/>
  <c r="W74" i="23"/>
  <c r="V74" i="23"/>
  <c r="U74" i="23"/>
  <c r="T74" i="23"/>
  <c r="S74" i="23"/>
  <c r="R74" i="23"/>
  <c r="Q74" i="23"/>
  <c r="P74" i="23"/>
  <c r="O74" i="23"/>
  <c r="N74" i="23"/>
  <c r="M74" i="23"/>
  <c r="L74" i="23"/>
  <c r="K74" i="23"/>
  <c r="J74" i="23"/>
  <c r="I74" i="23"/>
  <c r="H74" i="23"/>
  <c r="G74" i="23"/>
  <c r="F74" i="23"/>
  <c r="E74" i="23"/>
  <c r="D74" i="23"/>
  <c r="C74" i="23"/>
  <c r="B74" i="23"/>
  <c r="AT52" i="3" l="1"/>
  <c r="AT82" i="3" s="1"/>
  <c r="AB52" i="3"/>
  <c r="AB82" i="3" s="1"/>
  <c r="J52" i="3"/>
  <c r="J82" i="3" s="1"/>
  <c r="L52" i="3"/>
  <c r="L82" i="3" s="1"/>
  <c r="B52" i="3"/>
  <c r="B82" i="3" s="1"/>
  <c r="AJ52" i="3"/>
  <c r="AJ82" i="3" s="1"/>
  <c r="R52" i="3"/>
  <c r="R82" i="3" s="1"/>
  <c r="AD52" i="3"/>
  <c r="AD82" i="3" s="1"/>
  <c r="T52" i="3"/>
  <c r="T82" i="3" s="1"/>
  <c r="AR52" i="3"/>
  <c r="AR82" i="3" s="1"/>
  <c r="Z52" i="3"/>
  <c r="Z82" i="3" s="1"/>
  <c r="AH52" i="3"/>
  <c r="AH82" i="3" s="1"/>
  <c r="F52" i="3"/>
  <c r="F82" i="3" s="1"/>
  <c r="AL52" i="3"/>
  <c r="AL82" i="3" s="1"/>
  <c r="AP52" i="3"/>
  <c r="AP82" i="3" s="1"/>
  <c r="N52" i="3"/>
  <c r="N82" i="3" s="1"/>
  <c r="V52" i="3"/>
  <c r="V82" i="3" s="1"/>
  <c r="D52" i="3"/>
  <c r="D82" i="3" s="1"/>
  <c r="X52" i="3"/>
  <c r="X82" i="3" s="1"/>
  <c r="AN52" i="3"/>
  <c r="AN82" i="3" s="1"/>
  <c r="H52" i="3"/>
  <c r="H82" i="3" s="1"/>
  <c r="AF52" i="3"/>
  <c r="AF82" i="3" s="1"/>
  <c r="AV52" i="3"/>
  <c r="AV82" i="3" s="1"/>
  <c r="P52" i="3"/>
  <c r="P82" i="3" s="1"/>
  <c r="AV46" i="3"/>
  <c r="AV45" i="3"/>
  <c r="AV44" i="3"/>
  <c r="AV43" i="3" a="1"/>
  <c r="AV43" i="3" s="1"/>
  <c r="AV42" i="3"/>
  <c r="AT42" i="3"/>
  <c r="AR42" i="3"/>
  <c r="AP42" i="3"/>
  <c r="AN42" i="3"/>
  <c r="AL42" i="3"/>
  <c r="AJ42" i="3"/>
  <c r="AH42" i="3"/>
  <c r="AF42" i="3"/>
  <c r="AD42" i="3"/>
  <c r="AB42" i="3"/>
  <c r="Z42" i="3"/>
  <c r="X42" i="3"/>
  <c r="V42" i="3"/>
  <c r="T42" i="3"/>
  <c r="R42" i="3"/>
  <c r="P42" i="3"/>
  <c r="N42" i="3"/>
  <c r="L42" i="3"/>
  <c r="J42" i="3"/>
  <c r="H42" i="3"/>
  <c r="F42" i="3"/>
  <c r="D42" i="3"/>
  <c r="B42" i="3"/>
  <c r="AV49" i="3" l="1"/>
  <c r="AT49" i="3"/>
  <c r="AR49" i="3"/>
  <c r="AP49" i="3"/>
  <c r="AN49" i="3"/>
  <c r="AL49" i="3"/>
  <c r="AJ49" i="3"/>
  <c r="AH49" i="3"/>
  <c r="AF49" i="3"/>
  <c r="AD49" i="3"/>
  <c r="AB49" i="3"/>
  <c r="Z49" i="3"/>
  <c r="X49" i="3"/>
  <c r="V49" i="3"/>
  <c r="T49" i="3"/>
  <c r="R49" i="3"/>
  <c r="P49" i="3"/>
  <c r="N49" i="3"/>
  <c r="L49" i="3"/>
  <c r="J49" i="3"/>
  <c r="H49" i="3"/>
  <c r="F49" i="3"/>
  <c r="D49" i="3"/>
  <c r="B49" i="3"/>
  <c r="AV48" i="3"/>
  <c r="AT48" i="3"/>
  <c r="AR48" i="3"/>
  <c r="AP48" i="3"/>
  <c r="AN48" i="3"/>
  <c r="AL48" i="3"/>
  <c r="AJ48" i="3"/>
  <c r="AH48" i="3"/>
  <c r="AF48" i="3"/>
  <c r="AD48" i="3"/>
  <c r="AB48" i="3"/>
  <c r="Z48" i="3"/>
  <c r="X48" i="3"/>
  <c r="V48" i="3"/>
  <c r="T48" i="3"/>
  <c r="R48" i="3"/>
  <c r="P48" i="3"/>
  <c r="N48" i="3"/>
  <c r="L48" i="3"/>
  <c r="J48" i="3"/>
  <c r="H48" i="3"/>
  <c r="F48" i="3"/>
  <c r="D48" i="3"/>
  <c r="B48" i="3"/>
  <c r="AV45" i="36" l="1"/>
  <c r="AT45" i="36"/>
  <c r="AR45" i="36"/>
  <c r="AP45" i="36"/>
  <c r="AN45" i="36"/>
  <c r="AL45" i="36"/>
  <c r="AJ45" i="36"/>
  <c r="AH45" i="36"/>
  <c r="AF45" i="36"/>
  <c r="AD45" i="36"/>
  <c r="AB45" i="36"/>
  <c r="Z45" i="36"/>
  <c r="X45" i="36"/>
  <c r="V45" i="36"/>
  <c r="T45" i="36"/>
  <c r="R45" i="36"/>
  <c r="P45" i="36"/>
  <c r="N45" i="36"/>
  <c r="L45" i="36"/>
  <c r="J45" i="36"/>
  <c r="H45" i="36"/>
  <c r="F45" i="36"/>
  <c r="D45" i="36"/>
  <c r="B45" i="36"/>
  <c r="AT44" i="36"/>
  <c r="AR44" i="36"/>
  <c r="AP44" i="36"/>
  <c r="AN44" i="36"/>
  <c r="AL44" i="36"/>
  <c r="AJ44" i="36"/>
  <c r="AH44" i="36"/>
  <c r="AF44" i="36"/>
  <c r="AD44" i="36"/>
  <c r="AB44" i="36"/>
  <c r="Z44" i="36"/>
  <c r="X44" i="36"/>
  <c r="V44" i="36"/>
  <c r="T44" i="36"/>
  <c r="R44" i="36"/>
  <c r="P44" i="36"/>
  <c r="N44" i="36"/>
  <c r="L44" i="36"/>
  <c r="J44" i="36"/>
  <c r="H44" i="36"/>
  <c r="F44" i="36"/>
  <c r="D44" i="36"/>
  <c r="B44" i="36"/>
  <c r="AT43" i="36"/>
  <c r="AR43" i="36"/>
  <c r="AP43" i="36"/>
  <c r="AN43" i="36"/>
  <c r="AL43" i="36"/>
  <c r="AJ43" i="36"/>
  <c r="AH43" i="36"/>
  <c r="AF43" i="36"/>
  <c r="AD43" i="36"/>
  <c r="AB43" i="36"/>
  <c r="Z43" i="36"/>
  <c r="X43" i="36"/>
  <c r="V43" i="36"/>
  <c r="T43" i="36"/>
  <c r="R43" i="36"/>
  <c r="P43" i="36"/>
  <c r="N43" i="36"/>
  <c r="L43" i="36"/>
  <c r="J43" i="36"/>
  <c r="H43" i="36"/>
  <c r="F43" i="36"/>
  <c r="D43" i="36"/>
  <c r="B43" i="36"/>
  <c r="AT42" i="36" a="1"/>
  <c r="AT42" i="36" s="1"/>
  <c r="AR42" i="36" a="1"/>
  <c r="AR42" i="36" s="1"/>
  <c r="AP42" i="36" a="1"/>
  <c r="AP42" i="36" s="1"/>
  <c r="AN42" i="36" a="1"/>
  <c r="AN42" i="36" s="1"/>
  <c r="AL42" i="36" a="1"/>
  <c r="AL42" i="36" s="1"/>
  <c r="AJ42" i="36" a="1"/>
  <c r="AJ42" i="36" s="1"/>
  <c r="AH42" i="36" a="1"/>
  <c r="AH42" i="36" s="1"/>
  <c r="AF42" i="36" a="1"/>
  <c r="AF42" i="36" s="1"/>
  <c r="AD42" i="36" a="1"/>
  <c r="AD42" i="36" s="1"/>
  <c r="AB42" i="36" a="1"/>
  <c r="AB42" i="36" s="1"/>
  <c r="Z42" i="36" a="1"/>
  <c r="Z42" i="36" s="1"/>
  <c r="X42" i="36" a="1"/>
  <c r="X42" i="36" s="1"/>
  <c r="V42" i="36" a="1"/>
  <c r="V42" i="36" s="1"/>
  <c r="T42" i="36" a="1"/>
  <c r="T42" i="36" s="1"/>
  <c r="R42" i="36" a="1"/>
  <c r="R42" i="36" s="1"/>
  <c r="P42" i="36" a="1"/>
  <c r="P42" i="36" s="1"/>
  <c r="N42" i="36" a="1"/>
  <c r="N42" i="36" s="1"/>
  <c r="L42" i="36" a="1"/>
  <c r="L42" i="36" s="1"/>
  <c r="J42" i="36" a="1"/>
  <c r="J42" i="36" s="1"/>
  <c r="H42" i="36" a="1"/>
  <c r="H42" i="36" s="1"/>
  <c r="F42" i="36" a="1"/>
  <c r="F42" i="36" s="1"/>
  <c r="D42" i="36" a="1"/>
  <c r="D42" i="36" s="1"/>
  <c r="B42" i="36" a="1"/>
  <c r="B42" i="36" s="1"/>
  <c r="AT41" i="36"/>
  <c r="AR41" i="36"/>
  <c r="AP41" i="36"/>
  <c r="AN41" i="36"/>
  <c r="AL41" i="36"/>
  <c r="AJ41" i="36"/>
  <c r="AH41" i="36"/>
  <c r="AF41" i="36"/>
  <c r="AD41" i="36"/>
  <c r="AB41" i="36"/>
  <c r="Z41" i="36"/>
  <c r="X41" i="36"/>
  <c r="V41" i="36"/>
  <c r="T41" i="36"/>
  <c r="R41" i="36"/>
  <c r="P41" i="36"/>
  <c r="N41" i="36"/>
  <c r="L41" i="36"/>
  <c r="J41" i="36"/>
  <c r="H41" i="36"/>
  <c r="F41" i="36"/>
  <c r="D41" i="36"/>
  <c r="B41" i="36"/>
  <c r="D52" i="2" l="1"/>
  <c r="AT46" i="3" l="1"/>
  <c r="AR46" i="3"/>
  <c r="AP46" i="3"/>
  <c r="AN46" i="3"/>
  <c r="AL46" i="3"/>
  <c r="AJ46" i="3"/>
  <c r="AH46" i="3"/>
  <c r="AF46" i="3"/>
  <c r="AD46" i="3"/>
  <c r="AB46" i="3"/>
  <c r="Z46" i="3"/>
  <c r="X46" i="3"/>
  <c r="V46" i="3"/>
  <c r="T46" i="3"/>
  <c r="R46" i="3"/>
  <c r="P46" i="3"/>
  <c r="N46" i="3"/>
  <c r="L46" i="3"/>
  <c r="J46" i="3"/>
  <c r="H46" i="3"/>
  <c r="F46" i="3"/>
  <c r="D46" i="3"/>
  <c r="B46" i="3"/>
  <c r="K25" i="23" l="1"/>
  <c r="K9" i="39"/>
  <c r="R25" i="23"/>
  <c r="R9" i="39"/>
  <c r="J25" i="23"/>
  <c r="J9" i="39"/>
  <c r="L25" i="23"/>
  <c r="L9" i="39"/>
  <c r="N25" i="23"/>
  <c r="N9" i="39"/>
  <c r="P25" i="23"/>
  <c r="P9" i="39"/>
  <c r="B25" i="23"/>
  <c r="B9" i="39"/>
  <c r="S25" i="23"/>
  <c r="S9" i="39"/>
  <c r="T25" i="23"/>
  <c r="T9" i="39"/>
  <c r="U25" i="23"/>
  <c r="U9" i="39"/>
  <c r="V25" i="23"/>
  <c r="X25" i="23"/>
  <c r="M25" i="23"/>
  <c r="M9" i="39"/>
  <c r="O25" i="23"/>
  <c r="O9" i="39"/>
  <c r="Q25" i="23"/>
  <c r="Q9" i="39"/>
  <c r="C25" i="23"/>
  <c r="C9" i="39"/>
  <c r="D25" i="23"/>
  <c r="D9" i="39"/>
  <c r="E25" i="23"/>
  <c r="E9" i="39"/>
  <c r="F25" i="23"/>
  <c r="F9" i="39"/>
  <c r="G25" i="23"/>
  <c r="G9" i="39"/>
  <c r="W25" i="23"/>
  <c r="H25" i="23"/>
  <c r="H9" i="39"/>
  <c r="I25" i="23"/>
  <c r="I9" i="39"/>
  <c r="Y25" i="23"/>
  <c r="C43" i="2"/>
  <c r="C52" i="1" l="1" a="1"/>
  <c r="C52" i="1" s="1"/>
  <c r="D52" i="1" l="1"/>
  <c r="H25" i="1" s="1" a="1"/>
  <c r="C52" i="2"/>
  <c r="V24" i="23" l="1"/>
  <c r="H24" i="23"/>
  <c r="H8" i="39"/>
  <c r="C24" i="23"/>
  <c r="C8" i="39"/>
  <c r="N24" i="23"/>
  <c r="N8" i="39"/>
  <c r="W24" i="23"/>
  <c r="X24" i="23"/>
  <c r="Y24" i="23"/>
  <c r="J24" i="23"/>
  <c r="J8" i="39"/>
  <c r="K24" i="23"/>
  <c r="K8" i="39"/>
  <c r="M24" i="23"/>
  <c r="M8" i="39"/>
  <c r="O24" i="23"/>
  <c r="O8" i="39"/>
  <c r="D24" i="23"/>
  <c r="D8" i="39"/>
  <c r="F24" i="23"/>
  <c r="F8" i="39"/>
  <c r="G24" i="23"/>
  <c r="G8" i="39"/>
  <c r="I24" i="23"/>
  <c r="I8" i="39"/>
  <c r="B24" i="23"/>
  <c r="B8" i="39"/>
  <c r="L24" i="23"/>
  <c r="L8" i="39"/>
  <c r="P24" i="23"/>
  <c r="Q24" i="23"/>
  <c r="Q8" i="39"/>
  <c r="R24" i="23"/>
  <c r="S24" i="23"/>
  <c r="T24" i="23"/>
  <c r="E24" i="23"/>
  <c r="E8" i="39"/>
  <c r="U24" i="23"/>
  <c r="H27" i="1" a="1"/>
  <c r="H27" i="1" s="1"/>
  <c r="H28" i="1" a="1"/>
  <c r="H28" i="1" s="1"/>
  <c r="H29" i="1" a="1"/>
  <c r="H29" i="1" s="1"/>
  <c r="F39" i="1" a="1"/>
  <c r="F39" i="1" s="1"/>
  <c r="H26" i="1"/>
  <c r="I25" i="1"/>
  <c r="H25" i="1"/>
  <c r="I26" i="1"/>
  <c r="C43" i="1" a="1"/>
  <c r="C42" i="1" a="1"/>
  <c r="I29" i="1"/>
  <c r="I28" i="1"/>
  <c r="I27" i="1"/>
  <c r="AV60" i="3"/>
  <c r="AF60" i="3"/>
  <c r="P60" i="3"/>
  <c r="B56" i="3"/>
  <c r="N60" i="3"/>
  <c r="Z60" i="3"/>
  <c r="X60" i="3"/>
  <c r="V60" i="3"/>
  <c r="AH60" i="3"/>
  <c r="AT60" i="3"/>
  <c r="AD60" i="3"/>
  <c r="AB60" i="3"/>
  <c r="J60" i="3"/>
  <c r="H60" i="3"/>
  <c r="AJ60" i="3"/>
  <c r="B60" i="3"/>
  <c r="AR60" i="3"/>
  <c r="L60" i="3"/>
  <c r="AN60" i="3"/>
  <c r="D60" i="3"/>
  <c r="AP60" i="3"/>
  <c r="AL60" i="3"/>
  <c r="F60" i="3"/>
  <c r="R60" i="3"/>
  <c r="T60" i="3"/>
  <c r="AJ56" i="3"/>
  <c r="T56" i="3"/>
  <c r="D56" i="3"/>
  <c r="V56" i="3"/>
  <c r="AH56" i="3"/>
  <c r="R56" i="3"/>
  <c r="H56" i="3"/>
  <c r="AV56" i="3"/>
  <c r="AF56" i="3"/>
  <c r="P56" i="3"/>
  <c r="AT56" i="3"/>
  <c r="AD56" i="3"/>
  <c r="N56" i="3"/>
  <c r="AL56" i="3"/>
  <c r="AR56" i="3"/>
  <c r="AB56" i="3"/>
  <c r="L56" i="3"/>
  <c r="X56" i="3"/>
  <c r="AP56" i="3"/>
  <c r="Z56" i="3"/>
  <c r="J56" i="3"/>
  <c r="AN56" i="3"/>
  <c r="F56" i="3"/>
  <c r="D120" i="1"/>
  <c r="C41" i="1" a="1"/>
  <c r="W69" i="23"/>
  <c r="V69" i="23"/>
  <c r="U69" i="23"/>
  <c r="T69" i="23"/>
  <c r="S69" i="23"/>
  <c r="R69" i="23"/>
  <c r="Q69" i="23"/>
  <c r="P69" i="23"/>
  <c r="O69" i="23"/>
  <c r="N69" i="23"/>
  <c r="M69" i="23"/>
  <c r="L69" i="23"/>
  <c r="K69" i="23"/>
  <c r="J69" i="23"/>
  <c r="I69" i="23"/>
  <c r="H69" i="23"/>
  <c r="G69" i="23"/>
  <c r="F69" i="23"/>
  <c r="E69" i="23"/>
  <c r="D69" i="23"/>
  <c r="C69" i="23"/>
  <c r="B69" i="23"/>
  <c r="K70" i="23"/>
  <c r="J70" i="23"/>
  <c r="I70" i="23"/>
  <c r="H70" i="23"/>
  <c r="G70" i="23"/>
  <c r="F70" i="23"/>
  <c r="E70" i="23"/>
  <c r="D70" i="23"/>
  <c r="C70" i="23"/>
  <c r="B70" i="23"/>
  <c r="N68" i="23"/>
  <c r="M68" i="23"/>
  <c r="L68" i="23"/>
  <c r="K68" i="23"/>
  <c r="I68" i="23"/>
  <c r="H68" i="23"/>
  <c r="G68" i="23"/>
  <c r="F68" i="23"/>
  <c r="E68" i="23"/>
  <c r="D68" i="23"/>
  <c r="C68" i="23"/>
  <c r="B68" i="23"/>
  <c r="A64" i="23"/>
  <c r="A51" i="23"/>
  <c r="A65" i="23" s="1"/>
  <c r="A52" i="23"/>
  <c r="A66" i="23" s="1"/>
  <c r="A53" i="23"/>
  <c r="A67" i="23" s="1"/>
  <c r="A54" i="23"/>
  <c r="A68" i="23" s="1"/>
  <c r="A69" i="23"/>
  <c r="A70" i="23"/>
  <c r="A49" i="23"/>
  <c r="A63" i="23" s="1"/>
  <c r="K67" i="23"/>
  <c r="J67" i="23"/>
  <c r="I67" i="23"/>
  <c r="H67" i="23"/>
  <c r="G67" i="23"/>
  <c r="F67" i="23"/>
  <c r="E67" i="23"/>
  <c r="D67" i="23"/>
  <c r="C67" i="23"/>
  <c r="B67" i="23"/>
  <c r="Q66" i="23"/>
  <c r="P66" i="23"/>
  <c r="O66" i="23"/>
  <c r="N66" i="23"/>
  <c r="M66" i="23"/>
  <c r="L66" i="23"/>
  <c r="K66" i="23"/>
  <c r="J66" i="23"/>
  <c r="I66" i="23"/>
  <c r="H66" i="23"/>
  <c r="G66" i="23"/>
  <c r="F66" i="23"/>
  <c r="E66" i="23"/>
  <c r="D66" i="23"/>
  <c r="C66" i="23"/>
  <c r="B66" i="23"/>
  <c r="J65" i="23"/>
  <c r="I65" i="23"/>
  <c r="H65" i="23"/>
  <c r="G65" i="23"/>
  <c r="F65" i="23"/>
  <c r="E65" i="23"/>
  <c r="D65" i="23"/>
  <c r="C65" i="23"/>
  <c r="B65" i="23"/>
  <c r="Q64" i="23"/>
  <c r="P64" i="23"/>
  <c r="O64" i="23"/>
  <c r="N64" i="23"/>
  <c r="M64" i="23"/>
  <c r="L64" i="23"/>
  <c r="K64" i="23"/>
  <c r="J64" i="23"/>
  <c r="I64" i="23"/>
  <c r="H64" i="23"/>
  <c r="G64" i="23"/>
  <c r="F64" i="23"/>
  <c r="E64" i="23"/>
  <c r="D64" i="23"/>
  <c r="C64" i="23"/>
  <c r="B64" i="23"/>
  <c r="W63" i="23"/>
  <c r="V63" i="23"/>
  <c r="U63" i="23"/>
  <c r="T63" i="23"/>
  <c r="S63" i="23"/>
  <c r="R63" i="23"/>
  <c r="Q63" i="23"/>
  <c r="P63" i="23"/>
  <c r="O63" i="23"/>
  <c r="N63" i="23"/>
  <c r="M63" i="23"/>
  <c r="L63" i="23"/>
  <c r="K63" i="23"/>
  <c r="I63" i="23"/>
  <c r="H63" i="23"/>
  <c r="G63" i="23"/>
  <c r="F63" i="23"/>
  <c r="E63" i="23"/>
  <c r="D63" i="23"/>
  <c r="C63" i="23"/>
  <c r="B63" i="23"/>
  <c r="J68" i="23"/>
  <c r="G39" i="1" l="1"/>
  <c r="C43" i="1"/>
  <c r="D43" i="1"/>
  <c r="C41" i="1"/>
  <c r="D41" i="1"/>
  <c r="D42" i="1"/>
  <c r="C42" i="1"/>
  <c r="J63" i="23"/>
  <c r="X23" i="23"/>
  <c r="K22" i="23"/>
  <c r="J22" i="23"/>
  <c r="I22" i="23"/>
  <c r="H22" i="23"/>
  <c r="G22" i="23"/>
  <c r="T21" i="23"/>
  <c r="S21" i="23"/>
  <c r="R21" i="23"/>
  <c r="Q21" i="23"/>
  <c r="P21" i="23"/>
  <c r="O21" i="23"/>
  <c r="L21" i="23" l="1"/>
  <c r="L5" i="39"/>
  <c r="M21" i="23"/>
  <c r="M5" i="39"/>
  <c r="N21" i="23"/>
  <c r="N5" i="39"/>
  <c r="B21" i="23"/>
  <c r="B5" i="39"/>
  <c r="C21" i="23"/>
  <c r="C5" i="39"/>
  <c r="D21" i="23"/>
  <c r="D5" i="39"/>
  <c r="E21" i="23"/>
  <c r="E5" i="39"/>
  <c r="F21" i="23"/>
  <c r="F5" i="39"/>
  <c r="G21" i="23"/>
  <c r="G5" i="39"/>
  <c r="H21" i="23"/>
  <c r="H5" i="39"/>
  <c r="I21" i="23"/>
  <c r="I5" i="39"/>
  <c r="J21" i="23"/>
  <c r="J5" i="39"/>
  <c r="K21" i="23"/>
  <c r="K5" i="39"/>
  <c r="Q23" i="23"/>
  <c r="B23" i="23"/>
  <c r="B7" i="39"/>
  <c r="R23" i="23"/>
  <c r="C23" i="23"/>
  <c r="C7" i="39"/>
  <c r="S23" i="23"/>
  <c r="D23" i="23"/>
  <c r="D7" i="39"/>
  <c r="T23" i="23"/>
  <c r="E23" i="23"/>
  <c r="E7" i="39"/>
  <c r="U23" i="23"/>
  <c r="F23" i="23"/>
  <c r="F7" i="39"/>
  <c r="V23" i="23"/>
  <c r="G23" i="23"/>
  <c r="G7" i="39"/>
  <c r="W23" i="23"/>
  <c r="H23" i="23"/>
  <c r="H7" i="39"/>
  <c r="I23" i="23"/>
  <c r="I7" i="39"/>
  <c r="J23" i="23"/>
  <c r="K23" i="23"/>
  <c r="L23" i="23"/>
  <c r="M23" i="23"/>
  <c r="N23" i="23"/>
  <c r="O23" i="23"/>
  <c r="P23" i="23"/>
  <c r="D22" i="23"/>
  <c r="D6" i="39"/>
  <c r="C22" i="23"/>
  <c r="C6" i="39"/>
  <c r="F22" i="23"/>
  <c r="F6" i="39"/>
  <c r="B22" i="23"/>
  <c r="B6" i="39"/>
  <c r="E22" i="23"/>
  <c r="E6" i="39"/>
  <c r="F18" i="23"/>
  <c r="F2" i="39"/>
  <c r="W18" i="23"/>
  <c r="W2" i="39"/>
  <c r="H18" i="23"/>
  <c r="H2" i="39"/>
  <c r="I18" i="23"/>
  <c r="I2" i="39"/>
  <c r="K18" i="23"/>
  <c r="K2" i="39"/>
  <c r="L18" i="23"/>
  <c r="L2" i="39"/>
  <c r="M18" i="23"/>
  <c r="M2" i="39"/>
  <c r="P18" i="23"/>
  <c r="P2" i="39"/>
  <c r="B18" i="23"/>
  <c r="B2" i="39"/>
  <c r="T18" i="23"/>
  <c r="T2" i="39"/>
  <c r="V18" i="23"/>
  <c r="V2" i="39"/>
  <c r="G18" i="23"/>
  <c r="G2" i="39"/>
  <c r="X18" i="23"/>
  <c r="X2" i="39"/>
  <c r="Y18" i="23"/>
  <c r="Y2" i="39"/>
  <c r="J18" i="23"/>
  <c r="J2" i="39"/>
  <c r="N18" i="23"/>
  <c r="N2" i="39"/>
  <c r="O18" i="23"/>
  <c r="O2" i="39"/>
  <c r="Q18" i="23"/>
  <c r="Q2" i="39"/>
  <c r="R18" i="23"/>
  <c r="R2" i="39"/>
  <c r="C18" i="23"/>
  <c r="C2" i="39"/>
  <c r="S18" i="23"/>
  <c r="S2" i="39"/>
  <c r="D18" i="23"/>
  <c r="D2" i="39"/>
  <c r="E18" i="23"/>
  <c r="E2" i="39"/>
  <c r="U18" i="23"/>
  <c r="U2" i="39"/>
  <c r="AT45" i="3"/>
  <c r="AR45" i="3"/>
  <c r="AP45" i="3"/>
  <c r="AN45" i="3"/>
  <c r="AL45" i="3"/>
  <c r="AJ45" i="3"/>
  <c r="AH45" i="3"/>
  <c r="AF45" i="3"/>
  <c r="AD45" i="3"/>
  <c r="AB45" i="3"/>
  <c r="Z45" i="3"/>
  <c r="X45" i="3"/>
  <c r="V45" i="3"/>
  <c r="T45" i="3"/>
  <c r="R45" i="3"/>
  <c r="P45" i="3"/>
  <c r="N45" i="3"/>
  <c r="L45" i="3"/>
  <c r="J45" i="3"/>
  <c r="H45" i="3"/>
  <c r="F45" i="3"/>
  <c r="D45" i="3"/>
  <c r="B45" i="3"/>
  <c r="AT44" i="3"/>
  <c r="AR44" i="3"/>
  <c r="AP44" i="3"/>
  <c r="AN44" i="3"/>
  <c r="AL44" i="3"/>
  <c r="AJ44" i="3"/>
  <c r="AH44" i="3"/>
  <c r="AF44" i="3"/>
  <c r="AD44" i="3"/>
  <c r="AB44" i="3"/>
  <c r="Z44" i="3"/>
  <c r="X44" i="3"/>
  <c r="V44" i="3"/>
  <c r="T44" i="3"/>
  <c r="R44" i="3"/>
  <c r="P44" i="3"/>
  <c r="N44" i="3"/>
  <c r="L44" i="3"/>
  <c r="J44" i="3"/>
  <c r="H44" i="3"/>
  <c r="F44" i="3"/>
  <c r="D44" i="3"/>
  <c r="C118" i="1" l="1" a="1"/>
  <c r="C118" i="1" s="1"/>
  <c r="C45" i="2" a="1"/>
  <c r="D45" i="2" s="1"/>
  <c r="C34" i="2" a="1"/>
  <c r="C34" i="2" s="1"/>
  <c r="D118" i="1" l="1"/>
  <c r="C45" i="2"/>
  <c r="D34" i="2"/>
  <c r="C37" i="2" l="1" a="1"/>
  <c r="C37" i="2" s="1"/>
  <c r="D37" i="2" l="1"/>
  <c r="C80" i="1" a="1"/>
  <c r="C80" i="1" s="1"/>
  <c r="C115" i="1" a="1"/>
  <c r="D115" i="1" s="1"/>
  <c r="C46" i="1" a="1"/>
  <c r="C46" i="1" s="1"/>
  <c r="D80" i="1" l="1"/>
  <c r="C115" i="1"/>
  <c r="D46" i="1"/>
  <c r="AT43" i="3" l="1" a="1"/>
  <c r="AT43" i="3" s="1"/>
  <c r="AR43" i="3" a="1"/>
  <c r="AR43" i="3" s="1"/>
  <c r="AP43" i="3" a="1"/>
  <c r="AP43" i="3" s="1"/>
  <c r="AN43" i="3" a="1"/>
  <c r="AN43" i="3" s="1"/>
  <c r="AL43" i="3" a="1"/>
  <c r="AL43" i="3" s="1"/>
  <c r="C33" i="2" l="1"/>
  <c r="C31" i="2"/>
  <c r="D31" i="2" l="1"/>
  <c r="D33" i="2"/>
  <c r="C23" i="2" a="1"/>
  <c r="C38" i="1" l="1" a="1"/>
  <c r="C38" i="1" s="1"/>
  <c r="C30" i="1" a="1"/>
  <c r="C30" i="1" s="1"/>
  <c r="H30" i="1" a="1"/>
  <c r="H30" i="1" s="1"/>
  <c r="C100" i="1" a="1"/>
  <c r="D100" i="1" s="1"/>
  <c r="D38" i="1" l="1"/>
  <c r="D30" i="1"/>
  <c r="C44" i="1" s="1" a="1"/>
  <c r="I30" i="1"/>
  <c r="C100" i="1"/>
  <c r="C44" i="1" l="1"/>
  <c r="D44" i="1"/>
  <c r="L9" i="1" a="1"/>
  <c r="C22" i="2" a="1"/>
  <c r="C22" i="2" s="1"/>
  <c r="L9" i="1" l="1"/>
  <c r="M9" i="1"/>
  <c r="D22" i="2"/>
  <c r="C30" i="2" s="1" a="1"/>
  <c r="AJ43" i="3" a="1"/>
  <c r="AJ43" i="3" s="1"/>
  <c r="AH43" i="3" a="1"/>
  <c r="AH43" i="3" s="1"/>
  <c r="AF43" i="3" a="1"/>
  <c r="AF43" i="3" s="1"/>
  <c r="AD43" i="3" a="1"/>
  <c r="AD43" i="3" s="1"/>
  <c r="AB43" i="3" a="1"/>
  <c r="AB43" i="3" s="1"/>
  <c r="Z43" i="3" a="1"/>
  <c r="Z43" i="3" s="1"/>
  <c r="X43" i="3" a="1"/>
  <c r="X43" i="3" s="1"/>
  <c r="V43" i="3" a="1"/>
  <c r="V43" i="3" s="1"/>
  <c r="T43" i="3" a="1"/>
  <c r="T43" i="3" s="1"/>
  <c r="R43" i="3" a="1"/>
  <c r="R43" i="3" s="1"/>
  <c r="P43" i="3" a="1"/>
  <c r="P43" i="3" s="1"/>
  <c r="N43" i="3" a="1"/>
  <c r="N43" i="3" s="1"/>
  <c r="L43" i="3" a="1"/>
  <c r="L43" i="3" s="1"/>
  <c r="J43" i="3" a="1"/>
  <c r="J43" i="3" s="1"/>
  <c r="H43" i="3" a="1"/>
  <c r="H43" i="3" s="1"/>
  <c r="F43" i="3" a="1"/>
  <c r="F43" i="3" s="1"/>
  <c r="D43" i="3" a="1"/>
  <c r="D43" i="3" s="1"/>
  <c r="D30" i="2" l="1"/>
  <c r="C30" i="2"/>
  <c r="C39" i="2" l="1" a="1"/>
  <c r="C21" i="2" a="1"/>
  <c r="C116" i="1" a="1"/>
  <c r="C116" i="1" s="1"/>
  <c r="C114" i="1" a="1"/>
  <c r="D114" i="1" s="1"/>
  <c r="D116" i="1" l="1"/>
  <c r="C114" i="1"/>
  <c r="X38" i="23" l="1"/>
  <c r="X89" i="23" s="1"/>
  <c r="W38" i="23"/>
  <c r="W89" i="23" s="1"/>
  <c r="V38" i="23"/>
  <c r="V89" i="23" s="1"/>
  <c r="U38" i="23"/>
  <c r="U89" i="23" s="1"/>
  <c r="T38" i="23"/>
  <c r="T89" i="23" s="1"/>
  <c r="AT22" i="23" l="1"/>
  <c r="AB23" i="23"/>
  <c r="AY23" i="23"/>
  <c r="AX23" i="23"/>
  <c r="AW23" i="23"/>
  <c r="AV23" i="23"/>
  <c r="AU23" i="23"/>
  <c r="AT23" i="23"/>
  <c r="AS23" i="23"/>
  <c r="AR23" i="23"/>
  <c r="AQ23" i="23"/>
  <c r="AP23" i="23"/>
  <c r="AO23" i="23"/>
  <c r="AN23" i="23"/>
  <c r="AM23" i="23"/>
  <c r="AL23" i="23"/>
  <c r="AK23" i="23"/>
  <c r="AJ23" i="23"/>
  <c r="AI23" i="23"/>
  <c r="AH23" i="23"/>
  <c r="AG23" i="23"/>
  <c r="AF23" i="23"/>
  <c r="AE23" i="23"/>
  <c r="AD23" i="23"/>
  <c r="AC23" i="23"/>
  <c r="S38" i="23"/>
  <c r="S89" i="23" s="1"/>
  <c r="R38" i="23"/>
  <c r="R89" i="23" s="1"/>
  <c r="Q38" i="23"/>
  <c r="Q89" i="23" s="1"/>
  <c r="P38" i="23"/>
  <c r="P89" i="23" s="1"/>
  <c r="O38" i="23"/>
  <c r="O89" i="23" s="1"/>
  <c r="N38" i="23"/>
  <c r="N89" i="23" s="1"/>
  <c r="M38" i="23"/>
  <c r="M89" i="23" s="1"/>
  <c r="L38" i="23"/>
  <c r="L89" i="23" s="1"/>
  <c r="K38" i="23"/>
  <c r="K89" i="23" s="1"/>
  <c r="J38" i="23"/>
  <c r="J89" i="23" s="1"/>
  <c r="I38" i="23"/>
  <c r="I89" i="23" s="1"/>
  <c r="H38" i="23"/>
  <c r="H89" i="23" s="1"/>
  <c r="G38" i="23"/>
  <c r="G89" i="23" s="1"/>
  <c r="F38" i="23"/>
  <c r="F89" i="23" s="1"/>
  <c r="E38" i="23"/>
  <c r="E89" i="23" s="1"/>
  <c r="D38" i="23"/>
  <c r="D89" i="23" s="1"/>
  <c r="C38" i="23"/>
  <c r="C89" i="23" s="1"/>
  <c r="B38" i="23"/>
  <c r="B89" i="23" s="1"/>
  <c r="Y37" i="23"/>
  <c r="Y88" i="23" s="1"/>
  <c r="X37" i="23"/>
  <c r="X88" i="23" s="1"/>
  <c r="W37" i="23"/>
  <c r="W88" i="23" s="1"/>
  <c r="V37" i="23"/>
  <c r="V88" i="23" s="1"/>
  <c r="U37" i="23"/>
  <c r="U88" i="23" s="1"/>
  <c r="T37" i="23"/>
  <c r="T88" i="23" s="1"/>
  <c r="S37" i="23"/>
  <c r="S88" i="23" s="1"/>
  <c r="R37" i="23"/>
  <c r="R88" i="23" s="1"/>
  <c r="Q37" i="23"/>
  <c r="Q88" i="23" s="1"/>
  <c r="P37" i="23"/>
  <c r="P88" i="23" s="1"/>
  <c r="O37" i="23"/>
  <c r="O88" i="23" s="1"/>
  <c r="N37" i="23"/>
  <c r="N88" i="23" s="1"/>
  <c r="M37" i="23"/>
  <c r="M88" i="23" s="1"/>
  <c r="L37" i="23"/>
  <c r="L88" i="23" s="1"/>
  <c r="K37" i="23"/>
  <c r="K88" i="23" s="1"/>
  <c r="J37" i="23"/>
  <c r="J88" i="23" s="1"/>
  <c r="I37" i="23"/>
  <c r="I88" i="23" s="1"/>
  <c r="H37" i="23"/>
  <c r="H88" i="23" s="1"/>
  <c r="G37" i="23"/>
  <c r="G88" i="23" s="1"/>
  <c r="F37" i="23"/>
  <c r="F88" i="23" s="1"/>
  <c r="E37" i="23"/>
  <c r="E88" i="23" s="1"/>
  <c r="D37" i="23"/>
  <c r="D88" i="23" s="1"/>
  <c r="C37" i="23"/>
  <c r="C88" i="23" s="1"/>
  <c r="B37" i="23"/>
  <c r="B88" i="23" s="1"/>
  <c r="Y34" i="23"/>
  <c r="Y85" i="23" s="1"/>
  <c r="X34" i="23"/>
  <c r="X85" i="23" s="1"/>
  <c r="W34" i="23"/>
  <c r="W85" i="23" s="1"/>
  <c r="V34" i="23"/>
  <c r="V85" i="23" s="1"/>
  <c r="U34" i="23"/>
  <c r="U85" i="23" s="1"/>
  <c r="T34" i="23"/>
  <c r="T85" i="23" s="1"/>
  <c r="S34" i="23"/>
  <c r="S85" i="23" s="1"/>
  <c r="R34" i="23"/>
  <c r="R85" i="23" s="1"/>
  <c r="Q34" i="23"/>
  <c r="Q85" i="23" s="1"/>
  <c r="P34" i="23"/>
  <c r="P85" i="23" s="1"/>
  <c r="O34" i="23"/>
  <c r="O85" i="23" s="1"/>
  <c r="N34" i="23"/>
  <c r="N85" i="23" s="1"/>
  <c r="M34" i="23"/>
  <c r="M85" i="23" s="1"/>
  <c r="L34" i="23"/>
  <c r="L85" i="23" s="1"/>
  <c r="K34" i="23"/>
  <c r="K85" i="23" s="1"/>
  <c r="J34" i="23"/>
  <c r="J85" i="23" s="1"/>
  <c r="I34" i="23"/>
  <c r="I85" i="23" s="1"/>
  <c r="H34" i="23"/>
  <c r="H85" i="23" s="1"/>
  <c r="G34" i="23"/>
  <c r="G85" i="23" s="1"/>
  <c r="F34" i="23"/>
  <c r="F85" i="23" s="1"/>
  <c r="E34" i="23"/>
  <c r="E85" i="23" s="1"/>
  <c r="D34" i="23"/>
  <c r="D85" i="23" s="1"/>
  <c r="C34" i="23"/>
  <c r="C85" i="23" s="1"/>
  <c r="AS22" i="23"/>
  <c r="AR22" i="23"/>
  <c r="AQ22" i="23"/>
  <c r="AP22" i="23"/>
  <c r="AO22" i="23"/>
  <c r="AN22" i="23"/>
  <c r="AM22" i="23"/>
  <c r="AL22" i="23"/>
  <c r="AK22" i="23"/>
  <c r="AJ22" i="23"/>
  <c r="AI22" i="23"/>
  <c r="AH22" i="23"/>
  <c r="AG22" i="23"/>
  <c r="AF22" i="23"/>
  <c r="AE22" i="23"/>
  <c r="AD22" i="23"/>
  <c r="AC22" i="23"/>
  <c r="AB22" i="23"/>
  <c r="AP21" i="23"/>
  <c r="AO21" i="23"/>
  <c r="AN21" i="23"/>
  <c r="AM21" i="23"/>
  <c r="AL21" i="23"/>
  <c r="AK21" i="23"/>
  <c r="AJ21" i="23"/>
  <c r="AI21" i="23"/>
  <c r="AH21" i="23"/>
  <c r="AG21" i="23"/>
  <c r="AF21" i="23"/>
  <c r="AE21" i="23"/>
  <c r="AD21" i="23"/>
  <c r="AC21" i="23"/>
  <c r="AB21" i="23"/>
  <c r="AY18" i="23"/>
  <c r="AX18" i="23"/>
  <c r="AW18" i="23"/>
  <c r="AV18" i="23"/>
  <c r="AU18" i="23"/>
  <c r="AT18" i="23"/>
  <c r="AS18" i="23"/>
  <c r="AR18" i="23"/>
  <c r="AQ18" i="23"/>
  <c r="AP18" i="23"/>
  <c r="AO18" i="23"/>
  <c r="AN18" i="23"/>
  <c r="AM18" i="23"/>
  <c r="AL18" i="23"/>
  <c r="AK18" i="23"/>
  <c r="AJ18" i="23"/>
  <c r="AI18" i="23"/>
  <c r="AH18" i="23"/>
  <c r="AG18" i="23"/>
  <c r="AF18" i="23"/>
  <c r="AE18" i="23"/>
  <c r="AD18" i="23"/>
  <c r="AC18" i="23"/>
  <c r="AB18" i="23"/>
  <c r="AT20" i="23"/>
  <c r="AS20" i="23"/>
  <c r="AR20" i="23"/>
  <c r="AQ20" i="23"/>
  <c r="AP20" i="23"/>
  <c r="AO20" i="23"/>
  <c r="AN20" i="23"/>
  <c r="AM20" i="23"/>
  <c r="AL20" i="23"/>
  <c r="AK20" i="23"/>
  <c r="AJ20" i="23"/>
  <c r="AI20" i="23"/>
  <c r="AH20" i="23"/>
  <c r="AG20" i="23"/>
  <c r="AF20" i="23"/>
  <c r="AE20" i="23"/>
  <c r="AD20" i="23"/>
  <c r="AC20" i="23"/>
  <c r="AB20" i="23"/>
  <c r="AY19" i="23"/>
  <c r="AX19" i="23"/>
  <c r="AW19" i="23"/>
  <c r="AV19" i="23"/>
  <c r="AU19" i="23"/>
  <c r="AT19" i="23"/>
  <c r="AS19" i="23"/>
  <c r="AR19" i="23"/>
  <c r="AQ19" i="23"/>
  <c r="AP19" i="23"/>
  <c r="AO19" i="23"/>
  <c r="AN19" i="23"/>
  <c r="AM19" i="23"/>
  <c r="AL19" i="23"/>
  <c r="AK19" i="23"/>
  <c r="AJ19" i="23"/>
  <c r="AI19" i="23"/>
  <c r="AH19" i="23"/>
  <c r="AG19" i="23"/>
  <c r="AF19" i="23"/>
  <c r="AE19" i="23"/>
  <c r="AD19" i="23"/>
  <c r="AC19" i="23"/>
  <c r="AB19" i="23"/>
  <c r="C3" i="2" l="1" a="1"/>
  <c r="C10" i="2" l="1"/>
  <c r="C6" i="2"/>
  <c r="D11" i="2"/>
  <c r="D9" i="2"/>
  <c r="D7" i="2"/>
  <c r="D5" i="2"/>
  <c r="D10" i="2"/>
  <c r="D8" i="2"/>
  <c r="D6" i="2"/>
  <c r="C8" i="2"/>
  <c r="C11" i="2"/>
  <c r="C9" i="2"/>
  <c r="C7" i="2"/>
  <c r="C5" i="2"/>
  <c r="C45" i="1" l="1" a="1"/>
  <c r="C45" i="1" s="1"/>
  <c r="D45" i="1" l="1"/>
  <c r="L5" i="1" s="1" a="1"/>
  <c r="W56" i="2" l="1"/>
  <c r="U56" i="2"/>
  <c r="Y56" i="2"/>
  <c r="C122" i="1" a="1"/>
  <c r="L5" i="1"/>
  <c r="M5" i="1"/>
  <c r="C122" i="1" l="1"/>
  <c r="D122" i="1"/>
  <c r="C90" i="1" a="1"/>
  <c r="D90" i="1" s="1"/>
  <c r="C85" i="1" a="1"/>
  <c r="D85" i="1" s="1"/>
  <c r="C90" i="1" l="1"/>
  <c r="C85" i="1"/>
  <c r="C32" i="1" l="1" a="1"/>
  <c r="C32" i="1" l="1"/>
  <c r="C47" i="1" s="1" a="1"/>
  <c r="D32" i="1"/>
  <c r="D47" i="1" l="1"/>
  <c r="C47" i="1"/>
  <c r="E3" i="2" a="1"/>
  <c r="C48" i="1" l="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F82" i="1" a="1"/>
  <c r="F82" i="1" s="1"/>
  <c r="K34" i="1" l="1" a="1"/>
  <c r="K34" i="1" s="1"/>
  <c r="G82" i="1"/>
  <c r="F83" i="1" s="1" a="1"/>
  <c r="L34" i="1" l="1"/>
  <c r="F83" i="1"/>
  <c r="G83" i="1"/>
  <c r="C3" i="2" l="1"/>
  <c r="F12" i="1"/>
  <c r="F3" i="2"/>
  <c r="G4" i="2"/>
  <c r="E4" i="2"/>
  <c r="C59" i="1"/>
  <c r="H3" i="2"/>
  <c r="D3" i="2"/>
  <c r="C4" i="2"/>
  <c r="D4" i="2"/>
  <c r="F4" i="2"/>
  <c r="G3" i="2"/>
  <c r="I4" i="1"/>
  <c r="D12" i="1"/>
  <c r="E3" i="2"/>
  <c r="H4" i="2"/>
  <c r="I3" i="1"/>
  <c r="G12" i="1"/>
  <c r="C12" i="1"/>
  <c r="C37" i="1" l="1" a="1"/>
  <c r="D37" i="1" s="1"/>
  <c r="D12" i="2"/>
  <c r="D14" i="1"/>
  <c r="G12" i="2"/>
  <c r="F12" i="2"/>
  <c r="C14" i="1"/>
  <c r="C12" i="2"/>
  <c r="I4" i="2"/>
  <c r="D14" i="2" s="1"/>
  <c r="I3" i="2"/>
  <c r="C14" i="2" l="1"/>
  <c r="C37" i="1"/>
  <c r="C70" i="1" s="1" a="1"/>
  <c r="D70" i="1" l="1"/>
  <c r="C70" i="1"/>
  <c r="D71" i="1"/>
  <c r="C71" i="1"/>
  <c r="C123" i="1" a="1"/>
  <c r="C51" i="1" a="1"/>
  <c r="H72" i="1" a="1"/>
  <c r="C72" i="1" a="1"/>
  <c r="H73" i="1" a="1"/>
  <c r="C73" i="1" a="1"/>
  <c r="O12" i="1" a="1"/>
  <c r="C123" i="1" l="1"/>
  <c r="D123" i="1"/>
  <c r="C51" i="1"/>
  <c r="D51" i="1"/>
  <c r="C73" i="1"/>
  <c r="D73" i="1"/>
  <c r="I73" i="1"/>
  <c r="H73" i="1"/>
  <c r="P12" i="1"/>
  <c r="O12" i="1"/>
  <c r="D72" i="1"/>
  <c r="C72" i="1"/>
  <c r="H72" i="1"/>
  <c r="I72" i="1"/>
  <c r="K73" i="1" l="1" a="1"/>
  <c r="L73" i="1" s="1"/>
  <c r="L7" i="1" a="1"/>
  <c r="C50" i="1" a="1"/>
  <c r="H45" i="1" a="1"/>
  <c r="H46" i="1" a="1"/>
  <c r="C51" i="2" a="1"/>
  <c r="K72" i="1" a="1"/>
  <c r="K73" i="1" l="1"/>
  <c r="M7" i="1"/>
  <c r="L7" i="1"/>
  <c r="C51" i="2"/>
  <c r="D51" i="2"/>
  <c r="I46" i="1"/>
  <c r="H46" i="1"/>
  <c r="K72" i="1"/>
  <c r="L72" i="1"/>
  <c r="I45" i="1"/>
  <c r="H45" i="1"/>
  <c r="D50" i="1"/>
  <c r="C50" i="1"/>
  <c r="AJ58" i="3" l="1" a="1"/>
  <c r="AJ58" i="3" s="1"/>
  <c r="D58" i="3" a="1"/>
  <c r="AF58" i="3" a="1"/>
  <c r="AF58" i="3" s="1"/>
  <c r="AB58" i="3" a="1"/>
  <c r="Z58" i="3" a="1"/>
  <c r="Z58" i="3" s="1"/>
  <c r="X58" i="3" a="1"/>
  <c r="X58" i="3" s="1"/>
  <c r="V58" i="3" a="1"/>
  <c r="V58" i="3" s="1"/>
  <c r="T58" i="3" a="1"/>
  <c r="T58" i="3" s="1"/>
  <c r="R58" i="3" a="1"/>
  <c r="R58" i="3" s="1"/>
  <c r="AV58" i="3" a="1"/>
  <c r="AT58" i="3" a="1"/>
  <c r="AT58" i="3" s="1"/>
  <c r="AR58" i="3" a="1"/>
  <c r="AR58" i="3" s="1"/>
  <c r="J58" i="3" a="1"/>
  <c r="J58" i="3" s="1"/>
  <c r="H58" i="3" a="1"/>
  <c r="H58" i="3" s="1"/>
  <c r="AL58" i="3" a="1"/>
  <c r="AL58" i="3" s="1"/>
  <c r="AH58" i="3" a="1"/>
  <c r="AH58" i="3" s="1"/>
  <c r="B58" i="3" a="1"/>
  <c r="B58" i="3" s="1"/>
  <c r="AD58" i="3" a="1"/>
  <c r="AD58" i="3" s="1"/>
  <c r="P58" i="3" a="1"/>
  <c r="N58" i="3" a="1"/>
  <c r="L58" i="3" a="1"/>
  <c r="AP58" i="3" a="1"/>
  <c r="AP58" i="3" s="1"/>
  <c r="AN58" i="3" a="1"/>
  <c r="AN58" i="3" s="1"/>
  <c r="F58" i="3" a="1"/>
  <c r="F58" i="3" s="1"/>
  <c r="AB58" i="3"/>
  <c r="P58" i="3"/>
  <c r="N58" i="3"/>
  <c r="L58" i="3"/>
  <c r="AV58" i="3"/>
  <c r="D58" i="3"/>
  <c r="L6" i="1" a="1"/>
  <c r="L6" i="1" s="1"/>
  <c r="K45" i="1" a="1"/>
  <c r="L45" i="1" s="1"/>
  <c r="K46" i="1" a="1"/>
  <c r="L46" i="1" s="1"/>
  <c r="H32" i="1" a="1"/>
  <c r="C50" i="2" a="1"/>
  <c r="M6" i="1" l="1"/>
  <c r="K45" i="1"/>
  <c r="K46" i="1"/>
  <c r="I32" i="1"/>
  <c r="H32" i="1"/>
  <c r="D50" i="2"/>
  <c r="C50" i="2"/>
  <c r="T57" i="3" l="1" a="1"/>
  <c r="AV57" i="3" a="1"/>
  <c r="N57" i="3" a="1"/>
  <c r="N57" i="3" s="1"/>
  <c r="AR57" i="3" a="1"/>
  <c r="AR57" i="3" s="1"/>
  <c r="J57" i="3" a="1"/>
  <c r="J57" i="3" s="1"/>
  <c r="AN57" i="3" a="1"/>
  <c r="AN57" i="3" s="1"/>
  <c r="AL57" i="3" a="1"/>
  <c r="AJ57" i="3" a="1"/>
  <c r="AJ57" i="3" s="1"/>
  <c r="AH57" i="3" a="1"/>
  <c r="AH57" i="3" s="1"/>
  <c r="Z57" i="3" a="1"/>
  <c r="X57" i="3" a="1"/>
  <c r="X57" i="3" s="1"/>
  <c r="R57" i="3" a="1"/>
  <c r="R57" i="3" s="1"/>
  <c r="P57" i="3" a="1"/>
  <c r="P57" i="3" s="1"/>
  <c r="AT57" i="3" a="1"/>
  <c r="AT57" i="3" s="1"/>
  <c r="L57" i="3" a="1"/>
  <c r="L57" i="3" s="1"/>
  <c r="AP57" i="3" a="1"/>
  <c r="AP57" i="3" s="1"/>
  <c r="H57" i="3" a="1"/>
  <c r="H57" i="3" s="1"/>
  <c r="F57" i="3" a="1"/>
  <c r="D57" i="3" a="1"/>
  <c r="B57" i="3" a="1"/>
  <c r="B57" i="3" s="1"/>
  <c r="AF57" i="3" a="1"/>
  <c r="AF57" i="3" s="1"/>
  <c r="AD57" i="3" a="1"/>
  <c r="AD57" i="3" s="1"/>
  <c r="AB57" i="3" a="1"/>
  <c r="V57" i="3" a="1"/>
  <c r="V57" i="3" s="1"/>
  <c r="AV57" i="3"/>
  <c r="F57" i="3"/>
  <c r="AL57" i="3"/>
  <c r="D57" i="3"/>
  <c r="Z57" i="3"/>
  <c r="T57" i="3"/>
  <c r="AB57" i="3"/>
  <c r="K32" i="1" a="1"/>
  <c r="K32" i="1" s="1"/>
  <c r="K30" i="1" a="1"/>
  <c r="Q3" i="1" a="1"/>
  <c r="Q4" i="1" s="1"/>
  <c r="C32" i="2" a="1"/>
  <c r="L32" i="1" l="1"/>
  <c r="Q3" i="1"/>
  <c r="L30" i="1"/>
  <c r="K30" i="1"/>
  <c r="C25" i="1" l="1" a="1"/>
  <c r="D25" i="1" l="1"/>
  <c r="C25" i="1"/>
  <c r="C26" i="1" l="1"/>
  <c r="C93" i="1" s="1" a="1"/>
  <c r="D26" i="1"/>
  <c r="K25" i="1" l="1" a="1"/>
  <c r="C88" i="1" a="1"/>
  <c r="D88" i="1" s="1"/>
  <c r="C87" i="1" a="1"/>
  <c r="C87" i="1" s="1"/>
  <c r="C92" i="1" a="1"/>
  <c r="D92" i="1" s="1"/>
  <c r="L3" i="1" a="1"/>
  <c r="L4" i="1" s="1"/>
  <c r="C93" i="1"/>
  <c r="D93" i="1"/>
  <c r="C92" i="1" l="1"/>
  <c r="H70" i="1" s="1" a="1"/>
  <c r="I70" i="1" s="1"/>
  <c r="M3" i="1"/>
  <c r="L3" i="1"/>
  <c r="D87" i="1"/>
  <c r="M4" i="1"/>
  <c r="C88" i="1"/>
  <c r="H71" i="1" s="1" a="1"/>
  <c r="I71" i="1" l="1"/>
  <c r="H70" i="1"/>
  <c r="H71" i="1"/>
  <c r="H21" i="1" a="1"/>
  <c r="H48" i="1" a="1"/>
  <c r="F92" i="1" a="1"/>
  <c r="F87" i="1" a="1"/>
  <c r="H47" i="1" a="1"/>
  <c r="H35" i="1" a="1"/>
  <c r="K70" i="1" l="1" a="1"/>
  <c r="L70" i="1" s="1"/>
  <c r="H47" i="1"/>
  <c r="I47" i="1"/>
  <c r="G92" i="1"/>
  <c r="F92" i="1"/>
  <c r="I48" i="1"/>
  <c r="H48" i="1"/>
  <c r="H21" i="1"/>
  <c r="I21" i="1"/>
  <c r="I35" i="1"/>
  <c r="H35" i="1"/>
  <c r="G87" i="1"/>
  <c r="F87" i="1"/>
  <c r="K71" i="1" l="1"/>
  <c r="K70" i="1"/>
  <c r="L71" i="1"/>
  <c r="K21" i="1" a="1"/>
  <c r="L21" i="1" s="1"/>
  <c r="K48" i="1" a="1"/>
  <c r="L48" i="1" s="1"/>
  <c r="F88" i="1" a="1"/>
  <c r="F88" i="1" s="1"/>
  <c r="F93" i="1" a="1"/>
  <c r="F93" i="1" s="1"/>
  <c r="K35" i="1" a="1"/>
  <c r="K35" i="1" s="1"/>
  <c r="K47" i="1" a="1"/>
  <c r="L47" i="1" s="1"/>
  <c r="K21" i="1" l="1"/>
  <c r="K47" i="1"/>
  <c r="G93" i="1"/>
  <c r="K48" i="1"/>
  <c r="L35" i="1"/>
  <c r="G88" i="1"/>
  <c r="K26" i="1" l="1"/>
  <c r="K25" i="1" l="1"/>
  <c r="L25" i="1"/>
  <c r="C27" i="1" a="1"/>
  <c r="C39" i="1" a="1"/>
  <c r="C120" i="1"/>
  <c r="H39" i="1" a="1"/>
  <c r="L26" i="1"/>
  <c r="I39" i="1" l="1"/>
  <c r="H39" i="1"/>
  <c r="D39" i="1"/>
  <c r="C39" i="1"/>
  <c r="C27" i="1"/>
  <c r="D27" i="1"/>
  <c r="L10" i="1" l="1" a="1"/>
  <c r="M10" i="1" s="1"/>
  <c r="H55" i="1" a="1"/>
  <c r="H55" i="1" s="1"/>
  <c r="C40" i="1" a="1"/>
  <c r="C119" i="1" a="1"/>
  <c r="H23" i="1" a="1"/>
  <c r="K39" i="1" a="1"/>
  <c r="K27" i="1" a="1"/>
  <c r="L27" i="1" s="1"/>
  <c r="C29" i="1" a="1"/>
  <c r="C29" i="1" s="1"/>
  <c r="C28" i="1" a="1"/>
  <c r="C28" i="1" s="1"/>
  <c r="N3" i="1" a="1"/>
  <c r="K27" i="1"/>
  <c r="L10" i="1" l="1"/>
  <c r="I23" i="1"/>
  <c r="H23" i="1"/>
  <c r="K23" i="1" s="1" a="1"/>
  <c r="C119" i="1"/>
  <c r="D119" i="1"/>
  <c r="K39" i="1"/>
  <c r="L39" i="1"/>
  <c r="C40" i="1"/>
  <c r="D40" i="1"/>
  <c r="D28" i="1"/>
  <c r="D29" i="1"/>
  <c r="K29" i="1" s="1" a="1"/>
  <c r="C107" i="1"/>
  <c r="N4" i="1"/>
  <c r="N3" i="1"/>
  <c r="C77" i="1" l="1" a="1"/>
  <c r="C78" i="1" a="1"/>
  <c r="C104" i="1"/>
  <c r="C105" i="1"/>
  <c r="L23" i="1"/>
  <c r="K23"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I41" i="1"/>
  <c r="H41" i="1" a="1"/>
  <c r="H41" i="1" s="1"/>
  <c r="F104" i="1"/>
  <c r="D78" i="1"/>
  <c r="C78" i="1"/>
  <c r="D77" i="1"/>
  <c r="C77" i="1"/>
  <c r="P4" i="1"/>
  <c r="R4" i="1" s="1"/>
  <c r="C62" i="2"/>
  <c r="K55" i="1" a="1"/>
  <c r="K55" i="1" s="1"/>
  <c r="K28" i="1"/>
  <c r="L28" i="1"/>
  <c r="K42" i="1" a="1"/>
  <c r="L42" i="1" s="1"/>
  <c r="O3" i="1"/>
  <c r="R3" i="1" s="1"/>
  <c r="M12" i="1"/>
  <c r="L12" i="1"/>
  <c r="F77" i="1" l="1" a="1"/>
  <c r="H40" i="1" a="1"/>
  <c r="H38" i="1" a="1"/>
  <c r="C66" i="2"/>
  <c r="M14" i="1"/>
  <c r="K43" i="1" a="1"/>
  <c r="L43" i="1" s="1"/>
  <c r="K42" i="1"/>
  <c r="L14"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43" i="1"/>
  <c r="AJ53" i="35" l="1"/>
  <c r="AJ83" i="35" s="1"/>
  <c r="J53" i="35"/>
  <c r="J83" i="35" s="1"/>
  <c r="AF53" i="35"/>
  <c r="AF83" i="35" s="1"/>
  <c r="D53" i="35"/>
  <c r="D83" i="35" s="1"/>
  <c r="T53" i="35"/>
  <c r="T83" i="35" s="1"/>
  <c r="Z53" i="35"/>
  <c r="Z83" i="35" s="1"/>
  <c r="AV53" i="35"/>
  <c r="AV83" i="35" s="1"/>
  <c r="AP53" i="35"/>
  <c r="AP83" i="35" s="1"/>
  <c r="P53" i="35"/>
  <c r="P83" i="35" s="1"/>
  <c r="F53" i="35"/>
  <c r="F83" i="35" s="1"/>
  <c r="AD53" i="35"/>
  <c r="AD83" i="35" s="1"/>
  <c r="H53" i="35"/>
  <c r="H83" i="35" s="1"/>
  <c r="X53" i="35"/>
  <c r="X83" i="35" s="1"/>
  <c r="B53" i="35"/>
  <c r="B83" i="35" s="1"/>
  <c r="AH53" i="35"/>
  <c r="AH83" i="35" s="1"/>
  <c r="AL53" i="35"/>
  <c r="AL83" i="35" s="1"/>
  <c r="AT53" i="35"/>
  <c r="AT83" i="35" s="1"/>
  <c r="AN53" i="35"/>
  <c r="AN83" i="35" s="1"/>
  <c r="AB53" i="35"/>
  <c r="AB83" i="35" s="1"/>
  <c r="AR53" i="35"/>
  <c r="AR83" i="35" s="1"/>
  <c r="L53" i="35"/>
  <c r="L83" i="35" s="1"/>
  <c r="N53" i="35"/>
  <c r="N83" i="35" s="1"/>
  <c r="R53" i="35"/>
  <c r="R83" i="35" s="1"/>
  <c r="V53" i="35"/>
  <c r="V83" i="35" s="1"/>
  <c r="AV53" i="38"/>
  <c r="AV83" i="38" s="1"/>
  <c r="D53" i="38"/>
  <c r="D83" i="38" s="1"/>
  <c r="AJ53" i="38"/>
  <c r="AJ83" i="38" s="1"/>
  <c r="Z53" i="38"/>
  <c r="Z83" i="38" s="1"/>
  <c r="AT53" i="38"/>
  <c r="AT83" i="38" s="1"/>
  <c r="AP53" i="38"/>
  <c r="AP83" i="38" s="1"/>
  <c r="T53" i="38"/>
  <c r="T83" i="38" s="1"/>
  <c r="P53" i="38"/>
  <c r="P83" i="38" s="1"/>
  <c r="AF53" i="38"/>
  <c r="AF83" i="38" s="1"/>
  <c r="J53" i="38"/>
  <c r="J83" i="38" s="1"/>
  <c r="AD53" i="38"/>
  <c r="AD83" i="38" s="1"/>
  <c r="H53" i="38"/>
  <c r="H83" i="38" s="1"/>
  <c r="X53" i="38"/>
  <c r="X83" i="38" s="1"/>
  <c r="B53" i="38"/>
  <c r="B83" i="38" s="1"/>
  <c r="AH53" i="38"/>
  <c r="AH83" i="38" s="1"/>
  <c r="R53" i="38"/>
  <c r="R83" i="38" s="1"/>
  <c r="AN53" i="38"/>
  <c r="AN83" i="38" s="1"/>
  <c r="N53" i="38"/>
  <c r="N83" i="38" s="1"/>
  <c r="AB53" i="38"/>
  <c r="AB83" i="38" s="1"/>
  <c r="V53" i="38"/>
  <c r="V83" i="38" s="1"/>
  <c r="F53" i="38"/>
  <c r="F83" i="38" s="1"/>
  <c r="AR53" i="38"/>
  <c r="AR83" i="38" s="1"/>
  <c r="L53" i="38"/>
  <c r="L83" i="38" s="1"/>
  <c r="AL53" i="38"/>
  <c r="AL83" i="38" s="1"/>
  <c r="AJ53" i="21"/>
  <c r="AJ83" i="21" s="1"/>
  <c r="AF53" i="21"/>
  <c r="AF83" i="21" s="1"/>
  <c r="D53" i="21"/>
  <c r="D83" i="21" s="1"/>
  <c r="AV53" i="21"/>
  <c r="AV83" i="21" s="1"/>
  <c r="T53" i="21"/>
  <c r="T83" i="21" s="1"/>
  <c r="P53" i="21"/>
  <c r="P83" i="21" s="1"/>
  <c r="N53" i="21"/>
  <c r="N83" i="21" s="1"/>
  <c r="V53" i="21"/>
  <c r="V83" i="21" s="1"/>
  <c r="B53" i="21"/>
  <c r="B83" i="21" s="1"/>
  <c r="AD53" i="21"/>
  <c r="AD83" i="21" s="1"/>
  <c r="X53" i="21"/>
  <c r="X83" i="21" s="1"/>
  <c r="L53" i="21"/>
  <c r="L83" i="21" s="1"/>
  <c r="AP53" i="21"/>
  <c r="AP83" i="21" s="1"/>
  <c r="AR53" i="21"/>
  <c r="AR83" i="21" s="1"/>
  <c r="H53" i="21"/>
  <c r="H83" i="21" s="1"/>
  <c r="AH53" i="21"/>
  <c r="AH83" i="21" s="1"/>
  <c r="Z53" i="21"/>
  <c r="Z83" i="21" s="1"/>
  <c r="AL53" i="21"/>
  <c r="AL83" i="21" s="1"/>
  <c r="AN53" i="21"/>
  <c r="AN83" i="21" s="1"/>
  <c r="AB53" i="21"/>
  <c r="AB83" i="21" s="1"/>
  <c r="F53" i="21"/>
  <c r="F83" i="21" s="1"/>
  <c r="AT53" i="21"/>
  <c r="AT83" i="21" s="1"/>
  <c r="R53" i="21"/>
  <c r="R83" i="21" s="1"/>
  <c r="J53" i="21"/>
  <c r="J83" i="21" s="1"/>
  <c r="P53" i="22"/>
  <c r="P83" i="22" s="1"/>
  <c r="AJ53" i="22"/>
  <c r="AJ83" i="22" s="1"/>
  <c r="N53" i="22"/>
  <c r="N83" i="22" s="1"/>
  <c r="AD53" i="22"/>
  <c r="AD83" i="22" s="1"/>
  <c r="D53" i="22"/>
  <c r="D83" i="22" s="1"/>
  <c r="AF53" i="22"/>
  <c r="AF83" i="22" s="1"/>
  <c r="AV53" i="22"/>
  <c r="AV83" i="22" s="1"/>
  <c r="T53" i="22"/>
  <c r="T83" i="22" s="1"/>
  <c r="AT53" i="22"/>
  <c r="AT83" i="22" s="1"/>
  <c r="AB53" i="22"/>
  <c r="AB83" i="22" s="1"/>
  <c r="V53" i="22"/>
  <c r="V83" i="22" s="1"/>
  <c r="F53" i="22"/>
  <c r="F83" i="22" s="1"/>
  <c r="AN53" i="22"/>
  <c r="AN83" i="22" s="1"/>
  <c r="AP53" i="22"/>
  <c r="AP83" i="22" s="1"/>
  <c r="X53" i="22"/>
  <c r="X83" i="22" s="1"/>
  <c r="AL53" i="22"/>
  <c r="AL83" i="22" s="1"/>
  <c r="B53" i="22"/>
  <c r="B83" i="22" s="1"/>
  <c r="Z53" i="22"/>
  <c r="Z83" i="22" s="1"/>
  <c r="AR53" i="22"/>
  <c r="AR83" i="22" s="1"/>
  <c r="J53" i="22"/>
  <c r="J83" i="22" s="1"/>
  <c r="H53" i="22"/>
  <c r="H83" i="22" s="1"/>
  <c r="R53" i="22"/>
  <c r="R83" i="22" s="1"/>
  <c r="AH53" i="22"/>
  <c r="AH83" i="22" s="1"/>
  <c r="L53" i="22"/>
  <c r="L83" i="22" s="1"/>
  <c r="J53" i="12"/>
  <c r="J83" i="12" s="1"/>
  <c r="AF53" i="12"/>
  <c r="AF83" i="12" s="1"/>
  <c r="D53" i="12"/>
  <c r="D83" i="12" s="1"/>
  <c r="Z53" i="12"/>
  <c r="Z83" i="12" s="1"/>
  <c r="AV53" i="12"/>
  <c r="AV83" i="12" s="1"/>
  <c r="AP53" i="12"/>
  <c r="AP83" i="12" s="1"/>
  <c r="T53" i="12"/>
  <c r="T83" i="12" s="1"/>
  <c r="P53" i="12"/>
  <c r="P83" i="12" s="1"/>
  <c r="AJ53" i="12"/>
  <c r="AJ83" i="12" s="1"/>
  <c r="B53" i="12"/>
  <c r="B83" i="12" s="1"/>
  <c r="AR53" i="12"/>
  <c r="AR83" i="12" s="1"/>
  <c r="L53" i="12"/>
  <c r="L83" i="12" s="1"/>
  <c r="N53" i="12"/>
  <c r="N83" i="12" s="1"/>
  <c r="AL53" i="12"/>
  <c r="AL83" i="12" s="1"/>
  <c r="AN53" i="12"/>
  <c r="AN83" i="12" s="1"/>
  <c r="R53" i="12"/>
  <c r="R83" i="12" s="1"/>
  <c r="AB53" i="12"/>
  <c r="AB83" i="12" s="1"/>
  <c r="F53" i="12"/>
  <c r="F83" i="12" s="1"/>
  <c r="AD53" i="12"/>
  <c r="AD83" i="12" s="1"/>
  <c r="H53" i="12"/>
  <c r="H83" i="12" s="1"/>
  <c r="AH53" i="12"/>
  <c r="AH83" i="12" s="1"/>
  <c r="X53" i="12"/>
  <c r="X83" i="12" s="1"/>
  <c r="V53" i="12"/>
  <c r="V83" i="12" s="1"/>
  <c r="AT53" i="12"/>
  <c r="AT83" i="12" s="1"/>
  <c r="T53" i="11"/>
  <c r="T83" i="11" s="1"/>
  <c r="AP53" i="11"/>
  <c r="AP83" i="11" s="1"/>
  <c r="J53" i="11"/>
  <c r="J83" i="11" s="1"/>
  <c r="P53" i="11"/>
  <c r="P83" i="11" s="1"/>
  <c r="AJ53" i="11"/>
  <c r="AJ83" i="11" s="1"/>
  <c r="AF53" i="11"/>
  <c r="AF83" i="11" s="1"/>
  <c r="D53" i="11"/>
  <c r="D83" i="11" s="1"/>
  <c r="Z53" i="11"/>
  <c r="Z83" i="11" s="1"/>
  <c r="AV53" i="11"/>
  <c r="AV83" i="11" s="1"/>
  <c r="AL53" i="11"/>
  <c r="AL83" i="11" s="1"/>
  <c r="AN53" i="11"/>
  <c r="AN83" i="11" s="1"/>
  <c r="L53" i="11"/>
  <c r="L83" i="11" s="1"/>
  <c r="AH53" i="11"/>
  <c r="AH83" i="11" s="1"/>
  <c r="AB53" i="11"/>
  <c r="AB83" i="11" s="1"/>
  <c r="B53" i="11"/>
  <c r="B83" i="11" s="1"/>
  <c r="X53" i="11"/>
  <c r="X83" i="11" s="1"/>
  <c r="R53" i="11"/>
  <c r="R83" i="11" s="1"/>
  <c r="F53" i="11"/>
  <c r="F83" i="11" s="1"/>
  <c r="AD53" i="11"/>
  <c r="AD83" i="11" s="1"/>
  <c r="H53" i="11"/>
  <c r="H83" i="11" s="1"/>
  <c r="AT53" i="11"/>
  <c r="AT83" i="11" s="1"/>
  <c r="AR53" i="11"/>
  <c r="AR83" i="11" s="1"/>
  <c r="N53" i="11"/>
  <c r="N83" i="11" s="1"/>
  <c r="V53" i="11"/>
  <c r="V83" i="11" s="1"/>
  <c r="B53" i="24"/>
  <c r="B83" i="24" s="1"/>
  <c r="AP53" i="24"/>
  <c r="AP83" i="24" s="1"/>
  <c r="T53" i="24"/>
  <c r="T83" i="24" s="1"/>
  <c r="R53" i="24"/>
  <c r="R83" i="24" s="1"/>
  <c r="P53" i="24"/>
  <c r="P83" i="24" s="1"/>
  <c r="AF53" i="24"/>
  <c r="AF83" i="24" s="1"/>
  <c r="AH53" i="24"/>
  <c r="AH83" i="24" s="1"/>
  <c r="J53" i="24"/>
  <c r="J83" i="24" s="1"/>
  <c r="AB53" i="24"/>
  <c r="AB83" i="24" s="1"/>
  <c r="AV53" i="24"/>
  <c r="AV83" i="24" s="1"/>
  <c r="Z53" i="24"/>
  <c r="Z83" i="24" s="1"/>
  <c r="D53" i="24"/>
  <c r="D83" i="24" s="1"/>
  <c r="AR53" i="24"/>
  <c r="AR83" i="24" s="1"/>
  <c r="L53" i="24"/>
  <c r="L83" i="24" s="1"/>
  <c r="X53" i="24"/>
  <c r="X83" i="24" s="1"/>
  <c r="V53" i="24"/>
  <c r="V83" i="24" s="1"/>
  <c r="F53" i="24"/>
  <c r="F83" i="24" s="1"/>
  <c r="N53" i="24"/>
  <c r="N83" i="24" s="1"/>
  <c r="AL53" i="24"/>
  <c r="AL83" i="24" s="1"/>
  <c r="H53" i="24"/>
  <c r="H83" i="24" s="1"/>
  <c r="AD53" i="24"/>
  <c r="AD83" i="24" s="1"/>
  <c r="AT53" i="24"/>
  <c r="AT83" i="24" s="1"/>
  <c r="AJ53" i="24"/>
  <c r="AJ83" i="24" s="1"/>
  <c r="AN53" i="24"/>
  <c r="AN83" i="24" s="1"/>
  <c r="AB53" i="18"/>
  <c r="AB83" i="18" s="1"/>
  <c r="J53" i="18"/>
  <c r="J83" i="18" s="1"/>
  <c r="Z53" i="18"/>
  <c r="Z83" i="18" s="1"/>
  <c r="L53" i="18"/>
  <c r="L83" i="18" s="1"/>
  <c r="AR53" i="18"/>
  <c r="AR83" i="18" s="1"/>
  <c r="AP53" i="18"/>
  <c r="AP83" i="18" s="1"/>
  <c r="AJ53" i="18"/>
  <c r="AJ83" i="18" s="1"/>
  <c r="D53" i="18"/>
  <c r="D83" i="18" s="1"/>
  <c r="H53" i="18"/>
  <c r="H83" i="18" s="1"/>
  <c r="V53" i="18"/>
  <c r="V83" i="18" s="1"/>
  <c r="AF53" i="18"/>
  <c r="AF83" i="18" s="1"/>
  <c r="AH53" i="18"/>
  <c r="AH83" i="18" s="1"/>
  <c r="X53" i="18"/>
  <c r="X83" i="18" s="1"/>
  <c r="AV53" i="18"/>
  <c r="AV83" i="18" s="1"/>
  <c r="P53" i="18"/>
  <c r="P83" i="18" s="1"/>
  <c r="AL53" i="18"/>
  <c r="AL83" i="18" s="1"/>
  <c r="AN53" i="18"/>
  <c r="AN83" i="18" s="1"/>
  <c r="N53" i="18"/>
  <c r="N83" i="18" s="1"/>
  <c r="R53" i="18"/>
  <c r="R83" i="18" s="1"/>
  <c r="F53" i="18"/>
  <c r="F83" i="18" s="1"/>
  <c r="AD53" i="18"/>
  <c r="AD83" i="18" s="1"/>
  <c r="B53" i="18"/>
  <c r="B83" i="18" s="1"/>
  <c r="T53" i="18"/>
  <c r="T83" i="18" s="1"/>
  <c r="AT53" i="18"/>
  <c r="AT83" i="18" s="1"/>
  <c r="AJ53" i="3" a="1"/>
  <c r="AJ53" i="3" s="1"/>
  <c r="AJ83" i="3" s="1"/>
  <c r="D53" i="3" a="1"/>
  <c r="AB53" i="3" a="1"/>
  <c r="Z53" i="3" a="1"/>
  <c r="T53" i="3" a="1"/>
  <c r="R53" i="3" a="1"/>
  <c r="R53" i="3" s="1"/>
  <c r="R83" i="3" s="1"/>
  <c r="P53" i="3" a="1"/>
  <c r="AT53" i="3" a="1"/>
  <c r="AT53" i="3" s="1"/>
  <c r="AT83" i="3" s="1"/>
  <c r="L53" i="3" a="1"/>
  <c r="L53" i="3" s="1"/>
  <c r="L83" i="3" s="1"/>
  <c r="J53" i="3" a="1"/>
  <c r="J53" i="3" s="1"/>
  <c r="J83" i="3" s="1"/>
  <c r="H53" i="3" a="1"/>
  <c r="H53" i="3" s="1"/>
  <c r="H83" i="3" s="1"/>
  <c r="AL53" i="3" a="1"/>
  <c r="AL53" i="3" s="1"/>
  <c r="AL83" i="3" s="1"/>
  <c r="AH53" i="3" a="1"/>
  <c r="AH53" i="3" s="1"/>
  <c r="AH83" i="3" s="1"/>
  <c r="B53" i="3" a="1"/>
  <c r="B53" i="3" s="1"/>
  <c r="B83" i="3" s="1"/>
  <c r="AF53" i="3" a="1"/>
  <c r="AF53" i="3" s="1"/>
  <c r="AF83" i="3" s="1"/>
  <c r="AD53" i="3" a="1"/>
  <c r="AD53" i="3" s="1"/>
  <c r="AD83" i="3" s="1"/>
  <c r="X53" i="3" a="1"/>
  <c r="X53" i="3" s="1"/>
  <c r="X83" i="3" s="1"/>
  <c r="V53" i="3" a="1"/>
  <c r="AV53" i="3" a="1"/>
  <c r="AV53" i="3" s="1"/>
  <c r="AV83" i="3" s="1"/>
  <c r="N53" i="3" a="1"/>
  <c r="N53" i="3" s="1"/>
  <c r="N83" i="3" s="1"/>
  <c r="AR53" i="3" a="1"/>
  <c r="AP53" i="3" a="1"/>
  <c r="AP53" i="3" s="1"/>
  <c r="AP83" i="3" s="1"/>
  <c r="AN53" i="3" a="1"/>
  <c r="AN53" i="3" s="1"/>
  <c r="AN83" i="3" s="1"/>
  <c r="F53" i="3" a="1"/>
  <c r="K65" i="1"/>
  <c r="AR53" i="3"/>
  <c r="AR83" i="3" s="1"/>
  <c r="Z53" i="3"/>
  <c r="Z83" i="3" s="1"/>
  <c r="AB53" i="3"/>
  <c r="AB83" i="3" s="1"/>
  <c r="F53" i="3"/>
  <c r="F83" i="3" s="1"/>
  <c r="V53" i="3"/>
  <c r="V83" i="3" s="1"/>
  <c r="D53" i="3"/>
  <c r="D83" i="3" s="1"/>
  <c r="T53" i="3"/>
  <c r="T83" i="3" s="1"/>
  <c r="P53" i="3"/>
  <c r="P83" i="3" s="1"/>
  <c r="C65" i="2"/>
  <c r="K59" i="2" s="1" a="1"/>
  <c r="F78" i="1" a="1"/>
  <c r="G78" i="1" s="1"/>
  <c r="O21" i="1"/>
  <c r="I44" i="1"/>
  <c r="G97" i="1"/>
  <c r="F98" i="1" s="1" a="1"/>
  <c r="F98" i="1" s="1"/>
  <c r="H37" i="1"/>
  <c r="K37" i="1" s="1" a="1"/>
  <c r="I24" i="1"/>
  <c r="K44" i="1" a="1"/>
  <c r="K44" i="1" s="1"/>
  <c r="F78" i="1" l="1"/>
  <c r="K37" i="1"/>
  <c r="K38" i="1" a="1"/>
  <c r="K38" i="1" s="1"/>
  <c r="G98" i="1"/>
  <c r="L37" i="1"/>
  <c r="L44" i="1"/>
  <c r="K24" i="1" a="1"/>
  <c r="K24" i="1" s="1"/>
  <c r="K40" i="1" a="1"/>
  <c r="L40" i="1" s="1"/>
  <c r="L38" i="1" l="1"/>
  <c r="K40" i="1"/>
  <c r="L24" i="1"/>
  <c r="D39" i="2" l="1"/>
  <c r="K41" i="2" s="1"/>
  <c r="D32" i="2"/>
  <c r="C57" i="2"/>
  <c r="D21" i="2"/>
  <c r="D23" i="2"/>
  <c r="C21" i="2"/>
  <c r="C23" i="2"/>
  <c r="C39" i="2"/>
  <c r="C29" i="2" l="1" a="1"/>
  <c r="D29" i="2" s="1"/>
  <c r="C27" i="2" a="1"/>
  <c r="D27" i="2" s="1"/>
  <c r="C28" i="2" a="1"/>
  <c r="C28" i="2" s="1"/>
  <c r="L10" i="2" a="1"/>
  <c r="M10" i="2" s="1"/>
  <c r="O12" i="2" a="1"/>
  <c r="P12" i="2" s="1"/>
  <c r="L7" i="2" a="1"/>
  <c r="L7" i="2" s="1"/>
  <c r="C55" i="2" a="1"/>
  <c r="C55" i="2" s="1"/>
  <c r="C24" i="2" a="1"/>
  <c r="D24" i="2" s="1"/>
  <c r="C25" i="2" a="1"/>
  <c r="C27" i="2"/>
  <c r="C32" i="2"/>
  <c r="C29" i="2" l="1"/>
  <c r="K56" i="2" s="1"/>
  <c r="D28" i="2"/>
  <c r="AK58" i="2" a="1"/>
  <c r="O12" i="2"/>
  <c r="L10" i="2"/>
  <c r="M7" i="2"/>
  <c r="C24" i="2"/>
  <c r="C40" i="2" s="1" a="1"/>
  <c r="D40" i="2" s="1"/>
  <c r="H23" i="2" a="1"/>
  <c r="C26" i="2"/>
  <c r="D26" i="2"/>
  <c r="D25" i="2"/>
  <c r="C25" i="2"/>
  <c r="C42" i="2" a="1"/>
  <c r="C42" i="2" s="1"/>
  <c r="AE58" i="2" a="1"/>
  <c r="W59" i="2" a="1"/>
  <c r="Y58" i="2" a="1"/>
  <c r="AC58" i="2" a="1"/>
  <c r="AA56" i="2" a="1"/>
  <c r="AI55" i="2" a="1"/>
  <c r="Q34" i="2" a="1"/>
  <c r="R34" i="2" s="1"/>
  <c r="AC58" i="2" l="1"/>
  <c r="Y58" i="2"/>
  <c r="W59" i="2"/>
  <c r="AE58" i="2"/>
  <c r="P3" i="2" a="1"/>
  <c r="P3" i="2" s="1"/>
  <c r="AI55" i="2"/>
  <c r="AK58" i="2"/>
  <c r="AA56" i="2"/>
  <c r="C38" i="2" a="1"/>
  <c r="D38" i="2" s="1"/>
  <c r="T21" i="2" a="1"/>
  <c r="U21" i="2" s="1"/>
  <c r="C44" i="2" a="1"/>
  <c r="H23" i="2"/>
  <c r="I23" i="2"/>
  <c r="Q34" i="2"/>
  <c r="C40" i="2"/>
  <c r="O3" i="2" a="1"/>
  <c r="O3" i="2" s="1"/>
  <c r="P4" i="2" l="1"/>
  <c r="C38" i="2"/>
  <c r="L9" i="2" s="1" a="1"/>
  <c r="M9" i="2" s="1"/>
  <c r="C44" i="2"/>
  <c r="D44" i="2"/>
  <c r="H37" i="2" a="1"/>
  <c r="T21" i="2"/>
  <c r="Q38" i="2" a="1"/>
  <c r="R38" i="2" s="1"/>
  <c r="Q23" i="2" a="1"/>
  <c r="O4" i="2"/>
  <c r="C35" i="2" a="1"/>
  <c r="L9" i="2" l="1"/>
  <c r="H37" i="2"/>
  <c r="I37" i="2"/>
  <c r="K23" i="2" a="1"/>
  <c r="Q3" i="2" a="1"/>
  <c r="C59" i="2" a="1"/>
  <c r="C59" i="2" s="1"/>
  <c r="K57" i="2" s="1"/>
  <c r="Q38" i="2"/>
  <c r="C58" i="2" a="1"/>
  <c r="R23" i="2"/>
  <c r="Q23" i="2"/>
  <c r="K37" i="2" a="1"/>
  <c r="C64" i="2" l="1" a="1"/>
  <c r="AG57" i="2"/>
  <c r="C58" i="2"/>
  <c r="D41" i="2" s="1"/>
  <c r="L37" i="2"/>
  <c r="W57" i="2"/>
  <c r="C64" i="2"/>
  <c r="Y57" i="2"/>
  <c r="AK57" i="2"/>
  <c r="Q4" i="2"/>
  <c r="Q3" i="2"/>
  <c r="L23" i="2"/>
  <c r="K23" i="2"/>
  <c r="AA57" i="2"/>
  <c r="U57" i="2"/>
  <c r="AC57" i="2"/>
  <c r="AE57" i="2"/>
  <c r="K37" i="2"/>
  <c r="C41" i="2" l="1"/>
  <c r="N3" i="2" s="1" a="1"/>
  <c r="N4" i="2" s="1"/>
  <c r="C60" i="2" l="1" a="1"/>
  <c r="C60" i="2" s="1"/>
  <c r="Q58" i="2" a="1"/>
  <c r="Q58" i="2" s="1"/>
  <c r="Q57" i="2" a="1"/>
  <c r="Q57" i="2" s="1"/>
  <c r="C56" i="2"/>
  <c r="N3" i="2"/>
  <c r="AG56" i="2" l="1" a="1"/>
  <c r="AG56" i="2" s="1"/>
  <c r="AI56" i="2" a="1"/>
  <c r="AI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AG58" i="2" l="1"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Q48" i="2"/>
  <c r="R48" i="2"/>
  <c r="L3" i="2"/>
  <c r="M3" i="2"/>
  <c r="L4" i="2"/>
  <c r="M4" i="2"/>
  <c r="Q35" i="2"/>
  <c r="R35" i="2"/>
  <c r="K55" i="2" l="1"/>
  <c r="K59" i="2"/>
  <c r="Y59" i="2" a="1"/>
  <c r="Y59" i="2" s="1"/>
  <c r="AG55" i="2" a="1"/>
  <c r="AG55" i="2" s="1"/>
  <c r="AG59" i="2" a="1"/>
  <c r="AG59" i="2" s="1"/>
  <c r="R3" i="2" a="1"/>
  <c r="R3" i="2" s="1"/>
  <c r="R4" i="2" a="1"/>
  <c r="R4" i="2" s="1"/>
  <c r="AK55" i="2"/>
  <c r="AI57" i="2" a="1"/>
  <c r="AI57" i="2" s="1"/>
  <c r="AE55" i="2"/>
  <c r="AC55" i="2"/>
  <c r="U55" i="2"/>
  <c r="AA55" i="2"/>
  <c r="Y55" i="2"/>
  <c r="W55" i="2"/>
  <c r="Q33" i="2" a="1"/>
  <c r="Q33" i="2" s="1"/>
  <c r="Q46" i="2" a="1"/>
  <c r="R46" i="2" s="1"/>
  <c r="L5" i="2" a="1"/>
  <c r="L6" i="2" a="1"/>
  <c r="C72" i="2" a="1"/>
  <c r="N37" i="2" a="1"/>
  <c r="Q47" i="2" a="1"/>
  <c r="C73" i="2" a="1"/>
  <c r="K34" i="2" a="1"/>
  <c r="K39" i="2" a="1"/>
  <c r="L39" i="2" s="1"/>
  <c r="AK59" i="2" l="1" a="1"/>
  <c r="AK59" i="2" s="1"/>
  <c r="AE59" i="2" a="1"/>
  <c r="AE59" i="2" s="1"/>
  <c r="U59" i="2" a="1"/>
  <c r="U59" i="2" s="1"/>
  <c r="AA59" i="2" a="1"/>
  <c r="AA59" i="2" s="1"/>
  <c r="AC59" i="2" a="1"/>
  <c r="AC59" i="2" s="1"/>
  <c r="AI59" i="2" a="1"/>
  <c r="AI59" i="2" s="1"/>
  <c r="R33" i="2"/>
  <c r="K39"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L17" i="2"/>
  <c r="N70" i="2" a="1"/>
  <c r="O72" i="2" s="1"/>
  <c r="N57" i="2"/>
  <c r="N59" i="2"/>
  <c r="N58" i="2"/>
  <c r="N56" i="2"/>
  <c r="N55" i="2"/>
  <c r="M14" i="2" l="1" a="1"/>
  <c r="M14" i="2" s="1"/>
  <c r="L8" i="2"/>
  <c r="L12" i="2" s="1"/>
  <c r="N70" i="2"/>
  <c r="O70" i="2"/>
  <c r="N71" i="2"/>
  <c r="O71" i="2"/>
  <c r="O73" i="2"/>
  <c r="N73" i="2"/>
  <c r="N72" i="2"/>
  <c r="L14" i="2" l="1" a="1"/>
  <c r="L1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The long-term estimate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K54" authorId="0" shapeId="0" xr:uid="{5FF0CAA0-8835-41BC-B2BD-252E32CA55EB}">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6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7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<sst xmlns="http://schemas.openxmlformats.org/spreadsheetml/2006/main" count="1133" uniqueCount="199">
  <si>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</si>
  <si>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</si>
  <si>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</si>
  <si>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</si>
  <si>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</si>
  <si>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</si>
  <si>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</si>
  <si>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</si>
  <si>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</si>
  <si>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</si>
  <si>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</si>
  <si>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</si>
  <si>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</si>
  <si>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</si>
  <si>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</si>
  <si>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</si>
  <si>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</si>
  <si>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</si>
  <si>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</si>
  <si>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</si>
  <si>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</si>
  <si>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</si>
  <si>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</si>
  <si>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</si>
  <si>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</si>
  <si>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</si>
  <si>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</si>
  <si>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</si>
  <si>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</si>
  <si>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</si>
  <si>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</si>
  <si>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</si>
  <si>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</si>
  <si>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</si>
  <si>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</si>
  <si>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</si>
  <si>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</si>
  <si>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</si>
  <si>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</si>
  <si>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</si>
  <si>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</si>
  <si>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</si>
  <si>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</si>
  <si>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</si>
  <si>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</si>
  <si>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</si>
  <si>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</si>
  <si>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</si>
  <si>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</si>
  <si>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</si>
  <si>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</si>
  <si>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</si>
  <si>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</si>
  <si>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</si>
  <si>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</si>
  <si>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</si>
  <si>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</si>
  <si>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</si>
  <si>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</si>
  <si>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</si>
  <si>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</si>
  <si>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</si>
  <si>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</si>
  <si>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</si>
  <si>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</si>
  <si>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</si>
  <si>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</si>
  <si>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</si>
  <si>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</si>
  <si>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</si>
  <si>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</si>
  <si>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</si>
  <si>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</si>
  <si>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</si>
  <si>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</si>
  <si>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</si>
  <si>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</si>
  <si>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</si>
  <si>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</si>
  <si>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</si>
  <si>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</si>
  <si>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</si>
  <si>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</si>
  <si>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</si>
  <si>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</si>
  <si>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</si>
  <si>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</si>
  <si>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</si>
  <si>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</si>
  <si>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</si>
  <si>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</si>
  <si>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</si>
  <si>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Marshall-Sen</t>
  </si>
  <si>
    <t>Kaldor-pL</t>
  </si>
  <si>
    <t>Keynes-pL</t>
  </si>
  <si>
    <t>Keynes-Kaldor-pL</t>
  </si>
  <si>
    <t>Total Reduction</t>
  </si>
  <si>
    <t>Utility</t>
  </si>
  <si>
    <t>sD</t>
  </si>
  <si>
    <t>Tax</t>
  </si>
  <si>
    <t>Profit Share</t>
  </si>
  <si>
    <t>Utility Loss</t>
  </si>
  <si>
    <t>Structuralist - Phillips Curve (pL)</t>
  </si>
  <si>
    <t>Structuralist - Keynes (pK)</t>
  </si>
  <si>
    <t>Structuralist - Keynes (pL)</t>
  </si>
  <si>
    <t>Structuralist - Phillips Curve (pK)</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</si>
  <si>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</si>
  <si>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</si>
  <si>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</si>
  <si>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</si>
  <si>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</si>
  <si>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</si>
  <si>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</si>
  <si>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</si>
  <si>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</si>
  <si>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</si>
  <si>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</si>
  <si>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</si>
  <si>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</si>
  <si>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</si>
  <si>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</si>
  <si>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</si>
  <si>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</si>
  <si>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</si>
  <si>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</si>
  <si>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</si>
  <si>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</si>
  <si>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</si>
  <si>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</si>
  <si>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</si>
  <si>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</si>
  <si>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</si>
  <si>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</si>
  <si>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</si>
  <si>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</si>
  <si>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</si>
  <si>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</si>
  <si>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</si>
  <si>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</si>
  <si>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</si>
  <si>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</si>
  <si>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</si>
  <si>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</si>
  <si>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Kaldor</t>
  </si>
  <si>
    <t>Keynes-Marshall</t>
  </si>
  <si>
    <t>Keynes</t>
  </si>
  <si>
    <t>Keynes-Kaldor</t>
  </si>
  <si>
    <t>Fossil energy control</t>
  </si>
  <si>
    <t>Keynes-I</t>
  </si>
  <si>
    <t>Neoclassical - hetero s</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</si>
  <si>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</si>
  <si>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</si>
  <si>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</si>
  <si>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</si>
  <si>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</si>
  <si>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</si>
  <si>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</si>
  <si>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</si>
  <si>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</si>
  <si>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</si>
  <si>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</si>
  <si>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</si>
  <si>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</si>
  <si>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</si>
  <si>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</si>
  <si>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</si>
  <si>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</si>
  <si>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</si>
  <si>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</si>
  <si>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</si>
  <si>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</si>
  <si>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</si>
  <si>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</si>
  <si>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</si>
  <si>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</si>
  <si>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</si>
  <si>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</si>
  <si>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</si>
  <si>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</si>
  <si>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</si>
  <si>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</si>
  <si>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</si>
  <si>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</si>
  <si>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</si>
  <si>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</si>
  <si>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</si>
  <si>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</si>
  <si>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</si>
  <si>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</si>
  <si>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</si>
  <si>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</si>
  <si>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</si>
  <si>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</si>
  <si>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</si>
  <si>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</si>
  <si>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Copier-Coller du tableau UE 2019 - Fichier Matrice Europe Figaro 18sep23</t>
  </si>
  <si>
    <t>WorldBank WDI</t>
  </si>
  <si>
    <t>Carbon Tax</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</si>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</sst>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5"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b/>
      <sz val="8"/>
      <color theme="0"/>
      <name val="Arial"/>
      <family val="2"/>
    </font>
    <font>
      <b/>
      <sz val="8"/>
      <color rgb="FFFF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41">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166" fontId="6" fillId="3" borderId="3" xfId="0" applyNumberFormat="1" applyFont="1" applyFill="1" applyBorder="1" applyAlignment="1">
      <alignment horizontal="center"/>
    </xf>
    <xf numFmtId="166" fontId="6" fillId="3" borderId="5" xfId="0" applyNumberFormat="1" applyFont="1" applyFill="1" applyBorder="1" applyAlignment="1">
      <alignment horizontal="center"/>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11"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3" fontId="7" fillId="0" borderId="15" xfId="0" applyNumberFormat="1" applyFont="1" applyBorder="1"/>
    <xf numFmtId="0" fontId="8" fillId="0" borderId="0" xfId="0" applyFont="1"/>
    <xf numFmtId="3" fontId="7" fillId="0" borderId="7" xfId="0" applyNumberFormat="1" applyFont="1" applyBorder="1"/>
    <xf numFmtId="3" fontId="7" fillId="0" borderId="8" xfId="0" applyNumberFormat="1" applyFont="1" applyBorder="1"/>
    <xf numFmtId="10" fontId="7" fillId="0" borderId="10" xfId="2" applyNumberFormat="1" applyFont="1" applyFill="1" applyBorder="1"/>
    <xf numFmtId="10" fontId="7" fillId="0" borderId="11" xfId="2" applyNumberFormat="1" applyFont="1" applyFill="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7" fillId="0" borderId="9" xfId="0" applyNumberFormat="1" applyFont="1" applyBorder="1"/>
    <xf numFmtId="3" fontId="1" fillId="0" borderId="9" xfId="0" applyNumberFormat="1" applyFont="1" applyBorder="1"/>
    <xf numFmtId="166" fontId="1" fillId="3" borderId="0" xfId="4" quotePrefix="1" applyNumberFormat="1" applyFont="1" applyFill="1"/>
    <xf numFmtId="166" fontId="3" fillId="3" borderId="3" xfId="4" quotePrefix="1" applyNumberFormat="1" applyFont="1" applyFill="1" applyBorder="1"/>
    <xf numFmtId="166" fontId="3" fillId="3" borderId="5" xfId="4" quotePrefix="1" applyNumberFormat="1" applyFont="1" applyFill="1" applyBorder="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70" fontId="0" fillId="0" borderId="0" xfId="0" applyNumberForma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171" fontId="0" fillId="0" borderId="14" xfId="2" applyNumberFormat="1" applyFont="1" applyBorder="1"/>
    <xf numFmtId="9" fontId="11" fillId="2" borderId="15" xfId="0" applyNumberFormat="1" applyFont="1" applyFill="1" applyBorder="1"/>
    <xf numFmtId="3" fontId="12" fillId="0" borderId="1" xfId="0" applyNumberFormat="1" applyFont="1" applyBorder="1"/>
    <xf numFmtId="3" fontId="12" fillId="0" borderId="6" xfId="0" applyNumberFormat="1" applyFont="1" applyBorder="1"/>
    <xf numFmtId="3" fontId="11" fillId="5" borderId="7" xfId="0" applyNumberFormat="1" applyFont="1" applyFill="1" applyBorder="1"/>
    <xf numFmtId="3" fontId="11" fillId="5" borderId="8" xfId="0" applyNumberFormat="1" applyFont="1" applyFill="1" applyBorder="1"/>
    <xf numFmtId="3" fontId="8" fillId="0" borderId="7" xfId="0" applyNumberFormat="1" applyFont="1" applyBorder="1"/>
    <xf numFmtId="3" fontId="8" fillId="0" borderId="8" xfId="0" applyNumberFormat="1" applyFont="1" applyBorder="1"/>
    <xf numFmtId="3" fontId="8" fillId="0" borderId="1" xfId="0" applyNumberFormat="1" applyFont="1" applyBorder="1"/>
    <xf numFmtId="3" fontId="8" fillId="0" borderId="6" xfId="0" applyNumberFormat="1" applyFont="1" applyBorder="1"/>
    <xf numFmtId="3" fontId="8" fillId="0" borderId="10" xfId="0" applyNumberFormat="1" applyFont="1" applyBorder="1"/>
    <xf numFmtId="3" fontId="8" fillId="0" borderId="11" xfId="0" applyNumberFormat="1" applyFont="1" applyBorder="1"/>
    <xf numFmtId="3" fontId="12" fillId="0" borderId="7" xfId="0" applyNumberFormat="1" applyFont="1" applyBorder="1"/>
    <xf numFmtId="3" fontId="12" fillId="0" borderId="8" xfId="0" applyNumberFormat="1" applyFont="1" applyBorder="1"/>
    <xf numFmtId="3" fontId="12" fillId="0" borderId="10" xfId="2" applyNumberFormat="1" applyFont="1" applyFill="1" applyBorder="1"/>
    <xf numFmtId="3" fontId="12" fillId="0" borderId="11" xfId="2" applyNumberFormat="1" applyFont="1" applyFill="1" applyBorder="1"/>
    <xf numFmtId="3" fontId="12" fillId="0" borderId="7" xfId="0" applyNumberFormat="1" applyFont="1" applyBorder="1" applyAlignment="1">
      <alignment horizontal="right"/>
    </xf>
    <xf numFmtId="3" fontId="12" fillId="0" borderId="8" xfId="0" applyNumberFormat="1" applyFont="1" applyBorder="1" applyAlignment="1">
      <alignment horizontal="right"/>
    </xf>
    <xf numFmtId="3" fontId="5" fillId="0" borderId="7" xfId="0" applyNumberFormat="1" applyFont="1" applyBorder="1"/>
    <xf numFmtId="0" fontId="11" fillId="2" borderId="8" xfId="0" applyFont="1" applyFill="1" applyBorder="1"/>
    <xf numFmtId="168" fontId="8" fillId="0" borderId="14" xfId="0" applyNumberFormat="1" applyFont="1" applyBorder="1"/>
    <xf numFmtId="165" fontId="12" fillId="0" borderId="14" xfId="0" applyNumberFormat="1" applyFont="1" applyBorder="1"/>
    <xf numFmtId="2" fontId="8" fillId="0" borderId="6" xfId="0" applyNumberFormat="1" applyFont="1" applyBorder="1"/>
    <xf numFmtId="3" fontId="8" fillId="0" borderId="14" xfId="0" applyNumberFormat="1" applyFont="1" applyBorder="1"/>
    <xf numFmtId="2" fontId="8" fillId="0" borderId="11" xfId="0" applyNumberFormat="1" applyFont="1" applyBorder="1"/>
    <xf numFmtId="3" fontId="8" fillId="0" borderId="13" xfId="0" applyNumberFormat="1" applyFont="1" applyBorder="1"/>
    <xf numFmtId="2" fontId="8" fillId="0" borderId="1" xfId="0" applyNumberFormat="1" applyFont="1" applyBorder="1"/>
    <xf numFmtId="2" fontId="8" fillId="0" borderId="10" xfId="0" applyNumberFormat="1" applyFont="1" applyBorder="1"/>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10" fontId="0" fillId="0" borderId="0" xfId="0" applyNumberFormat="1"/>
    <xf numFmtId="0" fontId="0" fillId="0" borderId="0" xfId="0" applyAlignment="1">
      <alignment horizontal="left"/>
    </xf>
    <xf numFmtId="10" fontId="12" fillId="0" borderId="15" xfId="0" applyNumberFormat="1" applyFont="1" applyBorder="1"/>
    <xf numFmtId="10" fontId="8" fillId="0" borderId="0" xfId="0" applyNumberFormat="1" applyFont="1" applyAlignment="1">
      <alignment horizontal="center"/>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auto="1"/>
      </font>
      <fill>
        <patternFill>
          <bgColor theme="5" tint="0.59996337778862885"/>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638D0D31-3D9A-4F1C-B3CA-528F3AE3E056}"/>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openxmlformats.org/officeDocument/2006/relationships/worksheet" Target="worksheets/sheet1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6.xml"/><Relationship Id="rId12" Type="http://schemas.openxmlformats.org/officeDocument/2006/relationships/worksheet" Target="worksheets/sheet11.xml"/><Relationship Id="rId17" Type="http://schemas.openxmlformats.org/officeDocument/2006/relationships/chartsheet" Target="chartsheets/sheet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4.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chartsheet" Target="chartsheets/sheet1.xml"/><Relationship Id="rId9" Type="http://schemas.openxmlformats.org/officeDocument/2006/relationships/worksheet" Target="worksheets/sheet8.xml"/><Relationship Id="rId14" Type="http://schemas.openxmlformats.org/officeDocument/2006/relationships/worksheet" Target="worksheets/sheet13.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0131583007947491"/>
          <c:h val="0.86934076835108043"/>
        </c:manualLayout>
      </c:layout>
      <c:scatterChart>
        <c:scatterStyle val="smoothMarker"/>
        <c:varyColors val="0"/>
        <c:ser>
          <c:idx val="0"/>
          <c:order val="0"/>
          <c:tx>
            <c:strRef>
              <c:f>'Diagnosis Indicators'!$A$3</c:f>
              <c:strCache>
                <c:ptCount val="1"/>
                <c:pt idx="0">
                  <c:v>Neoclassical</c:v>
                </c:pt>
              </c:strCache>
            </c:strRef>
          </c:tx>
          <c:spPr>
            <a:ln w="1905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1.0000000000000027</c:v>
                </c:pt>
                <c:pt idx="1">
                  <c:v>0.99261117474908611</c:v>
                </c:pt>
                <c:pt idx="2">
                  <c:v>0.98464223309285626</c:v>
                </c:pt>
                <c:pt idx="3">
                  <c:v>0.97601017318847605</c:v>
                </c:pt>
                <c:pt idx="4">
                  <c:v>0.96661509488312281</c:v>
                </c:pt>
                <c:pt idx="5">
                  <c:v>0.95633558890784198</c:v>
                </c:pt>
                <c:pt idx="6">
                  <c:v>0.94502247212578638</c:v>
                </c:pt>
                <c:pt idx="7">
                  <c:v>0.93249009163950014</c:v>
                </c:pt>
                <c:pt idx="8">
                  <c:v>0.91850405685896475</c:v>
                </c:pt>
                <c:pt idx="9">
                  <c:v>0.90276354425229566</c:v>
                </c:pt>
                <c:pt idx="10">
                  <c:v>0.88487467424111799</c:v>
                </c:pt>
                <c:pt idx="11">
                  <c:v>0.86430970158845921</c:v>
                </c:pt>
                <c:pt idx="12">
                  <c:v>0.84034139906769378</c:v>
                </c:pt>
                <c:pt idx="13">
                  <c:v>0.81193241915288827</c:v>
                </c:pt>
                <c:pt idx="14">
                  <c:v>0.77753804135788773</c:v>
                </c:pt>
                <c:pt idx="15">
                  <c:v>0.73472794828248844</c:v>
                </c:pt>
                <c:pt idx="16">
                  <c:v>0.67939384999138874</c:v>
                </c:pt>
                <c:pt idx="17">
                  <c:v>0.60389434509956497</c:v>
                </c:pt>
                <c:pt idx="18">
                  <c:v>0.49207891212968369</c:v>
                </c:pt>
                <c:pt idx="19">
                  <c:v>0.30421459752711255</c:v>
                </c:pt>
                <c:pt idx="20">
                  <c:v>0.25033499382452062</c:v>
                </c:pt>
                <c:pt idx="21">
                  <c:v>0.18885132611601443</c:v>
                </c:pt>
                <c:pt idx="22">
                  <c:v>0.11971113326993933</c:v>
                </c:pt>
                <c:pt idx="23">
                  <c:v>4.7182647169179068E-2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57150" cap="rnd">
              <a:solidFill>
                <a:schemeClr val="tx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1.0000000000000027</c:v>
                </c:pt>
                <c:pt idx="1">
                  <c:v>0.99769642280975579</c:v>
                </c:pt>
                <c:pt idx="2">
                  <c:v>0.99493177327660853</c:v>
                </c:pt>
                <c:pt idx="3">
                  <c:v>0.99163957928331181</c:v>
                </c:pt>
                <c:pt idx="4">
                  <c:v>0.98773942532671533</c:v>
                </c:pt>
                <c:pt idx="5">
                  <c:v>0.98313301196493508</c:v>
                </c:pt>
                <c:pt idx="6">
                  <c:v>0.97769885122160527</c:v>
                </c:pt>
                <c:pt idx="7">
                  <c:v>0.97128466330121743</c:v>
                </c:pt>
                <c:pt idx="8">
                  <c:v>0.96369678072374043</c:v>
                </c:pt>
                <c:pt idx="9">
                  <c:v>0.95468452926313019</c:v>
                </c:pt>
                <c:pt idx="10">
                  <c:v>0.94391681925144277</c:v>
                </c:pt>
                <c:pt idx="11">
                  <c:v>0.93094555826417447</c:v>
                </c:pt>
                <c:pt idx="12">
                  <c:v>0.915146518642448</c:v>
                </c:pt>
                <c:pt idx="13">
                  <c:v>0.89561835466667417</c:v>
                </c:pt>
                <c:pt idx="14">
                  <c:v>0.87100006667740715</c:v>
                </c:pt>
                <c:pt idx="15">
                  <c:v>0.83911445081023062</c:v>
                </c:pt>
                <c:pt idx="16">
                  <c:v>0.79620099831299074</c:v>
                </c:pt>
                <c:pt idx="17">
                  <c:v>0.73503775435555796</c:v>
                </c:pt>
                <c:pt idx="18">
                  <c:v>0.6394457871456054</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19050" cap="rnd">
              <a:solidFill>
                <a:schemeClr val="accent2"/>
              </a:solidFill>
              <a:prstDash val="lg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1.0000000000000027</c:v>
                </c:pt>
                <c:pt idx="1">
                  <c:v>0.99771058140676561</c:v>
                </c:pt>
                <c:pt idx="2">
                  <c:v>0.99495938675537765</c:v>
                </c:pt>
                <c:pt idx="3">
                  <c:v>0.99168001128654959</c:v>
                </c:pt>
                <c:pt idx="4">
                  <c:v>0.98779209192748985</c:v>
                </c:pt>
                <c:pt idx="5">
                  <c:v>0.98319735055674051</c:v>
                </c:pt>
                <c:pt idx="6">
                  <c:v>0.97777442220827981</c:v>
                </c:pt>
                <c:pt idx="7">
                  <c:v>0.97137113501580952</c:v>
                </c:pt>
                <c:pt idx="8">
                  <c:v>0.96379394340262636</c:v>
                </c:pt>
                <c:pt idx="9">
                  <c:v>0.95479235086661129</c:v>
                </c:pt>
                <c:pt idx="10">
                  <c:v>0.9440353631196281</c:v>
                </c:pt>
                <c:pt idx="11">
                  <c:v>0.93107497258765259</c:v>
                </c:pt>
                <c:pt idx="12">
                  <c:v>0.91528684461609233</c:v>
                </c:pt>
                <c:pt idx="13">
                  <c:v>0.89576923600357872</c:v>
                </c:pt>
                <c:pt idx="14">
                  <c:v>0.87116009541790684</c:v>
                </c:pt>
                <c:pt idx="15">
                  <c:v>0.83927999865846215</c:v>
                </c:pt>
                <c:pt idx="16">
                  <c:v>0.79636402134475015</c:v>
                </c:pt>
                <c:pt idx="17">
                  <c:v>0.73518254803739536</c:v>
                </c:pt>
                <c:pt idx="18">
                  <c:v>0.63954620796199613</c:v>
                </c:pt>
                <c:pt idx="19">
                  <c:v>0.46336326939401401</c:v>
                </c:pt>
                <c:pt idx="20">
                  <c:v>0.40776346796132767</c:v>
                </c:pt>
                <c:pt idx="21">
                  <c:v>0.33999054666096584</c:v>
                </c:pt>
                <c:pt idx="22">
                  <c:v>0.25532667425417083</c:v>
                </c:pt>
                <c:pt idx="23">
                  <c:v>0.1462129790014825</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Keynes-Kaldor</c:v>
                </c:pt>
              </c:strCache>
            </c:strRef>
          </c:tx>
          <c:spPr>
            <a:ln w="1905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1.0000000000000027</c:v>
                </c:pt>
                <c:pt idx="1">
                  <c:v>1.0028090194360666</c:v>
                </c:pt>
                <c:pt idx="2">
                  <c:v>1.0045809972679478</c:v>
                </c:pt>
                <c:pt idx="3">
                  <c:v>1.0052286510626642</c:v>
                </c:pt>
                <c:pt idx="4">
                  <c:v>1.0046362430902582</c:v>
                </c:pt>
                <c:pt idx="5">
                  <c:v>1.0026530370101709</c:v>
                </c:pt>
                <c:pt idx="6">
                  <c:v>0.9990834955410105</c:v>
                </c:pt>
                <c:pt idx="7">
                  <c:v>0.99367379469359551</c:v>
                </c:pt>
                <c:pt idx="8">
                  <c:v>0.98609214024050285</c:v>
                </c:pt>
                <c:pt idx="9">
                  <c:v>0.97589990028358753</c:v>
                </c:pt>
                <c:pt idx="10">
                  <c:v>0.96250827132541006</c:v>
                </c:pt>
                <c:pt idx="11">
                  <c:v>0.94511131015342142</c:v>
                </c:pt>
                <c:pt idx="12">
                  <c:v>0.9225792542523128</c:v>
                </c:pt>
                <c:pt idx="13">
                  <c:v>0.89328199966438693</c:v>
                </c:pt>
                <c:pt idx="14">
                  <c:v>0.85478516745877842</c:v>
                </c:pt>
                <c:pt idx="15">
                  <c:v>0.80330439253217223</c:v>
                </c:pt>
                <c:pt idx="16">
                  <c:v>0.73269489385777875</c:v>
                </c:pt>
                <c:pt idx="17">
                  <c:v>0.63261534969308053</c:v>
                </c:pt>
                <c:pt idx="18">
                  <c:v>0.48599610349998562</c:v>
                </c:pt>
                <c:pt idx="19">
                  <c:v>0</c:v>
                </c:pt>
                <c:pt idx="20">
                  <c:v>0</c:v>
                </c:pt>
                <c:pt idx="21">
                  <c:v>0</c:v>
                </c:pt>
                <c:pt idx="22">
                  <c:v>0</c:v>
                </c:pt>
                <c:pt idx="23">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Keynes-Marshall</c:v>
                </c:pt>
              </c:strCache>
            </c:strRef>
          </c:tx>
          <c:spPr>
            <a:ln w="1905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1.011664907786441</c:v>
                </c:pt>
                <c:pt idx="2">
                  <c:v>1.0229336239405502</c:v>
                </c:pt>
                <c:pt idx="3">
                  <c:v>1.0337805373824198</c:v>
                </c:pt>
                <c:pt idx="4">
                  <c:v>1.0441725952070524</c:v>
                </c:pt>
                <c:pt idx="5">
                  <c:v>1.0540692630642488</c:v>
                </c:pt>
                <c:pt idx="6">
                  <c:v>1.0634227948076387</c:v>
                </c:pt>
                <c:pt idx="7">
                  <c:v>1.0721796865772462</c:v>
                </c:pt>
                <c:pt idx="8">
                  <c:v>1.0802835502926891</c:v>
                </c:pt>
                <c:pt idx="9">
                  <c:v>1.0876812258962563</c:v>
                </c:pt>
                <c:pt idx="10">
                  <c:v>1.0943339453160903</c:v>
                </c:pt>
                <c:pt idx="11">
                  <c:v>1.1002348667412578</c:v>
                </c:pt>
                <c:pt idx="12">
                  <c:v>1.1054232652472213</c:v>
                </c:pt>
                <c:pt idx="13">
                  <c:v>1.1099228412238444</c:v>
                </c:pt>
                <c:pt idx="14">
                  <c:v>1.1132796288556681</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Keynesian</c:v>
                </c:pt>
              </c:strCache>
            </c:strRef>
          </c:tx>
          <c:spPr>
            <a:ln w="1905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0.97738974502732823</c:v>
                </c:pt>
                <c:pt idx="2">
                  <c:v>0.95248623605545135</c:v>
                </c:pt>
                <c:pt idx="3">
                  <c:v>0.92507226763515416</c:v>
                </c:pt>
                <c:pt idx="4">
                  <c:v>0.89492553739385217</c:v>
                </c:pt>
                <c:pt idx="5">
                  <c:v>0.86183086119569285</c:v>
                </c:pt>
                <c:pt idx="6">
                  <c:v>0.82559591787403452</c:v>
                </c:pt>
                <c:pt idx="7">
                  <c:v>0.78608000411273626</c:v>
                </c:pt>
                <c:pt idx="8">
                  <c:v>0.74323849191588209</c:v>
                </c:pt>
                <c:pt idx="9">
                  <c:v>0.6972044274990119</c:v>
                </c:pt>
                <c:pt idx="10">
                  <c:v>0.64847162578220041</c:v>
                </c:pt>
                <c:pt idx="11">
                  <c:v>0.59843304916264728</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Neo-K2</c:v>
                </c:pt>
              </c:strCache>
            </c:strRef>
          </c:tx>
          <c:spPr>
            <a:ln w="19050" cap="rnd">
              <a:solidFill>
                <a:schemeClr val="accent3"/>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1.0000000000000027</c:v>
                </c:pt>
                <c:pt idx="1">
                  <c:v>0.98399349512862877</c:v>
                </c:pt>
                <c:pt idx="2">
                  <c:v>0.96630196897220244</c:v>
                </c:pt>
                <c:pt idx="3">
                  <c:v>0.94665074144809813</c:v>
                </c:pt>
                <c:pt idx="4">
                  <c:v>0.924718097745723</c:v>
                </c:pt>
                <c:pt idx="5">
                  <c:v>0.90013201458946002</c:v>
                </c:pt>
                <c:pt idx="6">
                  <c:v>0.87247435008808871</c:v>
                </c:pt>
                <c:pt idx="7">
                  <c:v>0.84129553445176564</c:v>
                </c:pt>
                <c:pt idx="8">
                  <c:v>0.80614916081231081</c:v>
                </c:pt>
                <c:pt idx="9">
                  <c:v>0.76666010843514143</c:v>
                </c:pt>
                <c:pt idx="10">
                  <c:v>0.7226436242039066</c:v>
                </c:pt>
                <c:pt idx="11">
                  <c:v>0.67428867511801105</c:v>
                </c:pt>
                <c:pt idx="12">
                  <c:v>0.62240240632160626</c:v>
                </c:pt>
                <c:pt idx="13">
                  <c:v>0.56862085931219664</c:v>
                </c:pt>
                <c:pt idx="14">
                  <c:v>0.51532446839863177</c:v>
                </c:pt>
                <c:pt idx="15">
                  <c:v>0.46492051443973437</c:v>
                </c:pt>
                <c:pt idx="16">
                  <c:v>0.41861333612317714</c:v>
                </c:pt>
                <c:pt idx="17">
                  <c:v>0.37525413164013927</c:v>
                </c:pt>
                <c:pt idx="18">
                  <c:v>0.32912910271880857</c:v>
                </c:pt>
                <c:pt idx="19">
                  <c:v>0.25813481604920296</c:v>
                </c:pt>
                <c:pt idx="20">
                  <c:v>0.23578102341399376</c:v>
                </c:pt>
                <c:pt idx="21">
                  <c:v>0.20816506650535394</c:v>
                </c:pt>
                <c:pt idx="22">
                  <c:v>0.17233983988929916</c:v>
                </c:pt>
                <c:pt idx="23">
                  <c:v>0</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Neo-K1</c:v>
                </c:pt>
              </c:strCache>
            </c:strRef>
          </c:tx>
          <c:spPr>
            <a:ln w="19050" cap="rnd">
              <a:solidFill>
                <a:schemeClr val="accent3"/>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1.0000000000000027</c:v>
                </c:pt>
                <c:pt idx="1">
                  <c:v>0.98664607403531401</c:v>
                </c:pt>
                <c:pt idx="2">
                  <c:v>0.97207780746084427</c:v>
                </c:pt>
                <c:pt idx="3">
                  <c:v>0.95611107486808411</c:v>
                </c:pt>
                <c:pt idx="4">
                  <c:v>0.93852547588076485</c:v>
                </c:pt>
                <c:pt idx="5">
                  <c:v>0.91905548583719188</c:v>
                </c:pt>
                <c:pt idx="6">
                  <c:v>0.89738093875136349</c:v>
                </c:pt>
                <c:pt idx="7">
                  <c:v>0.87311492677207669</c:v>
                </c:pt>
                <c:pt idx="8">
                  <c:v>0.84579005373328009</c:v>
                </c:pt>
                <c:pt idx="9">
                  <c:v>0.81484422123238709</c:v>
                </c:pt>
                <c:pt idx="10">
                  <c:v>0.77960656491912528</c:v>
                </c:pt>
                <c:pt idx="11">
                  <c:v>0.73928888433010653</c:v>
                </c:pt>
                <c:pt idx="12">
                  <c:v>0.6929869474605177</c:v>
                </c:pt>
                <c:pt idx="13">
                  <c:v>0.63970044076868138</c:v>
                </c:pt>
                <c:pt idx="14">
                  <c:v>0.57838074782905724</c:v>
                </c:pt>
                <c:pt idx="15">
                  <c:v>0.50801132468990362</c:v>
                </c:pt>
                <c:pt idx="16">
                  <c:v>0.42771521327746537</c:v>
                </c:pt>
                <c:pt idx="17">
                  <c:v>0.33686886995838811</c:v>
                </c:pt>
                <c:pt idx="18">
                  <c:v>0.23518836519671735</c:v>
                </c:pt>
                <c:pt idx="19">
                  <c:v>0.12275917191273793</c:v>
                </c:pt>
                <c:pt idx="20">
                  <c:v>0</c:v>
                </c:pt>
                <c:pt idx="21">
                  <c:v>0</c:v>
                </c:pt>
                <c:pt idx="22">
                  <c:v>0</c:v>
                </c:pt>
                <c:pt idx="23">
                  <c:v>0</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ext xmlns:c15="http://schemas.microsoft.com/office/drawing/2012/chart" uri="{02D57815-91ED-43cb-92C2-25804820EDAC}">
            <c15:filteredScatterSeries>
              <c15:ser>
                <c:idx val="8"/>
                <c:order val="8"/>
                <c:tx>
                  <c:strRef>
                    <c:extLst>
                      <c:ext uri="{02D57815-91ED-43cb-92C2-25804820EDAC}">
                        <c15:formulaRef>
                          <c15:sqref>'Diagnosis Indicators'!$A$11</c15:sqref>
                        </c15:formulaRef>
                      </c:ext>
                    </c:extLst>
                    <c:strCache>
                      <c:ptCount val="1"/>
                      <c:pt idx="0">
                        <c:v>Neoclassical - hetero s</c:v>
                      </c:pt>
                    </c:strCache>
                  </c:strRef>
                </c:tx>
                <c:spPr>
                  <a:ln w="19050" cap="rnd">
                    <a:solidFill>
                      <a:schemeClr val="accent3">
                        <a:lumMod val="60000"/>
                      </a:schemeClr>
                    </a:solidFill>
                    <a:round/>
                  </a:ln>
                  <a:effectLst/>
                </c:spPr>
                <c:marker>
                  <c:symbol val="none"/>
                </c:marker>
                <c:xVal>
                  <c:numRef>
                    <c:extLst>
                      <c:ext uri="{02D57815-91ED-43cb-92C2-25804820EDAC}">
                        <c15:formulaRef>
                          <c15:sqref>'Diagnosis Indicators'!$B$2:$Y$2</c15:sqref>
                        </c15:formulaRef>
                      </c:ext>
                    </c:extLst>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extLst>
                      <c:ext uri="{02D57815-91ED-43cb-92C2-25804820EDAC}">
                        <c15:formulaRef>
                          <c15:sqref>'Diagnosis Indicators'!$B$11:$Y$11</c15:sqref>
                        </c15:formulaRef>
                      </c:ext>
                    </c:extLst>
                    <c:numCache>
                      <c:formatCode>#,##0.000</c:formatCode>
                      <c:ptCount val="24"/>
                      <c:pt idx="0">
                        <c:v>0.99999999999999956</c:v>
                      </c:pt>
                      <c:pt idx="1">
                        <c:v>0.99444591610775457</c:v>
                      </c:pt>
                      <c:pt idx="2">
                        <c:v>0.98832398885785544</c:v>
                      </c:pt>
                      <c:pt idx="3">
                        <c:v>0.98155485786275998</c:v>
                      </c:pt>
                      <c:pt idx="4">
                        <c:v>0.97404297476950719</c:v>
                      </c:pt>
                      <c:pt idx="5">
                        <c:v>0.96567204220783953</c:v>
                      </c:pt>
                      <c:pt idx="6">
                        <c:v>0.95629799805413807</c:v>
                      </c:pt>
                      <c:pt idx="7">
                        <c:v>0.94573972610617074</c:v>
                      </c:pt>
                      <c:pt idx="8">
                        <c:v>0.93376390646056395</c:v>
                      </c:pt>
                      <c:pt idx="9">
                        <c:v>0.92006316660733312</c:v>
                      </c:pt>
                      <c:pt idx="10">
                        <c:v>0.90421972939464912</c:v>
                      </c:pt>
                      <c:pt idx="11">
                        <c:v>0.88564636602078417</c:v>
                      </c:pt>
                      <c:pt idx="12">
                        <c:v>0.86348466526882439</c:v>
                      </c:pt>
                      <c:pt idx="13">
                        <c:v>0.83642519107603419</c:v>
                      </c:pt>
                      <c:pt idx="14">
                        <c:v>0.80238481689363084</c:v>
                      </c:pt>
                      <c:pt idx="15">
                        <c:v>0.75794214216834832</c:v>
                      </c:pt>
                      <c:pt idx="16">
                        <c:v>0.69744648234885309</c:v>
                      </c:pt>
                      <c:pt idx="17">
                        <c:v>0.61173763947405335</c:v>
                      </c:pt>
                      <c:pt idx="18">
                        <c:v>0.48516789846608083</c:v>
                      </c:pt>
                      <c:pt idx="19">
                        <c:v>0.28500358745058368</c:v>
                      </c:pt>
                      <c:pt idx="20">
                        <c:v>0.23086212220297583</c:v>
                      </c:pt>
                      <c:pt idx="21">
                        <c:v>0.17080624919208309</c:v>
                      </c:pt>
                      <c:pt idx="22">
                        <c:v>0.10553097572575747</c:v>
                      </c:pt>
                      <c:pt idx="23">
                        <c:v>4.0042490619631235E-2</c:v>
                      </c:pt>
                    </c:numCache>
                  </c:numRef>
                </c:yVal>
                <c:smooth val="1"/>
                <c:extLst>
                  <c:ext xmlns:c16="http://schemas.microsoft.com/office/drawing/2014/chart" uri="{C3380CC4-5D6E-409C-BE32-E72D297353CC}">
                    <c16:uniqueId val="{00000000-A801-406B-8D2B-155AC302105A}"/>
                  </c:ext>
                </c:extLst>
              </c15:ser>
            </c15:filteredScatterSeries>
          </c:ext>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Energy demand control</a:t>
                </a:r>
              </a:p>
            </c:rich>
          </c:tx>
          <c:layout>
            <c:manualLayout>
              <c:xMode val="edge"/>
              <c:yMode val="edge"/>
              <c:x val="0.44665217932555212"/>
              <c:y val="0.9597134749809676"/>
            </c:manualLayout>
          </c:layout>
          <c:overlay val="0"/>
          <c:spPr>
            <a:solidFill>
              <a:schemeClr val="bg1">
                <a:alpha val="70000"/>
              </a:schemeClr>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5"/>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sz="18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r"/>
      <c:layout>
        <c:manualLayout>
          <c:xMode val="edge"/>
          <c:yMode val="edge"/>
          <c:x val="7.7558359529985993E-2"/>
          <c:y val="0.50069788772209378"/>
          <c:w val="0.18780620873946458"/>
          <c:h val="0.38842449220100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39229634350809E-2"/>
          <c:y val="7.7694712997173468E-2"/>
          <c:w val="0.91954496211515768"/>
          <c:h val="0.84004231632441195"/>
        </c:manualLayout>
      </c:layout>
      <c:scatterChart>
        <c:scatterStyle val="smoothMarker"/>
        <c:varyColors val="0"/>
        <c:ser>
          <c:idx val="0"/>
          <c:order val="0"/>
          <c:tx>
            <c:strRef>
              <c:f>'Diagnosis Indicators'!$A$63</c:f>
              <c:strCache>
                <c:ptCount val="1"/>
                <c:pt idx="0">
                  <c:v>Neoclassical</c:v>
                </c:pt>
              </c:strCache>
            </c:strRef>
          </c:tx>
          <c:spPr>
            <a:ln w="19050" cap="rnd">
              <a:solidFill>
                <a:schemeClr val="accent1"/>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c:formatCode>
                <c:ptCount val="24"/>
                <c:pt idx="0">
                  <c:v>0.56058995943839207</c:v>
                </c:pt>
                <c:pt idx="1">
                  <c:v>0.56593279596525548</c:v>
                </c:pt>
                <c:pt idx="2">
                  <c:v>0.56467126215638108</c:v>
                </c:pt>
                <c:pt idx="3">
                  <c:v>0.56341623012312891</c:v>
                </c:pt>
                <c:pt idx="4">
                  <c:v>0.56216796786961398</c:v>
                </c:pt>
                <c:pt idx="5">
                  <c:v>0.56092671233944635</c:v>
                </c:pt>
                <c:pt idx="6">
                  <c:v>0.55969258257726096</c:v>
                </c:pt>
                <c:pt idx="7">
                  <c:v>0.55846566771080164</c:v>
                </c:pt>
                <c:pt idx="8">
                  <c:v>0.55724596750693001</c:v>
                </c:pt>
                <c:pt idx="9">
                  <c:v>0.55603340473607721</c:v>
                </c:pt>
                <c:pt idx="10">
                  <c:v>0.55482787235222775</c:v>
                </c:pt>
                <c:pt idx="11">
                  <c:v>0.55362933170020978</c:v>
                </c:pt>
                <c:pt idx="12">
                  <c:v>0.55243803883491305</c:v>
                </c:pt>
                <c:pt idx="13">
                  <c:v>0.55125505586863977</c:v>
                </c:pt>
                <c:pt idx="14">
                  <c:v>0.55008328134629481</c:v>
                </c:pt>
                <c:pt idx="15">
                  <c:v>0.54892965948279537</c:v>
                </c:pt>
                <c:pt idx="16">
                  <c:v>0.54780999647765449</c:v>
                </c:pt>
                <c:pt idx="17">
                  <c:v>0.54675956074519216</c:v>
                </c:pt>
                <c:pt idx="18">
                  <c:v>0.54585602082280271</c:v>
                </c:pt>
                <c:pt idx="19">
                  <c:v>0.54525296889406627</c:v>
                </c:pt>
                <c:pt idx="20">
                  <c:v>0.54518545372150073</c:v>
                </c:pt>
                <c:pt idx="21">
                  <c:v>0.54513721982933949</c:v>
                </c:pt>
                <c:pt idx="22">
                  <c:v>0.54510683027529538</c:v>
                </c:pt>
                <c:pt idx="23">
                  <c:v>0.54509119422727603</c:v>
                </c:pt>
              </c:numCache>
            </c:numRef>
          </c:yVal>
          <c:smooth val="1"/>
          <c:extLst>
            <c:ext xmlns:c16="http://schemas.microsoft.com/office/drawing/2014/chart" uri="{C3380CC4-5D6E-409C-BE32-E72D297353CC}">
              <c16:uniqueId val="{00000000-A1C7-4647-B998-449E9F32F971}"/>
            </c:ext>
          </c:extLst>
        </c:ser>
        <c:ser>
          <c:idx val="1"/>
          <c:order val="1"/>
          <c:tx>
            <c:strRef>
              <c:f>'Diagnosis Indicators'!$A$64</c:f>
              <c:strCache>
                <c:ptCount val="1"/>
                <c:pt idx="0">
                  <c:v>Kaldorian</c:v>
                </c:pt>
              </c:strCache>
            </c:strRef>
          </c:tx>
          <c:spPr>
            <a:ln w="19050" cap="rnd">
              <a:solidFill>
                <a:schemeClr val="accent2"/>
              </a:solidFill>
              <a:prstDash val="lgDash"/>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c:formatCode>
                <c:ptCount val="24"/>
                <c:pt idx="0">
                  <c:v>0.56058995943839207</c:v>
                </c:pt>
                <c:pt idx="1">
                  <c:v>0.56097956340535138</c:v>
                </c:pt>
                <c:pt idx="2">
                  <c:v>0.55445072189979705</c:v>
                </c:pt>
                <c:pt idx="3">
                  <c:v>0.54756185679186919</c:v>
                </c:pt>
                <c:pt idx="4">
                  <c:v>0.54024848942302051</c:v>
                </c:pt>
                <c:pt idx="5">
                  <c:v>0.53242992644428888</c:v>
                </c:pt>
                <c:pt idx="6">
                  <c:v>0.52400323340266419</c:v>
                </c:pt>
                <c:pt idx="7">
                  <c:v>0.51483579492973408</c:v>
                </c:pt>
                <c:pt idx="8">
                  <c:v>0.50475278699827653</c:v>
                </c:pt>
                <c:pt idx="9">
                  <c:v>0.49351863070166252</c:v>
                </c:pt>
                <c:pt idx="10">
                  <c:v>0.48080720356949685</c:v>
                </c:pt>
                <c:pt idx="11">
                  <c:v>0.46615163496273898</c:v>
                </c:pt>
                <c:pt idx="12">
                  <c:v>0.44885676591669654</c:v>
                </c:pt>
                <c:pt idx="13">
                  <c:v>0.42783068694009468</c:v>
                </c:pt>
                <c:pt idx="14">
                  <c:v>0.40124316284197081</c:v>
                </c:pt>
                <c:pt idx="15">
                  <c:v>0.36574041415946507</c:v>
                </c:pt>
              </c:numCache>
            </c:numRef>
          </c:yVal>
          <c:smooth val="1"/>
          <c:extLst>
            <c:ext xmlns:c16="http://schemas.microsoft.com/office/drawing/2014/chart" uri="{C3380CC4-5D6E-409C-BE32-E72D297353CC}">
              <c16:uniqueId val="{00000001-A1C7-4647-B998-449E9F32F971}"/>
            </c:ext>
          </c:extLst>
        </c:ser>
        <c:ser>
          <c:idx val="5"/>
          <c:order val="2"/>
          <c:tx>
            <c:strRef>
              <c:f>'Diagnosis Indicators'!$A$65</c:f>
              <c:strCache>
                <c:ptCount val="1"/>
                <c:pt idx="0">
                  <c:v>Johansen</c:v>
                </c:pt>
              </c:strCache>
            </c:strRef>
          </c:tx>
          <c:spPr>
            <a:ln w="19050" cap="rnd">
              <a:solidFill>
                <a:schemeClr val="accent6"/>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c:formatCode>
                <c:ptCount val="24"/>
                <c:pt idx="0">
                  <c:v>0.56058995943839207</c:v>
                </c:pt>
                <c:pt idx="1">
                  <c:v>0.56592682604470146</c:v>
                </c:pt>
                <c:pt idx="2">
                  <c:v>0.56465960591142927</c:v>
                </c:pt>
                <c:pt idx="3">
                  <c:v>0.56339917239767356</c:v>
                </c:pt>
                <c:pt idx="4">
                  <c:v>0.5621457383581534</c:v>
                </c:pt>
                <c:pt idx="5">
                  <c:v>0.56089949583424314</c:v>
                </c:pt>
                <c:pt idx="6">
                  <c:v>0.55966050442508719</c:v>
                </c:pt>
                <c:pt idx="7">
                  <c:v>0.5584287704262143</c:v>
                </c:pt>
                <c:pt idx="8">
                  <c:v>0.55720419478868988</c:v>
                </c:pt>
                <c:pt idx="9">
                  <c:v>0.55598658537902079</c:v>
                </c:pt>
                <c:pt idx="10">
                  <c:v>0.55477571495208688</c:v>
                </c:pt>
                <c:pt idx="11">
                  <c:v>0.55357143595420666</c:v>
                </c:pt>
                <c:pt idx="12">
                  <c:v>0.5523739549482497</c:v>
                </c:pt>
                <c:pt idx="13">
                  <c:v>0.55118441303563026</c:v>
                </c:pt>
                <c:pt idx="14">
                  <c:v>0.55000608625010738</c:v>
                </c:pt>
                <c:pt idx="15">
                  <c:v>0.54884689712550261</c:v>
                </c:pt>
                <c:pt idx="16">
                  <c:v>0.54772482944182221</c:v>
                </c:pt>
                <c:pt idx="17">
                  <c:v>0.54667955258776879</c:v>
                </c:pt>
                <c:pt idx="18">
                  <c:v>0.54579620205012813</c:v>
                </c:pt>
                <c:pt idx="19">
                  <c:v>0.54523158397222382</c:v>
                </c:pt>
                <c:pt idx="20">
                  <c:v>0.5451717600919862</c:v>
                </c:pt>
                <c:pt idx="21">
                  <c:v>0.54512992598369914</c:v>
                </c:pt>
                <c:pt idx="22">
                  <c:v>0.54510404559428016</c:v>
                </c:pt>
                <c:pt idx="23">
                  <c:v>0.54509076098518061</c:v>
                </c:pt>
              </c:numCache>
            </c:numRef>
          </c:yVal>
          <c:smooth val="1"/>
          <c:extLst>
            <c:ext xmlns:c16="http://schemas.microsoft.com/office/drawing/2014/chart" uri="{C3380CC4-5D6E-409C-BE32-E72D297353CC}">
              <c16:uniqueId val="{00000002-A1C7-4647-B998-449E9F32F971}"/>
            </c:ext>
          </c:extLst>
        </c:ser>
        <c:ser>
          <c:idx val="2"/>
          <c:order val="3"/>
          <c:tx>
            <c:strRef>
              <c:f>'Diagnosis Indicators'!$A$66</c:f>
              <c:strCache>
                <c:ptCount val="1"/>
                <c:pt idx="0">
                  <c:v>Keynes-Kaldor</c:v>
                </c:pt>
              </c:strCache>
            </c:strRef>
          </c:tx>
          <c:spPr>
            <a:ln w="19050" cap="rnd">
              <a:solidFill>
                <a:schemeClr val="accent3"/>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Indicators'!$B$66:$Y$66</c:f>
              <c:numCache>
                <c:formatCode>0.0%</c:formatCode>
                <c:ptCount val="24"/>
                <c:pt idx="0">
                  <c:v>0.56058995943839207</c:v>
                </c:pt>
                <c:pt idx="1">
                  <c:v>0.56042404728203077</c:v>
                </c:pt>
                <c:pt idx="2">
                  <c:v>0.55338680935866624</c:v>
                </c:pt>
                <c:pt idx="3">
                  <c:v>0.54603491697742945</c:v>
                </c:pt>
                <c:pt idx="4">
                  <c:v>0.53830437750112647</c:v>
                </c:pt>
                <c:pt idx="5">
                  <c:v>0.53011733841854158</c:v>
                </c:pt>
                <c:pt idx="6">
                  <c:v>0.52137838917278023</c:v>
                </c:pt>
                <c:pt idx="7">
                  <c:v>0.51196806698255937</c:v>
                </c:pt>
                <c:pt idx="8">
                  <c:v>0.50173425311907915</c:v>
                </c:pt>
                <c:pt idx="9">
                  <c:v>0.49047958637525441</c:v>
                </c:pt>
                <c:pt idx="10">
                  <c:v>0.47794264357871258</c:v>
                </c:pt>
                <c:pt idx="11">
                  <c:v>0.46376908791223476</c:v>
                </c:pt>
                <c:pt idx="12">
                  <c:v>0.44746614550209224</c:v>
                </c:pt>
                <c:pt idx="13">
                  <c:v>0.42832902416824326</c:v>
                </c:pt>
                <c:pt idx="14">
                  <c:v>0.40532071043281515</c:v>
                </c:pt>
                <c:pt idx="15">
                  <c:v>0.37687897980071383</c:v>
                </c:pt>
                <c:pt idx="16">
                  <c:v>0.3406551244130106</c:v>
                </c:pt>
              </c:numCache>
            </c:numRef>
          </c:yVal>
          <c:smooth val="1"/>
          <c:extLst>
            <c:ext xmlns:c16="http://schemas.microsoft.com/office/drawing/2014/chart" uri="{C3380CC4-5D6E-409C-BE32-E72D297353CC}">
              <c16:uniqueId val="{00000003-A1C7-4647-B998-449E9F32F971}"/>
            </c:ext>
          </c:extLst>
        </c:ser>
        <c:ser>
          <c:idx val="3"/>
          <c:order val="4"/>
          <c:tx>
            <c:strRef>
              <c:f>'Diagnosis Indicators'!$A$67</c:f>
              <c:strCache>
                <c:ptCount val="1"/>
                <c:pt idx="0">
                  <c:v>Keynes-Marshall</c:v>
                </c:pt>
              </c:strCache>
            </c:strRef>
          </c:tx>
          <c:spPr>
            <a:ln w="19050" cap="rnd">
              <a:solidFill>
                <a:schemeClr val="accent4"/>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Indicators'!$B$67:$Y$67</c:f>
              <c:numCache>
                <c:formatCode>0.0%</c:formatCode>
                <c:ptCount val="24"/>
                <c:pt idx="0">
                  <c:v>0.56058995943839085</c:v>
                </c:pt>
                <c:pt idx="1">
                  <c:v>0.58122509399786282</c:v>
                </c:pt>
                <c:pt idx="2">
                  <c:v>0.59560144629563205</c:v>
                </c:pt>
                <c:pt idx="3">
                  <c:v>0.61040733353284404</c:v>
                </c:pt>
                <c:pt idx="4">
                  <c:v>0.62573916818480846</c:v>
                </c:pt>
                <c:pt idx="5">
                  <c:v>0.64172167231016197</c:v>
                </c:pt>
                <c:pt idx="6">
                  <c:v>0.65852285627300833</c:v>
                </c:pt>
                <c:pt idx="7">
                  <c:v>0.67637854810491682</c:v>
                </c:pt>
                <c:pt idx="8">
                  <c:v>0.69563322576646858</c:v>
                </c:pt>
                <c:pt idx="9">
                  <c:v>0.7168109261779525</c:v>
                </c:pt>
              </c:numCache>
            </c:numRef>
          </c:yVal>
          <c:smooth val="1"/>
          <c:extLst>
            <c:ext xmlns:c16="http://schemas.microsoft.com/office/drawing/2014/chart" uri="{C3380CC4-5D6E-409C-BE32-E72D297353CC}">
              <c16:uniqueId val="{00000004-A1C7-4647-B998-449E9F32F971}"/>
            </c:ext>
          </c:extLst>
        </c:ser>
        <c:ser>
          <c:idx val="4"/>
          <c:order val="5"/>
          <c:tx>
            <c:strRef>
              <c:f>'Diagnosis Indicators'!$A$68</c:f>
              <c:strCache>
                <c:ptCount val="1"/>
                <c:pt idx="0">
                  <c:v>Keynesian</c:v>
                </c:pt>
              </c:strCache>
            </c:strRef>
          </c:tx>
          <c:spPr>
            <a:ln w="19050" cap="rnd">
              <a:solidFill>
                <a:schemeClr val="accent5"/>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Indicators'!$B$68:$Y$68</c:f>
              <c:numCache>
                <c:formatCode>0.0%</c:formatCode>
                <c:ptCount val="24"/>
                <c:pt idx="0">
                  <c:v>0.56058995943839085</c:v>
                </c:pt>
                <c:pt idx="1">
                  <c:v>0.57467057453159953</c:v>
                </c:pt>
                <c:pt idx="2">
                  <c:v>0.58210617984837976</c:v>
                </c:pt>
                <c:pt idx="3">
                  <c:v>0.58947843764537433</c:v>
                </c:pt>
                <c:pt idx="4">
                  <c:v>0.59675108455096071</c:v>
                </c:pt>
                <c:pt idx="5">
                  <c:v>0.60388102836751467</c:v>
                </c:pt>
                <c:pt idx="6">
                  <c:v>0.61081526781839346</c:v>
                </c:pt>
                <c:pt idx="7">
                  <c:v>0.61749114322110266</c:v>
                </c:pt>
                <c:pt idx="8">
                  <c:v>0.62383276086681805</c:v>
                </c:pt>
                <c:pt idx="9">
                  <c:v>0.62974314224161132</c:v>
                </c:pt>
                <c:pt idx="10">
                  <c:v>0.63508747234777452</c:v>
                </c:pt>
                <c:pt idx="11">
                  <c:v>0.63961952061332139</c:v>
                </c:pt>
                <c:pt idx="12">
                  <c:v>0</c:v>
                </c:pt>
              </c:numCache>
            </c:numRef>
          </c:yVal>
          <c:smooth val="1"/>
          <c:extLst>
            <c:ext xmlns:c16="http://schemas.microsoft.com/office/drawing/2014/chart" uri="{C3380CC4-5D6E-409C-BE32-E72D297353CC}">
              <c16:uniqueId val="{00000005-A1C7-4647-B998-449E9F32F971}"/>
            </c:ext>
          </c:extLst>
        </c:ser>
        <c:ser>
          <c:idx val="6"/>
          <c:order val="6"/>
          <c:tx>
            <c:strRef>
              <c:f>'Diagnosis Indicators'!$A$69</c:f>
              <c:strCache>
                <c:ptCount val="1"/>
                <c:pt idx="0">
                  <c:v>Neo-K1</c:v>
                </c:pt>
              </c:strCache>
            </c:strRef>
          </c:tx>
          <c:spPr>
            <a:ln w="19050" cap="rnd">
              <a:solidFill>
                <a:schemeClr val="accent1">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Indicators'!$B$69:$Y$69</c:f>
              <c:numCache>
                <c:formatCode>0.0%</c:formatCode>
                <c:ptCount val="24"/>
                <c:pt idx="0">
                  <c:v>0.56058995943839207</c:v>
                </c:pt>
                <c:pt idx="1">
                  <c:v>0.56671511805319807</c:v>
                </c:pt>
                <c:pt idx="2">
                  <c:v>0.56622162334556658</c:v>
                </c:pt>
                <c:pt idx="3">
                  <c:v>0.56571637061340485</c:v>
                </c:pt>
                <c:pt idx="4">
                  <c:v>0.56519471264180321</c:v>
                </c:pt>
                <c:pt idx="5">
                  <c:v>0.56465081523780858</c:v>
                </c:pt>
                <c:pt idx="6">
                  <c:v>0.56407744015937533</c:v>
                </c:pt>
                <c:pt idx="7">
                  <c:v>0.56346571224154773</c:v>
                </c:pt>
                <c:pt idx="8">
                  <c:v>0.56280493432184542</c:v>
                </c:pt>
                <c:pt idx="9">
                  <c:v>0.56208253105535622</c:v>
                </c:pt>
                <c:pt idx="10">
                  <c:v>0.56128421466666201</c:v>
                </c:pt>
                <c:pt idx="11">
                  <c:v>0.56039457315539842</c:v>
                </c:pt>
                <c:pt idx="12">
                  <c:v>0.55939822008878226</c:v>
                </c:pt>
                <c:pt idx="13">
                  <c:v>0.55828170928798448</c:v>
                </c:pt>
                <c:pt idx="14">
                  <c:v>0.55703609482991367</c:v>
                </c:pt>
                <c:pt idx="15">
                  <c:v>0.55565976951016594</c:v>
                </c:pt>
                <c:pt idx="16">
                  <c:v>0.55416071584004856</c:v>
                </c:pt>
                <c:pt idx="17">
                  <c:v>0.55255712569200144</c:v>
                </c:pt>
                <c:pt idx="18">
                  <c:v>0.55087571649949441</c:v>
                </c:pt>
                <c:pt idx="19">
                  <c:v>0.54914805066470196</c:v>
                </c:pt>
                <c:pt idx="20">
                  <c:v>0</c:v>
                </c:pt>
                <c:pt idx="21">
                  <c:v>0</c:v>
                </c:pt>
                <c:pt idx="22">
                  <c:v>0</c:v>
                </c:pt>
                <c:pt idx="23">
                  <c:v>0</c:v>
                </c:pt>
              </c:numCache>
            </c:numRef>
          </c:yVal>
          <c:smooth val="1"/>
          <c:extLst>
            <c:ext xmlns:c16="http://schemas.microsoft.com/office/drawing/2014/chart" uri="{C3380CC4-5D6E-409C-BE32-E72D297353CC}">
              <c16:uniqueId val="{00000006-A1C7-4647-B998-449E9F32F971}"/>
            </c:ext>
          </c:extLst>
        </c:ser>
        <c:ser>
          <c:idx val="7"/>
          <c:order val="7"/>
          <c:tx>
            <c:strRef>
              <c:f>'Diagnosis Indicators'!$A$70</c:f>
              <c:strCache>
                <c:ptCount val="1"/>
                <c:pt idx="0">
                  <c:v>Neo-K2</c:v>
                </c:pt>
              </c:strCache>
            </c:strRef>
          </c:tx>
          <c:spPr>
            <a:ln w="19050" cap="rnd">
              <a:solidFill>
                <a:schemeClr val="accent2">
                  <a:lumMod val="60000"/>
                </a:schemeClr>
              </a:solidFill>
              <a:round/>
            </a:ln>
            <a:effectLst/>
          </c:spPr>
          <c:marker>
            <c:symbol val="none"/>
          </c:marker>
          <c:xVal>
            <c:numRef>
              <c:f>'Diagnosis Indicators'!$B$62:$Y$62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Indicators'!$B$70:$Y$70</c:f>
              <c:numCache>
                <c:formatCode>0.0%</c:formatCode>
                <c:ptCount val="24"/>
                <c:pt idx="0">
                  <c:v>0.56058995943839207</c:v>
                </c:pt>
                <c:pt idx="1">
                  <c:v>0.56768929899372633</c:v>
                </c:pt>
                <c:pt idx="2">
                  <c:v>0.56824739755381737</c:v>
                </c:pt>
                <c:pt idx="3">
                  <c:v>0.56888143820360837</c:v>
                </c:pt>
                <c:pt idx="4">
                  <c:v>0.56959802928665482</c:v>
                </c:pt>
                <c:pt idx="5">
                  <c:v>0.5704033416954184</c:v>
                </c:pt>
                <c:pt idx="6">
                  <c:v>0.57130231241583884</c:v>
                </c:pt>
                <c:pt idx="7">
                  <c:v>0.5722973479495731</c:v>
                </c:pt>
                <c:pt idx="8">
                  <c:v>0.57338618457984258</c:v>
                </c:pt>
                <c:pt idx="9">
                  <c:v>0.57455825868031463</c:v>
                </c:pt>
                <c:pt idx="10">
                  <c:v>0.57578841497831001</c:v>
                </c:pt>
                <c:pt idx="11">
                  <c:v>0.57702592021401033</c:v>
                </c:pt>
                <c:pt idx="12">
                  <c:v>0.57817607520089043</c:v>
                </c:pt>
                <c:pt idx="13">
                  <c:v>0.57907344603979705</c:v>
                </c:pt>
                <c:pt idx="14">
                  <c:v>0.5794532512190147</c:v>
                </c:pt>
                <c:pt idx="15">
                  <c:v>0.57892839359652415</c:v>
                </c:pt>
                <c:pt idx="16">
                  <c:v>0.57692402289290534</c:v>
                </c:pt>
                <c:pt idx="17">
                  <c:v>0.57232634177549113</c:v>
                </c:pt>
                <c:pt idx="18">
                  <c:v>0.56175877755388703</c:v>
                </c:pt>
                <c:pt idx="19">
                  <c:v>0.52895991558094113</c:v>
                </c:pt>
                <c:pt idx="20">
                  <c:v>0.51431324761372677</c:v>
                </c:pt>
                <c:pt idx="21">
                  <c:v>0.49294989554389285</c:v>
                </c:pt>
                <c:pt idx="22">
                  <c:v>0.45896003941604369</c:v>
                </c:pt>
                <c:pt idx="23">
                  <c:v>0</c:v>
                </c:pt>
              </c:numCache>
            </c:numRef>
          </c:yVal>
          <c:smooth val="1"/>
          <c:extLst>
            <c:ext xmlns:c16="http://schemas.microsoft.com/office/drawing/2014/chart" uri="{C3380CC4-5D6E-409C-BE32-E72D297353CC}">
              <c16:uniqueId val="{00000007-A1C7-4647-B998-449E9F32F971}"/>
            </c:ext>
          </c:extLst>
        </c:ser>
        <c:dLbls>
          <c:showLegendKey val="0"/>
          <c:showVal val="0"/>
          <c:showCatName val="0"/>
          <c:showSerName val="0"/>
          <c:showPercent val="0"/>
          <c:showBubbleSize val="0"/>
        </c:dLbls>
        <c:axId val="844946399"/>
        <c:axId val="844953055"/>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fr-FR" sz="1200"/>
                  <a:t>Fossil energy control</a:t>
                </a:r>
              </a:p>
            </c:rich>
          </c:tx>
          <c:layout>
            <c:manualLayout>
              <c:xMode val="edge"/>
              <c:yMode val="edge"/>
              <c:x val="0.43708696202780883"/>
              <c:y val="0.961806221554300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r>
                  <a:rPr lang="en-US" sz="2000"/>
                  <a:t>Profit share</a:t>
                </a:r>
              </a:p>
            </c:rich>
          </c:tx>
          <c:layout>
            <c:manualLayout>
              <c:xMode val="edge"/>
              <c:yMode val="edge"/>
              <c:x val="1.3669649771732994E-2"/>
              <c:y val="2.0934435893485728E-2"/>
            </c:manualLayout>
          </c:layout>
          <c:overlay val="0"/>
          <c:spPr>
            <a:noFill/>
            <a:ln>
              <a:noFill/>
            </a:ln>
            <a:effectLst/>
          </c:spPr>
          <c:txPr>
            <a:bodyPr rot="0" spcFirstLastPara="1" vertOverflow="ellipsis"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5327206286230677E-2"/>
          <c:y val="0.51777688441239067"/>
          <c:w val="0.19412059496196518"/>
          <c:h val="0.38270344479544083"/>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fr-FR" sz="2000" b="0" i="0" u="none" strike="noStrike" kern="1200" baseline="0">
                <a:solidFill>
                  <a:sysClr val="windowText" lastClr="000000">
                    <a:lumMod val="65000"/>
                    <a:lumOff val="35000"/>
                  </a:sysClr>
                </a:solidFill>
                <a:latin typeface="+mn-lt"/>
                <a:ea typeface="+mn-ea"/>
                <a:cs typeface="+mn-cs"/>
              </a:rPr>
              <a:t>Optimal Carbon Tax</a:t>
            </a:r>
          </a:p>
        </c:rich>
      </c:tx>
      <c:layout>
        <c:manualLayout>
          <c:xMode val="edge"/>
          <c:yMode val="edge"/>
          <c:x val="4.2052262398352712E-2"/>
          <c:y val="1.674876749842321E-2"/>
        </c:manualLayout>
      </c:layout>
      <c:overlay val="0"/>
    </c:title>
    <c:autoTitleDeleted val="0"/>
    <c:plotArea>
      <c:layout/>
      <c:scatterChart>
        <c:scatterStyle val="lineMarker"/>
        <c:varyColors val="0"/>
        <c:ser>
          <c:idx val="5"/>
          <c:order val="0"/>
          <c:tx>
            <c:strRef>
              <c:f>'Diagnosis Indicators'!$A$85</c:f>
              <c:strCache>
                <c:ptCount val="1"/>
                <c:pt idx="0">
                  <c:v>Neoclassical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Indicators'!$B$85:$Y$85</c:f>
              <c:numCache>
                <c:formatCode>0%</c:formatCode>
                <c:ptCount val="24"/>
                <c:pt idx="0">
                  <c:v>5.7716594496607888E-3</c:v>
                </c:pt>
                <c:pt idx="1">
                  <c:v>5.6340422416369225E-2</c:v>
                </c:pt>
                <c:pt idx="2">
                  <c:v>0.11199051711865128</c:v>
                </c:pt>
                <c:pt idx="3">
                  <c:v>0.17351496300092922</c:v>
                </c:pt>
                <c:pt idx="4">
                  <c:v>0.24188314940057037</c:v>
                </c:pt>
                <c:pt idx="5">
                  <c:v>0.31828616911698265</c:v>
                </c:pt>
                <c:pt idx="6">
                  <c:v>0.40422062067046199</c:v>
                </c:pt>
                <c:pt idx="7">
                  <c:v>0.50158354013640671</c:v>
                </c:pt>
                <c:pt idx="8">
                  <c:v>0.61283174115509786</c:v>
                </c:pt>
                <c:pt idx="9">
                  <c:v>0.74121688597090274</c:v>
                </c:pt>
                <c:pt idx="10">
                  <c:v>0.89116175797922303</c:v>
                </c:pt>
                <c:pt idx="11">
                  <c:v>1.0688865178865512</c:v>
                </c:pt>
                <c:pt idx="12">
                  <c:v>1.2835127321432536</c:v>
                </c:pt>
                <c:pt idx="13">
                  <c:v>1.5491470656679502</c:v>
                </c:pt>
                <c:pt idx="14">
                  <c:v>1.889145814030561</c:v>
                </c:pt>
                <c:pt idx="15">
                  <c:v>2.3458055244977483</c:v>
                </c:pt>
                <c:pt idx="16">
                  <c:v>3.0055989615021641</c:v>
                </c:pt>
                <c:pt idx="17">
                  <c:v>4.0785809158236894</c:v>
                </c:pt>
                <c:pt idx="18">
                  <c:v>6.2309459641018297</c:v>
                </c:pt>
                <c:pt idx="19">
                  <c:v>12.89719099728678</c:v>
                </c:pt>
                <c:pt idx="20">
                  <c:v>16.199355745583667</c:v>
                </c:pt>
                <c:pt idx="21">
                  <c:v>21.459134273586727</c:v>
                </c:pt>
                <c:pt idx="22">
                  <c:v>30.794858605942064</c:v>
                </c:pt>
                <c:pt idx="23">
                  <c:v>50.562785413270085</c:v>
                </c:pt>
              </c:numCache>
            </c:numRef>
          </c:yVal>
          <c:smooth val="0"/>
          <c:extLst>
            <c:ext xmlns:c16="http://schemas.microsoft.com/office/drawing/2014/chart" uri="{C3380CC4-5D6E-409C-BE32-E72D297353CC}">
              <c16:uniqueId val="{00000005-1DAF-401E-8827-605E9C07D3CD}"/>
            </c:ext>
          </c:extLst>
        </c:ser>
        <c:ser>
          <c:idx val="9"/>
          <c:order val="1"/>
          <c:tx>
            <c:strRef>
              <c:f>'Diagnosis Indicators'!$A$86</c:f>
              <c:strCache>
                <c:ptCount val="1"/>
                <c:pt idx="0">
                  <c:v>Kaldorian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Indicators'!$B$86:$Y$86</c:f>
              <c:numCache>
                <c:formatCode>0%</c:formatCode>
                <c:ptCount val="24"/>
                <c:pt idx="0">
                  <c:v>5.7716594496607888E-3</c:v>
                </c:pt>
                <c:pt idx="1">
                  <c:v>6.0018488152132461E-2</c:v>
                </c:pt>
                <c:pt idx="2">
                  <c:v>0.11972984499864861</c:v>
                </c:pt>
                <c:pt idx="3">
                  <c:v>0.18575908956269541</c:v>
                </c:pt>
                <c:pt idx="4">
                  <c:v>0.25914665123407377</c:v>
                </c:pt>
                <c:pt idx="5">
                  <c:v>0.34117474319920715</c:v>
                </c:pt>
                <c:pt idx="6">
                  <c:v>0.43345021558048719</c:v>
                </c:pt>
                <c:pt idx="7">
                  <c:v>0.53801042651541475</c:v>
                </c:pt>
                <c:pt idx="8">
                  <c:v>0.65749324736465065</c:v>
                </c:pt>
                <c:pt idx="9">
                  <c:v>0.79539073393702897</c:v>
                </c:pt>
                <c:pt idx="10">
                  <c:v>0.95645586592315968</c:v>
                </c:pt>
                <c:pt idx="11">
                  <c:v>1.1473856787091934</c:v>
                </c:pt>
                <c:pt idx="12">
                  <c:v>1.3780263476400334</c:v>
                </c:pt>
                <c:pt idx="13">
                  <c:v>1.6636869623043427</c:v>
                </c:pt>
                <c:pt idx="14">
                  <c:v>2.0298895560149699</c:v>
                </c:pt>
                <c:pt idx="15">
                  <c:v>2.5233074041457773</c:v>
                </c:pt>
                <c:pt idx="16">
                  <c:v>3.2405768109372075</c:v>
                </c:pt>
                <c:pt idx="17">
                  <c:v>4.4200842657884856</c:v>
                </c:pt>
                <c:pt idx="18">
                  <c:v>6.8307369250526948</c:v>
                </c:pt>
                <c:pt idx="19">
                  <c:v>0</c:v>
                </c:pt>
                <c:pt idx="20">
                  <c:v>0</c:v>
                </c:pt>
                <c:pt idx="21">
                  <c:v>0</c:v>
                </c:pt>
                <c:pt idx="22">
                  <c:v>0</c:v>
                </c:pt>
                <c:pt idx="23">
                  <c:v>0</c:v>
                </c:pt>
              </c:numCache>
            </c:numRef>
          </c:yVal>
          <c:smooth val="0"/>
          <c:extLst>
            <c:ext xmlns:c16="http://schemas.microsoft.com/office/drawing/2014/chart" uri="{C3380CC4-5D6E-409C-BE32-E72D297353CC}">
              <c16:uniqueId val="{0000000A-1DAF-401E-8827-605E9C07D3CD}"/>
            </c:ext>
          </c:extLst>
        </c:ser>
        <c:ser>
          <c:idx val="8"/>
          <c:order val="2"/>
          <c:tx>
            <c:strRef>
              <c:f>'Diagnosis Indicators'!$A$87</c:f>
              <c:strCache>
                <c:ptCount val="1"/>
                <c:pt idx="0">
                  <c:v>Johansen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Indicators'!$B$87:$Y$87</c:f>
              <c:numCache>
                <c:formatCode>0%</c:formatCode>
                <c:ptCount val="24"/>
                <c:pt idx="0">
                  <c:v>5.7716594496607888E-3</c:v>
                </c:pt>
                <c:pt idx="1">
                  <c:v>5.8412025453687441E-2</c:v>
                </c:pt>
                <c:pt idx="2">
                  <c:v>0.11637870080457262</c:v>
                </c:pt>
                <c:pt idx="3">
                  <c:v>0.18050787855361791</c:v>
                </c:pt>
                <c:pt idx="4">
                  <c:v>0.25181953585328715</c:v>
                </c:pt>
                <c:pt idx="5">
                  <c:v>0.33157043427921851</c:v>
                </c:pt>
                <c:pt idx="6">
                  <c:v>0.42133984630661542</c:v>
                </c:pt>
                <c:pt idx="7">
                  <c:v>0.52313301293239589</c:v>
                </c:pt>
                <c:pt idx="8">
                  <c:v>0.63955138167549797</c:v>
                </c:pt>
                <c:pt idx="9">
                  <c:v>0.77404644731365402</c:v>
                </c:pt>
                <c:pt idx="10">
                  <c:v>0.93132800298127927</c:v>
                </c:pt>
                <c:pt idx="11">
                  <c:v>1.1180484679368559</c:v>
                </c:pt>
                <c:pt idx="12">
                  <c:v>1.3440191582309693</c:v>
                </c:pt>
                <c:pt idx="13">
                  <c:v>1.6245231589209606</c:v>
                </c:pt>
                <c:pt idx="14">
                  <c:v>1.9850972803820952</c:v>
                </c:pt>
                <c:pt idx="15">
                  <c:v>2.4725055493984049</c:v>
                </c:pt>
                <c:pt idx="16">
                  <c:v>3.1836406307482599</c:v>
                </c:pt>
                <c:pt idx="17">
                  <c:v>4.357552957467651</c:v>
                </c:pt>
                <c:pt idx="18">
                  <c:v>6.7649474448554772</c:v>
                </c:pt>
                <c:pt idx="19">
                  <c:v>14.403363316437671</c:v>
                </c:pt>
                <c:pt idx="20">
                  <c:v>18.192260809379686</c:v>
                </c:pt>
                <c:pt idx="21">
                  <c:v>24.166557549921777</c:v>
                </c:pt>
                <c:pt idx="22">
                  <c:v>34.505812749837283</c:v>
                </c:pt>
                <c:pt idx="23">
                  <c:v>55.103806057564896</c:v>
                </c:pt>
              </c:numCache>
            </c:numRef>
          </c:yVal>
          <c:smooth val="0"/>
          <c:extLst>
            <c:ext xmlns:c16="http://schemas.microsoft.com/office/drawing/2014/chart" uri="{C3380CC4-5D6E-409C-BE32-E72D297353CC}">
              <c16:uniqueId val="{00000009-1DAF-401E-8827-605E9C07D3CD}"/>
            </c:ext>
          </c:extLst>
        </c:ser>
        <c:ser>
          <c:idx val="10"/>
          <c:order val="3"/>
          <c:tx>
            <c:strRef>
              <c:f>'Diagnosis Indicators'!$A$88</c:f>
              <c:strCache>
                <c:ptCount val="1"/>
                <c:pt idx="0">
                  <c:v>Keynes-Kaldor</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Indicators'!$B$88:$Y$88</c:f>
              <c:numCache>
                <c:formatCode>0%</c:formatCode>
                <c:ptCount val="24"/>
                <c:pt idx="0">
                  <c:v>5.7716594496607888E-3</c:v>
                </c:pt>
                <c:pt idx="1">
                  <c:v>6.4985953093049581E-2</c:v>
                </c:pt>
                <c:pt idx="2">
                  <c:v>0.12969371766314849</c:v>
                </c:pt>
                <c:pt idx="3">
                  <c:v>0.20071403028392631</c:v>
                </c:pt>
                <c:pt idx="4">
                  <c:v>0.27902583167200923</c:v>
                </c:pt>
                <c:pt idx="5">
                  <c:v>0.36581542347599516</c:v>
                </c:pt>
                <c:pt idx="6">
                  <c:v>0.46253073257453503</c:v>
                </c:pt>
                <c:pt idx="7">
                  <c:v>0.57096616360979158</c:v>
                </c:pt>
                <c:pt idx="8">
                  <c:v>0.69337830677308021</c:v>
                </c:pt>
                <c:pt idx="9">
                  <c:v>0.83265467356713141</c:v>
                </c:pt>
                <c:pt idx="10">
                  <c:v>0.99256655100833457</c:v>
                </c:pt>
                <c:pt idx="11">
                  <c:v>1.1781574285789937</c:v>
                </c:pt>
                <c:pt idx="12">
                  <c:v>1.3963608508933858</c:v>
                </c:pt>
                <c:pt idx="13">
                  <c:v>1.6570044834799456</c:v>
                </c:pt>
                <c:pt idx="14">
                  <c:v>1.9744706074160967</c:v>
                </c:pt>
                <c:pt idx="15">
                  <c:v>2.3703517016036724</c:v>
                </c:pt>
                <c:pt idx="16">
                  <c:v>2.8770151166975677</c:v>
                </c:pt>
                <c:pt idx="17">
                  <c:v>3.5377911409322786</c:v>
                </c:pt>
                <c:pt idx="18">
                  <c:v>4.3743779865493186</c:v>
                </c:pt>
                <c:pt idx="19">
                  <c:v>0</c:v>
                </c:pt>
                <c:pt idx="20">
                  <c:v>0</c:v>
                </c:pt>
                <c:pt idx="21">
                  <c:v>0</c:v>
                </c:pt>
                <c:pt idx="22">
                  <c:v>0</c:v>
                </c:pt>
                <c:pt idx="23">
                  <c:v>0</c:v>
                </c:pt>
              </c:numCache>
            </c:numRef>
          </c:yVal>
          <c:smooth val="0"/>
          <c:extLst>
            <c:ext xmlns:c16="http://schemas.microsoft.com/office/drawing/2014/chart" uri="{C3380CC4-5D6E-409C-BE32-E72D297353CC}">
              <c16:uniqueId val="{0000000C-1DAF-401E-8827-605E9C07D3CD}"/>
            </c:ext>
          </c:extLst>
        </c:ser>
        <c:ser>
          <c:idx val="2"/>
          <c:order val="4"/>
          <c:tx>
            <c:strRef>
              <c:f>'Diagnosis Indicators'!$A$89</c:f>
              <c:strCache>
                <c:ptCount val="1"/>
                <c:pt idx="0">
                  <c:v>Keynes-Marshall</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Indicators'!$B$89:$Y$89</c:f>
              <c:numCache>
                <c:formatCode>0%</c:formatCode>
                <c:ptCount val="24"/>
                <c:pt idx="0">
                  <c:v>5.7716594496607888E-3</c:v>
                </c:pt>
                <c:pt idx="1">
                  <c:v>6.1523794427630472E-2</c:v>
                </c:pt>
                <c:pt idx="2">
                  <c:v>0.12286646391601222</c:v>
                </c:pt>
                <c:pt idx="3">
                  <c:v>0.19082706635634183</c:v>
                </c:pt>
                <c:pt idx="4">
                  <c:v>0.26674945685701446</c:v>
                </c:pt>
                <c:pt idx="5">
                  <c:v>0.35243922216532536</c:v>
                </c:pt>
                <c:pt idx="6">
                  <c:v>0.45039681041417007</c:v>
                </c:pt>
                <c:pt idx="7">
                  <c:v>0.56420433350983312</c:v>
                </c:pt>
                <c:pt idx="8">
                  <c:v>0.69919712522062705</c:v>
                </c:pt>
                <c:pt idx="9">
                  <c:v>0.86368887874841127</c:v>
                </c:pt>
                <c:pt idx="10">
                  <c:v>1.0713410800859129</c:v>
                </c:pt>
                <c:pt idx="11">
                  <c:v>1.346051370381814</c:v>
                </c:pt>
                <c:pt idx="12">
                  <c:v>1.7327289508778689</c:v>
                </c:pt>
                <c:pt idx="13">
                  <c:v>2.3223251545078041</c:v>
                </c:pt>
                <c:pt idx="14">
                  <c:v>3.3103559860164053</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2-1DAF-401E-8827-605E9C07D3CD}"/>
            </c:ext>
          </c:extLst>
        </c:ser>
        <c:ser>
          <c:idx val="1"/>
          <c:order val="5"/>
          <c:tx>
            <c:strRef>
              <c:f>'Diagnosis Indicators'!$A$90</c:f>
              <c:strCache>
                <c:ptCount val="1"/>
                <c:pt idx="0">
                  <c:v>Keynesian</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Indicators'!$B$90:$Y$90</c:f>
              <c:numCache>
                <c:formatCode>0%</c:formatCode>
                <c:ptCount val="24"/>
                <c:pt idx="0">
                  <c:v>5.7716594496607888E-3</c:v>
                </c:pt>
                <c:pt idx="1">
                  <c:v>3.4887949747467187E-2</c:v>
                </c:pt>
                <c:pt idx="2">
                  <c:v>6.4974668220133536E-2</c:v>
                </c:pt>
                <c:pt idx="3">
                  <c:v>9.5933182871647954E-2</c:v>
                </c:pt>
                <c:pt idx="4">
                  <c:v>0.12761657711332441</c:v>
                </c:pt>
                <c:pt idx="5">
                  <c:v>0.15981900263662782</c:v>
                </c:pt>
                <c:pt idx="6">
                  <c:v>0.19226147219898668</c:v>
                </c:pt>
                <c:pt idx="7">
                  <c:v>0.22457749022887025</c:v>
                </c:pt>
                <c:pt idx="8">
                  <c:v>0.25629108360389857</c:v>
                </c:pt>
                <c:pt idx="9">
                  <c:v>0.28677539912445354</c:v>
                </c:pt>
                <c:pt idx="10">
                  <c:v>0.31514583404300911</c:v>
                </c:pt>
                <c:pt idx="11">
                  <c:v>0.33987571968301161</c:v>
                </c:pt>
                <c:pt idx="12">
                  <c:v>0</c:v>
                </c:pt>
                <c:pt idx="13">
                  <c:v>0</c:v>
                </c:pt>
                <c:pt idx="14">
                  <c:v>0</c:v>
                </c:pt>
                <c:pt idx="15">
                  <c:v>0</c:v>
                </c:pt>
                <c:pt idx="16">
                  <c:v>0</c:v>
                </c:pt>
                <c:pt idx="17">
                  <c:v>0</c:v>
                </c:pt>
                <c:pt idx="18">
                  <c:v>0</c:v>
                </c:pt>
                <c:pt idx="19">
                  <c:v>0</c:v>
                </c:pt>
                <c:pt idx="20">
                  <c:v>0</c:v>
                </c:pt>
                <c:pt idx="21">
                  <c:v>0</c:v>
                </c:pt>
                <c:pt idx="22">
                  <c:v>0</c:v>
                </c:pt>
                <c:pt idx="23">
                  <c:v>0</c:v>
                </c:pt>
              </c:numCache>
            </c:numRef>
          </c:yVal>
          <c:smooth val="0"/>
          <c:extLst>
            <c:ext xmlns:c16="http://schemas.microsoft.com/office/drawing/2014/chart" uri="{C3380CC4-5D6E-409C-BE32-E72D297353CC}">
              <c16:uniqueId val="{00000001-1DAF-401E-8827-605E9C07D3CD}"/>
            </c:ext>
          </c:extLst>
        </c:ser>
        <c:ser>
          <c:idx val="0"/>
          <c:order val="6"/>
          <c:tx>
            <c:strRef>
              <c:f>'Diagnosis Indicators'!$A$91</c:f>
              <c:strCache>
                <c:ptCount val="1"/>
                <c:pt idx="0">
                  <c:v>Neo-K2</c:v>
                </c:pt>
              </c:strCache>
            </c:strRef>
          </c:tx>
          <c:spPr>
            <a:ln>
              <a:prstDash val="dash"/>
            </a:ln>
          </c:spPr>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Indicators'!$B$91:$Y$91</c:f>
              <c:numCache>
                <c:formatCode>0%</c:formatCode>
                <c:ptCount val="24"/>
                <c:pt idx="0">
                  <c:v>5.7716594496607888E-3</c:v>
                </c:pt>
                <c:pt idx="1">
                  <c:v>4.4917778515141095E-2</c:v>
                </c:pt>
                <c:pt idx="2">
                  <c:v>8.6456810523513644E-2</c:v>
                </c:pt>
                <c:pt idx="3">
                  <c:v>0.13047240150606187</c:v>
                </c:pt>
                <c:pt idx="4">
                  <c:v>0.17700900885183657</c:v>
                </c:pt>
                <c:pt idx="5">
                  <c:v>0.22605436012204813</c:v>
                </c:pt>
                <c:pt idx="6">
                  <c:v>0.27752894528211203</c:v>
                </c:pt>
                <c:pt idx="7">
                  <c:v>0.33128812712730132</c:v>
                </c:pt>
                <c:pt idx="8">
                  <c:v>0.38716317636260794</c:v>
                </c:pt>
                <c:pt idx="9">
                  <c:v>0.445093752293997</c:v>
                </c:pt>
                <c:pt idx="10">
                  <c:v>0.50546584782775483</c:v>
                </c:pt>
                <c:pt idx="11">
                  <c:v>0.56986257292733</c:v>
                </c:pt>
                <c:pt idx="12">
                  <c:v>0.64263511160749276</c:v>
                </c:pt>
                <c:pt idx="13">
                  <c:v>0.73395424706754175</c:v>
                </c:pt>
                <c:pt idx="14">
                  <c:v>0.86544420080066353</c:v>
                </c:pt>
                <c:pt idx="15">
                  <c:v>1.0816195676059328</c:v>
                </c:pt>
                <c:pt idx="16">
                  <c:v>1.4836118232853472</c:v>
                </c:pt>
                <c:pt idx="17">
                  <c:v>2.3830829977608716</c:v>
                </c:pt>
                <c:pt idx="18">
                  <c:v>5.5115504436322844</c:v>
                </c:pt>
                <c:pt idx="19">
                  <c:v>47.591296141090531</c:v>
                </c:pt>
                <c:pt idx="20">
                  <c:v>113.99512572696543</c:v>
                </c:pt>
                <c:pt idx="21">
                  <c:v>387.08883929515122</c:v>
                </c:pt>
                <c:pt idx="22">
                  <c:v>2549.6778712153791</c:v>
                </c:pt>
                <c:pt idx="23">
                  <c:v>0</c:v>
                </c:pt>
              </c:numCache>
            </c:numRef>
          </c:yVal>
          <c:smooth val="0"/>
          <c:extLst>
            <c:ext xmlns:c16="http://schemas.microsoft.com/office/drawing/2014/chart" uri="{C3380CC4-5D6E-409C-BE32-E72D297353CC}">
              <c16:uniqueId val="{00000000-1DAF-401E-8827-605E9C07D3CD}"/>
            </c:ext>
          </c:extLst>
        </c:ser>
        <c:ser>
          <c:idx val="3"/>
          <c:order val="7"/>
          <c:tx>
            <c:strRef>
              <c:f>'Diagnosis Indicators'!$A$92</c:f>
              <c:strCache>
                <c:ptCount val="1"/>
                <c:pt idx="0">
                  <c:v>Neo-K1</c:v>
                </c:pt>
              </c:strCache>
            </c:strRef>
          </c:tx>
          <c:xVal>
            <c:numRef>
              <c:f>'Diagnosis Indicators'!$B$84:$Y$84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Indicators'!$B$92:$Y$92</c:f>
              <c:numCache>
                <c:formatCode>0%</c:formatCode>
                <c:ptCount val="24"/>
                <c:pt idx="0">
                  <c:v>5.7716594496607888E-3</c:v>
                </c:pt>
                <c:pt idx="1">
                  <c:v>4.8787297405602455E-2</c:v>
                </c:pt>
                <c:pt idx="2">
                  <c:v>9.5245209501616149E-2</c:v>
                </c:pt>
                <c:pt idx="3">
                  <c:v>0.14551007031592669</c:v>
                </c:pt>
                <c:pt idx="4">
                  <c:v>0.19998472232389986</c:v>
                </c:pt>
                <c:pt idx="5">
                  <c:v>0.25910912309913853</c:v>
                </c:pt>
                <c:pt idx="6">
                  <c:v>0.32335781402291713</c:v>
                </c:pt>
                <c:pt idx="7">
                  <c:v>0.39323148481192965</c:v>
                </c:pt>
                <c:pt idx="8">
                  <c:v>0.46924077064053921</c:v>
                </c:pt>
                <c:pt idx="9">
                  <c:v>0.55188034872198821</c:v>
                </c:pt>
                <c:pt idx="10">
                  <c:v>0.64158509512096895</c:v>
                </c:pt>
                <c:pt idx="11">
                  <c:v>0.73867089880451509</c:v>
                </c:pt>
                <c:pt idx="12">
                  <c:v>0.8432518764428748</c:v>
                </c:pt>
                <c:pt idx="13">
                  <c:v>0.95514500589012563</c:v>
                </c:pt>
                <c:pt idx="14">
                  <c:v>1.0737741281532478</c:v>
                </c:pt>
                <c:pt idx="15">
                  <c:v>1.1981055897344635</c:v>
                </c:pt>
                <c:pt idx="16">
                  <c:v>1.3266528881520494</c:v>
                </c:pt>
                <c:pt idx="17">
                  <c:v>1.4575764802207258</c:v>
                </c:pt>
                <c:pt idx="18">
                  <c:v>1.5888766537279151</c:v>
                </c:pt>
                <c:pt idx="19">
                  <c:v>1.7186267101355763</c:v>
                </c:pt>
                <c:pt idx="20">
                  <c:v>0</c:v>
                </c:pt>
                <c:pt idx="21">
                  <c:v>0</c:v>
                </c:pt>
                <c:pt idx="22">
                  <c:v>0</c:v>
                </c:pt>
                <c:pt idx="23">
                  <c:v>0</c:v>
                </c:pt>
              </c:numCache>
            </c:numRef>
          </c:yVal>
          <c:smooth val="0"/>
          <c:extLst>
            <c:ext xmlns:c16="http://schemas.microsoft.com/office/drawing/2014/chart" uri="{C3380CC4-5D6E-409C-BE32-E72D297353CC}">
              <c16:uniqueId val="{00000000-D5EB-4173-B55B-BFE447CB8356}"/>
            </c:ext>
          </c:extLst>
        </c:ser>
        <c:dLbls>
          <c:showLegendKey val="0"/>
          <c:showVal val="0"/>
          <c:showCatName val="0"/>
          <c:showSerName val="0"/>
          <c:showPercent val="0"/>
          <c:showBubbleSize val="0"/>
        </c:dLbls>
        <c:axId val="172451328"/>
        <c:axId val="172452864"/>
      </c:scatterChart>
      <c:valAx>
        <c:axId val="172451328"/>
        <c:scaling>
          <c:orientation val="minMax"/>
          <c:max val="1"/>
        </c:scaling>
        <c:delete val="0"/>
        <c:axPos val="b"/>
        <c:title>
          <c:tx>
            <c:rich>
              <a:bodyPr/>
              <a:lstStyle/>
              <a:p>
                <a:pPr>
                  <a:defRPr/>
                </a:pPr>
                <a:r>
                  <a:rPr lang="fr-FR"/>
                  <a:t>Total Reduction in Polluting Energy Consumption (%)</a:t>
                </a:r>
              </a:p>
            </c:rich>
          </c:tx>
          <c:overlay val="0"/>
        </c:title>
        <c:numFmt formatCode="0%" sourceLinked="1"/>
        <c:majorTickMark val="out"/>
        <c:minorTickMark val="none"/>
        <c:tickLblPos val="nextTo"/>
        <c:crossAx val="172452864"/>
        <c:crosses val="autoZero"/>
        <c:crossBetween val="midCat"/>
      </c:valAx>
      <c:valAx>
        <c:axId val="172452864"/>
        <c:scaling>
          <c:logBase val="10"/>
          <c:orientation val="minMax"/>
        </c:scaling>
        <c:delete val="0"/>
        <c:axPos val="l"/>
        <c:majorGridlines/>
        <c:title>
          <c:tx>
            <c:rich>
              <a:bodyPr rot="-5400000" vert="horz"/>
              <a:lstStyle/>
              <a:p>
                <a:pPr>
                  <a:defRPr sz="1600"/>
                </a:pPr>
                <a:r>
                  <a:rPr lang="en-US" sz="1600"/>
                  <a:t>Optimal Tax (Current Euros, Log Scale)</a:t>
                </a:r>
              </a:p>
            </c:rich>
          </c:tx>
          <c:overlay val="0"/>
        </c:title>
        <c:numFmt formatCode="0%" sourceLinked="1"/>
        <c:majorTickMark val="out"/>
        <c:minorTickMark val="none"/>
        <c:tickLblPos val="nextTo"/>
        <c:crossAx val="172451328"/>
        <c:crosses val="autoZero"/>
        <c:crossBetween val="midCat"/>
      </c:valAx>
    </c:plotArea>
    <c:legend>
      <c:legendPos val="r"/>
      <c:overlay val="0"/>
      <c:txPr>
        <a:bodyPr/>
        <a:lstStyle/>
        <a:p>
          <a:pPr>
            <a:defRPr sz="2000"/>
          </a:pPr>
          <a:endParaRPr lang="fr-FR"/>
        </a:p>
      </c:txPr>
    </c:legend>
    <c:plotVisOnly val="1"/>
    <c:dispBlanksAs val="gap"/>
    <c:showDLblsOverMax val="0"/>
  </c:char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Graphique1"/>
  <sheetViews>
    <sheetView zoomScale="85"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2"/>
  <sheetViews>
    <sheetView zoomScale="85"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2"/>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11152094" cy="7279341"/>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93412" cy="6066118"/>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56" zoomScaleNormal="100" workbookViewId="0">
      <selection activeCell="C80" sqref="C80"/>
    </sheetView>
  </sheetViews>
  <sheetFormatPr baseColWidth="10" defaultColWidth="12" defaultRowHeight="10" x14ac:dyDescent="0.2"/>
  <sheetData>
    <row r="1" spans="2:18" x14ac:dyDescent="0.2">
      <c r="B1" t="s">
        <v>195</v>
      </c>
    </row>
    <row r="2" spans="2:18" x14ac:dyDescent="0.2">
      <c r="B2" s="1"/>
      <c r="C2" s="2" t="s">
        <v>24</v>
      </c>
      <c r="D2" s="3" t="s">
        <v>25</v>
      </c>
      <c r="E2" s="2" t="s">
        <v>6</v>
      </c>
      <c r="F2" s="3" t="s">
        <v>7</v>
      </c>
      <c r="G2" s="3" t="s">
        <v>8</v>
      </c>
      <c r="H2" s="142" t="s">
        <v>0</v>
      </c>
      <c r="I2" s="1"/>
      <c r="K2" s="1"/>
      <c r="L2" s="2" t="s">
        <v>24</v>
      </c>
      <c r="M2" s="3" t="s">
        <v>25</v>
      </c>
      <c r="N2" s="4" t="s">
        <v>6</v>
      </c>
      <c r="O2" s="5" t="s">
        <v>7</v>
      </c>
      <c r="P2" s="5" t="s">
        <v>8</v>
      </c>
      <c r="Q2" s="6" t="s">
        <v>0</v>
      </c>
      <c r="R2" s="1"/>
    </row>
    <row r="3" spans="2:18" ht="10.5" x14ac:dyDescent="0.25">
      <c r="B3" s="2" t="s">
        <v>24</v>
      </c>
      <c r="C3" s="143">
        <v>13356525.920999993</v>
      </c>
      <c r="D3" s="144">
        <v>398781.47400000016</v>
      </c>
      <c r="E3" s="143">
        <v>6637565.1090000011</v>
      </c>
      <c r="F3" s="143">
        <v>3330668.2879999997</v>
      </c>
      <c r="G3" s="143">
        <v>3247244.4950000001</v>
      </c>
      <c r="H3" s="145">
        <v>3195047.6039999989</v>
      </c>
      <c r="I3" s="9">
        <f>SUM(C3:H3)</f>
        <v>30165832.890999991</v>
      </c>
      <c r="K3" s="2" t="s">
        <v>24</v>
      </c>
      <c r="L3" s="51">
        <f t="array" ref="L3:M4">pIC*alpha*Y</f>
        <v>13356525.920999993</v>
      </c>
      <c r="M3" s="52">
        <v>398781.47400000016</v>
      </c>
      <c r="N3" s="53">
        <f t="array" ref="N3:N4">TRANSPOSE(pC*Consumption)</f>
        <v>6637565.1090000011</v>
      </c>
      <c r="O3" s="54">
        <f t="array" ref="O3:O4">TRANSPOSE(pG*G)</f>
        <v>3330668.2879999997</v>
      </c>
      <c r="P3" s="54">
        <f t="array" ref="P3:P4">TRANSPOSE(pI*I)</f>
        <v>3247244.4950000001</v>
      </c>
      <c r="Q3" s="60">
        <f t="array" ref="Q3:Q4">TRANSPOSE(pX*X)</f>
        <v>3195047.6039999989</v>
      </c>
      <c r="R3" s="9">
        <f>SUM(L3:Q3)</f>
        <v>30165832.890999991</v>
      </c>
    </row>
    <row r="4" spans="2:18" ht="10.5" x14ac:dyDescent="0.25">
      <c r="B4" s="10" t="s">
        <v>25</v>
      </c>
      <c r="C4" s="146">
        <v>599670.88199999998</v>
      </c>
      <c r="D4" s="147">
        <v>434900.03099999996</v>
      </c>
      <c r="E4" s="146">
        <v>382100.58199999394</v>
      </c>
      <c r="F4" s="146">
        <v>0</v>
      </c>
      <c r="G4" s="146">
        <v>0</v>
      </c>
      <c r="H4" s="148">
        <v>91012.690000004077</v>
      </c>
      <c r="I4" s="11">
        <f>SUM(C4:H4)</f>
        <v>1507684.184999998</v>
      </c>
      <c r="K4" s="10" t="s">
        <v>25</v>
      </c>
      <c r="L4" s="55">
        <v>599670.88199999998</v>
      </c>
      <c r="M4" s="56">
        <v>434900.03099999996</v>
      </c>
      <c r="N4" s="55">
        <v>382100.58199999394</v>
      </c>
      <c r="O4" s="57">
        <v>0</v>
      </c>
      <c r="P4" s="57">
        <v>0</v>
      </c>
      <c r="Q4" s="49">
        <v>91012.690000004077</v>
      </c>
      <c r="R4" s="11">
        <f>SUM(L4:Q4)</f>
        <v>1507684.184999998</v>
      </c>
    </row>
    <row r="5" spans="2:18" x14ac:dyDescent="0.2">
      <c r="B5" s="12" t="s">
        <v>1</v>
      </c>
      <c r="C5" s="143">
        <v>5036295.3101960644</v>
      </c>
      <c r="D5" s="149">
        <v>74905.331803938272</v>
      </c>
      <c r="E5" s="103"/>
      <c r="F5" s="103"/>
      <c r="G5" s="103"/>
      <c r="H5" s="103"/>
      <c r="I5" s="1"/>
      <c r="K5" s="12" t="s">
        <v>1</v>
      </c>
      <c r="L5" s="51">
        <f t="array" ref="L5:M5">w*Labour</f>
        <v>5036295.3101960644</v>
      </c>
      <c r="M5" s="52">
        <v>74905.331803938272</v>
      </c>
      <c r="N5" s="13"/>
      <c r="O5" s="13"/>
      <c r="P5" s="13"/>
      <c r="Q5" s="13"/>
      <c r="R5" s="1"/>
    </row>
    <row r="6" spans="2:18" x14ac:dyDescent="0.2">
      <c r="B6" s="14" t="s">
        <v>9</v>
      </c>
      <c r="C6" s="7">
        <v>2301604.2068039379</v>
      </c>
      <c r="D6" s="150">
        <v>34231.993196061703</v>
      </c>
      <c r="E6" s="103"/>
      <c r="F6" s="103"/>
      <c r="G6" s="103"/>
      <c r="H6" s="103"/>
      <c r="I6" s="1"/>
      <c r="K6" s="14" t="s">
        <v>9</v>
      </c>
      <c r="L6" s="53">
        <f t="array" ref="L6:M6">w*tauL*Labour</f>
        <v>2301604.2068039374</v>
      </c>
      <c r="M6" s="58">
        <v>34231.993196061703</v>
      </c>
      <c r="N6" s="13"/>
      <c r="O6" s="13"/>
      <c r="P6" s="13"/>
      <c r="Q6" s="13"/>
      <c r="R6" s="1"/>
    </row>
    <row r="7" spans="2:18" x14ac:dyDescent="0.2">
      <c r="B7" s="237" t="s">
        <v>194</v>
      </c>
      <c r="C7" s="7">
        <v>137715.65500000006</v>
      </c>
      <c r="D7" s="150">
        <v>20719.463999999996</v>
      </c>
      <c r="E7" s="103"/>
      <c r="F7" s="104" t="s">
        <v>24</v>
      </c>
      <c r="G7" s="105" t="s">
        <v>25</v>
      </c>
      <c r="H7" s="103"/>
      <c r="I7" s="1"/>
      <c r="K7" s="14" t="s">
        <v>10</v>
      </c>
      <c r="L7" s="53">
        <f t="array" ref="L7:M7">tauY*pY/(1+tauY)*Y</f>
        <v>137715.65500000006</v>
      </c>
      <c r="M7" s="58">
        <v>20719.463999999996</v>
      </c>
      <c r="N7" s="13"/>
      <c r="O7" s="13"/>
      <c r="P7" s="114"/>
      <c r="Q7" s="13"/>
      <c r="R7" s="1"/>
    </row>
    <row r="8" spans="2:18" x14ac:dyDescent="0.2">
      <c r="B8" s="14" t="s">
        <v>2</v>
      </c>
      <c r="C8" s="146">
        <v>6425198.1590000018</v>
      </c>
      <c r="D8" s="151">
        <v>273229.1540000001</v>
      </c>
      <c r="E8" s="103"/>
      <c r="F8" s="107">
        <f>SUM(C3:G3)</f>
        <v>26970785.286999993</v>
      </c>
      <c r="G8" s="108">
        <f>SUM(C4:G4)</f>
        <v>1416671.4949999938</v>
      </c>
      <c r="H8" s="103" t="s">
        <v>156</v>
      </c>
      <c r="I8" s="1"/>
      <c r="K8" s="14" t="s">
        <v>2</v>
      </c>
      <c r="L8" s="53">
        <f t="array" ref="L8:M8">pK*K</f>
        <v>6425198.1590000018</v>
      </c>
      <c r="M8" s="58">
        <v>273229.1540000001</v>
      </c>
      <c r="N8" s="13"/>
      <c r="O8" s="13"/>
      <c r="P8" s="13"/>
      <c r="Q8" s="13"/>
      <c r="R8" s="1"/>
    </row>
    <row r="9" spans="2:18" x14ac:dyDescent="0.2">
      <c r="B9" s="2" t="s">
        <v>3</v>
      </c>
      <c r="C9" s="152">
        <v>1886393.7399999965</v>
      </c>
      <c r="D9" s="153">
        <v>262787.11299999768</v>
      </c>
      <c r="E9" s="103"/>
      <c r="F9" s="103"/>
      <c r="G9" s="103"/>
      <c r="H9" s="103"/>
      <c r="I9" s="1"/>
      <c r="K9" s="2" t="s">
        <v>3</v>
      </c>
      <c r="L9" s="127">
        <f t="array" ref="L9:M9">pW*M</f>
        <v>1886393.7399999965</v>
      </c>
      <c r="M9" s="128">
        <v>262787.11299999768</v>
      </c>
      <c r="N9" s="13"/>
      <c r="O9" s="13"/>
      <c r="P9" s="114"/>
      <c r="Q9" s="13"/>
      <c r="R9" s="1"/>
    </row>
    <row r="10" spans="2:18" x14ac:dyDescent="0.2">
      <c r="B10" s="223" t="s">
        <v>150</v>
      </c>
      <c r="C10" s="7">
        <v>422429.01700000005</v>
      </c>
      <c r="D10" s="141">
        <v>8129.6240000000016</v>
      </c>
      <c r="E10" s="103"/>
      <c r="F10" s="103"/>
      <c r="G10" s="103"/>
      <c r="H10" s="103"/>
      <c r="I10" s="1"/>
      <c r="K10" s="223" t="s">
        <v>150</v>
      </c>
      <c r="L10" s="59">
        <f t="array" ref="L10:M10">tauTS*pS*S</f>
        <v>422429.01700000011</v>
      </c>
      <c r="M10" s="60">
        <v>8129.6240000000025</v>
      </c>
      <c r="N10" s="13"/>
      <c r="O10" s="13"/>
      <c r="P10" s="13"/>
      <c r="Q10" s="13"/>
      <c r="R10" s="1"/>
    </row>
    <row r="11" spans="2:18" x14ac:dyDescent="0.2">
      <c r="B11" s="15"/>
      <c r="C11" s="7">
        <v>0</v>
      </c>
      <c r="D11" s="141">
        <v>0</v>
      </c>
      <c r="E11" s="103"/>
      <c r="F11" s="104" t="s">
        <v>24</v>
      </c>
      <c r="G11" s="105" t="s">
        <v>25</v>
      </c>
      <c r="H11" s="103"/>
      <c r="I11" s="1"/>
      <c r="K11" s="15"/>
      <c r="L11" s="61"/>
      <c r="M11" s="49"/>
      <c r="N11" s="13"/>
      <c r="O11" s="50" t="s">
        <v>24</v>
      </c>
      <c r="P11" s="16" t="s">
        <v>25</v>
      </c>
      <c r="Q11" s="13"/>
      <c r="R11" s="1"/>
    </row>
    <row r="12" spans="2:18" ht="10.5" x14ac:dyDescent="0.25">
      <c r="B12" s="1"/>
      <c r="C12" s="110">
        <f>SUM(C3:C11)</f>
        <v>30165832.890999991</v>
      </c>
      <c r="D12" s="111">
        <f>SUM(D3:D11)</f>
        <v>1507684.184999998</v>
      </c>
      <c r="E12" s="106"/>
      <c r="F12" s="107">
        <f>SUM(C3:C8)</f>
        <v>27857010.133999996</v>
      </c>
      <c r="G12" s="108">
        <f>SUM(D3:D8)</f>
        <v>1236767.4480000003</v>
      </c>
      <c r="H12" s="109"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9"/>
      <c r="D13" s="109"/>
      <c r="E13" s="103"/>
      <c r="F13" s="103"/>
      <c r="G13" s="103"/>
      <c r="H13" s="109"/>
      <c r="I13" s="1"/>
      <c r="K13" s="1"/>
      <c r="L13" s="1"/>
      <c r="M13" s="1"/>
      <c r="N13" s="13"/>
      <c r="O13" s="13"/>
      <c r="P13" s="13"/>
      <c r="Q13" s="1"/>
      <c r="R13" s="1"/>
    </row>
    <row r="14" spans="2:18" ht="10.5" x14ac:dyDescent="0.25">
      <c r="B14" s="22" t="s">
        <v>30</v>
      </c>
      <c r="C14" s="121">
        <f>I3-C12</f>
        <v>0</v>
      </c>
      <c r="D14" s="122">
        <f>I4-D12</f>
        <v>0</v>
      </c>
      <c r="E14" s="103"/>
      <c r="F14" s="103"/>
      <c r="G14" s="103"/>
      <c r="H14" s="103"/>
      <c r="I14" s="1"/>
      <c r="K14" s="22" t="s">
        <v>30</v>
      </c>
      <c r="L14" s="23">
        <f>R3-L12</f>
        <v>0</v>
      </c>
      <c r="M14" s="24">
        <f>R4-M12</f>
        <v>0</v>
      </c>
      <c r="N14" s="13"/>
      <c r="O14" s="13"/>
      <c r="P14" s="13"/>
      <c r="Q14" s="13"/>
      <c r="R14" s="1"/>
    </row>
    <row r="16" spans="2:18" x14ac:dyDescent="0.2">
      <c r="F16">
        <v>20952.175621751205</v>
      </c>
      <c r="G16">
        <v>1219.7862210892881</v>
      </c>
      <c r="L16" s="29"/>
      <c r="M16" s="29"/>
    </row>
    <row r="17" spans="2:16" x14ac:dyDescent="0.2">
      <c r="L17" s="29"/>
      <c r="M17" s="29"/>
    </row>
    <row r="20" spans="2:16" ht="10.5" x14ac:dyDescent="0.25">
      <c r="B20" s="96" t="s">
        <v>79</v>
      </c>
      <c r="H20" s="96" t="s">
        <v>60</v>
      </c>
      <c r="K20" s="96" t="s">
        <v>59</v>
      </c>
      <c r="N20" s="96" t="s">
        <v>42</v>
      </c>
    </row>
    <row r="21" spans="2:16" x14ac:dyDescent="0.2">
      <c r="B21" t="s">
        <v>12</v>
      </c>
      <c r="C21" s="172">
        <v>1000</v>
      </c>
      <c r="D21" s="173">
        <v>1000</v>
      </c>
      <c r="H21">
        <f t="array" ref="H21:I21">(aY^sigmaY*pKLE^(1-sigmaY)+bY^sigmaY*pMY^(1-sigmaY))^(1/(1-sigmaY))*(1+tauY)</f>
        <v>1000.0000000000014</v>
      </c>
      <c r="I21">
        <v>999.99999999999898</v>
      </c>
      <c r="K21" s="120">
        <f t="array" ref="K21:L21">H21:I21-pY</f>
        <v>1.3642420526593924E-12</v>
      </c>
      <c r="L21" s="120">
        <v>-1.0231815394945443E-12</v>
      </c>
      <c r="N21">
        <f t="array" ref="N21:O21">(aX^sigmaX*pD^(1-sigmaX)+bX^sigmaX*pX^(1-sigmaX))^(1/(1-sigmaX))</f>
        <v>999.99999999999977</v>
      </c>
      <c r="O21">
        <v>999.99999999999977</v>
      </c>
    </row>
    <row r="22" spans="2:16" x14ac:dyDescent="0.2">
      <c r="B22" t="s">
        <v>116</v>
      </c>
      <c r="C22" s="31">
        <v>1000</v>
      </c>
      <c r="D22" s="32">
        <v>1000</v>
      </c>
      <c r="K22" s="125"/>
      <c r="L22" s="125"/>
    </row>
    <row r="23" spans="2:16" x14ac:dyDescent="0.2">
      <c r="B23" t="s">
        <v>128</v>
      </c>
      <c r="C23" s="170">
        <v>1000</v>
      </c>
      <c r="D23" s="171">
        <v>1000</v>
      </c>
      <c r="H23" s="29">
        <f t="array" ref="H23:I23">(pY*Y+pW*M-pX*X)/S</f>
        <v>1000</v>
      </c>
      <c r="I23" s="29">
        <v>1000</v>
      </c>
      <c r="K23" s="120">
        <f t="array" ref="K23:L23">H23:I23-pS</f>
        <v>0</v>
      </c>
      <c r="L23" s="120">
        <v>0</v>
      </c>
    </row>
    <row r="24" spans="2:16" x14ac:dyDescent="0.2">
      <c r="B24" t="s">
        <v>77</v>
      </c>
      <c r="C24" s="31">
        <v>1000</v>
      </c>
      <c r="D24" s="32">
        <v>1000</v>
      </c>
      <c r="H24" s="29">
        <f t="array" ref="H24:I24">aX^(sigmaX/(sigmaX-1))*(pY^(1-sigmaX)-bX^sigmaX*pW^(1-sigmaX))^(1/(1-sigmaX))</f>
        <v>999.99999999999943</v>
      </c>
      <c r="I24" s="29">
        <v>999.99999999999909</v>
      </c>
      <c r="K24" s="120">
        <f t="array" ref="K24:L24">H24:I24-pD</f>
        <v>0</v>
      </c>
      <c r="L24" s="120">
        <v>-9.0949470177292824E-13</v>
      </c>
    </row>
    <row r="25" spans="2:16" x14ac:dyDescent="0.2">
      <c r="B25" t="s">
        <v>13</v>
      </c>
      <c r="C25" s="33">
        <f t="array" ref="C25:D26">C3:D4/(alpha*Y)</f>
        <v>1015.9116825427475</v>
      </c>
      <c r="D25" s="34">
        <v>1015.9116825427475</v>
      </c>
      <c r="E25" t="s">
        <v>63</v>
      </c>
      <c r="H25" s="29">
        <f t="array" ref="H25:I26">TRANSPOSE(pS*(1+tauTS))</f>
        <v>1015.9116825427475</v>
      </c>
      <c r="I25" s="29">
        <v>1015.9116825427475</v>
      </c>
      <c r="K25" s="120">
        <f t="array" ref="K25:L26">H25:I26-C25:D26</f>
        <v>0</v>
      </c>
      <c r="L25" s="120">
        <v>0</v>
      </c>
    </row>
    <row r="26" spans="2:16" x14ac:dyDescent="0.2">
      <c r="C26" s="35">
        <v>1005.7716594496609</v>
      </c>
      <c r="D26" s="36">
        <v>1005.771659449661</v>
      </c>
      <c r="E26" t="s">
        <v>41</v>
      </c>
      <c r="H26" s="29">
        <v>1005.7716594496609</v>
      </c>
      <c r="I26" s="29">
        <v>1005.7716594496609</v>
      </c>
      <c r="K26" s="120">
        <v>0</v>
      </c>
      <c r="L26" s="120">
        <v>0</v>
      </c>
    </row>
    <row r="27" spans="2:16" x14ac:dyDescent="0.2">
      <c r="B27" t="s">
        <v>14</v>
      </c>
      <c r="C27" s="33">
        <f t="array" ref="C27:D27">TRANSPOSE(E3:E4)/Consumption</f>
        <v>1015.9116825427475</v>
      </c>
      <c r="D27" s="34">
        <v>1005.7716594496608</v>
      </c>
      <c r="H27" s="29">
        <f t="array" ref="H27:I27">pS*(1+tauTS)</f>
        <v>1015.9116825427475</v>
      </c>
      <c r="I27" s="29">
        <v>1005.7716594496609</v>
      </c>
      <c r="K27" s="120">
        <f t="array" ref="K27:L27">H27:I27-pC</f>
        <v>0</v>
      </c>
      <c r="L27" s="120">
        <v>0</v>
      </c>
    </row>
    <row r="28" spans="2:16" x14ac:dyDescent="0.2">
      <c r="B28" t="s">
        <v>15</v>
      </c>
      <c r="C28" s="41">
        <f t="array" ref="C28:D28">IF(ISNUMBER(TRANSPOSE(F3:F4)/G),TRANSPOSE(F3:F4)/G,pC)</f>
        <v>1015.9116825427474</v>
      </c>
      <c r="D28" s="42">
        <v>1005.7716594496608</v>
      </c>
      <c r="H28" s="29">
        <f t="array" ref="H28:I28">pS*(1+tauTS)</f>
        <v>1015.9116825427475</v>
      </c>
      <c r="I28" s="29">
        <v>1005.7716594496609</v>
      </c>
      <c r="K28" s="120">
        <f t="array" ref="K28:L28">H28:I28-pG</f>
        <v>0</v>
      </c>
      <c r="L28" s="120">
        <v>0</v>
      </c>
    </row>
    <row r="29" spans="2:16" x14ac:dyDescent="0.2">
      <c r="B29" t="s">
        <v>29</v>
      </c>
      <c r="C29" s="41">
        <f t="array" ref="C29:D29">IF(ISNUMBER(TRANSPOSE(G3:G4)/I),TRANSPOSE(G3:G4)/I,pC)</f>
        <v>1015.9116825427475</v>
      </c>
      <c r="D29" s="42">
        <v>1005.7716594496608</v>
      </c>
      <c r="H29" s="29">
        <f t="array" ref="H29:I29">pS*(1+tauTS)</f>
        <v>1015.9116825427475</v>
      </c>
      <c r="I29" s="29">
        <v>1005.7716594496609</v>
      </c>
      <c r="K29" s="120">
        <f t="array" ref="K29:L29">H29:I29-pI</f>
        <v>0</v>
      </c>
      <c r="L29" s="120">
        <v>0</v>
      </c>
    </row>
    <row r="30" spans="2:16" x14ac:dyDescent="0.2">
      <c r="B30" t="s">
        <v>16</v>
      </c>
      <c r="C30" s="41">
        <f t="array" ref="C30:D30">pW</f>
        <v>1000</v>
      </c>
      <c r="D30" s="42">
        <v>1000</v>
      </c>
      <c r="H30" s="29">
        <f t="array" ref="H30:I30">pW</f>
        <v>1000</v>
      </c>
      <c r="I30" s="29">
        <v>1000</v>
      </c>
      <c r="K30" s="120">
        <f t="array" ref="K30:L30">H30:I30-pX</f>
        <v>0</v>
      </c>
      <c r="L30" s="120">
        <v>0</v>
      </c>
    </row>
    <row r="31" spans="2:16" x14ac:dyDescent="0.2">
      <c r="B31" t="s">
        <v>17</v>
      </c>
      <c r="C31" s="31">
        <v>1000</v>
      </c>
      <c r="D31" s="32">
        <v>1000</v>
      </c>
      <c r="K31" s="125"/>
      <c r="L31" s="125"/>
    </row>
    <row r="32" spans="2:16" x14ac:dyDescent="0.2">
      <c r="B32" t="s">
        <v>36</v>
      </c>
      <c r="C32" s="41">
        <f t="array" ref="C32:D32">(C5:D5+C6:D6)/Labour</f>
        <v>1457.0034251455234</v>
      </c>
      <c r="D32" s="42">
        <v>1457.0034251455236</v>
      </c>
      <c r="H32" s="29">
        <f t="array" ref="H32:I32">w*(1+tauL)</f>
        <v>1457.0034251455234</v>
      </c>
      <c r="I32" s="29">
        <v>1457.0034251455236</v>
      </c>
      <c r="K32" s="120">
        <f t="array" ref="K32:L32">H32:I32-pL</f>
        <v>0</v>
      </c>
      <c r="L32" s="120">
        <v>0</v>
      </c>
      <c r="N32" s="29">
        <f t="array" ref="N32:O32">bKL*(Labour/KL)^(rhoKL-1)*pKL</f>
        <v>1457.0034251455245</v>
      </c>
      <c r="O32" s="29">
        <v>1457.0034251455252</v>
      </c>
      <c r="P32" t="s">
        <v>133</v>
      </c>
    </row>
    <row r="33" spans="2:16" x14ac:dyDescent="0.2">
      <c r="B33" t="s">
        <v>18</v>
      </c>
      <c r="C33" s="178">
        <v>1000</v>
      </c>
      <c r="D33" s="179">
        <v>1000</v>
      </c>
      <c r="E33" t="s">
        <v>56</v>
      </c>
      <c r="K33" s="125"/>
      <c r="L33" s="125"/>
      <c r="N33" s="29">
        <f t="array" ref="N33:O33">aKL*(K/KL)^(rhoKL-1)*pKL</f>
        <v>999.99999999999966</v>
      </c>
      <c r="O33" s="29">
        <v>1000.0000000000005</v>
      </c>
      <c r="P33" t="s">
        <v>133</v>
      </c>
    </row>
    <row r="34" spans="2:16" x14ac:dyDescent="0.2">
      <c r="B34" t="s">
        <v>61</v>
      </c>
      <c r="C34" s="170">
        <v>1000</v>
      </c>
      <c r="D34" s="171">
        <v>1000</v>
      </c>
      <c r="H34" s="29">
        <f t="array" ref="H34:I34">(aKL^sigmaKL*pK^(1-sigmaKL)+bKL^sigmaKL*pL^(1-sigmaKL))^(1/(1-sigmaKL))</f>
        <v>999.99999999999977</v>
      </c>
      <c r="I34" s="29">
        <v>999.99999999999977</v>
      </c>
      <c r="K34" s="120">
        <f t="array" ref="K34:L34">H34:I34-pKL</f>
        <v>0</v>
      </c>
      <c r="L34" s="120">
        <v>0</v>
      </c>
    </row>
    <row r="35" spans="2:16" x14ac:dyDescent="0.2">
      <c r="B35" t="s">
        <v>62</v>
      </c>
      <c r="C35" s="170">
        <v>1000</v>
      </c>
      <c r="D35" s="171">
        <v>1000</v>
      </c>
      <c r="H35" s="29">
        <f t="array" ref="H35:I35">(aKLE^sigmaKLE*pKL^(1-sigmaKLE)+bKLE^sigmaKLE*pEY^(1-sigmaKLE))^(1/(1-sigmaKLE))</f>
        <v>1000.0000000000002</v>
      </c>
      <c r="I35" s="29">
        <v>999.99999999999977</v>
      </c>
      <c r="K35" s="120">
        <f t="array" ref="K35:L35">H35:I35-pKLE</f>
        <v>0</v>
      </c>
      <c r="L35" s="120">
        <v>0</v>
      </c>
    </row>
    <row r="37" spans="2:16" x14ac:dyDescent="0.2">
      <c r="B37" t="s">
        <v>19</v>
      </c>
      <c r="C37" s="87">
        <f t="array" ref="C37:D37">F12:G12/pY</f>
        <v>27857.010133999996</v>
      </c>
      <c r="D37" s="88">
        <v>1236.7674480000003</v>
      </c>
      <c r="E37" t="s">
        <v>125</v>
      </c>
      <c r="H37" s="29">
        <f t="array" ref="H37:I37">(aX*D^rhoX+bX*X^rhoX)^(1/rhoX)</f>
        <v>27857.010133999949</v>
      </c>
      <c r="I37" s="29">
        <v>1236.7674480000003</v>
      </c>
      <c r="K37" s="120">
        <f t="array" ref="K37:L37">H37:I37-Y</f>
        <v>-4.7293724492192268E-11</v>
      </c>
      <c r="L37" s="120">
        <v>0</v>
      </c>
    </row>
    <row r="38" spans="2:16" x14ac:dyDescent="0.2">
      <c r="B38" t="s">
        <v>3</v>
      </c>
      <c r="C38" s="89">
        <f t="array" ref="C38:D38">C9:D9/pW</f>
        <v>1886.3937399999966</v>
      </c>
      <c r="D38" s="90">
        <v>262.7871129999977</v>
      </c>
      <c r="E38" t="s">
        <v>126</v>
      </c>
      <c r="H38" s="29">
        <f t="array" ref="H38:I38">(bS/pW)^sigmaS*(aS^sigmaS*pD^(1-sigmaS)+bS^sigmaS*pW^(1-sigmaS))^(sigmaS/(1-sigmaS))*S</f>
        <v>1886.3937400000138</v>
      </c>
      <c r="I38" s="29">
        <v>262.78711299999782</v>
      </c>
      <c r="K38" s="120">
        <f t="array" ref="K38:L38">H38:I38-M</f>
        <v>1.7280399333685637E-11</v>
      </c>
      <c r="L38" s="120">
        <v>0</v>
      </c>
    </row>
    <row r="39" spans="2:16" x14ac:dyDescent="0.2">
      <c r="B39" t="s">
        <v>127</v>
      </c>
      <c r="C39" s="89">
        <f t="array" ref="C39:D39">MMULT(Y,TRANSPOSE(alpha))+Consumption+G+I</f>
        <v>26548.356269999993</v>
      </c>
      <c r="D39" s="90">
        <v>1408.5418709999938</v>
      </c>
      <c r="E39" t="s">
        <v>122</v>
      </c>
      <c r="F39" s="63">
        <f t="array" ref="F39:G39">(F8:G8)/(1+tauTS)/pS</f>
        <v>26548.356269999997</v>
      </c>
      <c r="G39" s="64">
        <v>1408.5418709999938</v>
      </c>
      <c r="H39" s="29">
        <f t="array" ref="H39:I39">MMULT(Y,TRANSPOSE(alpha))+Consumption+G+I</f>
        <v>26548.356269999993</v>
      </c>
      <c r="I39" s="29">
        <v>1408.5418709999938</v>
      </c>
      <c r="K39" s="120">
        <f t="array" ref="K39:L39">H39:I39-S</f>
        <v>0</v>
      </c>
      <c r="L39" s="120">
        <v>0</v>
      </c>
      <c r="N39" s="29"/>
      <c r="O39" s="29"/>
    </row>
    <row r="40" spans="2:16" x14ac:dyDescent="0.2">
      <c r="B40" t="s">
        <v>76</v>
      </c>
      <c r="C40" s="89">
        <f t="array" ref="C40:D40">(pS*S-pW*M)/pD</f>
        <v>24661.962529999993</v>
      </c>
      <c r="D40" s="90">
        <v>1145.7547579999962</v>
      </c>
      <c r="E40" t="s">
        <v>124</v>
      </c>
      <c r="H40" s="29">
        <f t="array" ref="H40:I40">(aS/pD)^sigmaS*(aS^sigmaS*pD^(1-sigmaS)+bS^sigmaS*pW^(1-sigmaS))^(sigmaS/(1-sigmaS))*S</f>
        <v>24661.96253000023</v>
      </c>
      <c r="I40" s="29">
        <v>1145.7547579999959</v>
      </c>
      <c r="K40" s="120">
        <f t="array" ref="K40:L40">H40:I40-D</f>
        <v>2.3646862246096134E-10</v>
      </c>
      <c r="L40" s="120">
        <v>0</v>
      </c>
    </row>
    <row r="41" spans="2:16" x14ac:dyDescent="0.2">
      <c r="B41" t="s">
        <v>28</v>
      </c>
      <c r="C41" s="41">
        <f t="array" ref="C41:D41">TRANSPOSE(E3:E4)/(1+tauTS)/pS</f>
        <v>6533.604468832069</v>
      </c>
      <c r="D41" s="42">
        <v>379.90788307663405</v>
      </c>
      <c r="E41" t="s">
        <v>57</v>
      </c>
      <c r="H41" s="29">
        <f t="array" ref="H41">(aU/pCQ)^sigmaU/(aU^sigmaU*pCQ^(1-sigmaU)+bU^sigmaU*pCE^(1-sigmaU))*Revenue</f>
        <v>6533.6044688320735</v>
      </c>
      <c r="I41" s="29">
        <f>(bU/pCE)^sigmaU/(aU^sigmaU*pCQ^(1-sigmaU)+bU^sigmaU*pCE^(1-sigmaU))*Revenue</f>
        <v>379.90788307663433</v>
      </c>
      <c r="K41" s="120">
        <f t="array" ref="K41:L41">H41:I41-Consumption</f>
        <v>0</v>
      </c>
      <c r="L41" s="120">
        <v>0</v>
      </c>
    </row>
    <row r="42" spans="2:16" x14ac:dyDescent="0.2">
      <c r="B42" t="s">
        <v>7</v>
      </c>
      <c r="C42" s="41">
        <f t="array" ref="C42:D42">TRANSPOSE(F3:F4)/(1+tauTS)/pS</f>
        <v>3278.5018080150412</v>
      </c>
      <c r="D42" s="42">
        <v>0</v>
      </c>
      <c r="H42" s="29">
        <f t="array" ref="H42">omegaG*GDP/pG</f>
        <v>3278.5018080150412</v>
      </c>
      <c r="I42" s="28">
        <v>0</v>
      </c>
      <c r="K42" s="120">
        <f t="array" ref="K42:L42">H42:I42-G</f>
        <v>0</v>
      </c>
      <c r="L42" s="120">
        <v>0</v>
      </c>
    </row>
    <row r="43" spans="2:16" x14ac:dyDescent="0.2">
      <c r="B43" t="s">
        <v>8</v>
      </c>
      <c r="C43" s="41">
        <f t="array" ref="C43:D43">TRANSPOSE(G3:G4)/(1+tauTS)/pS</f>
        <v>3196.3846373657216</v>
      </c>
      <c r="D43" s="42">
        <v>0</v>
      </c>
      <c r="H43" s="29">
        <f t="array" ref="H43">(sD*GDP-B)/pI</f>
        <v>3196.3846373657216</v>
      </c>
      <c r="I43" s="28">
        <v>0</v>
      </c>
      <c r="K43" s="120">
        <f t="array" ref="K43:L43">H43:I43-I</f>
        <v>0</v>
      </c>
      <c r="L43" s="120">
        <v>0</v>
      </c>
    </row>
    <row r="44" spans="2:16" x14ac:dyDescent="0.2">
      <c r="B44" t="s">
        <v>0</v>
      </c>
      <c r="C44" s="41">
        <f t="array" ref="C44:D44">TRANSPOSE(H3:H4)/pX</f>
        <v>3195.047603999999</v>
      </c>
      <c r="D44" s="42">
        <v>91.012690000004071</v>
      </c>
      <c r="H44" s="29">
        <f t="array" ref="H44:I44">(bX/pX)^sigmaX*(aX^sigmaX*pD^(1-sigmaX)+bX^sigmaX*pX^(1-sigmaX))^(-1/rhoX)*Y</f>
        <v>3195.0476040000012</v>
      </c>
      <c r="I44" s="29">
        <v>91.012690000004071</v>
      </c>
      <c r="K44" s="120">
        <f t="array" ref="K44:L44">H44:I44-X</f>
        <v>0</v>
      </c>
      <c r="L44" s="120">
        <v>0</v>
      </c>
    </row>
    <row r="45" spans="2:16" x14ac:dyDescent="0.2">
      <c r="B45" t="s">
        <v>27</v>
      </c>
      <c r="C45" s="41">
        <f t="array" ref="C45:D45">C5:D5/w</f>
        <v>5036.2953101960647</v>
      </c>
      <c r="D45" s="42">
        <v>74.905331803938267</v>
      </c>
      <c r="E45" t="s">
        <v>58</v>
      </c>
      <c r="H45" s="29">
        <f t="array" ref="H45:I45">lambda*Y</f>
        <v>5036.2953101960647</v>
      </c>
      <c r="I45" s="29">
        <v>74.905331803938267</v>
      </c>
      <c r="K45" s="120">
        <f t="array" ref="K45:L45">H45:I45-Labour</f>
        <v>0</v>
      </c>
      <c r="L45" s="120">
        <v>0</v>
      </c>
    </row>
    <row r="46" spans="2:16" x14ac:dyDescent="0.2">
      <c r="B46" t="s">
        <v>2</v>
      </c>
      <c r="C46" s="41">
        <f t="array" ref="C46:D46">C8:D8/pK</f>
        <v>6425.1981590000014</v>
      </c>
      <c r="D46" s="42">
        <v>273.22915400000011</v>
      </c>
      <c r="H46" s="29">
        <f t="array" ref="H46:I46">kappa*Y</f>
        <v>6425.1981590000014</v>
      </c>
      <c r="I46" s="29">
        <v>273.22915400000011</v>
      </c>
      <c r="K46" s="120">
        <f t="array" ref="K46:L46">H46:I46-K</f>
        <v>0</v>
      </c>
      <c r="L46" s="120">
        <v>0</v>
      </c>
    </row>
    <row r="47" spans="2:16" x14ac:dyDescent="0.2">
      <c r="B47" t="s">
        <v>35</v>
      </c>
      <c r="C47" s="116">
        <f t="array" ref="C47:D47">(pK*K+pL*Labour)/pKL</f>
        <v>13763.097676000005</v>
      </c>
      <c r="D47" s="174">
        <v>382.36647900000003</v>
      </c>
      <c r="H47" s="29">
        <f t="array" ref="H47:I47">(aKLE/pKL)^sigmaKLE*(aKLE^sigmaKLE*pKL^(1-sigmaKLE)+bKLE^sigmaKLE*pEY^(1-sigmaKLE))^(-1/rhoKLE)*KLE</f>
        <v>13763.097676000007</v>
      </c>
      <c r="I47" s="29">
        <v>382.36647900000003</v>
      </c>
      <c r="K47" s="120">
        <f t="array" ref="K47:L47">H47:I47-KL</f>
        <v>0</v>
      </c>
      <c r="L47" s="120">
        <v>0</v>
      </c>
    </row>
    <row r="48" spans="2:16" x14ac:dyDescent="0.2">
      <c r="B48" t="s">
        <v>53</v>
      </c>
      <c r="C48" s="168">
        <f t="array" ref="C48:D48">(pKL*KL+C4:D4)/pKLE</f>
        <v>14362.768558000003</v>
      </c>
      <c r="D48" s="169">
        <v>817.26651000000004</v>
      </c>
      <c r="H48" s="29">
        <f t="array" ref="H48:I48">(aY/pKLE)^sigmaY*(aY^sigmaY*pKLE^(1-sigmaY)+bY^sigmaY*pMY^(1-sigmaY))^(-1/rhoY)*Y</f>
        <v>14362.768558000025</v>
      </c>
      <c r="I48" s="29">
        <v>817.26650999999993</v>
      </c>
      <c r="K48" s="120">
        <f t="array" ref="K48:L48">H48:I48-KLE</f>
        <v>2.1827872842550278E-11</v>
      </c>
      <c r="L48" s="120">
        <v>0</v>
      </c>
    </row>
    <row r="50" spans="2:12" x14ac:dyDescent="0.2">
      <c r="B50" t="s">
        <v>26</v>
      </c>
      <c r="C50" s="43">
        <f t="array" ref="C50:D50">C6:D6/(w*lambda*Y)</f>
        <v>0.45700342514552333</v>
      </c>
      <c r="D50" s="44">
        <v>0.4570034251455235</v>
      </c>
      <c r="G50" s="29"/>
    </row>
    <row r="51" spans="2:12" x14ac:dyDescent="0.2">
      <c r="B51" t="s">
        <v>20</v>
      </c>
      <c r="C51" s="47">
        <f t="array" ref="C51:D51">C7:D7/(pY*Y-C7:D7)</f>
        <v>4.9682236719384319E-3</v>
      </c>
      <c r="D51" s="48">
        <v>1.7038360552061892E-2</v>
      </c>
    </row>
    <row r="52" spans="2:12" x14ac:dyDescent="0.2">
      <c r="B52" t="s">
        <v>152</v>
      </c>
      <c r="C52" s="45">
        <f t="array" ref="C52:D52">C10:D10/(TRANSPOSE(C3:C4+D3:D4+E3:E4+F3:F4+G3:G4)-C10:D10)</f>
        <v>1.5911682542747503E-2</v>
      </c>
      <c r="D52" s="46">
        <v>5.7716594496607888E-3</v>
      </c>
    </row>
    <row r="53" spans="2:12" x14ac:dyDescent="0.2">
      <c r="C53" s="29"/>
      <c r="D53" s="29"/>
    </row>
    <row r="54" spans="2:12" x14ac:dyDescent="0.2">
      <c r="C54" s="29"/>
      <c r="D54" s="29"/>
    </row>
    <row r="55" spans="2:12" x14ac:dyDescent="0.2">
      <c r="B55" t="s">
        <v>48</v>
      </c>
      <c r="C55" s="69">
        <f t="array" ref="C55">SUM(C6:D7,C10:D11)</f>
        <v>2924829.96</v>
      </c>
      <c r="H55" s="29">
        <f t="array" ref="H55">SUM(w*tauL*Labour+tauY/(1+tauY)*pY*Y+tauTS*pS*S)</f>
        <v>2924829.9599999995</v>
      </c>
      <c r="K55" s="120">
        <f t="array" ref="K55">H55-T</f>
        <v>0</v>
      </c>
      <c r="L55" s="125"/>
    </row>
    <row r="56" spans="2:12" x14ac:dyDescent="0.2">
      <c r="B56" t="s">
        <v>47</v>
      </c>
      <c r="C56" s="132">
        <v>1</v>
      </c>
      <c r="E56" t="s">
        <v>196</v>
      </c>
      <c r="K56" s="125"/>
      <c r="L56" s="125"/>
    </row>
    <row r="57" spans="2:12" x14ac:dyDescent="0.2">
      <c r="B57" t="s">
        <v>64</v>
      </c>
      <c r="C57" s="133">
        <f>SUM(C5:D8,C10:D11)</f>
        <v>14734457.915000005</v>
      </c>
      <c r="E57" s="65">
        <f>15693432.72*2437635/2728870.25</f>
        <v>14018570.823738214</v>
      </c>
      <c r="H57" s="124">
        <f t="array" ref="H57">SUM(pC*Consumption+pG*G+pI*I+pX*X-pW*M)</f>
        <v>14734457.915000003</v>
      </c>
      <c r="I57" s="124">
        <f t="array" ref="I57">SUM(w*Labour,pK*K,T)</f>
        <v>14734457.915000007</v>
      </c>
      <c r="K57" s="120">
        <f>H57-GDP</f>
        <v>0</v>
      </c>
      <c r="L57" s="120">
        <f>I57-GDP</f>
        <v>0</v>
      </c>
    </row>
    <row r="58" spans="2:12" x14ac:dyDescent="0.2">
      <c r="B58" t="s">
        <v>54</v>
      </c>
      <c r="C58" s="117">
        <f t="array" ref="C58">GDP-SUM(pG*G+pI*I+pX*X-pW*M)</f>
        <v>7019665.6909999968</v>
      </c>
      <c r="D58" t="s">
        <v>55</v>
      </c>
      <c r="K58" s="125"/>
      <c r="L58" s="125"/>
    </row>
    <row r="59" spans="2:12" x14ac:dyDescent="0.2">
      <c r="B59" t="s">
        <v>75</v>
      </c>
      <c r="C59" s="70">
        <f>SUM(H3:H4)-SUM(C9:D9)</f>
        <v>1136879.441000009</v>
      </c>
      <c r="K59" s="125"/>
      <c r="L59" s="125"/>
    </row>
    <row r="60" spans="2:12" x14ac:dyDescent="0.2">
      <c r="C60" s="29"/>
      <c r="D60" s="29"/>
    </row>
    <row r="61" spans="2:12" x14ac:dyDescent="0.2">
      <c r="C61" s="29"/>
      <c r="D61" s="29"/>
    </row>
    <row r="62" spans="2:12" x14ac:dyDescent="0.2">
      <c r="B62" t="s">
        <v>111</v>
      </c>
      <c r="C62" s="163">
        <f t="array" ref="C62">SUM(pG*G)/GDP</f>
        <v>0.22604620456442484</v>
      </c>
      <c r="D62" t="s">
        <v>81</v>
      </c>
    </row>
    <row r="63" spans="2:12" x14ac:dyDescent="0.2">
      <c r="B63" t="s">
        <v>112</v>
      </c>
      <c r="C63" s="182">
        <f t="array" ref="C63">SUM(pI*I)/GDP</f>
        <v>0.22038438833194082</v>
      </c>
      <c r="D63" t="s">
        <v>82</v>
      </c>
    </row>
    <row r="64" spans="2:12" x14ac:dyDescent="0.2">
      <c r="B64" t="s">
        <v>98</v>
      </c>
      <c r="C64" s="163">
        <f t="array" ref="C64">(SUM(pI*I)+B)/GDP</f>
        <v>0.29754226190682415</v>
      </c>
      <c r="D64" t="s">
        <v>80</v>
      </c>
    </row>
    <row r="65" spans="2:14" x14ac:dyDescent="0.2">
      <c r="B65" t="s">
        <v>84</v>
      </c>
      <c r="C65" s="164">
        <f t="array" ref="C65">(SUM(pI*I)+B-sL*(SUM(w*Labour))-sG*(T-SUM(pG*G)))/SUM(pK*K)</f>
        <v>0.40915789876687553</v>
      </c>
      <c r="D65" t="s">
        <v>83</v>
      </c>
      <c r="J65" s="62" t="s">
        <v>154</v>
      </c>
      <c r="K65" s="120">
        <f>sK-sL</f>
        <v>8.2251310858139082E-3</v>
      </c>
      <c r="L65" s="125"/>
    </row>
    <row r="66" spans="2:14" x14ac:dyDescent="0.2">
      <c r="B66" t="s">
        <v>85</v>
      </c>
      <c r="C66" s="239">
        <f>Model!K60</f>
        <v>0.40093276768106162</v>
      </c>
      <c r="D66" t="s">
        <v>109</v>
      </c>
      <c r="K66" s="125"/>
      <c r="L66" s="125"/>
    </row>
    <row r="67" spans="2:14" x14ac:dyDescent="0.2">
      <c r="B67" t="s">
        <v>123</v>
      </c>
      <c r="C67" s="165">
        <v>1</v>
      </c>
      <c r="D67" t="s">
        <v>153</v>
      </c>
      <c r="G67" s="177"/>
      <c r="K67" s="125"/>
      <c r="L67" s="125"/>
    </row>
    <row r="70" spans="2:14" x14ac:dyDescent="0.2">
      <c r="B70" t="s">
        <v>21</v>
      </c>
      <c r="C70" s="37">
        <f t="array" ref="C70:D71">(C3:D4)/Y/TRANSPOSE(pS*(1+tauTS))</f>
        <v>0.47195767671988131</v>
      </c>
      <c r="D70" s="38">
        <v>0.31738834428178964</v>
      </c>
      <c r="E70" t="s">
        <v>24</v>
      </c>
      <c r="H70" s="37">
        <f t="array" ref="H70:I70">(bY/pMY)^sigmaY*(aY^sigmaY*pKLE^(1-sigmaY)+bY^sigmaY*pMY^(1-sigmaY))^(-1/rhoY)</f>
        <v>0.47195767671988198</v>
      </c>
      <c r="I70" s="38">
        <v>0.31738834428178964</v>
      </c>
      <c r="K70" s="120">
        <f t="array" ref="K70:L71">H70:I71-C70:D71</f>
        <v>6.6613381477509392E-16</v>
      </c>
      <c r="L70" s="120">
        <v>0</v>
      </c>
    </row>
    <row r="71" spans="2:14" x14ac:dyDescent="0.2">
      <c r="C71" s="39">
        <v>2.1403217525954435E-2</v>
      </c>
      <c r="D71" s="40">
        <v>0.34962461301992526</v>
      </c>
      <c r="E71" t="s">
        <v>25</v>
      </c>
      <c r="H71" s="39">
        <f t="array" ref="H71:I71">(bKLE/pEY)^sigmaKLE*(aKLE^sigmaKLE*pKL^(1-sigmaKLE)+bKLE^sigmaKLE*pEY^(1-sigmaKLE))^(-1/rhoKLE)*KLE/Y</f>
        <v>2.1403217525954435E-2</v>
      </c>
      <c r="I71" s="40">
        <v>0.34962461301992509</v>
      </c>
      <c r="K71" s="120">
        <v>0</v>
      </c>
      <c r="L71" s="120">
        <v>0</v>
      </c>
    </row>
    <row r="72" spans="2:14" x14ac:dyDescent="0.2">
      <c r="B72" t="s">
        <v>22</v>
      </c>
      <c r="C72" s="37">
        <f t="array" ref="C72:D72">Labour/Y</f>
        <v>0.18079094942242827</v>
      </c>
      <c r="D72" s="38">
        <v>6.0565413429233668E-2</v>
      </c>
      <c r="H72" s="37">
        <f t="array" ref="H72:I72">(bKL/pL)^sigmaKL*(aKL^sigmaKL*pK^(1-sigmaKL)+bKL^sigmaKL*pL^(1-sigmaKL))^(-1/rhoKL)*KL/Y</f>
        <v>0.18079094942242829</v>
      </c>
      <c r="I72" s="38">
        <v>6.0565413429233668E-2</v>
      </c>
      <c r="K72" s="120">
        <f t="array" ref="K72:L72">H72:I72-lambda</f>
        <v>0</v>
      </c>
      <c r="L72" s="120">
        <v>0</v>
      </c>
    </row>
    <row r="73" spans="2:14" x14ac:dyDescent="0.2">
      <c r="B73" t="s">
        <v>23</v>
      </c>
      <c r="C73" s="39">
        <f t="array" ref="C73:D73">K/Y</f>
        <v>0.23064923795098627</v>
      </c>
      <c r="D73" s="40">
        <v>0.22092201281804763</v>
      </c>
      <c r="H73" s="39">
        <f t="array" ref="H73:I73">(aKL/pK)^sigmaKL*(aKL^sigmaKL*pK^(1-sigmaKL)+bKL^sigmaKL*pL^(1-sigmaKL))^(-1/rhoKL)*KL/Y</f>
        <v>0.23064923795098624</v>
      </c>
      <c r="I73" s="40">
        <v>0.22092201281804766</v>
      </c>
      <c r="K73" s="120">
        <f t="array" ref="K73:L73">H73:I73-kappa</f>
        <v>0</v>
      </c>
      <c r="L73" s="120">
        <v>0</v>
      </c>
    </row>
    <row r="75" spans="2:14" x14ac:dyDescent="0.2">
      <c r="F75" t="s">
        <v>42</v>
      </c>
    </row>
    <row r="77" spans="2:14" x14ac:dyDescent="0.2">
      <c r="B77" t="s">
        <v>129</v>
      </c>
      <c r="C77" s="183">
        <f t="array" ref="C77:D77">(S/D)^rhoS*pD*D/(pD*D+pW*M)</f>
        <v>0.92962314353797759</v>
      </c>
      <c r="D77" s="184">
        <v>0.90190533091929581</v>
      </c>
      <c r="E77" s="62" t="s">
        <v>127</v>
      </c>
      <c r="F77" s="63">
        <f t="array" ref="F77:G77">(aS*D^rhoS+bS*M^rhoS)^(1/rhoS)</f>
        <v>26548.356270000026</v>
      </c>
      <c r="G77" s="64">
        <v>1408.541870999994</v>
      </c>
      <c r="J77">
        <v>0.95656838134985123</v>
      </c>
      <c r="K77">
        <v>0.88500540761921231</v>
      </c>
      <c r="M77">
        <v>0.97096440194717171</v>
      </c>
      <c r="N77">
        <v>0.94099850948718067</v>
      </c>
    </row>
    <row r="78" spans="2:14" x14ac:dyDescent="0.2">
      <c r="B78" t="s">
        <v>130</v>
      </c>
      <c r="C78" s="185">
        <f t="array" ref="C78:D78">(S/M)^rhoS*pW*M/(pD*D+pW*M)</f>
        <v>7.2939882415463342E-2</v>
      </c>
      <c r="D78" s="186">
        <v>0.43193376119418536</v>
      </c>
      <c r="F78" s="129">
        <f t="array" ref="F78:G78">F77:G77-S</f>
        <v>3.2741809263825417E-11</v>
      </c>
      <c r="G78" s="130">
        <v>0</v>
      </c>
      <c r="J78">
        <v>0.29150803042407891</v>
      </c>
      <c r="K78">
        <v>0.76679688485558739</v>
      </c>
      <c r="M78">
        <v>0.23922401666925366</v>
      </c>
      <c r="N78">
        <v>0.68167509101198809</v>
      </c>
    </row>
    <row r="79" spans="2:14" x14ac:dyDescent="0.2">
      <c r="B79" t="s">
        <v>131</v>
      </c>
      <c r="C79" s="187">
        <v>1.01</v>
      </c>
      <c r="D79" s="188">
        <v>2</v>
      </c>
      <c r="J79">
        <v>2</v>
      </c>
      <c r="K79">
        <v>3.7610000000000001</v>
      </c>
      <c r="M79">
        <v>2</v>
      </c>
      <c r="N79">
        <v>4</v>
      </c>
    </row>
    <row r="80" spans="2:14" x14ac:dyDescent="0.2">
      <c r="B80" t="s">
        <v>132</v>
      </c>
      <c r="C80" s="189">
        <f t="array" ref="C80:D80">(sigmaS-1)/sigmaS</f>
        <v>9.9009900990099098E-3</v>
      </c>
      <c r="D80" s="190">
        <v>0.5</v>
      </c>
      <c r="J80">
        <v>0.5</v>
      </c>
      <c r="K80">
        <v>0.73411326774793939</v>
      </c>
      <c r="M80">
        <v>0.5</v>
      </c>
      <c r="N80">
        <v>0.75</v>
      </c>
    </row>
    <row r="81" spans="2:14" x14ac:dyDescent="0.2">
      <c r="C81" s="191"/>
      <c r="D81" s="191"/>
    </row>
    <row r="82" spans="2:14" x14ac:dyDescent="0.2">
      <c r="B82" t="s">
        <v>31</v>
      </c>
      <c r="C82" s="183">
        <f t="array" ref="C82:D82">(KL/K)^rhoKL*pK*K/(pK*K+pL*Labour)</f>
        <v>7.8928608681718054E-2</v>
      </c>
      <c r="D82" s="184">
        <v>0.10640976976244208</v>
      </c>
      <c r="E82" s="62" t="s">
        <v>35</v>
      </c>
      <c r="F82" s="63">
        <f t="array" ref="F82:G82">(aKL*K^rhoKL+bKL*Labour^rhoKL)^(1/rhoKL)</f>
        <v>13763.097676000012</v>
      </c>
      <c r="G82" s="64">
        <v>382.3664789999998</v>
      </c>
      <c r="J82">
        <v>0.18451576952174367</v>
      </c>
      <c r="K82">
        <v>0.54253201298722808</v>
      </c>
      <c r="M82">
        <v>7.2859611873321836E-2</v>
      </c>
      <c r="N82">
        <v>5.3637383677496479E-2</v>
      </c>
    </row>
    <row r="83" spans="2:14" x14ac:dyDescent="0.2">
      <c r="B83" t="s">
        <v>32</v>
      </c>
      <c r="C83" s="185">
        <f t="array" ref="C83:D83">(KL/Labour)^rhoKL*pL*Labour/(pK*K+pL*Labour)</f>
        <v>5.1063497539797449E-2</v>
      </c>
      <c r="D83" s="186">
        <v>2.7776661157113622E-5</v>
      </c>
      <c r="F83" s="129">
        <f t="array" ref="F83:G83">F82:G82-KL</f>
        <v>0</v>
      </c>
      <c r="G83" s="130">
        <v>0</v>
      </c>
      <c r="J83">
        <v>0.1069127767935206</v>
      </c>
      <c r="K83">
        <v>2.4476064673301264E-2</v>
      </c>
      <c r="M83">
        <v>5.4594777174641881E-2</v>
      </c>
      <c r="N83">
        <v>1.1890509449475719E-4</v>
      </c>
    </row>
    <row r="84" spans="2:14" x14ac:dyDescent="0.2">
      <c r="B84" t="s">
        <v>33</v>
      </c>
      <c r="C84" s="187">
        <v>0.3</v>
      </c>
      <c r="D84" s="188">
        <v>0.15</v>
      </c>
      <c r="J84">
        <v>0.42</v>
      </c>
      <c r="K84">
        <v>0.45010780507311415</v>
      </c>
      <c r="M84">
        <v>0.3</v>
      </c>
      <c r="N84">
        <v>0.15</v>
      </c>
    </row>
    <row r="85" spans="2:14" x14ac:dyDescent="0.2">
      <c r="B85" t="s">
        <v>34</v>
      </c>
      <c r="C85" s="189">
        <f t="array" ref="C85:D85">(sigmaKL-1)/sigmaKL</f>
        <v>-2.3333333333333335</v>
      </c>
      <c r="D85" s="190">
        <v>-5.666666666666667</v>
      </c>
      <c r="J85">
        <v>-1.3809523809523812</v>
      </c>
      <c r="K85">
        <v>-1.2216899789986155</v>
      </c>
      <c r="M85">
        <v>-2.3333333333333335</v>
      </c>
      <c r="N85">
        <v>-5.666666666666667</v>
      </c>
    </row>
    <row r="86" spans="2:14" x14ac:dyDescent="0.2">
      <c r="C86" s="191"/>
      <c r="D86" s="191"/>
    </row>
    <row r="87" spans="2:14" x14ac:dyDescent="0.2">
      <c r="B87" t="s">
        <v>49</v>
      </c>
      <c r="C87" s="183">
        <f t="array" ref="C87:D87">(KLE/KL)^rhoKLE*(pK*K+pL*Labour)/(pK*K+pL*Labour+pEY*alphaEY*Y)</f>
        <v>0.91823968729733552</v>
      </c>
      <c r="D87" s="184">
        <v>4.7914221543935986E-2</v>
      </c>
      <c r="E87" s="62" t="s">
        <v>53</v>
      </c>
      <c r="F87" s="63">
        <f t="array" ref="F87:G87">(aKLE*KL^rhoKLE+bKLE*(alphaEY*Y)^rhoKLE)^(1/rhoKLE)</f>
        <v>14362.768558</v>
      </c>
      <c r="G87" s="64">
        <v>817.26650999999947</v>
      </c>
      <c r="J87">
        <v>0.85732710021334335</v>
      </c>
      <c r="K87">
        <v>6.4436442297762988E-3</v>
      </c>
      <c r="M87">
        <v>0.90771284052375456</v>
      </c>
      <c r="N87">
        <v>6.1963941181865996E-2</v>
      </c>
    </row>
    <row r="88" spans="2:14" x14ac:dyDescent="0.2">
      <c r="B88" t="s">
        <v>50</v>
      </c>
      <c r="C88" s="185">
        <f t="array" ref="C88:D88">(KLE/(alphaEY*Y))^rhoKLE*pEY*alphaEY*Y/(pEY*alphaEY*Y+pK*K+pL*Labour)</f>
        <v>1.7332060821993295E-3</v>
      </c>
      <c r="D88" s="186">
        <v>7.8814252643960914E-2</v>
      </c>
      <c r="F88" s="129">
        <f t="array" ref="F88:G88">F87:G87-KLE</f>
        <v>0</v>
      </c>
      <c r="G88" s="130">
        <v>0</v>
      </c>
      <c r="J88">
        <v>1.757694977252001E-4</v>
      </c>
      <c r="K88">
        <v>0.13475758340934371</v>
      </c>
      <c r="M88">
        <v>2.214314390241483E-3</v>
      </c>
      <c r="N88">
        <v>6.1425571228765741E-2</v>
      </c>
    </row>
    <row r="89" spans="2:14" x14ac:dyDescent="0.2">
      <c r="B89" t="s">
        <v>51</v>
      </c>
      <c r="C89" s="187">
        <v>0.5</v>
      </c>
      <c r="D89" s="188">
        <v>0.25</v>
      </c>
      <c r="J89">
        <v>0.3518</v>
      </c>
      <c r="K89">
        <v>0.23739378994633001</v>
      </c>
      <c r="M89">
        <v>0.5</v>
      </c>
      <c r="N89">
        <v>0.25</v>
      </c>
    </row>
    <row r="90" spans="2:14" x14ac:dyDescent="0.2">
      <c r="B90" t="s">
        <v>52</v>
      </c>
      <c r="C90" s="189">
        <f t="array" ref="C90:D90">(sigmaKLE-1)/sigmaKLE</f>
        <v>-1</v>
      </c>
      <c r="D90" s="190">
        <v>-3</v>
      </c>
      <c r="J90">
        <v>-1.8425241614553725</v>
      </c>
      <c r="K90">
        <v>-3.2124101065410349</v>
      </c>
      <c r="M90">
        <v>-1</v>
      </c>
      <c r="N90">
        <v>-3</v>
      </c>
    </row>
    <row r="91" spans="2:14" x14ac:dyDescent="0.2">
      <c r="C91" s="191"/>
      <c r="D91" s="191"/>
    </row>
    <row r="92" spans="2:14" x14ac:dyDescent="0.2">
      <c r="B92" t="s">
        <v>37</v>
      </c>
      <c r="C92" s="183">
        <f t="array" ref="C92:D92">(Y/KLE)^rhoY*(pK*K+pL*Labour+pEY*alphaEY*Y)/(pK*K+pL*Labour+pEY*alphaEY*Y+pMY*alphaMY*Y)</f>
        <v>0.39008348025535444</v>
      </c>
      <c r="D92" s="184">
        <v>0.31136355826594386</v>
      </c>
      <c r="E92" s="62" t="s">
        <v>19</v>
      </c>
      <c r="F92" s="63">
        <f t="array" ref="F92:G92">(aY*KLE^rhoY+bY*(alphaMY*Y)^rhoY)^(1/rhoY)</f>
        <v>27857.010133999996</v>
      </c>
      <c r="G92" s="64">
        <v>1236.767447999998</v>
      </c>
      <c r="J92">
        <v>0.34302659523177403</v>
      </c>
      <c r="K92">
        <v>0.42557690792009023</v>
      </c>
      <c r="M92">
        <v>0.42285434707953978</v>
      </c>
      <c r="N92">
        <v>0.3208524508888656</v>
      </c>
    </row>
    <row r="93" spans="2:14" x14ac:dyDescent="0.2">
      <c r="B93" t="s">
        <v>38</v>
      </c>
      <c r="C93" s="185">
        <f t="array" ref="C93:D93">(Y/(alphaMY*Y))^rhoY*pMY*alphaMY*Y/(pMY*alphaMY*Y+pK*K+pL*Labour+pEY*alphaEY*Y)</f>
        <v>0.34926535250575885</v>
      </c>
      <c r="D93" s="186">
        <v>3.8919522129570013E-2</v>
      </c>
      <c r="F93" s="129">
        <f t="array" ref="F93:G93">F92:G92-Y</f>
        <v>0</v>
      </c>
      <c r="G93" s="130">
        <v>-2.2737367544323206E-12</v>
      </c>
      <c r="J93">
        <v>0.35296646929548525</v>
      </c>
      <c r="K93">
        <v>6.2733891927605194E-4</v>
      </c>
      <c r="M93">
        <v>0.3176642154488255</v>
      </c>
      <c r="N93">
        <v>3.8708344241683464E-2</v>
      </c>
    </row>
    <row r="94" spans="2:14" x14ac:dyDescent="0.2">
      <c r="B94" t="s">
        <v>39</v>
      </c>
      <c r="C94" s="187">
        <v>0.7</v>
      </c>
      <c r="D94" s="188">
        <v>0.35</v>
      </c>
      <c r="J94">
        <v>0.6678438215200766</v>
      </c>
      <c r="K94">
        <v>0.23777313182546062</v>
      </c>
      <c r="M94">
        <v>0.7</v>
      </c>
      <c r="N94">
        <v>0.35</v>
      </c>
    </row>
    <row r="95" spans="2:14" x14ac:dyDescent="0.2">
      <c r="B95" t="s">
        <v>40</v>
      </c>
      <c r="C95" s="189">
        <f t="array" ref="C95:D95">(sigmaY-1)/sigmaY</f>
        <v>-0.42857142857142866</v>
      </c>
      <c r="D95" s="190">
        <v>-1.8571428571428574</v>
      </c>
      <c r="J95">
        <v>-0.49735607005228272</v>
      </c>
      <c r="K95">
        <v>-3.205689651823481</v>
      </c>
      <c r="M95">
        <v>-0.42857142857142866</v>
      </c>
      <c r="N95">
        <v>-1.8571428571428574</v>
      </c>
    </row>
    <row r="96" spans="2:14" x14ac:dyDescent="0.2">
      <c r="C96" s="191"/>
      <c r="D96" s="191"/>
    </row>
    <row r="97" spans="2:14" x14ac:dyDescent="0.2">
      <c r="B97" t="s">
        <v>117</v>
      </c>
      <c r="C97" s="183">
        <f t="array" ref="C97:D97">(Y/D)^rhoX*pD*D/(pD*D+pX*X)</f>
        <v>1.0628046216829141</v>
      </c>
      <c r="D97" s="184">
        <v>1.0389584707528505</v>
      </c>
      <c r="E97" s="62" t="s">
        <v>19</v>
      </c>
      <c r="F97" s="63">
        <f t="array" ref="F97:G97">(aX*D^rhoX+bX*X^rhoX)^(1/rhoX)</f>
        <v>27857.010133999949</v>
      </c>
      <c r="G97" s="64">
        <v>1236.7674480000003</v>
      </c>
      <c r="J97">
        <v>1.0584279955606408</v>
      </c>
      <c r="K97">
        <v>1.0394054770479291</v>
      </c>
      <c r="M97">
        <v>1.056836685236574</v>
      </c>
      <c r="N97">
        <v>1.0883998615921</v>
      </c>
    </row>
    <row r="98" spans="2:14" x14ac:dyDescent="0.2">
      <c r="B98" t="s">
        <v>118</v>
      </c>
      <c r="C98" s="185">
        <f t="array" ref="C98:D98">(Y/X)^rhoX*pX*X/(pD*D+pX*X)</f>
        <v>2.9527629608409791</v>
      </c>
      <c r="D98" s="186">
        <v>3.686320128465423</v>
      </c>
      <c r="F98" s="129">
        <f t="array" ref="F98:G98">F97:G97-Y</f>
        <v>-4.7293724492192268E-11</v>
      </c>
      <c r="G98" s="130">
        <v>0</v>
      </c>
      <c r="J98">
        <v>3.0519891458809019</v>
      </c>
      <c r="K98">
        <v>3.6665272372954751</v>
      </c>
      <c r="M98">
        <v>3.09096156361904</v>
      </c>
      <c r="N98">
        <v>2.533120546112305</v>
      </c>
    </row>
    <row r="99" spans="2:14" x14ac:dyDescent="0.2">
      <c r="B99" t="s">
        <v>66</v>
      </c>
      <c r="C99" s="180">
        <v>-2</v>
      </c>
      <c r="D99" s="181">
        <v>-2</v>
      </c>
      <c r="J99">
        <v>-2</v>
      </c>
      <c r="K99">
        <v>-2</v>
      </c>
      <c r="M99">
        <v>-2</v>
      </c>
      <c r="N99">
        <v>-2</v>
      </c>
    </row>
    <row r="100" spans="2:14" x14ac:dyDescent="0.2">
      <c r="B100" t="s">
        <v>119</v>
      </c>
      <c r="C100" s="189">
        <f t="array" ref="C100:D100">(sigmaX - 1)/sigmaX</f>
        <v>1.5</v>
      </c>
      <c r="D100" s="190">
        <v>1.5</v>
      </c>
      <c r="J100">
        <v>1.5</v>
      </c>
      <c r="K100">
        <v>1.5</v>
      </c>
      <c r="M100">
        <v>1.5</v>
      </c>
      <c r="N100">
        <v>1.5</v>
      </c>
    </row>
    <row r="102" spans="2:14" x14ac:dyDescent="0.2">
      <c r="B102" t="s">
        <v>110</v>
      </c>
      <c r="C102" s="30">
        <v>-0.1</v>
      </c>
      <c r="J102">
        <v>-0.18</v>
      </c>
      <c r="M102">
        <v>-0.1</v>
      </c>
    </row>
    <row r="104" spans="2:14" x14ac:dyDescent="0.2">
      <c r="B104" t="s">
        <v>43</v>
      </c>
      <c r="C104" s="66">
        <f>(U/CQ)^rhoU*pCQ*CQ/(pCQ*CQ+pCE*CE)</f>
        <v>259.94917440961575</v>
      </c>
      <c r="E104" s="62" t="s">
        <v>47</v>
      </c>
      <c r="F104" s="65">
        <f>(aU*CQ^rhoU+bU*CE^rhoU)^(1/rhoU)</f>
        <v>1</v>
      </c>
      <c r="J104">
        <v>161.80093781026901</v>
      </c>
      <c r="M104">
        <v>236.92129697367815</v>
      </c>
    </row>
    <row r="105" spans="2:14" x14ac:dyDescent="0.2">
      <c r="B105" t="s">
        <v>44</v>
      </c>
      <c r="C105" s="67">
        <f>(U/CE)^rhoU*pCE*CE/(pCQ*CQ+pCE*CE)</f>
        <v>2.4275254555409633</v>
      </c>
      <c r="F105" s="123">
        <f t="array" ref="F105">F104-U</f>
        <v>0</v>
      </c>
      <c r="J105">
        <v>1.8943271858376676</v>
      </c>
      <c r="M105">
        <v>2.5407734799088928</v>
      </c>
    </row>
    <row r="106" spans="2:14" x14ac:dyDescent="0.2">
      <c r="B106" t="s">
        <v>45</v>
      </c>
      <c r="C106" s="238">
        <v>0.61</v>
      </c>
      <c r="J106">
        <v>0.62777368056390725</v>
      </c>
      <c r="M106">
        <v>0.61</v>
      </c>
    </row>
    <row r="107" spans="2:14" x14ac:dyDescent="0.2">
      <c r="B107" t="s">
        <v>46</v>
      </c>
      <c r="C107" s="68">
        <f>(sigmaU-1)/sigmaU</f>
        <v>-0.63934426229508201</v>
      </c>
      <c r="J107">
        <v>-0.59293075030118303</v>
      </c>
      <c r="M107">
        <v>-0.63934426229508201</v>
      </c>
    </row>
    <row r="109" spans="2:14" x14ac:dyDescent="0.2">
      <c r="J109">
        <v>-0.97777368056390723</v>
      </c>
      <c r="K109">
        <v>-0.65</v>
      </c>
    </row>
    <row r="111" spans="2:14" x14ac:dyDescent="0.2">
      <c r="H111" s="115"/>
      <c r="I111" s="115"/>
    </row>
    <row r="112" spans="2:14" x14ac:dyDescent="0.2">
      <c r="H112" s="115"/>
      <c r="I112" s="115"/>
    </row>
    <row r="113" spans="2:16" ht="10.5" x14ac:dyDescent="0.25">
      <c r="B113" s="96" t="s">
        <v>106</v>
      </c>
    </row>
    <row r="114" spans="2:16" x14ac:dyDescent="0.2">
      <c r="B114" t="s">
        <v>12</v>
      </c>
      <c r="C114" s="84">
        <f t="array" ref="C114:D114">pY</f>
        <v>1000</v>
      </c>
      <c r="D114" s="85">
        <v>1000</v>
      </c>
    </row>
    <row r="115" spans="2:16" x14ac:dyDescent="0.2">
      <c r="B115" t="s">
        <v>128</v>
      </c>
      <c r="C115" s="97">
        <f t="array" ref="C115:D115">pS</f>
        <v>1000</v>
      </c>
      <c r="D115" s="98">
        <v>1000</v>
      </c>
    </row>
    <row r="116" spans="2:16" x14ac:dyDescent="0.2">
      <c r="B116" t="s">
        <v>17</v>
      </c>
      <c r="C116" s="97">
        <f t="array" ref="C116:D116">w</f>
        <v>1000</v>
      </c>
      <c r="D116" s="98">
        <v>1000</v>
      </c>
    </row>
    <row r="117" spans="2:16" x14ac:dyDescent="0.2">
      <c r="B117" t="s">
        <v>18</v>
      </c>
      <c r="C117" s="156">
        <f t="array" ref="C117:D117">pK</f>
        <v>1000</v>
      </c>
      <c r="D117" s="157">
        <v>1000</v>
      </c>
    </row>
    <row r="118" spans="2:16" x14ac:dyDescent="0.2">
      <c r="B118" t="s">
        <v>61</v>
      </c>
      <c r="C118" s="156">
        <f t="array" ref="C118:D118">pKL</f>
        <v>1000</v>
      </c>
      <c r="D118" s="157">
        <v>1000</v>
      </c>
    </row>
    <row r="119" spans="2:16" x14ac:dyDescent="0.2">
      <c r="B119" t="s">
        <v>127</v>
      </c>
      <c r="C119" s="82">
        <f t="array" ref="C119:D119">S</f>
        <v>26548.356269999993</v>
      </c>
      <c r="D119" s="83">
        <v>1408.5418709999938</v>
      </c>
    </row>
    <row r="120" spans="2:16" x14ac:dyDescent="0.2">
      <c r="B120" t="s">
        <v>8</v>
      </c>
      <c r="C120" s="97">
        <f>C43</f>
        <v>3196.3846373657216</v>
      </c>
      <c r="D120" s="224">
        <f>D52</f>
        <v>5.7716594496607888E-3</v>
      </c>
      <c r="E120" t="s">
        <v>151</v>
      </c>
    </row>
    <row r="121" spans="2:16" x14ac:dyDescent="0.2">
      <c r="B121" t="s">
        <v>64</v>
      </c>
      <c r="C121" s="159">
        <f>GDP</f>
        <v>14734457.915000005</v>
      </c>
      <c r="D121" s="160">
        <v>0</v>
      </c>
    </row>
    <row r="122" spans="2:16" x14ac:dyDescent="0.2">
      <c r="B122" t="s">
        <v>27</v>
      </c>
      <c r="C122" s="159">
        <f t="array" ref="C122:D122">Labour</f>
        <v>5036.2953101960647</v>
      </c>
      <c r="D122" s="167">
        <v>74.905331803938267</v>
      </c>
    </row>
    <row r="123" spans="2:16" x14ac:dyDescent="0.2">
      <c r="B123" t="s">
        <v>19</v>
      </c>
      <c r="C123" s="158">
        <f t="array" ref="C123:D123">Y</f>
        <v>27857.010133999996</v>
      </c>
      <c r="D123" s="161">
        <v>1236.7674480000003</v>
      </c>
    </row>
    <row r="126" spans="2:16" x14ac:dyDescent="0.2">
      <c r="E126" s="29"/>
      <c r="F126" s="29"/>
      <c r="G126" s="29"/>
      <c r="H126" s="29"/>
      <c r="I126" s="29"/>
      <c r="J126" s="29"/>
      <c r="K126" s="29"/>
      <c r="L126" s="29"/>
      <c r="M126" s="29"/>
      <c r="N126" s="29"/>
      <c r="O126" s="29"/>
      <c r="P126" s="29"/>
    </row>
    <row r="127" spans="2:16" x14ac:dyDescent="0.2">
      <c r="E127" s="29"/>
      <c r="F127" s="29"/>
      <c r="G127" s="29"/>
      <c r="H127" s="29"/>
      <c r="I127" s="29"/>
      <c r="J127" s="29"/>
      <c r="K127" s="29"/>
      <c r="L127" s="29"/>
      <c r="M127" s="29"/>
      <c r="N127" s="29"/>
      <c r="O127" s="29"/>
      <c r="P127" s="29"/>
    </row>
  </sheetData>
  <conditionalFormatting sqref="C14:D14">
    <cfRule type="cellIs" dxfId="108" priority="28" stopIfTrue="1" operator="notEqual">
      <formula>0</formula>
    </cfRule>
  </conditionalFormatting>
  <conditionalFormatting sqref="K21:L21">
    <cfRule type="cellIs" dxfId="107" priority="27" stopIfTrue="1" operator="notEqual">
      <formula>0</formula>
    </cfRule>
  </conditionalFormatting>
  <conditionalFormatting sqref="K23:L23 K25:L30">
    <cfRule type="cellIs" dxfId="106" priority="26" stopIfTrue="1" operator="notEqual">
      <formula>0</formula>
    </cfRule>
  </conditionalFormatting>
  <conditionalFormatting sqref="K32:L32">
    <cfRule type="cellIs" dxfId="105" priority="25" stopIfTrue="1" operator="notEqual">
      <formula>0</formula>
    </cfRule>
  </conditionalFormatting>
  <conditionalFormatting sqref="K37:L39 K41:L43">
    <cfRule type="cellIs" dxfId="104" priority="24" stopIfTrue="1" operator="notEqual">
      <formula>0</formula>
    </cfRule>
  </conditionalFormatting>
  <conditionalFormatting sqref="K45:L48">
    <cfRule type="cellIs" dxfId="103" priority="23" stopIfTrue="1" operator="notEqual">
      <formula>0</formula>
    </cfRule>
  </conditionalFormatting>
  <conditionalFormatting sqref="K34:L35">
    <cfRule type="cellIs" dxfId="102" priority="22" stopIfTrue="1" operator="notEqual">
      <formula>0</formula>
    </cfRule>
  </conditionalFormatting>
  <conditionalFormatting sqref="K70:L73">
    <cfRule type="cellIs" dxfId="101" priority="21" stopIfTrue="1" operator="notEqual">
      <formula>0</formula>
    </cfRule>
  </conditionalFormatting>
  <conditionalFormatting sqref="K57">
    <cfRule type="cellIs" dxfId="100" priority="20" stopIfTrue="1" operator="notEqual">
      <formula>0</formula>
    </cfRule>
  </conditionalFormatting>
  <conditionalFormatting sqref="K55">
    <cfRule type="cellIs" dxfId="99" priority="19" stopIfTrue="1" operator="notEqual">
      <formula>0</formula>
    </cfRule>
  </conditionalFormatting>
  <conditionalFormatting sqref="F78:G78">
    <cfRule type="cellIs" dxfId="98" priority="18" stopIfTrue="1" operator="notEqual">
      <formula>0</formula>
    </cfRule>
  </conditionalFormatting>
  <conditionalFormatting sqref="F83:G83">
    <cfRule type="cellIs" dxfId="97" priority="17" stopIfTrue="1" operator="notEqual">
      <formula>0</formula>
    </cfRule>
  </conditionalFormatting>
  <conditionalFormatting sqref="F88:G88">
    <cfRule type="cellIs" dxfId="96" priority="16" stopIfTrue="1" operator="notEqual">
      <formula>0</formula>
    </cfRule>
  </conditionalFormatting>
  <conditionalFormatting sqref="F93:G93">
    <cfRule type="cellIs" dxfId="95" priority="15" stopIfTrue="1" operator="notEqual">
      <formula>0</formula>
    </cfRule>
  </conditionalFormatting>
  <conditionalFormatting sqref="F105">
    <cfRule type="cellIs" dxfId="94" priority="14" stopIfTrue="1" operator="notEqual">
      <formula>0</formula>
    </cfRule>
  </conditionalFormatting>
  <conditionalFormatting sqref="K44:L44">
    <cfRule type="cellIs" dxfId="93" priority="11" stopIfTrue="1" operator="notEqual">
      <formula>0</formula>
    </cfRule>
  </conditionalFormatting>
  <conditionalFormatting sqref="L57">
    <cfRule type="cellIs" dxfId="92" priority="8" stopIfTrue="1" operator="notEqual">
      <formula>0</formula>
    </cfRule>
  </conditionalFormatting>
  <conditionalFormatting sqref="K24:L24">
    <cfRule type="cellIs" dxfId="91" priority="6" stopIfTrue="1" operator="notEqual">
      <formula>0</formula>
    </cfRule>
  </conditionalFormatting>
  <conditionalFormatting sqref="K40:L40">
    <cfRule type="cellIs" dxfId="90" priority="5" stopIfTrue="1" operator="notEqual">
      <formula>0</formula>
    </cfRule>
  </conditionalFormatting>
  <conditionalFormatting sqref="F98:G98">
    <cfRule type="cellIs" dxfId="89" priority="3" stopIfTrue="1" operator="notEqual">
      <formula>0</formula>
    </cfRule>
  </conditionalFormatting>
  <conditionalFormatting sqref="K65">
    <cfRule type="cellIs" dxfId="8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2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26" t="s">
        <v>68</v>
      </c>
      <c r="C2" s="2" t="s">
        <v>24</v>
      </c>
      <c r="D2" s="3" t="s">
        <v>25</v>
      </c>
      <c r="E2" s="4" t="s">
        <v>6</v>
      </c>
      <c r="F2" s="5" t="s">
        <v>7</v>
      </c>
      <c r="G2" s="5" t="s">
        <v>8</v>
      </c>
      <c r="H2" s="6" t="s">
        <v>0</v>
      </c>
      <c r="I2" s="1"/>
      <c r="K2" s="126" t="s">
        <v>86</v>
      </c>
      <c r="L2" s="2" t="s">
        <v>24</v>
      </c>
      <c r="M2" s="3" t="s">
        <v>25</v>
      </c>
      <c r="N2" s="4" t="s">
        <v>6</v>
      </c>
      <c r="O2" s="5" t="s">
        <v>7</v>
      </c>
      <c r="P2" s="5" t="s">
        <v>8</v>
      </c>
      <c r="Q2" s="6" t="s">
        <v>0</v>
      </c>
      <c r="R2" s="1"/>
    </row>
    <row r="3" spans="2:18" ht="10.5" x14ac:dyDescent="0.25">
      <c r="B3" s="2" t="s">
        <v>24</v>
      </c>
      <c r="C3" s="51">
        <f t="array" ref="C3:D11">Calibration!C3:D11</f>
        <v>13356525.920999993</v>
      </c>
      <c r="D3" s="52">
        <v>398781.47400000016</v>
      </c>
      <c r="E3" s="53">
        <f t="array" ref="E3:H4">Calibration!E3:H4</f>
        <v>6637565.1090000011</v>
      </c>
      <c r="F3" s="54">
        <v>3330668.2879999997</v>
      </c>
      <c r="G3" s="54">
        <v>3247244.4950000001</v>
      </c>
      <c r="H3" s="60">
        <v>3195047.6039999989</v>
      </c>
      <c r="I3" s="9">
        <f>SUM(C3:H3)</f>
        <v>30165832.890999991</v>
      </c>
      <c r="K3" s="2" t="s">
        <v>24</v>
      </c>
      <c r="L3" s="51">
        <f t="array" ref="L3:M4">pIC*alpha*Y</f>
        <v>13356525.921000011</v>
      </c>
      <c r="M3" s="52">
        <v>398781.47400000016</v>
      </c>
      <c r="N3" s="53">
        <f t="array" ref="N3:N4">TRANSPOSE(pC*Consumption)</f>
        <v>6637565.1090000179</v>
      </c>
      <c r="O3" s="54">
        <f t="array" ref="O3:O4">TRANSPOSE(pG*G)</f>
        <v>3330668.2879999997</v>
      </c>
      <c r="P3" s="54">
        <f t="array" ref="P3:P4">TRANSPOSE(pI*I)</f>
        <v>3247244.4950000001</v>
      </c>
      <c r="Q3" s="60">
        <f t="array" ref="Q3:Q4">TRANSPOSE(pX*X)</f>
        <v>3195047.6040000012</v>
      </c>
      <c r="R3" s="9">
        <f t="array" ref="R3">SUM(L3:Q3)</f>
        <v>30165832.891000032</v>
      </c>
    </row>
    <row r="4" spans="2:18" ht="10.5" x14ac:dyDescent="0.25">
      <c r="B4" s="10" t="s">
        <v>25</v>
      </c>
      <c r="C4" s="55">
        <v>599670.88199999998</v>
      </c>
      <c r="D4" s="56">
        <v>434900.03099999996</v>
      </c>
      <c r="E4" s="55">
        <v>382100.58199999394</v>
      </c>
      <c r="F4" s="57">
        <v>0</v>
      </c>
      <c r="G4" s="57">
        <v>0</v>
      </c>
      <c r="H4" s="49">
        <v>91012.690000004077</v>
      </c>
      <c r="I4" s="11">
        <f>SUM(C4:H4)</f>
        <v>1507684.184999998</v>
      </c>
      <c r="K4" s="10" t="s">
        <v>25</v>
      </c>
      <c r="L4" s="55">
        <v>599670.8820000008</v>
      </c>
      <c r="M4" s="56">
        <v>434900.03099999984</v>
      </c>
      <c r="N4" s="55">
        <v>382100.58199999493</v>
      </c>
      <c r="O4" s="57">
        <v>0</v>
      </c>
      <c r="P4" s="57">
        <v>0</v>
      </c>
      <c r="Q4" s="49">
        <v>91012.690000004397</v>
      </c>
      <c r="R4" s="11">
        <f t="array" ref="R4">SUM(L4:Q4)</f>
        <v>1507684.1849999998</v>
      </c>
    </row>
    <row r="5" spans="2:18" x14ac:dyDescent="0.2">
      <c r="B5" s="12" t="s">
        <v>1</v>
      </c>
      <c r="C5" s="51">
        <v>5036295.3101960644</v>
      </c>
      <c r="D5" s="52">
        <v>74905.331803938272</v>
      </c>
      <c r="E5" s="13"/>
      <c r="F5" s="13"/>
      <c r="G5" s="13"/>
      <c r="H5" s="13"/>
      <c r="I5" s="1"/>
      <c r="K5" s="12" t="s">
        <v>1</v>
      </c>
      <c r="L5" s="51">
        <f t="array" ref="L5:M5">w*Labour</f>
        <v>5036295.3101960644</v>
      </c>
      <c r="M5" s="52">
        <v>74905.331803938272</v>
      </c>
      <c r="N5" s="13"/>
      <c r="O5" s="13"/>
      <c r="P5" s="13"/>
      <c r="Q5" s="13"/>
      <c r="R5" s="1"/>
    </row>
    <row r="6" spans="2:18" x14ac:dyDescent="0.2">
      <c r="B6" s="14" t="s">
        <v>9</v>
      </c>
      <c r="C6" s="53">
        <v>2301604.2068039379</v>
      </c>
      <c r="D6" s="58">
        <v>34231.993196061703</v>
      </c>
      <c r="E6" s="13"/>
      <c r="F6" s="13"/>
      <c r="G6" s="13"/>
      <c r="H6" s="13"/>
      <c r="I6" s="1"/>
      <c r="K6" s="14" t="s">
        <v>9</v>
      </c>
      <c r="L6" s="53">
        <f t="array" ref="L6:M6">w*tauL*Labour</f>
        <v>2301604.2068039374</v>
      </c>
      <c r="M6" s="58">
        <v>34231.993196061703</v>
      </c>
      <c r="N6" s="13"/>
      <c r="O6" s="13"/>
      <c r="P6" s="13"/>
      <c r="Q6" s="13"/>
      <c r="R6" s="1"/>
    </row>
    <row r="7" spans="2:18" x14ac:dyDescent="0.2">
      <c r="B7" s="14" t="s">
        <v>10</v>
      </c>
      <c r="C7" s="53">
        <v>137715.65500000006</v>
      </c>
      <c r="D7" s="58">
        <v>20719.463999999996</v>
      </c>
      <c r="E7" s="13"/>
      <c r="F7" s="13"/>
      <c r="G7" s="13"/>
      <c r="H7" s="13"/>
      <c r="I7" s="1"/>
      <c r="K7" s="14" t="s">
        <v>10</v>
      </c>
      <c r="L7" s="53">
        <f t="array" ref="L7:M7">tauY*pY/(1+tauY)*Y</f>
        <v>137715.65500000006</v>
      </c>
      <c r="M7" s="58">
        <v>20719.463999999996</v>
      </c>
      <c r="N7" s="13"/>
      <c r="O7" s="13"/>
      <c r="P7" s="13"/>
      <c r="Q7" s="13"/>
      <c r="R7" s="1"/>
    </row>
    <row r="8" spans="2:18" x14ac:dyDescent="0.2">
      <c r="B8" s="14" t="s">
        <v>2</v>
      </c>
      <c r="C8" s="53">
        <v>6425198.1590000018</v>
      </c>
      <c r="D8" s="58">
        <v>273229.1540000001</v>
      </c>
      <c r="E8" s="13"/>
      <c r="F8" s="13"/>
      <c r="G8" s="13"/>
      <c r="H8" s="13"/>
      <c r="I8" s="1"/>
      <c r="K8" s="14" t="s">
        <v>2</v>
      </c>
      <c r="L8" s="53">
        <f t="array" ref="L8:M8">pK*kappa*Y</f>
        <v>6425198.1590000419</v>
      </c>
      <c r="M8" s="58">
        <v>273229.15400000027</v>
      </c>
      <c r="N8" s="13"/>
      <c r="O8" s="13"/>
      <c r="P8" s="13"/>
      <c r="Q8" s="13"/>
      <c r="R8" s="1"/>
    </row>
    <row r="9" spans="2:18" x14ac:dyDescent="0.2">
      <c r="B9" s="2" t="s">
        <v>3</v>
      </c>
      <c r="C9" s="127">
        <v>1886393.7399999965</v>
      </c>
      <c r="D9" s="128">
        <v>262787.11299999768</v>
      </c>
      <c r="E9" s="13"/>
      <c r="F9" s="13"/>
      <c r="G9" s="13"/>
      <c r="H9" s="13"/>
      <c r="I9" s="1"/>
      <c r="K9" s="2" t="s">
        <v>3</v>
      </c>
      <c r="L9" s="127">
        <f t="array" ref="L9:M9">pW*M</f>
        <v>1886393.740000014</v>
      </c>
      <c r="M9" s="128">
        <v>262787.11299999728</v>
      </c>
      <c r="N9" s="13"/>
      <c r="O9" s="13"/>
      <c r="P9" s="13"/>
      <c r="Q9" s="13"/>
      <c r="R9" s="1"/>
    </row>
    <row r="10" spans="2:18" x14ac:dyDescent="0.2">
      <c r="B10" s="2" t="s">
        <v>4</v>
      </c>
      <c r="C10" s="59">
        <v>422429.01700000005</v>
      </c>
      <c r="D10" s="60">
        <v>8129.6240000000016</v>
      </c>
      <c r="E10" s="13"/>
      <c r="F10" s="13"/>
      <c r="G10" s="13"/>
      <c r="H10" s="13"/>
      <c r="I10" s="1"/>
      <c r="K10" s="2" t="s">
        <v>4</v>
      </c>
      <c r="L10" s="59">
        <f t="array" ref="L10:M10">tauTS*pS*S</f>
        <v>422429.01700000011</v>
      </c>
      <c r="M10" s="60">
        <v>8129.6240000000025</v>
      </c>
      <c r="N10" s="13"/>
      <c r="O10" s="13"/>
      <c r="P10" s="13"/>
      <c r="Q10" s="13"/>
      <c r="R10" s="1"/>
    </row>
    <row r="11" spans="2:18" x14ac:dyDescent="0.2">
      <c r="B11" s="15" t="s">
        <v>5</v>
      </c>
      <c r="C11" s="61">
        <v>0</v>
      </c>
      <c r="D11" s="49">
        <v>0</v>
      </c>
      <c r="E11" s="13"/>
      <c r="F11" s="50" t="s">
        <v>24</v>
      </c>
      <c r="G11" s="16" t="s">
        <v>25</v>
      </c>
      <c r="H11" s="13"/>
      <c r="I11" s="1"/>
      <c r="K11" s="15"/>
      <c r="L11" s="61"/>
      <c r="M11" s="49"/>
      <c r="N11" s="13"/>
      <c r="O11" s="104"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30165832.89100007</v>
      </c>
      <c r="M12" s="18">
        <f>SUM(M3:M11)</f>
        <v>1507684.1849999977</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3">
        <f>I3-C12</f>
        <v>0</v>
      </c>
      <c r="D14" s="24">
        <f>I4-D12</f>
        <v>0</v>
      </c>
      <c r="E14" s="13"/>
      <c r="F14" s="13"/>
      <c r="G14" s="13"/>
      <c r="H14" s="13"/>
      <c r="I14" s="1"/>
      <c r="K14" s="22" t="s">
        <v>30</v>
      </c>
      <c r="L14" s="23">
        <f t="array" ref="L14">R3-L12</f>
        <v>-3.7252902984619141E-8</v>
      </c>
      <c r="M14" s="24">
        <f t="array" ref="M14">R4-M12</f>
        <v>2.0954757928848267E-9</v>
      </c>
      <c r="N14" s="13"/>
      <c r="O14" s="13"/>
      <c r="P14" s="13"/>
      <c r="Q14" s="13"/>
      <c r="R14" s="1"/>
    </row>
    <row r="15" spans="2:18" x14ac:dyDescent="0.2">
      <c r="B15" s="1"/>
      <c r="C15" s="1"/>
      <c r="D15" s="1"/>
      <c r="E15" s="13"/>
      <c r="F15" s="25"/>
      <c r="G15" s="26"/>
      <c r="H15" s="13"/>
      <c r="I15" s="1"/>
    </row>
    <row r="16" spans="2:18" x14ac:dyDescent="0.2">
      <c r="G16" s="26"/>
      <c r="H16" s="27"/>
      <c r="I16" s="1"/>
    </row>
    <row r="17" spans="2:21" x14ac:dyDescent="0.2">
      <c r="K17" s="62" t="s">
        <v>65</v>
      </c>
      <c r="L17" s="131">
        <f>MAX(ERROR1,ERROR2,ERROR3,ERROR4,ERROR5,ERROR6,ERROR7,ERROR8,ERROR9,ERROR10,ERROR11,ABS(MIN(ERROR1,ERROR2,ERROR3,ERROR4,ERROR5,ERROR6,ERROR7,ERROR8,ERROR9,ERROR10,ERROR11)))</f>
        <v>3.0000000000000018</v>
      </c>
    </row>
    <row r="19" spans="2:21" ht="10.5" x14ac:dyDescent="0.25">
      <c r="B19" s="96" t="s">
        <v>79</v>
      </c>
      <c r="C19" s="112" t="s">
        <v>87</v>
      </c>
      <c r="H19" s="96" t="s">
        <v>60</v>
      </c>
      <c r="K19" s="96" t="s">
        <v>59</v>
      </c>
      <c r="Q19" s="96" t="s">
        <v>42</v>
      </c>
    </row>
    <row r="21" spans="2:21" ht="10.5" x14ac:dyDescent="0.25">
      <c r="B21" t="s">
        <v>12</v>
      </c>
      <c r="C21" s="84">
        <f t="array" ref="C21:D21">ABS(C80:D80)</f>
        <v>1000</v>
      </c>
      <c r="D21" s="85">
        <v>1000</v>
      </c>
      <c r="H21" s="63">
        <f t="array" ref="H21:I21">(aY^sigmaY*pKLE^(1-sigmaY)+bY^sigmaY*pMY^(1-sigmaY))^(1/(1-sigmaY))*(1+tauY)</f>
        <v>1000.0000000000014</v>
      </c>
      <c r="I21" s="64">
        <v>999.99999999999898</v>
      </c>
      <c r="J21" s="113" t="s">
        <v>69</v>
      </c>
      <c r="K21" s="120">
        <f t="array" ref="K21:L21">H21:I21/pY-1</f>
        <v>0</v>
      </c>
      <c r="L21" s="120">
        <v>-9.9920072216264089E-16</v>
      </c>
      <c r="N21" s="71">
        <f t="array" ref="N21:O35">PRICES/Calibration!PRICES-1</f>
        <v>0</v>
      </c>
      <c r="O21" s="72">
        <v>0</v>
      </c>
      <c r="Q21" s="120">
        <f t="array" ref="Q21:R21">(pKLE*KLE+pMY*alphaMY*Y)*(1+tauY)/Y-pY</f>
        <v>1.4779288903810084E-12</v>
      </c>
      <c r="R21" s="120">
        <v>0</v>
      </c>
      <c r="T21" s="120">
        <f t="array" ref="T21:U21">(aX^sigmaX*pD^(1-sigmaX)+bX^sigmaX*pW^(1-sigmaX))^(1/(1-sigmaX))-pY</f>
        <v>0</v>
      </c>
      <c r="U21" s="120">
        <v>-2.0463630789890885E-12</v>
      </c>
    </row>
    <row r="22" spans="2:21" x14ac:dyDescent="0.2">
      <c r="B22" t="s">
        <v>116</v>
      </c>
      <c r="C22" s="101">
        <f t="array" ref="C22:D22">Calibration!pW</f>
        <v>1000</v>
      </c>
      <c r="D22" s="102">
        <v>1000</v>
      </c>
      <c r="N22" s="73">
        <v>0</v>
      </c>
      <c r="O22" s="74">
        <v>0</v>
      </c>
    </row>
    <row r="23" spans="2:21" ht="10.5" x14ac:dyDescent="0.25">
      <c r="B23" t="s">
        <v>128</v>
      </c>
      <c r="C23" s="97">
        <f t="array" ref="C23:D23">ABS(C81:D81)</f>
        <v>1000</v>
      </c>
      <c r="D23" s="98">
        <v>1000</v>
      </c>
      <c r="H23" s="63">
        <f t="array" ref="H23:I23">(aS^sigmaS*pD^(1-sigmaS)+bS^sigmaS*pW^(1-sigmaS))^(1/(1-sigmaS))</f>
        <v>1000.0000000000095</v>
      </c>
      <c r="I23" s="64">
        <v>999.99999999999909</v>
      </c>
      <c r="J23" s="113" t="s">
        <v>121</v>
      </c>
      <c r="K23" s="120">
        <f t="array" ref="K23:L23">(pY*Y+pW*M)/(pS*S+pW*X)-1</f>
        <v>0</v>
      </c>
      <c r="L23" s="120">
        <v>0</v>
      </c>
      <c r="N23" s="73">
        <v>0</v>
      </c>
      <c r="O23" s="74">
        <v>0</v>
      </c>
      <c r="Q23" s="120">
        <f t="array" ref="Q23:R23">pS*S-pD*D-pW*M</f>
        <v>-2.5774352252483368E-7</v>
      </c>
      <c r="R23" s="120">
        <v>1.6880221664905548E-9</v>
      </c>
    </row>
    <row r="24" spans="2:21" x14ac:dyDescent="0.2">
      <c r="B24" t="s">
        <v>77</v>
      </c>
      <c r="C24" s="116">
        <f t="array" ref="C24:D24">aX^(sigmaX/(sigmaX-1))*(pY^(1-sigmaX)-bX^sigmaX*pW^(1-sigmaX))^(1/(1-sigmaX))</f>
        <v>999.99999999999943</v>
      </c>
      <c r="D24" s="174">
        <v>999.99999999999909</v>
      </c>
      <c r="N24" s="73">
        <v>0</v>
      </c>
      <c r="O24" s="74">
        <v>-8.8817841970012523E-16</v>
      </c>
    </row>
    <row r="25" spans="2:21" x14ac:dyDescent="0.2">
      <c r="B25" t="s">
        <v>13</v>
      </c>
      <c r="C25" s="33">
        <f t="array" ref="C25:D26">TRANSPOSE(pS*(1+tauTS))</f>
        <v>1015.9116825427475</v>
      </c>
      <c r="D25" s="34">
        <v>1015.9116825427475</v>
      </c>
      <c r="E25" t="s">
        <v>63</v>
      </c>
      <c r="N25" s="73">
        <v>0</v>
      </c>
      <c r="O25" s="74">
        <v>0</v>
      </c>
    </row>
    <row r="26" spans="2:21" x14ac:dyDescent="0.2">
      <c r="C26" s="35">
        <v>1005.7716594496609</v>
      </c>
      <c r="D26" s="36">
        <v>1005.7716594496609</v>
      </c>
      <c r="E26" t="s">
        <v>41</v>
      </c>
      <c r="N26" s="73">
        <v>0</v>
      </c>
      <c r="O26" s="74">
        <v>0</v>
      </c>
    </row>
    <row r="27" spans="2:21" ht="10.5" x14ac:dyDescent="0.25">
      <c r="B27" t="s">
        <v>14</v>
      </c>
      <c r="C27" s="41">
        <f t="array" ref="C27:D27">pS*(1+tauTS)</f>
        <v>1015.9116825427475</v>
      </c>
      <c r="D27" s="42">
        <v>1005.7716594496609</v>
      </c>
      <c r="J27" s="96"/>
      <c r="N27" s="73">
        <v>0</v>
      </c>
      <c r="O27" s="74">
        <v>0</v>
      </c>
    </row>
    <row r="28" spans="2:21" ht="10.5" x14ac:dyDescent="0.25">
      <c r="B28" t="s">
        <v>15</v>
      </c>
      <c r="C28" s="41">
        <f t="array" ref="C28:D28">pS*(1+tauTS)</f>
        <v>1015.9116825427475</v>
      </c>
      <c r="D28" s="42">
        <v>1005.7716594496609</v>
      </c>
      <c r="J28" s="96"/>
      <c r="N28" s="73">
        <v>0</v>
      </c>
      <c r="O28" s="74">
        <v>0</v>
      </c>
    </row>
    <row r="29" spans="2:21" ht="10.5" x14ac:dyDescent="0.25">
      <c r="B29" t="s">
        <v>29</v>
      </c>
      <c r="C29" s="41">
        <f t="array" ref="C29:D29">pS*(1+tauTS)</f>
        <v>1015.9116825427475</v>
      </c>
      <c r="D29" s="42">
        <v>1005.7716594496609</v>
      </c>
      <c r="J29" s="96"/>
      <c r="N29" s="73">
        <v>0</v>
      </c>
      <c r="O29" s="74">
        <v>0</v>
      </c>
    </row>
    <row r="30" spans="2:21" ht="10.5" x14ac:dyDescent="0.25">
      <c r="B30" t="s">
        <v>16</v>
      </c>
      <c r="C30" s="41">
        <f t="array" ref="C30:D30">pW</f>
        <v>1000</v>
      </c>
      <c r="D30" s="42">
        <v>1000</v>
      </c>
      <c r="J30" s="96"/>
      <c r="N30" s="73">
        <v>0</v>
      </c>
      <c r="O30" s="74">
        <v>0</v>
      </c>
    </row>
    <row r="31" spans="2:21" x14ac:dyDescent="0.2">
      <c r="B31" t="s">
        <v>17</v>
      </c>
      <c r="C31" s="97">
        <f>ABS(C82)</f>
        <v>1000</v>
      </c>
      <c r="D31" s="174">
        <f>wQ</f>
        <v>1000</v>
      </c>
      <c r="N31" s="73">
        <v>0</v>
      </c>
      <c r="O31" s="74">
        <v>0</v>
      </c>
    </row>
    <row r="32" spans="2:21" x14ac:dyDescent="0.2">
      <c r="B32" t="s">
        <v>36</v>
      </c>
      <c r="C32" s="41">
        <f t="array" ref="C32:D32">w*(1+tauL)</f>
        <v>1457.0034251455234</v>
      </c>
      <c r="D32" s="42">
        <v>1457.0034251455236</v>
      </c>
      <c r="N32" s="73">
        <v>0</v>
      </c>
      <c r="O32" s="74">
        <v>0</v>
      </c>
      <c r="Q32" s="120">
        <f t="array" ref="Q32:R32">bKL*(Labour/KL)^(rhoKL-1)*pKL/pL-1</f>
        <v>5.773159728050814E-15</v>
      </c>
      <c r="R32" s="120">
        <v>0</v>
      </c>
      <c r="S32" t="s">
        <v>135</v>
      </c>
    </row>
    <row r="33" spans="2:19" x14ac:dyDescent="0.2">
      <c r="B33" t="s">
        <v>18</v>
      </c>
      <c r="C33" s="154">
        <f>ABS(C83)</f>
        <v>1000</v>
      </c>
      <c r="D33" s="175">
        <f>C33</f>
        <v>1000</v>
      </c>
      <c r="E33" t="s">
        <v>56</v>
      </c>
      <c r="N33" s="73">
        <v>0</v>
      </c>
      <c r="O33" s="74">
        <v>0</v>
      </c>
      <c r="Q33" s="120">
        <f t="array" ref="Q33:R33">aKL*(K/KL)^(rhoKL-1)*pKL/pK-1</f>
        <v>-1.5099033134902129E-14</v>
      </c>
      <c r="R33" s="120">
        <v>-4.8849813083506888E-15</v>
      </c>
      <c r="S33" t="s">
        <v>135</v>
      </c>
    </row>
    <row r="34" spans="2:19" ht="10.5" x14ac:dyDescent="0.25">
      <c r="B34" t="s">
        <v>61</v>
      </c>
      <c r="C34" s="97">
        <f t="array" ref="C34:D34">ABS(C84:D84)</f>
        <v>1000</v>
      </c>
      <c r="D34" s="98">
        <v>1000</v>
      </c>
      <c r="J34" s="113" t="s">
        <v>134</v>
      </c>
      <c r="K34" s="120">
        <f t="array" ref="K34:L34">pKL*KL/(pK*K+pL*Labour)-1</f>
        <v>-1.1102230246251565E-15</v>
      </c>
      <c r="L34" s="120">
        <v>0</v>
      </c>
      <c r="N34" s="73">
        <v>0</v>
      </c>
      <c r="O34" s="74">
        <v>0</v>
      </c>
      <c r="Q34" s="120">
        <f t="array" ref="Q34:R34">(aKL^sigmaKL*pK^(1-sigmaKL)+bKL^sigmaKL*pL^(1-sigmaKL))^((rhoKL-1)/rhoKL)-pKL</f>
        <v>0</v>
      </c>
      <c r="R34" s="120">
        <v>0</v>
      </c>
      <c r="S34" t="s">
        <v>135</v>
      </c>
    </row>
    <row r="35" spans="2:19" x14ac:dyDescent="0.2">
      <c r="B35" t="s">
        <v>62</v>
      </c>
      <c r="C35" s="35">
        <f t="array" ref="C35:D35">(aKLE^sigmaKLE*pKL^(1-sigmaKLE)+bKLE^sigmaKLE*pEY^(1-sigmaKLE))^(1/(1-sigmaKLE))</f>
        <v>1000.0000000000002</v>
      </c>
      <c r="D35" s="36">
        <v>999.99999999999977</v>
      </c>
      <c r="N35" s="75">
        <v>0</v>
      </c>
      <c r="O35" s="76">
        <v>0</v>
      </c>
      <c r="Q35" s="120">
        <f t="array" ref="Q35:R35">(pKL*KL+pEY*alphaEY*Y)/KLE-pKLE</f>
        <v>0</v>
      </c>
      <c r="R35" s="120">
        <v>0</v>
      </c>
    </row>
    <row r="37" spans="2:19" ht="10.5" x14ac:dyDescent="0.25">
      <c r="B37" t="s">
        <v>19</v>
      </c>
      <c r="C37" s="84">
        <f t="array" ref="C37:D37">ABS(C89:D89)</f>
        <v>27857.010133999996</v>
      </c>
      <c r="D37" s="85">
        <v>1236.7674480000003</v>
      </c>
      <c r="H37" s="63">
        <f t="array" ref="H37:I37">(aX*D^rhoX+bX*X^rhoX)^(1/rhoX)</f>
        <v>27857.010134000197</v>
      </c>
      <c r="I37" s="64">
        <v>1236.7674480000003</v>
      </c>
      <c r="J37" s="113" t="s">
        <v>120</v>
      </c>
      <c r="K37" s="120">
        <f t="array" ref="K37:L37">H37:I37/Y-1</f>
        <v>7.1054273576010019E-15</v>
      </c>
      <c r="L37" s="120">
        <v>0</v>
      </c>
      <c r="N37" s="71">
        <f t="array" ref="N37:O48">VOLUMES/Calibration!VOLUMES-1</f>
        <v>0</v>
      </c>
      <c r="O37" s="72">
        <v>0</v>
      </c>
      <c r="Q37" s="120">
        <f t="array" ref="Q37:R37">(aY*KLE^rhoY+bY*(alphaMY*Y)^rhoY)^(1/rhoY)-Y</f>
        <v>9.822542779147625E-11</v>
      </c>
      <c r="R37" s="120">
        <v>-2.2737367544323206E-12</v>
      </c>
    </row>
    <row r="38" spans="2:19" x14ac:dyDescent="0.2">
      <c r="B38" t="s">
        <v>3</v>
      </c>
      <c r="C38" s="41">
        <f t="array" ref="C38:D38">(bS/pW)^sigmaS*(aS^sigmaS*pD^(1-sigmaS)+bS^sigmaS*pW^(1-sigmaS))^(-1/rhoS)*S</f>
        <v>1886.3937400000138</v>
      </c>
      <c r="D38" s="42">
        <v>262.7871129999973</v>
      </c>
      <c r="N38" s="73">
        <v>9.1038288019262836E-15</v>
      </c>
      <c r="O38" s="74">
        <v>-1.5543122344752192E-15</v>
      </c>
      <c r="Q38" s="120">
        <f t="array" ref="Q38:R38">pD*D+pW*M-pS*S</f>
        <v>2.5704503059387207E-7</v>
      </c>
      <c r="R38" s="120">
        <v>0</v>
      </c>
    </row>
    <row r="39" spans="2:19" ht="10.5" x14ac:dyDescent="0.25">
      <c r="B39" t="s">
        <v>127</v>
      </c>
      <c r="C39" s="82">
        <f t="array" ref="C39:D39">ABS(C85:D85)</f>
        <v>26548.356269999993</v>
      </c>
      <c r="D39" s="83">
        <v>1408.5418709999938</v>
      </c>
      <c r="E39" t="s">
        <v>122</v>
      </c>
      <c r="H39" s="63">
        <f t="array" ref="H39:I39">MMULT(Y,TRANSPOSE(alpha))+Consumption+G+I</f>
        <v>26548.356270000026</v>
      </c>
      <c r="I39" s="64">
        <v>1408.5418709999956</v>
      </c>
      <c r="J39" s="113" t="s">
        <v>72</v>
      </c>
      <c r="K39" s="120">
        <f t="array" ref="K39:L39">H39:I39/S-1</f>
        <v>0</v>
      </c>
      <c r="L39" s="120">
        <v>0</v>
      </c>
      <c r="N39" s="73">
        <v>0</v>
      </c>
      <c r="O39" s="74">
        <v>0</v>
      </c>
    </row>
    <row r="40" spans="2:19" x14ac:dyDescent="0.2">
      <c r="B40" t="s">
        <v>76</v>
      </c>
      <c r="C40" s="41">
        <f t="array" ref="C40:D40">(aS/pD)^sigmaS*(aS^sigmaS*pD^(1-sigmaS)+bS^sigmaS*pW^(1-sigmaS))^(-1/rhoS)*S</f>
        <v>24661.962530000252</v>
      </c>
      <c r="D40" s="42">
        <v>1145.7547579999959</v>
      </c>
      <c r="F40" s="166"/>
      <c r="N40" s="75">
        <v>1.0436096431476471E-14</v>
      </c>
      <c r="O40" s="76">
        <v>0</v>
      </c>
    </row>
    <row r="41" spans="2:19" ht="10.5" x14ac:dyDescent="0.25">
      <c r="B41" t="s">
        <v>28</v>
      </c>
      <c r="C41" s="41">
        <f>(aU/pCQ)^sigmaU/(aU^sigmaU*pCQ^(1-sigmaU)+bU^sigmaU*pCE^(1-sigmaU))*Revenue</f>
        <v>6533.6044688320853</v>
      </c>
      <c r="D41" s="42">
        <f>(bU/pCE)^sigmaU/(aU^sigmaU*pCQ^(1-sigmaU)+bU^sigmaU*pCE^(1-sigmaU))*Revenue</f>
        <v>379.90788307663502</v>
      </c>
      <c r="E41" t="s">
        <v>57</v>
      </c>
      <c r="H41" s="62" t="s">
        <v>67</v>
      </c>
      <c r="I41" s="94">
        <v>0.75000000000000011</v>
      </c>
      <c r="J41" s="113" t="s">
        <v>73</v>
      </c>
      <c r="K41" s="120">
        <f>Model!SE/(1-I41)/Calibration!SE-1</f>
        <v>3.0000000000000018</v>
      </c>
      <c r="N41" s="73">
        <v>2.4424906541753444E-15</v>
      </c>
      <c r="O41" s="74">
        <v>2.4424906541753444E-15</v>
      </c>
    </row>
    <row r="42" spans="2:19" x14ac:dyDescent="0.2">
      <c r="B42" t="s">
        <v>7</v>
      </c>
      <c r="C42" s="116">
        <f t="array" ref="C42">omegaG*GDP/pG</f>
        <v>3278.5018080150408</v>
      </c>
      <c r="D42" s="8">
        <v>0</v>
      </c>
      <c r="N42" s="73">
        <v>0</v>
      </c>
      <c r="O42" s="74" t="e">
        <v>#DIV/0!</v>
      </c>
    </row>
    <row r="43" spans="2:19" x14ac:dyDescent="0.2">
      <c r="B43" t="s">
        <v>8</v>
      </c>
      <c r="C43" s="97">
        <f>ABS(C86)</f>
        <v>3196.3846373657216</v>
      </c>
      <c r="D43" s="8">
        <v>0</v>
      </c>
      <c r="J43" s="62"/>
      <c r="N43" s="73">
        <v>0</v>
      </c>
      <c r="O43" s="74" t="e">
        <v>#DIV/0!</v>
      </c>
    </row>
    <row r="44" spans="2:19" x14ac:dyDescent="0.2">
      <c r="B44" t="s">
        <v>0</v>
      </c>
      <c r="C44" s="168">
        <f t="array" ref="C44:D44">(bX/pX)^sigmaX*(aX^sigmaX*pD^(1-sigmaX)+bX^sigmaX*pX^(1-sigmaX))^(-1/rhoX)*Y</f>
        <v>3195.0476040000012</v>
      </c>
      <c r="D44" s="169">
        <v>91.012690000004397</v>
      </c>
      <c r="N44" s="73">
        <v>0</v>
      </c>
      <c r="O44" s="74">
        <v>3.5527136788005009E-15</v>
      </c>
    </row>
    <row r="45" spans="2:19" x14ac:dyDescent="0.2">
      <c r="B45" t="s">
        <v>27</v>
      </c>
      <c r="C45" s="84">
        <f t="array" ref="C45:D45">ABS(C88:D88)</f>
        <v>5036.2953101960647</v>
      </c>
      <c r="D45" s="85">
        <v>74.905331803938267</v>
      </c>
      <c r="H45" s="29"/>
      <c r="N45" s="73">
        <v>0</v>
      </c>
      <c r="O45" s="74">
        <v>0</v>
      </c>
      <c r="Q45" s="120">
        <f t="array" ref="Q45:R45">(bKL/pL)^sigmaKL*(aKL^sigmaKL*pK^(1-sigmaKL)+bKL^sigmaKL*pL^(1-sigmaKL))^(-1/rhoKL)*KL/Labour-1</f>
        <v>1.7763568394002505E-15</v>
      </c>
      <c r="R45" s="120">
        <v>0</v>
      </c>
      <c r="S45" t="s">
        <v>135</v>
      </c>
    </row>
    <row r="46" spans="2:19" x14ac:dyDescent="0.2">
      <c r="B46" t="s">
        <v>2</v>
      </c>
      <c r="C46" s="35">
        <f t="array" ref="C46:D46">(KL^rhoKL/aKL-bKL*Labour^rhoKL/aKL)^(1/rhoKL)</f>
        <v>6425.1981590000414</v>
      </c>
      <c r="D46" s="36">
        <v>273.22915400000028</v>
      </c>
      <c r="N46" s="73">
        <v>6.2172489379008766E-15</v>
      </c>
      <c r="O46" s="74">
        <v>0</v>
      </c>
      <c r="Q46" s="120">
        <f t="array" ref="Q46:R46">(aKL/pK)^sigmaKL*(aKL^sigmaKL*pK^(1-sigmaKL)+bKL^sigmaKL*pL^(1-sigmaKL))^(-1/rhoKL)*KL/K-1</f>
        <v>-4.6629367034256575E-15</v>
      </c>
      <c r="R46" s="120">
        <v>0</v>
      </c>
      <c r="S46" t="s">
        <v>135</v>
      </c>
    </row>
    <row r="47" spans="2:19" x14ac:dyDescent="0.2">
      <c r="B47" t="s">
        <v>35</v>
      </c>
      <c r="C47" s="41">
        <f t="array" ref="C47:D47">(aKLE/pKL)^sigmaKLE*(aKLE^sigmaKLE*pKL^(1-sigmaKLE)+bKLE^sigmaKLE*pEY^(1-sigmaKLE))^(-1/rhoKLE)*KLE</f>
        <v>13763.097676000029</v>
      </c>
      <c r="D47" s="42">
        <v>382.36647899999997</v>
      </c>
      <c r="N47" s="73">
        <v>1.7763568394002505E-15</v>
      </c>
      <c r="O47" s="74">
        <v>0</v>
      </c>
      <c r="Q47" s="120">
        <f t="array" ref="Q47:R47">(aKL*K^rhoKL+bKL*Labour^rhoKL)^(1/rhoKL)-KL</f>
        <v>3.2741809263825417E-11</v>
      </c>
      <c r="R47" s="120">
        <v>0</v>
      </c>
    </row>
    <row r="48" spans="2:19" x14ac:dyDescent="0.2">
      <c r="B48" t="s">
        <v>53</v>
      </c>
      <c r="C48" s="35">
        <f t="array" ref="C48:D48">(aY/pKLE)^sigmaY*(aY^sigmaY*pKLE^(1-sigmaY)+bY^sigmaY*pMY^(1-sigmaY))^(-1/rhoY)*Y</f>
        <v>14362.768558000025</v>
      </c>
      <c r="D48" s="36">
        <v>817.26650999999993</v>
      </c>
      <c r="N48" s="75">
        <v>0</v>
      </c>
      <c r="O48" s="76">
        <v>0</v>
      </c>
      <c r="Q48" s="120">
        <f t="array" ref="Q48:R48">(aKLE*KL^rhoKLE+bKLE*(alphaEY*Y)^rhoKLE)^(1/rhoKLE)-KLE</f>
        <v>0</v>
      </c>
      <c r="R48" s="120">
        <v>0</v>
      </c>
    </row>
    <row r="50" spans="2:38" x14ac:dyDescent="0.2">
      <c r="B50" t="s">
        <v>26</v>
      </c>
      <c r="C50" s="91">
        <f t="array" ref="C50:D50">Calibration!tauL</f>
        <v>0.45700342514552333</v>
      </c>
      <c r="D50" s="92">
        <v>0.4570034251455235</v>
      </c>
    </row>
    <row r="51" spans="2:38" x14ac:dyDescent="0.2">
      <c r="B51" t="s">
        <v>20</v>
      </c>
      <c r="C51" s="234">
        <f t="array" ref="C51:D51">Calibration!tauY</f>
        <v>4.9682236719384319E-3</v>
      </c>
      <c r="D51" s="235">
        <v>1.7038360552061892E-2</v>
      </c>
    </row>
    <row r="52" spans="2:38" x14ac:dyDescent="0.2">
      <c r="B52" t="s">
        <v>152</v>
      </c>
      <c r="C52" s="93">
        <f>Calibration!C52</f>
        <v>1.5911682542747503E-2</v>
      </c>
      <c r="D52" s="225">
        <f>D86</f>
        <v>5.7716594496607888E-3</v>
      </c>
      <c r="J52" s="29"/>
      <c r="AA52" s="81"/>
    </row>
    <row r="53" spans="2:38" x14ac:dyDescent="0.2">
      <c r="C53" s="29"/>
      <c r="D53" s="29"/>
      <c r="Y53" s="81"/>
      <c r="AA53" s="81"/>
      <c r="AC53" s="81"/>
    </row>
    <row r="54" spans="2:38" ht="10.5" x14ac:dyDescent="0.25">
      <c r="C54" s="29"/>
      <c r="D54" s="29"/>
      <c r="K54" s="194" t="s">
        <v>144</v>
      </c>
      <c r="U54" s="136" t="s">
        <v>89</v>
      </c>
      <c r="W54" s="136" t="s">
        <v>90</v>
      </c>
      <c r="Y54" s="136" t="s">
        <v>163</v>
      </c>
      <c r="AA54" s="194" t="s">
        <v>144</v>
      </c>
      <c r="AC54" s="194" t="s">
        <v>162</v>
      </c>
      <c r="AE54" s="194" t="s">
        <v>146</v>
      </c>
      <c r="AG54" s="194" t="s">
        <v>158</v>
      </c>
      <c r="AI54" s="194" t="s">
        <v>157</v>
      </c>
      <c r="AK54" s="194" t="s">
        <v>148</v>
      </c>
    </row>
    <row r="55" spans="2:38" ht="10.5" x14ac:dyDescent="0.25">
      <c r="B55" t="s">
        <v>48</v>
      </c>
      <c r="C55" s="119">
        <f t="array" ref="C55">SUM(w*tauL*Labour+tauY/(1+tauY)*pY*Y+tauTS*pS*S)</f>
        <v>2924829.9599999995</v>
      </c>
      <c r="J55" s="113" t="s">
        <v>71</v>
      </c>
      <c r="K55" s="120">
        <f>SUM(K)/SUM(Calibration!K)-1</f>
        <v>5.9952043329758453E-15</v>
      </c>
      <c r="N55" s="77">
        <f t="array" ref="N55:N59">AGGREGATES/Calibration!AGGREGATES-1</f>
        <v>0</v>
      </c>
      <c r="T55" s="113" t="s">
        <v>137</v>
      </c>
      <c r="U55" s="120">
        <f>SUM(K)/SUM(Calibration!K)-1</f>
        <v>5.9952043329758453E-15</v>
      </c>
      <c r="W55" s="120">
        <f>SUM(K)/SUM(Calibration!K)-1</f>
        <v>5.9952043329758453E-15</v>
      </c>
      <c r="Y55" s="120">
        <f>SUM(K)/SUM(Calibration!K)-1</f>
        <v>5.9952043329758453E-15</v>
      </c>
      <c r="AA55" s="120">
        <f>SUM(K)/SUM(Calibration!K)-1</f>
        <v>5.9952043329758453E-15</v>
      </c>
      <c r="AC55" s="120">
        <f>SUM(K)/SUM(Calibration!K)-1</f>
        <v>5.9952043329758453E-15</v>
      </c>
      <c r="AE55" s="120">
        <f>SUM(K)/SUM(Calibration!K)-1</f>
        <v>5.9952043329758453E-15</v>
      </c>
      <c r="AG55" s="120">
        <f t="array" ref="AG55">pK/pI/Calibration!pK*Calibration!pI*20%^sigmaw*(20%+80%*(SUM(Calibration!K)-SUM(K))/SUM(Calibration!K))^-sigmaw-1</f>
        <v>-2.2204460492503131E-15</v>
      </c>
      <c r="AI55" s="120">
        <f t="array" ref="AI55">pK/pI/Calibration!pK*Calibration!pI-1</f>
        <v>0</v>
      </c>
      <c r="AK55" s="120">
        <f>SUM(K)/SUM(Calibration!K)-1</f>
        <v>5.9952043329758453E-15</v>
      </c>
    </row>
    <row r="56" spans="2:38" ht="10.5" x14ac:dyDescent="0.25">
      <c r="B56" t="s">
        <v>47</v>
      </c>
      <c r="C56" s="80">
        <f>(aU*CQ^rhoU+bU*CE^rhoU)^(1/rhoU)</f>
        <v>1.0000000000000027</v>
      </c>
      <c r="J56" s="113" t="s">
        <v>74</v>
      </c>
      <c r="K56" s="120">
        <f t="array" ref="K56">omegaI*GDP/SUM(pI*I)-1</f>
        <v>0</v>
      </c>
      <c r="N56" s="78">
        <v>2.6645352591003757E-15</v>
      </c>
      <c r="T56" s="113" t="s">
        <v>138</v>
      </c>
      <c r="U56" s="120">
        <f>SUM(Labour)/SUM(Calibration!Labour)-1</f>
        <v>0</v>
      </c>
      <c r="W56" s="120">
        <f>SUM(Labour)/SUM(Calibration!Labour)-1</f>
        <v>0</v>
      </c>
      <c r="Y56" s="120">
        <f>SUM(Labour)/SUM(Calibration!Labour)-1</f>
        <v>0</v>
      </c>
      <c r="AA56" s="120">
        <f t="array" ref="AA56">omegaI*GDP/SUM(pI*I)-1</f>
        <v>0</v>
      </c>
      <c r="AC56" s="120">
        <f t="array" ref="AC56">w/CPI/Calibration!w-1</f>
        <v>0</v>
      </c>
      <c r="AE56" s="120">
        <f t="array" ref="AE56">w/CPI/Calibration!w-1</f>
        <v>0</v>
      </c>
      <c r="AG56" s="120">
        <f t="array" ref="AG56">w/CPI/Calibration!w*10.8%^sigmaw*(10.8%+89.2%*(SUM(Calibration!Labour)-SUM(Labour))/SUM(Calibration!Labour))^-sigmaw-1</f>
        <v>0</v>
      </c>
      <c r="AI56" s="120">
        <f t="array" ref="AI56">w/CPI/Calibration!w*10.8%^sigmaw*(10.8%+89.2%*(SUM(Calibration!Labour)-SUM(Labour))/SUM(Calibration!Labour))^-sigmaw-1</f>
        <v>0</v>
      </c>
      <c r="AK56" s="120">
        <f t="array" ref="AK56">w/CPI/Calibration!w-1</f>
        <v>0</v>
      </c>
    </row>
    <row r="57" spans="2:38" ht="10.5" x14ac:dyDescent="0.25">
      <c r="B57" t="s">
        <v>64</v>
      </c>
      <c r="C57" s="86">
        <f>ABS(C87)</f>
        <v>14734457.915000005</v>
      </c>
      <c r="J57" s="113" t="s">
        <v>88</v>
      </c>
      <c r="K57" s="120">
        <f>B/GDP/Calibration!B*Calibration!GDP-1</f>
        <v>-1.2878587085651816E-14</v>
      </c>
      <c r="N57" s="78">
        <v>0</v>
      </c>
      <c r="Q57" s="120">
        <f t="array" ref="Q57">(SUM(pC*Consumption+pG*G+pI*I)+B)/GDP-1</f>
        <v>0</v>
      </c>
      <c r="R57" s="120">
        <f t="array" ref="R57">SUM(w*Labour,pK*K,T)/GDP-1</f>
        <v>2.6645352591003757E-15</v>
      </c>
      <c r="T57" s="113" t="s">
        <v>139</v>
      </c>
      <c r="U57" s="120">
        <f>B/GDP/Calibration!B*Calibration!GDP-1</f>
        <v>-1.2878587085651816E-14</v>
      </c>
      <c r="W57" s="120">
        <f>B/GDP/Calibration!B*Calibration!GDP-1</f>
        <v>-1.2878587085651816E-14</v>
      </c>
      <c r="Y57" s="120">
        <f>B/GDP/Calibration!B*Calibration!GDP-1</f>
        <v>-1.2878587085651816E-14</v>
      </c>
      <c r="AA57" s="120">
        <f>B/GDP/Calibration!B*Calibration!GDP-1</f>
        <v>-1.2878587085651816E-14</v>
      </c>
      <c r="AC57" s="120">
        <f>B/GDP/Calibration!B*Calibration!GDP-1</f>
        <v>-1.2878587085651816E-14</v>
      </c>
      <c r="AE57" s="120">
        <f>B/GDP/Calibration!B*Calibration!GDP-1</f>
        <v>-1.2878587085651816E-14</v>
      </c>
      <c r="AG57" s="120">
        <f>B/GDP/Calibration!B*Calibration!GDP-1</f>
        <v>-1.2878587085651816E-14</v>
      </c>
      <c r="AI57" s="120">
        <f t="array" ref="AI57">I/SUM(K)/Calibration!I*SUM(K)-1</f>
        <v>0</v>
      </c>
      <c r="AK57" s="120">
        <f>B/GDP/Calibration!B*Calibration!GDP-1</f>
        <v>-1.2878587085651816E-14</v>
      </c>
    </row>
    <row r="58" spans="2:38" ht="10.5" x14ac:dyDescent="0.25">
      <c r="B58" t="s">
        <v>54</v>
      </c>
      <c r="C58" s="117">
        <f t="array" ref="C58">GDP-SUM(pG*G,pI*I,B)</f>
        <v>7019665.6910000108</v>
      </c>
      <c r="J58" s="113" t="s">
        <v>136</v>
      </c>
      <c r="K58" s="120">
        <f t="array" ref="K58:L58">bKL*(KL/Labour)^(1/sigmaKL)*pKL/pL-1</f>
        <v>5.773159728050814E-15</v>
      </c>
      <c r="L58" s="120">
        <v>0</v>
      </c>
      <c r="N58" s="78">
        <v>1.9984014443252818E-15</v>
      </c>
      <c r="Q58" s="120">
        <f t="array" ref="Q58">SUM(pC*Consumption)-Revenue</f>
        <v>0</v>
      </c>
      <c r="T58" s="113" t="s">
        <v>140</v>
      </c>
      <c r="U58" s="120">
        <f t="array" ref="U58:V58">bKL*(KL/Labour)^(1/sigmaKL)*pKL/pL-1</f>
        <v>5.773159728050814E-15</v>
      </c>
      <c r="V58" s="120">
        <v>0</v>
      </c>
      <c r="W58" s="120">
        <f t="array" ref="W58:X58">bKL*(KL/Labour)^(1/sigmaKL)*pKL/pL-1</f>
        <v>5.773159728050814E-15</v>
      </c>
      <c r="X58" s="120">
        <v>0</v>
      </c>
      <c r="Y58" s="120">
        <f t="array" ref="Y58">omegaI*GDP/SUM(pI*I)-1</f>
        <v>0</v>
      </c>
      <c r="Z58" s="120">
        <f>Labour_Q/KL_Q/Calibration!Labour_Q*Calibration!KL_Q-Labour_E/KL_E/Calibration!Labour_E*Calibration!KL_E</f>
        <v>-1.8873791418627661E-15</v>
      </c>
      <c r="AA58" s="120">
        <f t="array" ref="AA58:AB58">bKL*(KL/Labour)^(1/sigmaKL)*pKL/pL-1</f>
        <v>5.773159728050814E-15</v>
      </c>
      <c r="AB58" s="120">
        <v>0</v>
      </c>
      <c r="AC58" s="120">
        <f t="array" ref="AC58">omegaI*GDP/SUM(pI*I)-1</f>
        <v>0</v>
      </c>
      <c r="AD58" s="120">
        <f>Labour_Q/KL_Q/Calibration!Labour_Q*Calibration!KL_Q-Labour_E/KL_E/Calibration!Labour_E*Calibration!KL_E</f>
        <v>-1.8873791418627661E-15</v>
      </c>
      <c r="AE58" s="120">
        <f t="array" ref="AE58">omegaI*GDP/SUM(pI*I)-1</f>
        <v>0</v>
      </c>
      <c r="AF58" s="120">
        <f>Labour_Q/KL_Q/Calibration!Labour_Q*Calibration!KL_Q-Labour_E/KL_E/Calibration!Labour_E*Calibration!KL_E</f>
        <v>-1.8873791418627661E-15</v>
      </c>
      <c r="AG58" s="120">
        <f t="array" ref="AG58:AH58">bKL*(KL/Labour)^(1/sigmaKL)*pKL/pL-1</f>
        <v>5.773159728050814E-15</v>
      </c>
      <c r="AH58" s="120">
        <v>0</v>
      </c>
      <c r="AI58" s="120">
        <f t="array" ref="AI58:AJ58">bKL*(KL/Labour)^(1/sigmaKL)*pKL/pL-1</f>
        <v>5.773159728050814E-15</v>
      </c>
      <c r="AJ58" s="120">
        <v>0</v>
      </c>
      <c r="AK58" s="120">
        <f t="array" ref="AK58">(pI*I)/(Calibration!pI*Calibration!I)-1</f>
        <v>0</v>
      </c>
      <c r="AL58" s="120">
        <f>Labour_Q/KL_Q/Calibration!Labour_Q*Calibration!KL_Q-Labour_E/KL_E/Calibration!Labour_E*Calibration!KL_E</f>
        <v>-1.8873791418627661E-15</v>
      </c>
    </row>
    <row r="59" spans="2:38" ht="10.5" x14ac:dyDescent="0.25">
      <c r="B59" t="s">
        <v>75</v>
      </c>
      <c r="C59" s="117">
        <f t="array" ref="C59">SUM(pX*X - pW*M)</f>
        <v>1136879.4409999943</v>
      </c>
      <c r="J59" s="113" t="s">
        <v>70</v>
      </c>
      <c r="K59" s="120">
        <f t="array" ref="K59">(sL*(SUM(w*Labour))+sG*(T-SUM(pG*G))+sK*SUM(pK*K)-B)/SUM(pI*I)-1</f>
        <v>9.5479180117763462E-15</v>
      </c>
      <c r="N59" s="79">
        <v>-1.2878587085651816E-14</v>
      </c>
      <c r="T59" s="113" t="s">
        <v>141</v>
      </c>
      <c r="U59" s="120">
        <f t="array" ref="U59">(sL*(SUM(w*Labour))+sG*(T-SUM(pG*G))+sK*SUM(pK*K)-B)/SUM(pI*I)-1</f>
        <v>9.5479180117763462E-15</v>
      </c>
      <c r="W59" s="120">
        <f t="array" ref="W59">omegaI*GDP/SUM(pI*I)-1</f>
        <v>0</v>
      </c>
      <c r="Y59" s="120">
        <f t="array" ref="Y59">(sL*(SUM(w*Labour))+sG*(T-SUM(pG*G))+sK*SUM(pK*K)-B)/SUM(pI*I)-1</f>
        <v>9.5479180117763462E-15</v>
      </c>
      <c r="AA59" s="120">
        <f t="array" ref="AA59">(sL*(SUM(w*Labour))+sG*(T-SUM(pG*G))+sK*SUM(pK*K)-B)/SUM(pI*I)-1</f>
        <v>9.5479180117763462E-15</v>
      </c>
      <c r="AC59" s="120">
        <f t="array" ref="AC59">(sL*(SUM(w*Labour))+sG*(T-SUM(pG*G))+sK*SUM(pK*K)-B)/SUM(pI*I)-1</f>
        <v>9.5479180117763462E-15</v>
      </c>
      <c r="AE59" s="120">
        <f t="array" ref="AE59">(sL*(SUM(w*Labour))+sG*(T-SUM(pG*G))+sK*SUM(pK*K)-B)/SUM(pI*I)-1</f>
        <v>9.5479180117763462E-15</v>
      </c>
      <c r="AG59" s="120">
        <f t="array" ref="AG59">(sL*(SUM(w*Labour))+sG*(T-SUM(pG*G))+sK*SUM(pK*K)-B)/SUM(pI*I)-1</f>
        <v>9.5479180117763462E-15</v>
      </c>
      <c r="AI59" s="120">
        <f t="array" ref="AI59">(sL*(SUM(w*Labour))+sG*(T-SUM(pG*G))+sK*SUM(pK*K)-B)/SUM(pI*I)-1</f>
        <v>9.5479180117763462E-15</v>
      </c>
      <c r="AK59" s="120">
        <f t="array" ref="AK59">(sL*(SUM(w*Labour))+sG*(T-SUM(pG*G))+sK*SUM(pK*K)-B)/SUM(pI*I)-1</f>
        <v>9.5479180117763462E-15</v>
      </c>
    </row>
    <row r="60" spans="2:38" ht="10.5" x14ac:dyDescent="0.25">
      <c r="B60" t="s">
        <v>161</v>
      </c>
      <c r="C60" s="232">
        <f t="array" ref="C60">SQRT(SUM(pC*Calibration!Consumption)*SUM(pC*Consumption)/SUM(Calibration!pC*Calibration!Consumption)/SUM(Calibration!pC*Consumption))</f>
        <v>1</v>
      </c>
      <c r="J60" s="113" t="s">
        <v>91</v>
      </c>
      <c r="K60" s="176">
        <v>0.40093276768106162</v>
      </c>
      <c r="N60" s="134"/>
      <c r="T60" s="113" t="s">
        <v>91</v>
      </c>
      <c r="U60" s="176">
        <v>0.40093276768106162</v>
      </c>
      <c r="W60" s="176">
        <v>0.40093276768106162</v>
      </c>
      <c r="Y60" s="176">
        <v>0</v>
      </c>
      <c r="AA60" s="176">
        <v>0.40093276768106162</v>
      </c>
      <c r="AC60" s="176">
        <v>0.40093276768106162</v>
      </c>
      <c r="AE60" s="176">
        <v>0</v>
      </c>
      <c r="AG60" s="176">
        <v>0.40093276768106162</v>
      </c>
      <c r="AI60" s="176">
        <v>0.40093276768106162</v>
      </c>
      <c r="AK60" s="176">
        <v>0.40093276768106162</v>
      </c>
    </row>
    <row r="61" spans="2:38" ht="10.5" x14ac:dyDescent="0.25">
      <c r="C61" s="29"/>
      <c r="O61" s="96"/>
      <c r="P61" s="96"/>
      <c r="Q61" s="96"/>
      <c r="R61" s="96"/>
    </row>
    <row r="62" spans="2:38" x14ac:dyDescent="0.2">
      <c r="B62" t="s">
        <v>111</v>
      </c>
      <c r="C62" s="192">
        <f>Calibration!omegaG</f>
        <v>0.22604620456442484</v>
      </c>
      <c r="D62" t="s">
        <v>81</v>
      </c>
    </row>
    <row r="63" spans="2:38" x14ac:dyDescent="0.2">
      <c r="B63" t="s">
        <v>112</v>
      </c>
      <c r="C63" s="192">
        <f>Calibration!omegaI</f>
        <v>0.22038438833194082</v>
      </c>
      <c r="D63" t="s">
        <v>82</v>
      </c>
    </row>
    <row r="64" spans="2:38" x14ac:dyDescent="0.2">
      <c r="B64" t="s">
        <v>98</v>
      </c>
      <c r="C64" s="163">
        <f t="array" ref="C64">(SUM(pI*I)+B)/GDP</f>
        <v>0.29754226190682309</v>
      </c>
      <c r="D64" t="s">
        <v>113</v>
      </c>
    </row>
    <row r="65" spans="2:15" x14ac:dyDescent="0.2">
      <c r="B65" t="s">
        <v>84</v>
      </c>
      <c r="C65" s="192">
        <f>Calibration!sK</f>
        <v>0.40915789876687553</v>
      </c>
      <c r="D65" t="s">
        <v>114</v>
      </c>
    </row>
    <row r="66" spans="2:15" x14ac:dyDescent="0.2">
      <c r="B66" t="s">
        <v>85</v>
      </c>
      <c r="C66" s="192">
        <f>Calibration!sL</f>
        <v>0.40093276768106162</v>
      </c>
      <c r="D66" t="s">
        <v>115</v>
      </c>
    </row>
    <row r="67" spans="2:15" x14ac:dyDescent="0.2">
      <c r="B67" t="s">
        <v>123</v>
      </c>
      <c r="C67" s="192">
        <f>Calibration!sG</f>
        <v>1</v>
      </c>
      <c r="D67" t="s">
        <v>153</v>
      </c>
    </row>
    <row r="69" spans="2:15" x14ac:dyDescent="0.2">
      <c r="C69" s="137"/>
    </row>
    <row r="70" spans="2:15" x14ac:dyDescent="0.2">
      <c r="B70" t="s">
        <v>21</v>
      </c>
      <c r="C70" s="37">
        <f t="array" ref="C70:D70">(bY/pMY)^sigmaY*(aY^sigmaY*pKLE^(1-sigmaY)+bY^sigmaY*pMY^(1-sigmaY))^(-1/rhoY)</f>
        <v>0.47195767671988198</v>
      </c>
      <c r="D70" s="38">
        <v>0.31738834428178964</v>
      </c>
      <c r="E70" t="s">
        <v>24</v>
      </c>
      <c r="N70" s="71">
        <f t="array" ref="N70:O73">FACTORS/Calibration!FACTORS-1</f>
        <v>0</v>
      </c>
      <c r="O70" s="72">
        <v>0</v>
      </c>
    </row>
    <row r="71" spans="2:15" x14ac:dyDescent="0.2">
      <c r="C71" s="39">
        <f t="array" ref="C71:D71">(bKLE/pEY)^sigmaKLE*(aKLE^sigmaKLE*pKL^(1-sigmaKLE)+bKLE^sigmaKLE*pEY^(1-sigmaKLE))^(-1/rhoKLE)*KLE/Y</f>
        <v>2.1403217525954466E-2</v>
      </c>
      <c r="D71" s="40">
        <v>0.3496246130199252</v>
      </c>
      <c r="E71" t="s">
        <v>25</v>
      </c>
      <c r="N71" s="73">
        <v>0</v>
      </c>
      <c r="O71" s="74">
        <v>0</v>
      </c>
    </row>
    <row r="72" spans="2:15" x14ac:dyDescent="0.2">
      <c r="B72" t="s">
        <v>22</v>
      </c>
      <c r="C72" s="37">
        <f t="array" ref="C72:D72">Labour/Y</f>
        <v>0.18079094942242827</v>
      </c>
      <c r="D72" s="38">
        <v>6.0565413429233668E-2</v>
      </c>
      <c r="N72" s="73">
        <v>0</v>
      </c>
      <c r="O72" s="74">
        <v>0</v>
      </c>
    </row>
    <row r="73" spans="2:15" x14ac:dyDescent="0.2">
      <c r="B73" t="s">
        <v>23</v>
      </c>
      <c r="C73" s="39">
        <f t="array" ref="C73:D73">K/Y</f>
        <v>0.23064923795098771</v>
      </c>
      <c r="D73" s="40">
        <v>0.22092201281804777</v>
      </c>
      <c r="N73" s="75">
        <v>6.2172489379008766E-15</v>
      </c>
      <c r="O73" s="76">
        <v>0</v>
      </c>
    </row>
    <row r="79" spans="2:15" ht="10.5" x14ac:dyDescent="0.25">
      <c r="B79" s="96" t="s">
        <v>106</v>
      </c>
    </row>
    <row r="80" spans="2:15" x14ac:dyDescent="0.2">
      <c r="B80" t="s">
        <v>12</v>
      </c>
      <c r="C80" s="84">
        <v>1000</v>
      </c>
      <c r="D80" s="85">
        <v>1000</v>
      </c>
    </row>
    <row r="81" spans="2:5" x14ac:dyDescent="0.2">
      <c r="B81" t="s">
        <v>128</v>
      </c>
      <c r="C81" s="97">
        <v>1000</v>
      </c>
      <c r="D81" s="98">
        <v>1000</v>
      </c>
    </row>
    <row r="82" spans="2:5" x14ac:dyDescent="0.2">
      <c r="B82" t="s">
        <v>17</v>
      </c>
      <c r="C82" s="97">
        <v>1000</v>
      </c>
      <c r="D82" s="98">
        <v>1000</v>
      </c>
    </row>
    <row r="83" spans="2:5" x14ac:dyDescent="0.2">
      <c r="B83" t="s">
        <v>18</v>
      </c>
      <c r="C83" s="156">
        <v>1000</v>
      </c>
      <c r="D83" s="157">
        <v>1000</v>
      </c>
    </row>
    <row r="84" spans="2:5" x14ac:dyDescent="0.2">
      <c r="B84" t="s">
        <v>61</v>
      </c>
      <c r="C84" s="156">
        <v>1000</v>
      </c>
      <c r="D84" s="157">
        <v>1000</v>
      </c>
    </row>
    <row r="85" spans="2:5" x14ac:dyDescent="0.2">
      <c r="B85" t="s">
        <v>127</v>
      </c>
      <c r="C85" s="82">
        <v>26548.356269999993</v>
      </c>
      <c r="D85" s="83">
        <v>1408.5418709999938</v>
      </c>
    </row>
    <row r="86" spans="2:5" x14ac:dyDescent="0.2">
      <c r="B86" t="s">
        <v>8</v>
      </c>
      <c r="C86" s="97">
        <v>3196.3846373657216</v>
      </c>
      <c r="D86" s="224">
        <v>5.7716594496607888E-3</v>
      </c>
      <c r="E86" t="s">
        <v>164</v>
      </c>
    </row>
    <row r="87" spans="2:5" x14ac:dyDescent="0.2">
      <c r="B87" t="s">
        <v>64</v>
      </c>
      <c r="C87" s="159">
        <v>14734457.915000005</v>
      </c>
      <c r="D87" s="160">
        <v>0</v>
      </c>
    </row>
    <row r="88" spans="2:5" x14ac:dyDescent="0.2">
      <c r="B88" t="s">
        <v>27</v>
      </c>
      <c r="C88" s="159">
        <v>5036.2953101960647</v>
      </c>
      <c r="D88" s="167">
        <v>74.905331803938267</v>
      </c>
    </row>
    <row r="89" spans="2:5" x14ac:dyDescent="0.2">
      <c r="B89" t="s">
        <v>19</v>
      </c>
      <c r="C89" s="158">
        <v>27857.010133999996</v>
      </c>
      <c r="D89" s="161">
        <v>1236.7674480000003</v>
      </c>
    </row>
  </sheetData>
  <scenarios current="0">
    <scenario name="a" count="20" user="Louis Daumas" comment="Créé par Louis Daumas le 6/12/2025">
      <inputCells r="C80" val="984.580050867445" numFmtId="3"/>
      <inputCells r="D80" val="6824.37464639664" numFmtId="3"/>
      <inputCells r="C81" val="983.766706443904" numFmtId="3"/>
      <inputCells r="D81" val="1742.71602209647" numFmtId="3"/>
      <inputCells r="C82" val="1218.3198789661" numFmtId="3"/>
      <inputCells r="D82" val="1000" numFmtId="3"/>
      <inputCells r="C83" val="0" numFmtId="3"/>
      <inputCells r="D83" val="1000" numFmtId="3"/>
      <inputCells r="C84" val="641.595495995807" numFmtId="3"/>
      <inputCells r="D84" val="343.47753400999" numFmtId="3"/>
      <inputCells r="C85" val="21889.4175465808" numFmtId="3"/>
      <inputCells r="D85" val="128.875702335123" numFmtId="3"/>
      <inputCells r="C86" val="2882.27055256273" numFmtId="3"/>
      <inputCells r="D86" val="15.7737764692144" numFmtId="9"/>
      <inputCells r="C87" val="13070794.6999873" numFmtId="165"/>
      <inputCells r="D87" val="0"/>
      <inputCells r="C88" val="5111.16167662792" numFmtId="165"/>
      <inputCells r="D88" val="0.0389653720823747" numFmtId="165"/>
      <inputCells r="C89" val="23120.891876694" numFmtId="165"/>
      <inputCells r="D89" val="0.413192675063443" numFmtId="165"/>
    </scenario>
  </scenarios>
  <conditionalFormatting sqref="K21:L21">
    <cfRule type="cellIs" dxfId="87" priority="2036" stopIfTrue="1" operator="notEqual">
      <formula>0</formula>
    </cfRule>
  </conditionalFormatting>
  <conditionalFormatting sqref="Q48:R48">
    <cfRule type="cellIs" dxfId="86" priority="2025" stopIfTrue="1" operator="notEqual">
      <formula>0</formula>
    </cfRule>
  </conditionalFormatting>
  <conditionalFormatting sqref="K39:L39">
    <cfRule type="cellIs" dxfId="85" priority="2033" stopIfTrue="1" operator="notEqual">
      <formula>0</formula>
    </cfRule>
  </conditionalFormatting>
  <conditionalFormatting sqref="K41">
    <cfRule type="cellIs" dxfId="84" priority="2032" stopIfTrue="1" operator="notEqual">
      <formula>0</formula>
    </cfRule>
  </conditionalFormatting>
  <conditionalFormatting sqref="Q47:R47">
    <cfRule type="cellIs" dxfId="83" priority="2030" stopIfTrue="1" operator="notEqual">
      <formula>0</formula>
    </cfRule>
  </conditionalFormatting>
  <conditionalFormatting sqref="Q37:R37">
    <cfRule type="cellIs" dxfId="82" priority="2027" stopIfTrue="1" operator="notEqual">
      <formula>0</formula>
    </cfRule>
  </conditionalFormatting>
  <conditionalFormatting sqref="R57">
    <cfRule type="cellIs" dxfId="81" priority="2021" stopIfTrue="1" operator="notEqual">
      <formula>0</formula>
    </cfRule>
  </conditionalFormatting>
  <conditionalFormatting sqref="Q57:Q58">
    <cfRule type="cellIs" dxfId="80" priority="2023" stopIfTrue="1" operator="notEqual">
      <formula>0</formula>
    </cfRule>
  </conditionalFormatting>
  <conditionalFormatting sqref="W59">
    <cfRule type="cellIs" dxfId="79" priority="1968" stopIfTrue="1" operator="notEqual">
      <formula>0</formula>
    </cfRule>
  </conditionalFormatting>
  <conditionalFormatting sqref="K37:L37">
    <cfRule type="cellIs" dxfId="78" priority="1602" stopIfTrue="1" operator="notEqual">
      <formula>0</formula>
    </cfRule>
  </conditionalFormatting>
  <conditionalFormatting sqref="Q21:R21">
    <cfRule type="cellIs" dxfId="77" priority="1585" stopIfTrue="1" operator="notEqual">
      <formula>0</formula>
    </cfRule>
  </conditionalFormatting>
  <conditionalFormatting sqref="Q23:R23">
    <cfRule type="cellIs" dxfId="76" priority="1589" stopIfTrue="1" operator="notEqual">
      <formula>0</formula>
    </cfRule>
  </conditionalFormatting>
  <conditionalFormatting sqref="Q38:R38">
    <cfRule type="cellIs" dxfId="75" priority="1588" stopIfTrue="1" operator="notEqual">
      <formula>0</formula>
    </cfRule>
  </conditionalFormatting>
  <conditionalFormatting sqref="Q34:R34">
    <cfRule type="cellIs" dxfId="74" priority="1587" stopIfTrue="1" operator="notEqual">
      <formula>0</formula>
    </cfRule>
  </conditionalFormatting>
  <conditionalFormatting sqref="Q35:R35">
    <cfRule type="cellIs" dxfId="73" priority="1586" stopIfTrue="1" operator="notEqual">
      <formula>0</formula>
    </cfRule>
  </conditionalFormatting>
  <conditionalFormatting sqref="K23:L23">
    <cfRule type="cellIs" dxfId="72" priority="1584" stopIfTrue="1" operator="notEqual">
      <formula>0</formula>
    </cfRule>
  </conditionalFormatting>
  <conditionalFormatting sqref="K34:L34">
    <cfRule type="cellIs" dxfId="71" priority="1355" stopIfTrue="1" operator="notEqual">
      <formula>0</formula>
    </cfRule>
  </conditionalFormatting>
  <conditionalFormatting sqref="Q33:R33">
    <cfRule type="cellIs" dxfId="70" priority="1349" stopIfTrue="1" operator="notEqual">
      <formula>0</formula>
    </cfRule>
  </conditionalFormatting>
  <conditionalFormatting sqref="Q46:R46">
    <cfRule type="cellIs" dxfId="69" priority="1353" stopIfTrue="1" operator="notEqual">
      <formula>0</formula>
    </cfRule>
  </conditionalFormatting>
  <conditionalFormatting sqref="Q45:R45">
    <cfRule type="cellIs" dxfId="68" priority="1354" stopIfTrue="1" operator="notEqual">
      <formula>0</formula>
    </cfRule>
  </conditionalFormatting>
  <conditionalFormatting sqref="W58">
    <cfRule type="cellIs" dxfId="67" priority="1340" stopIfTrue="1" operator="notEqual">
      <formula>0</formula>
    </cfRule>
  </conditionalFormatting>
  <conditionalFormatting sqref="Q32:R32">
    <cfRule type="cellIs" dxfId="66" priority="1350" stopIfTrue="1" operator="notEqual">
      <formula>0</formula>
    </cfRule>
  </conditionalFormatting>
  <conditionalFormatting sqref="X58">
    <cfRule type="cellIs" dxfId="65" priority="1339" stopIfTrue="1" operator="notEqual">
      <formula>0</formula>
    </cfRule>
  </conditionalFormatting>
  <conditionalFormatting sqref="W55">
    <cfRule type="cellIs" dxfId="64" priority="1298" stopIfTrue="1" operator="notEqual">
      <formula>0</formula>
    </cfRule>
  </conditionalFormatting>
  <conditionalFormatting sqref="W56">
    <cfRule type="cellIs" dxfId="63" priority="1297" stopIfTrue="1" operator="notEqual">
      <formula>0</formula>
    </cfRule>
  </conditionalFormatting>
  <conditionalFormatting sqref="Y55">
    <cfRule type="cellIs" dxfId="62" priority="1295" stopIfTrue="1" operator="notEqual">
      <formula>0</formula>
    </cfRule>
  </conditionalFormatting>
  <conditionalFormatting sqref="Y56">
    <cfRule type="cellIs" dxfId="61" priority="1294" stopIfTrue="1" operator="notEqual">
      <formula>0</formula>
    </cfRule>
  </conditionalFormatting>
  <conditionalFormatting sqref="AA59">
    <cfRule type="cellIs" dxfId="60" priority="1291" stopIfTrue="1" operator="notEqual">
      <formula>0</formula>
    </cfRule>
  </conditionalFormatting>
  <conditionalFormatting sqref="AA55">
    <cfRule type="cellIs" dxfId="59" priority="1289" stopIfTrue="1" operator="notEqual">
      <formula>0</formula>
    </cfRule>
  </conditionalFormatting>
  <conditionalFormatting sqref="AA58">
    <cfRule type="cellIs" dxfId="58" priority="1285" stopIfTrue="1" operator="notEqual">
      <formula>0</formula>
    </cfRule>
  </conditionalFormatting>
  <conditionalFormatting sqref="AB58">
    <cfRule type="cellIs" dxfId="57" priority="1284" stopIfTrue="1" operator="notEqual">
      <formula>0</formula>
    </cfRule>
  </conditionalFormatting>
  <conditionalFormatting sqref="U58">
    <cfRule type="cellIs" dxfId="56" priority="1262" stopIfTrue="1" operator="notEqual">
      <formula>0</formula>
    </cfRule>
  </conditionalFormatting>
  <conditionalFormatting sqref="V58">
    <cfRule type="cellIs" dxfId="55" priority="1261" stopIfTrue="1" operator="notEqual">
      <formula>0</formula>
    </cfRule>
  </conditionalFormatting>
  <conditionalFormatting sqref="U57">
    <cfRule type="cellIs" dxfId="54" priority="1259" stopIfTrue="1" operator="notEqual">
      <formula>0</formula>
    </cfRule>
  </conditionalFormatting>
  <conditionalFormatting sqref="U55">
    <cfRule type="cellIs" dxfId="53" priority="1263" stopIfTrue="1" operator="notEqual">
      <formula>0</formula>
    </cfRule>
  </conditionalFormatting>
  <conditionalFormatting sqref="U56">
    <cfRule type="cellIs" dxfId="52" priority="1260" stopIfTrue="1" operator="notEqual">
      <formula>0</formula>
    </cfRule>
  </conditionalFormatting>
  <conditionalFormatting sqref="U59">
    <cfRule type="cellIs" dxfId="51" priority="1258" stopIfTrue="1" operator="notEqual">
      <formula>0</formula>
    </cfRule>
  </conditionalFormatting>
  <conditionalFormatting sqref="Z58">
    <cfRule type="cellIs" dxfId="50" priority="1236" stopIfTrue="1" operator="notEqual">
      <formula>0</formula>
    </cfRule>
  </conditionalFormatting>
  <conditionalFormatting sqref="AC59">
    <cfRule type="cellIs" dxfId="49" priority="1229" stopIfTrue="1" operator="notEqual">
      <formula>0</formula>
    </cfRule>
  </conditionalFormatting>
  <conditionalFormatting sqref="AC55">
    <cfRule type="cellIs" dxfId="48" priority="1228" stopIfTrue="1" operator="notEqual">
      <formula>0</formula>
    </cfRule>
  </conditionalFormatting>
  <conditionalFormatting sqref="AC56">
    <cfRule type="cellIs" dxfId="47" priority="1224" stopIfTrue="1" operator="notEqual">
      <formula>0</formula>
    </cfRule>
  </conditionalFormatting>
  <conditionalFormatting sqref="AD58">
    <cfRule type="cellIs" dxfId="46" priority="1222" stopIfTrue="1" operator="notEqual">
      <formula>0</formula>
    </cfRule>
  </conditionalFormatting>
  <conditionalFormatting sqref="AE59">
    <cfRule type="cellIs" dxfId="45" priority="1215" stopIfTrue="1" operator="notEqual">
      <formula>0</formula>
    </cfRule>
  </conditionalFormatting>
  <conditionalFormatting sqref="AE55">
    <cfRule type="cellIs" dxfId="44" priority="1214" stopIfTrue="1" operator="notEqual">
      <formula>0</formula>
    </cfRule>
  </conditionalFormatting>
  <conditionalFormatting sqref="AE56">
    <cfRule type="cellIs" dxfId="43" priority="1212" stopIfTrue="1" operator="notEqual">
      <formula>0</formula>
    </cfRule>
  </conditionalFormatting>
  <conditionalFormatting sqref="AF58">
    <cfRule type="cellIs" dxfId="42" priority="1210" stopIfTrue="1" operator="notEqual">
      <formula>0</formula>
    </cfRule>
  </conditionalFormatting>
  <conditionalFormatting sqref="AI59">
    <cfRule type="cellIs" dxfId="41" priority="1203" stopIfTrue="1" operator="notEqual">
      <formula>0</formula>
    </cfRule>
  </conditionalFormatting>
  <conditionalFormatting sqref="AI57">
    <cfRule type="cellIs" dxfId="40" priority="1201" stopIfTrue="1" operator="notEqual">
      <formula>0</formula>
    </cfRule>
  </conditionalFormatting>
  <conditionalFormatting sqref="AI55">
    <cfRule type="cellIs" dxfId="39" priority="1202" stopIfTrue="1" operator="notEqual">
      <formula>0</formula>
    </cfRule>
  </conditionalFormatting>
  <conditionalFormatting sqref="AI58">
    <cfRule type="cellIs" dxfId="38" priority="1197" stopIfTrue="1" operator="notEqual">
      <formula>0</formula>
    </cfRule>
  </conditionalFormatting>
  <conditionalFormatting sqref="AJ58">
    <cfRule type="cellIs" dxfId="37" priority="1196" stopIfTrue="1" operator="notEqual">
      <formula>0</formula>
    </cfRule>
  </conditionalFormatting>
  <conditionalFormatting sqref="W57">
    <cfRule type="cellIs" dxfId="36" priority="1098" stopIfTrue="1" operator="notEqual">
      <formula>0</formula>
    </cfRule>
  </conditionalFormatting>
  <conditionalFormatting sqref="Y57">
    <cfRule type="cellIs" dxfId="35" priority="1097" stopIfTrue="1" operator="notEqual">
      <formula>0</formula>
    </cfRule>
  </conditionalFormatting>
  <conditionalFormatting sqref="AA57">
    <cfRule type="cellIs" dxfId="34" priority="1096" stopIfTrue="1" operator="notEqual">
      <formula>0</formula>
    </cfRule>
  </conditionalFormatting>
  <conditionalFormatting sqref="AC57">
    <cfRule type="cellIs" dxfId="33" priority="1095" stopIfTrue="1" operator="notEqual">
      <formula>0</formula>
    </cfRule>
  </conditionalFormatting>
  <conditionalFormatting sqref="AE57">
    <cfRule type="cellIs" dxfId="32" priority="1094" stopIfTrue="1" operator="notEqual">
      <formula>0</formula>
    </cfRule>
  </conditionalFormatting>
  <conditionalFormatting sqref="AK57">
    <cfRule type="cellIs" dxfId="31" priority="994" stopIfTrue="1" operator="notEqual">
      <formula>0</formula>
    </cfRule>
  </conditionalFormatting>
  <conditionalFormatting sqref="AK58">
    <cfRule type="cellIs" dxfId="30" priority="993" stopIfTrue="1" operator="notEqual">
      <formula>0</formula>
    </cfRule>
  </conditionalFormatting>
  <conditionalFormatting sqref="Y58">
    <cfRule type="cellIs" dxfId="29" priority="1032" stopIfTrue="1" operator="notEqual">
      <formula>0</formula>
    </cfRule>
  </conditionalFormatting>
  <conditionalFormatting sqref="AA56">
    <cfRule type="cellIs" dxfId="28" priority="1025" stopIfTrue="1" operator="notEqual">
      <formula>0</formula>
    </cfRule>
  </conditionalFormatting>
  <conditionalFormatting sqref="AC58">
    <cfRule type="cellIs" dxfId="27" priority="1018" stopIfTrue="1" operator="notEqual">
      <formula>0</formula>
    </cfRule>
  </conditionalFormatting>
  <conditionalFormatting sqref="AE58">
    <cfRule type="cellIs" dxfId="26" priority="1011" stopIfTrue="1" operator="notEqual">
      <formula>0</formula>
    </cfRule>
  </conditionalFormatting>
  <conditionalFormatting sqref="AK59">
    <cfRule type="cellIs" dxfId="25" priority="998" stopIfTrue="1" operator="notEqual">
      <formula>0</formula>
    </cfRule>
  </conditionalFormatting>
  <conditionalFormatting sqref="AK56">
    <cfRule type="cellIs" dxfId="24" priority="996" stopIfTrue="1" operator="notEqual">
      <formula>0</formula>
    </cfRule>
  </conditionalFormatting>
  <conditionalFormatting sqref="AK55">
    <cfRule type="cellIs" dxfId="23" priority="997" stopIfTrue="1" operator="notEqual">
      <formula>0</formula>
    </cfRule>
  </conditionalFormatting>
  <conditionalFormatting sqref="AL58">
    <cfRule type="cellIs" dxfId="22" priority="995" stopIfTrue="1" operator="notEqual">
      <formula>0</formula>
    </cfRule>
  </conditionalFormatting>
  <conditionalFormatting sqref="T21:U21">
    <cfRule type="cellIs" dxfId="21" priority="955" stopIfTrue="1" operator="notEqual">
      <formula>0</formula>
    </cfRule>
  </conditionalFormatting>
  <conditionalFormatting sqref="AG58">
    <cfRule type="cellIs" dxfId="20" priority="932" stopIfTrue="1" operator="notEqual">
      <formula>0</formula>
    </cfRule>
  </conditionalFormatting>
  <conditionalFormatting sqref="AH58">
    <cfRule type="cellIs" dxfId="19" priority="931" stopIfTrue="1" operator="notEqual">
      <formula>0</formula>
    </cfRule>
  </conditionalFormatting>
  <conditionalFormatting sqref="AG57">
    <cfRule type="cellIs" dxfId="18" priority="928" stopIfTrue="1" operator="notEqual">
      <formula>0</formula>
    </cfRule>
  </conditionalFormatting>
  <conditionalFormatting sqref="AG59">
    <cfRule type="cellIs" dxfId="17" priority="935" stopIfTrue="1" operator="notEqual">
      <formula>0</formula>
    </cfRule>
  </conditionalFormatting>
  <conditionalFormatting sqref="AG56">
    <cfRule type="cellIs" dxfId="16" priority="807" stopIfTrue="1" operator="notEqual">
      <formula>0</formula>
    </cfRule>
  </conditionalFormatting>
  <conditionalFormatting sqref="AG55">
    <cfRule type="cellIs" dxfId="15" priority="806" stopIfTrue="1" operator="notEqual">
      <formula>0</formula>
    </cfRule>
  </conditionalFormatting>
  <conditionalFormatting sqref="AI56">
    <cfRule type="cellIs" dxfId="14" priority="805" stopIfTrue="1" operator="notEqual">
      <formula>0</formula>
    </cfRule>
  </conditionalFormatting>
  <conditionalFormatting sqref="Y59">
    <cfRule type="cellIs" dxfId="13" priority="684" stopIfTrue="1" operator="notEqual">
      <formula>0</formula>
    </cfRule>
  </conditionalFormatting>
  <conditionalFormatting sqref="K59">
    <cfRule type="cellIs" dxfId="12" priority="6" stopIfTrue="1" operator="notEqual">
      <formula>0</formula>
    </cfRule>
  </conditionalFormatting>
  <conditionalFormatting sqref="K55">
    <cfRule type="cellIs" dxfId="11" priority="5" stopIfTrue="1" operator="notEqual">
      <formula>0</formula>
    </cfRule>
  </conditionalFormatting>
  <conditionalFormatting sqref="K58">
    <cfRule type="cellIs" dxfId="10" priority="4" stopIfTrue="1" operator="notEqual">
      <formula>0</formula>
    </cfRule>
  </conditionalFormatting>
  <conditionalFormatting sqref="L58">
    <cfRule type="cellIs" dxfId="9" priority="3" stopIfTrue="1" operator="notEqual">
      <formula>0</formula>
    </cfRule>
  </conditionalFormatting>
  <conditionalFormatting sqref="K57">
    <cfRule type="cellIs" dxfId="8" priority="2" stopIfTrue="1" operator="notEqual">
      <formula>0</formula>
    </cfRule>
  </conditionalFormatting>
  <conditionalFormatting sqref="K56">
    <cfRule type="cellIs" dxfId="7"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zoomScale="80" zoomScaleNormal="80" workbookViewId="0">
      <pane xSplit="1" ySplit="1" topLeftCell="B2" activePane="bottomRight" state="frozen"/>
      <selection pane="topRight" activeCell="B1" sqref="B1"/>
      <selection pane="bottomLeft" activeCell="A2" sqref="A2"/>
      <selection pane="bottomRight" activeCell="AD1" sqref="AD1"/>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6.664339916975881E-2</v>
      </c>
      <c r="E2" s="227"/>
      <c r="F2" s="226">
        <v>0.1342116937050182</v>
      </c>
      <c r="G2" s="227"/>
      <c r="H2" s="226">
        <v>0.2096017366854474</v>
      </c>
      <c r="I2" s="227"/>
      <c r="J2" s="226">
        <v>0.29420402283756042</v>
      </c>
      <c r="K2" s="227"/>
      <c r="L2" s="226">
        <v>0.38976321381792156</v>
      </c>
      <c r="M2" s="227"/>
      <c r="N2" s="226">
        <v>0.49850774116893948</v>
      </c>
      <c r="O2" s="227"/>
      <c r="P2" s="226">
        <v>0.62334460150447257</v>
      </c>
      <c r="Q2" s="227"/>
      <c r="R2" s="226">
        <v>0.76816065233970121</v>
      </c>
      <c r="S2" s="227"/>
      <c r="T2" s="226">
        <v>0.93831546781853004</v>
      </c>
      <c r="U2" s="227"/>
      <c r="V2" s="226">
        <v>1.1414682323912719</v>
      </c>
      <c r="W2" s="227"/>
      <c r="X2" s="226">
        <v>1.389060384371481</v>
      </c>
      <c r="Y2" s="227"/>
      <c r="Z2" s="226">
        <v>1.6991288554919297</v>
      </c>
      <c r="AA2" s="227"/>
      <c r="AB2" s="226">
        <v>2.1020586261300727</v>
      </c>
      <c r="AC2" s="227"/>
      <c r="AD2" s="226">
        <v>2.6534134175861399</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998.41772866799568</v>
      </c>
      <c r="E3" s="85">
        <v>1039.2312685982192</v>
      </c>
      <c r="F3" s="84">
        <v>996.91751681970743</v>
      </c>
      <c r="G3" s="85">
        <v>1083.6660681937128</v>
      </c>
      <c r="H3" s="84">
        <v>995.48544803897767</v>
      </c>
      <c r="I3" s="85">
        <v>1134.3839036171858</v>
      </c>
      <c r="J3" s="84">
        <v>994.10644305320034</v>
      </c>
      <c r="K3" s="85">
        <v>1192.7744474852332</v>
      </c>
      <c r="L3" s="84">
        <v>992.76377303997072</v>
      </c>
      <c r="M3" s="85">
        <v>1260.6552393606441</v>
      </c>
      <c r="N3" s="84">
        <v>991.43845783535699</v>
      </c>
      <c r="O3" s="85">
        <v>1340.4460070405389</v>
      </c>
      <c r="P3" s="84">
        <v>990.1086021497739</v>
      </c>
      <c r="Q3" s="85">
        <v>1435.435954269424</v>
      </c>
      <c r="R3" s="84">
        <v>988.74855818607728</v>
      </c>
      <c r="S3" s="85">
        <v>1550.1999208683656</v>
      </c>
      <c r="T3" s="84">
        <v>987.3280773318445</v>
      </c>
      <c r="U3" s="85">
        <v>1691.2883168083824</v>
      </c>
      <c r="V3" s="84">
        <v>985.81142592186791</v>
      </c>
      <c r="W3" s="85">
        <v>1868.3873183746618</v>
      </c>
      <c r="X3" s="84">
        <v>984.15692668360612</v>
      </c>
      <c r="Y3" s="85">
        <v>2096.4092416418057</v>
      </c>
      <c r="Z3" s="84">
        <v>982.31776995321127</v>
      </c>
      <c r="AA3" s="85">
        <v>2399.4675749380717</v>
      </c>
      <c r="AB3" s="84">
        <v>980.24646599871687</v>
      </c>
      <c r="AC3" s="85">
        <v>2819.0396643868175</v>
      </c>
      <c r="AD3" s="84">
        <v>977.90836630402191</v>
      </c>
      <c r="AE3" s="85">
        <v>3432.4424190293166</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998.33928567689702</v>
      </c>
      <c r="E5" s="42">
        <v>1034.0769814002417</v>
      </c>
      <c r="F5" s="41">
        <v>996.76386854551151</v>
      </c>
      <c r="G5" s="42">
        <v>1071.8250207298299</v>
      </c>
      <c r="H5" s="41">
        <v>995.25925175375392</v>
      </c>
      <c r="I5" s="42">
        <v>1113.8893972262958</v>
      </c>
      <c r="J5" s="41">
        <v>993.80968243891914</v>
      </c>
      <c r="K5" s="42">
        <v>1161.069296807447</v>
      </c>
      <c r="L5" s="41">
        <v>992.39763956601496</v>
      </c>
      <c r="M5" s="42">
        <v>1214.3644816606202</v>
      </c>
      <c r="N5" s="41">
        <v>991.00319839091208</v>
      </c>
      <c r="O5" s="42">
        <v>1275.0405870842103</v>
      </c>
      <c r="P5" s="41">
        <v>989.60332753193745</v>
      </c>
      <c r="Q5" s="42">
        <v>1344.7183257832389</v>
      </c>
      <c r="R5" s="41">
        <v>988.17099940192941</v>
      </c>
      <c r="S5" s="42">
        <v>1425.5019618295541</v>
      </c>
      <c r="T5" s="41">
        <v>986.67428437480612</v>
      </c>
      <c r="U5" s="42">
        <v>1520.1640076751471</v>
      </c>
      <c r="V5" s="41">
        <v>985.07540040539345</v>
      </c>
      <c r="W5" s="42">
        <v>1632.4159539534012</v>
      </c>
      <c r="X5" s="41">
        <v>983.33020232232184</v>
      </c>
      <c r="Y5" s="42">
        <v>1767.3135635646668</v>
      </c>
      <c r="Z5" s="41">
        <v>981.38900039375108</v>
      </c>
      <c r="AA5" s="42">
        <v>1931.8709938270722</v>
      </c>
      <c r="AB5" s="41">
        <v>979.20121631742336</v>
      </c>
      <c r="AC5" s="42">
        <v>2135.9941626871391</v>
      </c>
      <c r="AD5" s="41">
        <v>976.72963762544759</v>
      </c>
      <c r="AE5" s="42">
        <v>2393.8965384025837</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998.21237235061756</v>
      </c>
      <c r="E6" s="42">
        <v>1042.2228112913663</v>
      </c>
      <c r="F6" s="41">
        <v>996.51677269980496</v>
      </c>
      <c r="G6" s="42">
        <v>1089.7776171030548</v>
      </c>
      <c r="H6" s="41">
        <v>994.89756774885927</v>
      </c>
      <c r="I6" s="42">
        <v>1143.7661962059599</v>
      </c>
      <c r="J6" s="41">
        <v>993.33778142543679</v>
      </c>
      <c r="K6" s="42">
        <v>1205.6073327540303</v>
      </c>
      <c r="L6" s="41">
        <v>991.81854377405011</v>
      </c>
      <c r="M6" s="42">
        <v>1277.1573871569692</v>
      </c>
      <c r="N6" s="41">
        <v>990.31840795093115</v>
      </c>
      <c r="O6" s="42">
        <v>1360.8889291702055</v>
      </c>
      <c r="P6" s="41">
        <v>988.81259488166847</v>
      </c>
      <c r="Q6" s="42">
        <v>1460.1647648850169</v>
      </c>
      <c r="R6" s="41">
        <v>987.27203846322789</v>
      </c>
      <c r="S6" s="42">
        <v>1579.6646185443972</v>
      </c>
      <c r="T6" s="41">
        <v>985.66241429462252</v>
      </c>
      <c r="U6" s="42">
        <v>1726.0928525771599</v>
      </c>
      <c r="V6" s="41">
        <v>983.94312211705198</v>
      </c>
      <c r="W6" s="42">
        <v>1909.3684714323113</v>
      </c>
      <c r="X6" s="41">
        <v>982.06674329130806</v>
      </c>
      <c r="Y6" s="42">
        <v>2144.7695743543768</v>
      </c>
      <c r="Z6" s="41">
        <v>979.9799298323228</v>
      </c>
      <c r="AA6" s="42">
        <v>2457.0112489107628</v>
      </c>
      <c r="AB6" s="41">
        <v>977.62842000242085</v>
      </c>
      <c r="AC6" s="42">
        <v>2888.6194928006421</v>
      </c>
      <c r="AD6" s="41">
        <v>974.97236557457393</v>
      </c>
      <c r="AE6" s="42">
        <v>3518.8847908284438</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1014.2245434605411</v>
      </c>
      <c r="E7" s="34">
        <v>1014.2245434605411</v>
      </c>
      <c r="F7" s="33">
        <v>1012.6240587918885</v>
      </c>
      <c r="G7" s="34">
        <v>1012.6240587918885</v>
      </c>
      <c r="H7" s="33">
        <v>1011.095501015392</v>
      </c>
      <c r="I7" s="34">
        <v>1011.095501015392</v>
      </c>
      <c r="J7" s="33">
        <v>1009.6228666137958</v>
      </c>
      <c r="K7" s="34">
        <v>1009.6228666137958</v>
      </c>
      <c r="L7" s="33">
        <v>1008.1883557629612</v>
      </c>
      <c r="M7" s="34">
        <v>1008.1883557629612</v>
      </c>
      <c r="N7" s="33">
        <v>1006.7717266825556</v>
      </c>
      <c r="O7" s="34">
        <v>1006.7717266825556</v>
      </c>
      <c r="P7" s="33">
        <v>1005.3495815228722</v>
      </c>
      <c r="Q7" s="34">
        <v>1005.3495815228722</v>
      </c>
      <c r="R7" s="33">
        <v>1003.8944626423623</v>
      </c>
      <c r="S7" s="34">
        <v>1003.8944626423623</v>
      </c>
      <c r="T7" s="33">
        <v>1002.3739323608705</v>
      </c>
      <c r="U7" s="34">
        <v>1002.3739323608705</v>
      </c>
      <c r="V7" s="33">
        <v>1000.7496074573139</v>
      </c>
      <c r="W7" s="34">
        <v>1000.7496074573139</v>
      </c>
      <c r="X7" s="33">
        <v>998.97664033637022</v>
      </c>
      <c r="Y7" s="34">
        <v>998.97664033637022</v>
      </c>
      <c r="Z7" s="33">
        <v>997.00455061896071</v>
      </c>
      <c r="AA7" s="34">
        <v>997.00455061896071</v>
      </c>
      <c r="AB7" s="33">
        <v>994.7819552169384</v>
      </c>
      <c r="AC7" s="34">
        <v>994.7819552169384</v>
      </c>
      <c r="AD7" s="33">
        <v>992.2710495494365</v>
      </c>
      <c r="AE7" s="34">
        <v>992.2710495494365</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1102.9913864439573</v>
      </c>
      <c r="E8" s="36">
        <v>1102.9913864439573</v>
      </c>
      <c r="F8" s="35">
        <v>1215.6764721173965</v>
      </c>
      <c r="G8" s="36">
        <v>1215.6764721173965</v>
      </c>
      <c r="H8" s="35">
        <v>1347.3625493604336</v>
      </c>
      <c r="I8" s="36">
        <v>1347.3625493604336</v>
      </c>
      <c r="J8" s="35">
        <v>1502.6605547213753</v>
      </c>
      <c r="K8" s="36">
        <v>1502.6605547213753</v>
      </c>
      <c r="L8" s="35">
        <v>1687.6790847789978</v>
      </c>
      <c r="M8" s="36">
        <v>1687.6790847789978</v>
      </c>
      <c r="N8" s="35">
        <v>1910.6581900502786</v>
      </c>
      <c r="O8" s="36">
        <v>1910.6581900502786</v>
      </c>
      <c r="P8" s="35">
        <v>2182.9412347043535</v>
      </c>
      <c r="Q8" s="36">
        <v>2182.9412347043535</v>
      </c>
      <c r="R8" s="35">
        <v>2520.5164787400686</v>
      </c>
      <c r="S8" s="36">
        <v>2520.5164787400686</v>
      </c>
      <c r="T8" s="35">
        <v>2946.5574096977439</v>
      </c>
      <c r="U8" s="36">
        <v>2946.5574096977439</v>
      </c>
      <c r="V8" s="35">
        <v>3495.7669074399023</v>
      </c>
      <c r="W8" s="36">
        <v>3495.7669074399023</v>
      </c>
      <c r="X8" s="35">
        <v>4222.2188214747348</v>
      </c>
      <c r="Y8" s="36">
        <v>4222.2188214747348</v>
      </c>
      <c r="Z8" s="35">
        <v>5214.3687445265223</v>
      </c>
      <c r="AA8" s="36">
        <v>5214.3687445265223</v>
      </c>
      <c r="AB8" s="35">
        <v>6625.9791177271218</v>
      </c>
      <c r="AC8" s="36">
        <v>6625.9791177271218</v>
      </c>
      <c r="AD8" s="35">
        <v>8745.8937337130137</v>
      </c>
      <c r="AE8" s="36">
        <v>8745.8937337130137</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1014.2245434605411</v>
      </c>
      <c r="E9" s="42">
        <v>1102.9913864439573</v>
      </c>
      <c r="F9" s="41">
        <v>1012.6240587918885</v>
      </c>
      <c r="G9" s="42">
        <v>1215.6764721173965</v>
      </c>
      <c r="H9" s="41">
        <v>1011.095501015392</v>
      </c>
      <c r="I9" s="42">
        <v>1347.3625493604336</v>
      </c>
      <c r="J9" s="41">
        <v>1009.6228666137958</v>
      </c>
      <c r="K9" s="42">
        <v>1502.6605547213753</v>
      </c>
      <c r="L9" s="41">
        <v>1008.1883557629612</v>
      </c>
      <c r="M9" s="42">
        <v>1687.6790847789978</v>
      </c>
      <c r="N9" s="41">
        <v>1006.7717266825556</v>
      </c>
      <c r="O9" s="42">
        <v>1910.6581900502786</v>
      </c>
      <c r="P9" s="41">
        <v>1005.3495815228722</v>
      </c>
      <c r="Q9" s="42">
        <v>2182.9412347043535</v>
      </c>
      <c r="R9" s="41">
        <v>1003.8944626423623</v>
      </c>
      <c r="S9" s="42">
        <v>2520.5164787400686</v>
      </c>
      <c r="T9" s="41">
        <v>1002.3739323608705</v>
      </c>
      <c r="U9" s="42">
        <v>2946.5574096977439</v>
      </c>
      <c r="V9" s="41">
        <v>1000.7496074573139</v>
      </c>
      <c r="W9" s="42">
        <v>3495.7669074399023</v>
      </c>
      <c r="X9" s="41">
        <v>998.97664033637022</v>
      </c>
      <c r="Y9" s="42">
        <v>4222.2188214747348</v>
      </c>
      <c r="Z9" s="41">
        <v>997.00455061896071</v>
      </c>
      <c r="AA9" s="42">
        <v>5214.3687445265223</v>
      </c>
      <c r="AB9" s="41">
        <v>994.7819552169384</v>
      </c>
      <c r="AC9" s="42">
        <v>6625.9791177271218</v>
      </c>
      <c r="AD9" s="41">
        <v>992.2710495494365</v>
      </c>
      <c r="AE9" s="42">
        <v>8745.8937337130137</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1014.2245434605411</v>
      </c>
      <c r="E10" s="42">
        <v>1102.9913864439573</v>
      </c>
      <c r="F10" s="41">
        <v>1012.6240587918885</v>
      </c>
      <c r="G10" s="42">
        <v>1215.6764721173965</v>
      </c>
      <c r="H10" s="41">
        <v>1011.095501015392</v>
      </c>
      <c r="I10" s="42">
        <v>1347.3625493604336</v>
      </c>
      <c r="J10" s="41">
        <v>1009.6228666137958</v>
      </c>
      <c r="K10" s="42">
        <v>1502.6605547213753</v>
      </c>
      <c r="L10" s="41">
        <v>1008.1883557629612</v>
      </c>
      <c r="M10" s="42">
        <v>1687.6790847789978</v>
      </c>
      <c r="N10" s="41">
        <v>1006.7717266825556</v>
      </c>
      <c r="O10" s="42">
        <v>1910.6581900502786</v>
      </c>
      <c r="P10" s="41">
        <v>1005.3495815228722</v>
      </c>
      <c r="Q10" s="42">
        <v>2182.9412347043535</v>
      </c>
      <c r="R10" s="41">
        <v>1003.8944626423623</v>
      </c>
      <c r="S10" s="42">
        <v>2520.5164787400686</v>
      </c>
      <c r="T10" s="41">
        <v>1002.3739323608705</v>
      </c>
      <c r="U10" s="42">
        <v>2946.5574096977439</v>
      </c>
      <c r="V10" s="41">
        <v>1000.7496074573139</v>
      </c>
      <c r="W10" s="42">
        <v>3495.7669074399023</v>
      </c>
      <c r="X10" s="41">
        <v>998.97664033637022</v>
      </c>
      <c r="Y10" s="42">
        <v>4222.2188214747348</v>
      </c>
      <c r="Z10" s="41">
        <v>997.00455061896071</v>
      </c>
      <c r="AA10" s="42">
        <v>5214.3687445265223</v>
      </c>
      <c r="AB10" s="41">
        <v>994.7819552169384</v>
      </c>
      <c r="AC10" s="42">
        <v>6625.9791177271218</v>
      </c>
      <c r="AD10" s="41">
        <v>992.2710495494365</v>
      </c>
      <c r="AE10" s="42">
        <v>8745.8937337130137</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1014.2245434605411</v>
      </c>
      <c r="E11" s="42">
        <v>1102.9913864439573</v>
      </c>
      <c r="F11" s="41">
        <v>1012.6240587918885</v>
      </c>
      <c r="G11" s="42">
        <v>1215.6764721173965</v>
      </c>
      <c r="H11" s="41">
        <v>1011.095501015392</v>
      </c>
      <c r="I11" s="42">
        <v>1347.3625493604336</v>
      </c>
      <c r="J11" s="41">
        <v>1009.6228666137958</v>
      </c>
      <c r="K11" s="42">
        <v>1502.6605547213753</v>
      </c>
      <c r="L11" s="41">
        <v>1008.1883557629612</v>
      </c>
      <c r="M11" s="42">
        <v>1687.6790847789978</v>
      </c>
      <c r="N11" s="41">
        <v>1006.7717266825556</v>
      </c>
      <c r="O11" s="42">
        <v>1910.6581900502786</v>
      </c>
      <c r="P11" s="41">
        <v>1005.3495815228722</v>
      </c>
      <c r="Q11" s="42">
        <v>2182.9412347043535</v>
      </c>
      <c r="R11" s="41">
        <v>1003.8944626423623</v>
      </c>
      <c r="S11" s="42">
        <v>2520.5164787400686</v>
      </c>
      <c r="T11" s="41">
        <v>1002.3739323608705</v>
      </c>
      <c r="U11" s="42">
        <v>2946.5574096977439</v>
      </c>
      <c r="V11" s="41">
        <v>1000.7496074573139</v>
      </c>
      <c r="W11" s="42">
        <v>3495.7669074399023</v>
      </c>
      <c r="X11" s="41">
        <v>998.97664033637022</v>
      </c>
      <c r="Y11" s="42">
        <v>4222.2188214747348</v>
      </c>
      <c r="Z11" s="41">
        <v>997.00455061896071</v>
      </c>
      <c r="AA11" s="42">
        <v>5214.3687445265223</v>
      </c>
      <c r="AB11" s="41">
        <v>994.7819552169384</v>
      </c>
      <c r="AC11" s="42">
        <v>6625.9791177271218</v>
      </c>
      <c r="AD11" s="41">
        <v>992.2710495494365</v>
      </c>
      <c r="AE11" s="42">
        <v>8745.8937337130137</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951.50262290908006</v>
      </c>
      <c r="E13" s="98">
        <v>951.50262290908006</v>
      </c>
      <c r="F13" s="97">
        <v>901.59984947471719</v>
      </c>
      <c r="G13" s="98">
        <v>901.59984947471719</v>
      </c>
      <c r="H13" s="97">
        <v>849.99487923333697</v>
      </c>
      <c r="I13" s="98">
        <v>849.99487923333697</v>
      </c>
      <c r="J13" s="97">
        <v>796.35120653339959</v>
      </c>
      <c r="K13" s="98">
        <v>796.35120653339959</v>
      </c>
      <c r="L13" s="97">
        <v>740.28304594083193</v>
      </c>
      <c r="M13" s="98">
        <v>740.28304594083193</v>
      </c>
      <c r="N13" s="97">
        <v>681.34356582291582</v>
      </c>
      <c r="O13" s="98">
        <v>681.34356582291582</v>
      </c>
      <c r="P13" s="97">
        <v>619.01285523129343</v>
      </c>
      <c r="Q13" s="98">
        <v>619.01285523129343</v>
      </c>
      <c r="R13" s="97">
        <v>552.68524110283943</v>
      </c>
      <c r="S13" s="98">
        <v>552.68524110283943</v>
      </c>
      <c r="T13" s="97">
        <v>481.66249383615445</v>
      </c>
      <c r="U13" s="98">
        <v>481.66249383615445</v>
      </c>
      <c r="V13" s="97">
        <v>405.16778891963656</v>
      </c>
      <c r="W13" s="98">
        <v>405.16778891963656</v>
      </c>
      <c r="X13" s="97">
        <v>322.42507849303161</v>
      </c>
      <c r="Y13" s="98">
        <v>322.42507849303161</v>
      </c>
      <c r="Z13" s="97">
        <v>232.94788382318359</v>
      </c>
      <c r="AA13" s="98">
        <v>232.94788382318359</v>
      </c>
      <c r="AB13" s="97">
        <v>137.5689497331112</v>
      </c>
      <c r="AC13" s="98">
        <v>137.5689497331112</v>
      </c>
      <c r="AD13" s="97">
        <v>42.841628502735936</v>
      </c>
      <c r="AE13" s="98">
        <v>42.841628502735936</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1386.342580613479</v>
      </c>
      <c r="E14" s="42">
        <v>1386.3425806134792</v>
      </c>
      <c r="F14" s="41">
        <v>1313.6340687953511</v>
      </c>
      <c r="G14" s="42">
        <v>1313.6340687953514</v>
      </c>
      <c r="H14" s="41">
        <v>1238.4454503991274</v>
      </c>
      <c r="I14" s="42">
        <v>1238.4454503991276</v>
      </c>
      <c r="J14" s="41">
        <v>1160.2864355379331</v>
      </c>
      <c r="K14" s="42">
        <v>1160.2864355379334</v>
      </c>
      <c r="L14" s="41">
        <v>1078.5949335129528</v>
      </c>
      <c r="M14" s="42">
        <v>1078.594933512953</v>
      </c>
      <c r="N14" s="41">
        <v>992.7199091048526</v>
      </c>
      <c r="O14" s="42">
        <v>992.71990910485283</v>
      </c>
      <c r="P14" s="41">
        <v>901.9038502811045</v>
      </c>
      <c r="Q14" s="42">
        <v>901.90385028110461</v>
      </c>
      <c r="R14" s="41">
        <v>805.2642893142164</v>
      </c>
      <c r="S14" s="42">
        <v>805.26428931421651</v>
      </c>
      <c r="T14" s="41">
        <v>701.78390328341152</v>
      </c>
      <c r="U14" s="42">
        <v>701.78390328341163</v>
      </c>
      <c r="V14" s="41">
        <v>590.33085621454882</v>
      </c>
      <c r="W14" s="42">
        <v>590.33085621454893</v>
      </c>
      <c r="X14" s="41">
        <v>469.77444371716126</v>
      </c>
      <c r="Y14" s="42">
        <v>469.77444371716132</v>
      </c>
      <c r="Z14" s="41">
        <v>339.40586461077993</v>
      </c>
      <c r="AA14" s="42">
        <v>339.40586461077999</v>
      </c>
      <c r="AB14" s="41">
        <v>200.43843095481535</v>
      </c>
      <c r="AC14" s="42">
        <v>200.43843095481537</v>
      </c>
      <c r="AD14" s="41">
        <v>62.420399467298338</v>
      </c>
      <c r="AE14" s="42">
        <v>62.420399467298346</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1043.9000669859752</v>
      </c>
      <c r="E15" s="155">
        <v>1043.9000669859752</v>
      </c>
      <c r="F15" s="154">
        <v>1090.18394762767</v>
      </c>
      <c r="G15" s="155">
        <v>1090.18394762767</v>
      </c>
      <c r="H15" s="154">
        <v>1139.2425496999433</v>
      </c>
      <c r="I15" s="155">
        <v>1139.2425496999433</v>
      </c>
      <c r="J15" s="154">
        <v>1191.5506320214351</v>
      </c>
      <c r="K15" s="155">
        <v>1191.5506320214351</v>
      </c>
      <c r="L15" s="154">
        <v>1247.693925046314</v>
      </c>
      <c r="M15" s="155">
        <v>1247.693925046314</v>
      </c>
      <c r="N15" s="154">
        <v>1308.4080493406202</v>
      </c>
      <c r="O15" s="155">
        <v>1308.4080493406202</v>
      </c>
      <c r="P15" s="154">
        <v>1374.6345240694634</v>
      </c>
      <c r="Q15" s="155">
        <v>1374.6345240694634</v>
      </c>
      <c r="R15" s="154">
        <v>1447.6052923436334</v>
      </c>
      <c r="S15" s="155">
        <v>1447.6052923436334</v>
      </c>
      <c r="T15" s="154">
        <v>1528.9756202179374</v>
      </c>
      <c r="U15" s="155">
        <v>1528.9756202179374</v>
      </c>
      <c r="V15" s="154">
        <v>1621.0371292972657</v>
      </c>
      <c r="W15" s="155">
        <v>1621.0371292972657</v>
      </c>
      <c r="X15" s="154">
        <v>1727.0818895796756</v>
      </c>
      <c r="Y15" s="155">
        <v>1727.0818895796756</v>
      </c>
      <c r="Z15" s="154">
        <v>1852.0542560449994</v>
      </c>
      <c r="AA15" s="155">
        <v>1852.0542560449994</v>
      </c>
      <c r="AB15" s="154">
        <v>2003.7898862066684</v>
      </c>
      <c r="AC15" s="155">
        <v>2003.7898862066684</v>
      </c>
      <c r="AD15" s="154">
        <v>2195.5415987330371</v>
      </c>
      <c r="AE15" s="155">
        <v>2195.5415987330371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994.31790788422393</v>
      </c>
      <c r="E16" s="42">
        <v>1017.3970872878305</v>
      </c>
      <c r="F16" s="41">
        <v>988.30180239608592</v>
      </c>
      <c r="G16" s="42">
        <v>1035.8150161644141</v>
      </c>
      <c r="H16" s="41">
        <v>981.86816266291839</v>
      </c>
      <c r="I16" s="42">
        <v>1055.4099676294618</v>
      </c>
      <c r="J16" s="41">
        <v>974.91639998204346</v>
      </c>
      <c r="K16" s="42">
        <v>1076.3744807387877</v>
      </c>
      <c r="L16" s="41">
        <v>967.32338255625109</v>
      </c>
      <c r="M16" s="42">
        <v>1098.9498705549693</v>
      </c>
      <c r="N16" s="41">
        <v>958.93575340534755</v>
      </c>
      <c r="O16" s="42">
        <v>1123.4444716351086</v>
      </c>
      <c r="P16" s="41">
        <v>949.55915075823907</v>
      </c>
      <c r="Q16" s="42">
        <v>1150.2607289950201</v>
      </c>
      <c r="R16" s="41">
        <v>938.94233438185529</v>
      </c>
      <c r="S16" s="42">
        <v>1179.9374099164977</v>
      </c>
      <c r="T16" s="41">
        <v>926.75325877864884</v>
      </c>
      <c r="U16" s="42">
        <v>1213.2185943407144</v>
      </c>
      <c r="V16" s="41">
        <v>912.54184080116079</v>
      </c>
      <c r="W16" s="42">
        <v>1251.1700711291776</v>
      </c>
      <c r="X16" s="41">
        <v>895.6792168353744</v>
      </c>
      <c r="Y16" s="42">
        <v>1295.391216205524</v>
      </c>
      <c r="Z16" s="41">
        <v>875.25390183895342</v>
      </c>
      <c r="AA16" s="42">
        <v>1348.4307133305513</v>
      </c>
      <c r="AB16" s="41">
        <v>849.88370278014202</v>
      </c>
      <c r="AC16" s="42">
        <v>1414.7035646139743</v>
      </c>
      <c r="AD16" s="41">
        <v>817.34998913453433</v>
      </c>
      <c r="AE16" s="42">
        <v>1503.0384543910452</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998.4906799169238</v>
      </c>
      <c r="E17" s="36">
        <v>1059.3920472128661</v>
      </c>
      <c r="F17" s="35">
        <v>997.06041557273784</v>
      </c>
      <c r="G17" s="36">
        <v>1126.9848945398123</v>
      </c>
      <c r="H17" s="35">
        <v>995.69582959340664</v>
      </c>
      <c r="I17" s="36">
        <v>1204.551948160236</v>
      </c>
      <c r="J17" s="35">
        <v>994.38246857032743</v>
      </c>
      <c r="K17" s="36">
        <v>1294.3882307215954</v>
      </c>
      <c r="L17" s="35">
        <v>993.10434050210552</v>
      </c>
      <c r="M17" s="36">
        <v>1399.5113785189014</v>
      </c>
      <c r="N17" s="35">
        <v>991.84334350783001</v>
      </c>
      <c r="O17" s="36">
        <v>1523.9622072936195</v>
      </c>
      <c r="P17" s="35">
        <v>990.57864365682315</v>
      </c>
      <c r="Q17" s="36">
        <v>1673.2636429497268</v>
      </c>
      <c r="R17" s="35">
        <v>989.2858665646562</v>
      </c>
      <c r="S17" s="36">
        <v>1855.1462474065634</v>
      </c>
      <c r="T17" s="35">
        <v>987.93633924036715</v>
      </c>
      <c r="U17" s="36">
        <v>2080.7404411745206</v>
      </c>
      <c r="V17" s="35">
        <v>986.49623285715302</v>
      </c>
      <c r="W17" s="36">
        <v>2366.6087158807659</v>
      </c>
      <c r="X17" s="35">
        <v>984.92617000332496</v>
      </c>
      <c r="Y17" s="36">
        <v>2738.4064653070618</v>
      </c>
      <c r="Z17" s="35">
        <v>983.18202242037444</v>
      </c>
      <c r="AA17" s="36">
        <v>3237.8800002307248</v>
      </c>
      <c r="AB17" s="35">
        <v>981.21918702883124</v>
      </c>
      <c r="AC17" s="36">
        <v>3937.2927215191512</v>
      </c>
      <c r="AD17" s="35">
        <v>979.00540763509707</v>
      </c>
      <c r="AE17" s="36">
        <v>4972.2317729781525</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28293.661789340265</v>
      </c>
      <c r="E18" s="34">
        <v>1150.0044288212155</v>
      </c>
      <c r="F18" s="33">
        <v>28735.063960889256</v>
      </c>
      <c r="G18" s="34">
        <v>1064.6767448410239</v>
      </c>
      <c r="H18" s="33">
        <v>29182.918287075863</v>
      </c>
      <c r="I18" s="34">
        <v>980.75881021897897</v>
      </c>
      <c r="J18" s="33">
        <v>29639.142969269582</v>
      </c>
      <c r="K18" s="34">
        <v>898.22977346695689</v>
      </c>
      <c r="L18" s="33">
        <v>30105.938317650653</v>
      </c>
      <c r="M18" s="34">
        <v>817.07598189869282</v>
      </c>
      <c r="N18" s="33">
        <v>30585.88920926944</v>
      </c>
      <c r="O18" s="34">
        <v>737.29628787231616</v>
      </c>
      <c r="P18" s="33">
        <v>31082.068339288344</v>
      </c>
      <c r="Q18" s="34">
        <v>658.90755512320254</v>
      </c>
      <c r="R18" s="33">
        <v>31598.239135029591</v>
      </c>
      <c r="S18" s="34">
        <v>581.95693431910934</v>
      </c>
      <c r="T18" s="33">
        <v>32139.05411098247</v>
      </c>
      <c r="U18" s="34">
        <v>506.5360676502811</v>
      </c>
      <c r="V18" s="33">
        <v>32710.450631887692</v>
      </c>
      <c r="W18" s="34">
        <v>432.80735323804333</v>
      </c>
      <c r="X18" s="33">
        <v>33320.174014210184</v>
      </c>
      <c r="Y18" s="34">
        <v>361.04179207785904</v>
      </c>
      <c r="Z18" s="33">
        <v>33978.628847967891</v>
      </c>
      <c r="AA18" s="34">
        <v>291.67919240264558</v>
      </c>
      <c r="AB18" s="33">
        <v>34700.129956917284</v>
      </c>
      <c r="AC18" s="34">
        <v>225.42248552265468</v>
      </c>
      <c r="AD18" s="33">
        <v>35504.738072708053</v>
      </c>
      <c r="AE18" s="34">
        <v>163.38282049024883</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1886.3937400000138</v>
      </c>
      <c r="C19" s="42">
        <v>262.7871129999973</v>
      </c>
      <c r="D19" s="41">
        <v>1911.7165899545237</v>
      </c>
      <c r="E19" s="42">
        <v>266.95215221865902</v>
      </c>
      <c r="F19" s="41">
        <v>1937.4488397693788</v>
      </c>
      <c r="G19" s="42">
        <v>271.70297150219432</v>
      </c>
      <c r="H19" s="41">
        <v>1963.6750541259269</v>
      </c>
      <c r="I19" s="42">
        <v>277.14508249543746</v>
      </c>
      <c r="J19" s="41">
        <v>1990.48789450667</v>
      </c>
      <c r="K19" s="42">
        <v>283.40684392079163</v>
      </c>
      <c r="L19" s="41">
        <v>2017.9907178803585</v>
      </c>
      <c r="M19" s="42">
        <v>290.64544066678513</v>
      </c>
      <c r="N19" s="41">
        <v>2046.3020386863336</v>
      </c>
      <c r="O19" s="42">
        <v>299.05435266784235</v>
      </c>
      <c r="P19" s="41">
        <v>2075.5595406929783</v>
      </c>
      <c r="Q19" s="42">
        <v>308.87326092755495</v>
      </c>
      <c r="R19" s="41">
        <v>2105.9297463582134</v>
      </c>
      <c r="S19" s="42">
        <v>320.39889221096831</v>
      </c>
      <c r="T19" s="41">
        <v>2137.6166845648054</v>
      </c>
      <c r="U19" s="42">
        <v>334.00095607314063</v>
      </c>
      <c r="V19" s="41">
        <v>2170.8827082894768</v>
      </c>
      <c r="W19" s="42">
        <v>350.13523235535558</v>
      </c>
      <c r="X19" s="41">
        <v>2206.0777846746678</v>
      </c>
      <c r="Y19" s="42">
        <v>369.35494978570983</v>
      </c>
      <c r="Z19" s="41">
        <v>2243.692876412048</v>
      </c>
      <c r="AA19" s="42">
        <v>392.30179113040452</v>
      </c>
      <c r="AB19" s="41">
        <v>2284.4495309230329</v>
      </c>
      <c r="AC19" s="42">
        <v>419.63550918340661</v>
      </c>
      <c r="AD19" s="41">
        <v>2329.4568820936943</v>
      </c>
      <c r="AE19" s="42">
        <v>451.78943906868091</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26949.943345930533</v>
      </c>
      <c r="E20" s="83">
        <v>1338.1147774499941</v>
      </c>
      <c r="F20" s="82">
        <v>27356.297880398404</v>
      </c>
      <c r="G20" s="83">
        <v>1267.6876838999945</v>
      </c>
      <c r="H20" s="82">
        <v>27768.941651861514</v>
      </c>
      <c r="I20" s="83">
        <v>1197.2605903499943</v>
      </c>
      <c r="J20" s="82">
        <v>28189.578055184462</v>
      </c>
      <c r="K20" s="83">
        <v>1126.8334967999951</v>
      </c>
      <c r="L20" s="82">
        <v>28620.147983372655</v>
      </c>
      <c r="M20" s="83">
        <v>1056.4064032499953</v>
      </c>
      <c r="N20" s="82">
        <v>29062.918282215483</v>
      </c>
      <c r="O20" s="83">
        <v>985.97930969999561</v>
      </c>
      <c r="P20" s="82">
        <v>29520.569294305518</v>
      </c>
      <c r="Q20" s="83">
        <v>915.55221614999596</v>
      </c>
      <c r="R20" s="82">
        <v>29996.372934578954</v>
      </c>
      <c r="S20" s="83">
        <v>845.12512259999642</v>
      </c>
      <c r="T20" s="82">
        <v>30494.363554592925</v>
      </c>
      <c r="U20" s="83">
        <v>774.69802904999653</v>
      </c>
      <c r="V20" s="82">
        <v>31019.691999593866</v>
      </c>
      <c r="W20" s="83">
        <v>704.27093549999688</v>
      </c>
      <c r="X20" s="82">
        <v>31579.099352462727</v>
      </c>
      <c r="Y20" s="83">
        <v>633.84384194999711</v>
      </c>
      <c r="Z20" s="82">
        <v>32181.708874784934</v>
      </c>
      <c r="AA20" s="83">
        <v>563.41674839999746</v>
      </c>
      <c r="AB20" s="82">
        <v>32840.230350050566</v>
      </c>
      <c r="AC20" s="83">
        <v>492.98965484999781</v>
      </c>
      <c r="AD20" s="82">
        <v>33572.822704012338</v>
      </c>
      <c r="AE20" s="83">
        <v>422.56256129999809</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24661.962530000252</v>
      </c>
      <c r="C21" s="83">
        <v>1145.7547579999959</v>
      </c>
      <c r="D21" s="82">
        <v>25038.229630317954</v>
      </c>
      <c r="E21" s="83">
        <v>1071.5190176673741</v>
      </c>
      <c r="F21" s="82">
        <v>25418.860131614292</v>
      </c>
      <c r="G21" s="83">
        <v>997.48466203317264</v>
      </c>
      <c r="H21" s="82">
        <v>25805.290783670218</v>
      </c>
      <c r="I21" s="83">
        <v>923.67729642252755</v>
      </c>
      <c r="J21" s="82">
        <v>26199.132064880556</v>
      </c>
      <c r="K21" s="83">
        <v>850.13163583876315</v>
      </c>
      <c r="L21" s="82">
        <v>26602.221495004494</v>
      </c>
      <c r="M21" s="83">
        <v>776.89491856451991</v>
      </c>
      <c r="N21" s="82">
        <v>27016.707675746486</v>
      </c>
      <c r="O21" s="83">
        <v>704.03195456355184</v>
      </c>
      <c r="P21" s="82">
        <v>27445.133895183619</v>
      </c>
      <c r="Q21" s="83">
        <v>631.63209591154191</v>
      </c>
      <c r="R21" s="82">
        <v>27890.606643493553</v>
      </c>
      <c r="S21" s="83">
        <v>559.82054115384528</v>
      </c>
      <c r="T21" s="82">
        <v>28356.957968429524</v>
      </c>
      <c r="U21" s="83">
        <v>488.77277479054584</v>
      </c>
      <c r="V21" s="82">
        <v>28849.078946456488</v>
      </c>
      <c r="W21" s="83">
        <v>418.73949560770387</v>
      </c>
      <c r="X21" s="82">
        <v>29373.364456082534</v>
      </c>
      <c r="Y21" s="83">
        <v>350.08237680721112</v>
      </c>
      <c r="Z21" s="82">
        <v>29938.452139669032</v>
      </c>
      <c r="AA21" s="83">
        <v>283.33068203334852</v>
      </c>
      <c r="AB21" s="82">
        <v>30556.337521271238</v>
      </c>
      <c r="AC21" s="83">
        <v>219.2699720132988</v>
      </c>
      <c r="AD21" s="82">
        <v>31244.079470618213</v>
      </c>
      <c r="AE21" s="83">
        <v>159.07926806487802</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6533.6044688320853</v>
      </c>
      <c r="C22" s="42">
        <v>379.90788307663502</v>
      </c>
      <c r="D22" s="41">
        <v>6635.9582754173689</v>
      </c>
      <c r="E22" s="42">
        <v>364.37152248153586</v>
      </c>
      <c r="F22" s="41">
        <v>6738.6641673315571</v>
      </c>
      <c r="G22" s="42">
        <v>348.35834373362002</v>
      </c>
      <c r="H22" s="41">
        <v>6841.9605990870914</v>
      </c>
      <c r="I22" s="42">
        <v>331.88393700496607</v>
      </c>
      <c r="J22" s="41">
        <v>6946.0964062951361</v>
      </c>
      <c r="K22" s="42">
        <v>314.96386303886891</v>
      </c>
      <c r="L22" s="41">
        <v>7051.3342121321639</v>
      </c>
      <c r="M22" s="42">
        <v>297.61366393429353</v>
      </c>
      <c r="N22" s="41">
        <v>7157.9562153078405</v>
      </c>
      <c r="O22" s="42">
        <v>279.84869596043404</v>
      </c>
      <c r="P22" s="41">
        <v>7266.2654701182191</v>
      </c>
      <c r="Q22" s="42">
        <v>261.68390319555834</v>
      </c>
      <c r="R22" s="41">
        <v>7376.5955568431255</v>
      </c>
      <c r="S22" s="42">
        <v>243.13362880415897</v>
      </c>
      <c r="T22" s="41">
        <v>7489.3075657556583</v>
      </c>
      <c r="U22" s="42">
        <v>224.2103685352152</v>
      </c>
      <c r="V22" s="41">
        <v>7604.7996237328307</v>
      </c>
      <c r="W22" s="42">
        <v>204.92424594218716</v>
      </c>
      <c r="X22" s="41">
        <v>7723.5034180524635</v>
      </c>
      <c r="Y22" s="42">
        <v>185.28113823202523</v>
      </c>
      <c r="Z22" s="41">
        <v>7845.8735633983451</v>
      </c>
      <c r="AA22" s="42">
        <v>165.2804410967513</v>
      </c>
      <c r="AB22" s="41">
        <v>7972.319246416695</v>
      </c>
      <c r="AC22" s="42">
        <v>144.91192479520268</v>
      </c>
      <c r="AD22" s="41">
        <v>8102.967390505225</v>
      </c>
      <c r="AE22" s="42">
        <v>124.15264908630462</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3336.6251391362734</v>
      </c>
      <c r="E23" s="8">
        <v>0</v>
      </c>
      <c r="F23" s="116">
        <v>3395.7712232748372</v>
      </c>
      <c r="G23" s="8">
        <v>0</v>
      </c>
      <c r="H23" s="116">
        <v>3456.1938404644739</v>
      </c>
      <c r="I23" s="8">
        <v>0</v>
      </c>
      <c r="J23" s="116">
        <v>3518.1831898742716</v>
      </c>
      <c r="K23" s="8">
        <v>0</v>
      </c>
      <c r="L23" s="116">
        <v>3582.0771125766441</v>
      </c>
      <c r="M23" s="8">
        <v>0</v>
      </c>
      <c r="N23" s="116">
        <v>3648.2779446689265</v>
      </c>
      <c r="O23" s="8">
        <v>0</v>
      </c>
      <c r="P23" s="116">
        <v>3717.2721582172539</v>
      </c>
      <c r="Q23" s="8">
        <v>0</v>
      </c>
      <c r="R23" s="116">
        <v>3789.6651418420502</v>
      </c>
      <c r="S23" s="8">
        <v>0</v>
      </c>
      <c r="T23" s="116">
        <v>3866.2225096648099</v>
      </c>
      <c r="U23" s="8">
        <v>0</v>
      </c>
      <c r="V23" s="116">
        <v>3947.945794772053</v>
      </c>
      <c r="W23" s="8">
        <v>0</v>
      </c>
      <c r="X23" s="116">
        <v>4036.1851223105632</v>
      </c>
      <c r="Y23" s="8">
        <v>0</v>
      </c>
      <c r="Z23" s="116">
        <v>4132.8331299164774</v>
      </c>
      <c r="AA23" s="8">
        <v>0</v>
      </c>
      <c r="AB23" s="116">
        <v>4240.6547098266228</v>
      </c>
      <c r="AC23" s="8">
        <v>0</v>
      </c>
      <c r="AD23" s="116">
        <v>4363.8818918002125</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3253.0521408057079</v>
      </c>
      <c r="E24" s="8">
        <v>0</v>
      </c>
      <c r="F24" s="97">
        <v>3310.7167812061371</v>
      </c>
      <c r="G24" s="8">
        <v>0</v>
      </c>
      <c r="H24" s="97">
        <v>3369.6259823638757</v>
      </c>
      <c r="I24" s="8">
        <v>0</v>
      </c>
      <c r="J24" s="97">
        <v>3430.062680498012</v>
      </c>
      <c r="K24" s="8">
        <v>0</v>
      </c>
      <c r="L24" s="97">
        <v>3492.3562350330531</v>
      </c>
      <c r="M24" s="8">
        <v>0</v>
      </c>
      <c r="N24" s="97">
        <v>3556.8989298556739</v>
      </c>
      <c r="O24" s="8">
        <v>0</v>
      </c>
      <c r="P24" s="97">
        <v>3624.1650394186522</v>
      </c>
      <c r="Q24" s="8">
        <v>0</v>
      </c>
      <c r="R24" s="97">
        <v>3694.7447805906577</v>
      </c>
      <c r="S24" s="8">
        <v>0</v>
      </c>
      <c r="T24" s="97">
        <v>3769.3846036648192</v>
      </c>
      <c r="U24" s="8">
        <v>0</v>
      </c>
      <c r="V24" s="97">
        <v>3849.060952506451</v>
      </c>
      <c r="W24" s="8">
        <v>0</v>
      </c>
      <c r="X24" s="97">
        <v>3935.0901355436463</v>
      </c>
      <c r="Y24" s="8">
        <v>0</v>
      </c>
      <c r="Z24" s="97">
        <v>4029.3173812972145</v>
      </c>
      <c r="AA24" s="8">
        <v>0</v>
      </c>
      <c r="AB24" s="97">
        <v>4134.4383379786495</v>
      </c>
      <c r="AC24" s="8">
        <v>0</v>
      </c>
      <c r="AD24" s="97">
        <v>4254.5790290551868</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3255.422949388113</v>
      </c>
      <c r="E25" s="42">
        <v>78.35902197615134</v>
      </c>
      <c r="F25" s="41">
        <v>3316.1681598798909</v>
      </c>
      <c r="G25" s="42">
        <v>66.717647271879954</v>
      </c>
      <c r="H25" s="41">
        <v>3377.5494669012846</v>
      </c>
      <c r="I25" s="42">
        <v>56.08619943374331</v>
      </c>
      <c r="J25" s="41">
        <v>3439.8752716948011</v>
      </c>
      <c r="K25" s="42">
        <v>46.46058754587019</v>
      </c>
      <c r="L25" s="41">
        <v>3503.5083482466912</v>
      </c>
      <c r="M25" s="42">
        <v>37.834124009404299</v>
      </c>
      <c r="N25" s="41">
        <v>3568.8838977751107</v>
      </c>
      <c r="O25" s="42">
        <v>30.196548213994891</v>
      </c>
      <c r="P25" s="41">
        <v>3636.5291618866786</v>
      </c>
      <c r="Q25" s="42">
        <v>23.532645458526858</v>
      </c>
      <c r="R25" s="41">
        <v>3707.0973089504014</v>
      </c>
      <c r="S25" s="42">
        <v>17.820887612939384</v>
      </c>
      <c r="T25" s="41">
        <v>3781.4028469388036</v>
      </c>
      <c r="U25" s="42">
        <v>13.031337163831491</v>
      </c>
      <c r="V25" s="41">
        <v>3860.4831681859846</v>
      </c>
      <c r="W25" s="42">
        <v>9.1237780877104253</v>
      </c>
      <c r="X25" s="41">
        <v>3945.6756797062112</v>
      </c>
      <c r="Y25" s="42">
        <v>6.0453193774869458</v>
      </c>
      <c r="Z25" s="41">
        <v>4038.7286929861375</v>
      </c>
      <c r="AA25" s="42">
        <v>3.7281174218517164</v>
      </c>
      <c r="AB25" s="41">
        <v>4141.9357884861738</v>
      </c>
      <c r="AC25" s="42">
        <v>2.0874148354346005</v>
      </c>
      <c r="AD25" s="41">
        <v>4258.2663324277191</v>
      </c>
      <c r="AE25" s="42">
        <v>1.0205017947360311</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5193.8283248131702</v>
      </c>
      <c r="E26" s="34">
        <v>70.592288168604512</v>
      </c>
      <c r="F26" s="33">
        <v>5363.1995056825208</v>
      </c>
      <c r="G26" s="34">
        <v>66.325995803980092</v>
      </c>
      <c r="H26" s="33">
        <v>5547.1381544490087</v>
      </c>
      <c r="I26" s="34">
        <v>62.103463763124857</v>
      </c>
      <c r="J26" s="33">
        <v>5749.2314139711361</v>
      </c>
      <c r="K26" s="34">
        <v>57.92140070482737</v>
      </c>
      <c r="L26" s="33">
        <v>5974.3181544034551</v>
      </c>
      <c r="M26" s="34">
        <v>53.776282386350772</v>
      </c>
      <c r="N26" s="33">
        <v>6229.1309319078809</v>
      </c>
      <c r="O26" s="34">
        <v>49.664547550071035</v>
      </c>
      <c r="P26" s="33">
        <v>6523.3786642464438</v>
      </c>
      <c r="Q26" s="34">
        <v>45.582957372055084</v>
      </c>
      <c r="R26" s="33">
        <v>6871.700004387234</v>
      </c>
      <c r="S26" s="34">
        <v>41.529417588331157</v>
      </c>
      <c r="T26" s="33">
        <v>7297.4543654233685</v>
      </c>
      <c r="U26" s="34">
        <v>37.504563784501642</v>
      </c>
      <c r="V26" s="33">
        <v>7840.7723431368422</v>
      </c>
      <c r="W26" s="34">
        <v>33.515308545497852</v>
      </c>
      <c r="X26" s="33">
        <v>8578.0628827349428</v>
      </c>
      <c r="Y26" s="34">
        <v>29.583161472179672</v>
      </c>
      <c r="Z26" s="33">
        <v>9678.9367015150947</v>
      </c>
      <c r="AA26" s="34">
        <v>25.767518662930101</v>
      </c>
      <c r="AB26" s="33">
        <v>11632.183345899022</v>
      </c>
      <c r="AC26" s="34">
        <v>22.2532246982272</v>
      </c>
      <c r="AD26" s="33">
        <v>17000.958438670612</v>
      </c>
      <c r="AE26" s="34">
        <v>19.987579307882225</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6425.1981590000414</v>
      </c>
      <c r="C27" s="36">
        <v>273.22915400000028</v>
      </c>
      <c r="D27" s="35">
        <v>6444.4854547737204</v>
      </c>
      <c r="E27" s="36">
        <v>253.94181111380183</v>
      </c>
      <c r="F27" s="35">
        <v>6463.287928432308</v>
      </c>
      <c r="G27" s="36">
        <v>235.13927191162139</v>
      </c>
      <c r="H27" s="35">
        <v>6481.631714625034</v>
      </c>
      <c r="I27" s="36">
        <v>216.79542535902414</v>
      </c>
      <c r="J27" s="35">
        <v>6499.5422309170153</v>
      </c>
      <c r="K27" s="36">
        <v>198.88506971003497</v>
      </c>
      <c r="L27" s="35">
        <v>6517.043256906366</v>
      </c>
      <c r="M27" s="36">
        <v>181.38379879085835</v>
      </c>
      <c r="N27" s="35">
        <v>6534.1588568358738</v>
      </c>
      <c r="O27" s="36">
        <v>164.26848139998714</v>
      </c>
      <c r="P27" s="35">
        <v>6550.9078290551697</v>
      </c>
      <c r="Q27" s="36">
        <v>147.51752236906736</v>
      </c>
      <c r="R27" s="35">
        <v>6567.3143324708917</v>
      </c>
      <c r="S27" s="36">
        <v>131.11255787203652</v>
      </c>
      <c r="T27" s="35">
        <v>6583.3865512249668</v>
      </c>
      <c r="U27" s="36">
        <v>115.04023222623793</v>
      </c>
      <c r="V27" s="35">
        <v>6599.130114562091</v>
      </c>
      <c r="W27" s="36">
        <v>99.296467929442258</v>
      </c>
      <c r="X27" s="35">
        <v>6614.5329302173013</v>
      </c>
      <c r="Y27" s="36">
        <v>83.893100227743531</v>
      </c>
      <c r="Z27" s="35">
        <v>6629.5580646823501</v>
      </c>
      <c r="AA27" s="36">
        <v>68.869615323834964</v>
      </c>
      <c r="AB27" s="35">
        <v>6644.1138564652838</v>
      </c>
      <c r="AC27" s="36">
        <v>54.313463585726886</v>
      </c>
      <c r="AD27" s="35">
        <v>6658.0325194054094</v>
      </c>
      <c r="AE27" s="36">
        <v>40.394582588246109</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13763.097676000029</v>
      </c>
      <c r="C28" s="42">
        <v>382.36647899999997</v>
      </c>
      <c r="D28" s="41">
        <v>14007.415552110262</v>
      </c>
      <c r="E28" s="42">
        <v>356.74858194766369</v>
      </c>
      <c r="F28" s="41">
        <v>14258.250102160266</v>
      </c>
      <c r="G28" s="42">
        <v>331.5969949578058</v>
      </c>
      <c r="H28" s="41">
        <v>14517.20211910352</v>
      </c>
      <c r="I28" s="42">
        <v>306.88958256018674</v>
      </c>
      <c r="J28" s="41">
        <v>14786.179485706391</v>
      </c>
      <c r="K28" s="42">
        <v>282.60336107724333</v>
      </c>
      <c r="L28" s="41">
        <v>15067.49940895986</v>
      </c>
      <c r="M28" s="42">
        <v>258.71452042600254</v>
      </c>
      <c r="N28" s="41">
        <v>15364.041142059938</v>
      </c>
      <c r="O28" s="42">
        <v>235.19915337872331</v>
      </c>
      <c r="P28" s="41">
        <v>15679.448438265581</v>
      </c>
      <c r="Q28" s="42">
        <v>212.03377012748513</v>
      </c>
      <c r="R28" s="41">
        <v>16018.46344570644</v>
      </c>
      <c r="S28" s="42">
        <v>189.1976530473799</v>
      </c>
      <c r="T28" s="41">
        <v>16387.396777986363</v>
      </c>
      <c r="U28" s="42">
        <v>166.67549408053068</v>
      </c>
      <c r="V28" s="41">
        <v>16794.939011289753</v>
      </c>
      <c r="W28" s="42">
        <v>144.46347884752333</v>
      </c>
      <c r="X28" s="41">
        <v>17253.492306394706</v>
      </c>
      <c r="Y28" s="42">
        <v>122.57892762401849</v>
      </c>
      <c r="Z28" s="41">
        <v>17781.57091984227</v>
      </c>
      <c r="AA28" s="42">
        <v>101.07743040761709</v>
      </c>
      <c r="AB28" s="41">
        <v>18408.336043347786</v>
      </c>
      <c r="AC28" s="42">
        <v>80.08262180889875</v>
      </c>
      <c r="AD28" s="41">
        <v>19182.962041126586</v>
      </c>
      <c r="AE28" s="42">
        <v>59.835873620892656</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14362.768558000025</v>
      </c>
      <c r="C29" s="36">
        <v>817.26650999999993</v>
      </c>
      <c r="D29" s="35">
        <v>14587.155279099627</v>
      </c>
      <c r="E29" s="36">
        <v>754.83945385137758</v>
      </c>
      <c r="F29" s="35">
        <v>14813.997089453356</v>
      </c>
      <c r="G29" s="36">
        <v>693.96170268813751</v>
      </c>
      <c r="H29" s="35">
        <v>15044.16675638489</v>
      </c>
      <c r="I29" s="36">
        <v>634.62174890675124</v>
      </c>
      <c r="J29" s="35">
        <v>15278.647194933095</v>
      </c>
      <c r="K29" s="36">
        <v>576.81417289826447</v>
      </c>
      <c r="L29" s="35">
        <v>15518.564880012349</v>
      </c>
      <c r="M29" s="36">
        <v>520.5411380733658</v>
      </c>
      <c r="N29" s="35">
        <v>15765.242153312152</v>
      </c>
      <c r="O29" s="36">
        <v>465.81556755883054</v>
      </c>
      <c r="P29" s="35">
        <v>16020.249772685032</v>
      </c>
      <c r="Q29" s="36">
        <v>412.66430630193713</v>
      </c>
      <c r="R29" s="35">
        <v>16285.510721502415</v>
      </c>
      <c r="S29" s="36">
        <v>361.13521570224026</v>
      </c>
      <c r="T29" s="35">
        <v>16563.401147358098</v>
      </c>
      <c r="U29" s="36">
        <v>311.30488053552921</v>
      </c>
      <c r="V29" s="35">
        <v>16856.953116893026</v>
      </c>
      <c r="W29" s="36">
        <v>263.29307199311427</v>
      </c>
      <c r="X29" s="35">
        <v>17170.122545360904</v>
      </c>
      <c r="Y29" s="36">
        <v>217.28285924912424</v>
      </c>
      <c r="Z29" s="35">
        <v>17508.226640293051</v>
      </c>
      <c r="AA29" s="36">
        <v>173.55217281578859</v>
      </c>
      <c r="AB29" s="35">
        <v>17878.588916038774</v>
      </c>
      <c r="AC29" s="36">
        <v>132.52234427068632</v>
      </c>
      <c r="AD29" s="35">
        <v>18291.491641144763</v>
      </c>
      <c r="AE29" s="36">
        <v>94.830973514208068</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2969177.3691493245</v>
      </c>
      <c r="F30" s="119">
        <v>3014332.4209638461</v>
      </c>
      <c r="H30" s="119">
        <v>3060454.9534223969</v>
      </c>
      <c r="J30" s="119">
        <v>3107722.144144332</v>
      </c>
      <c r="L30" s="119">
        <v>3156334.1845168788</v>
      </c>
      <c r="N30" s="119">
        <v>3206522.3913906487</v>
      </c>
      <c r="P30" s="119">
        <v>3258559.9012700049</v>
      </c>
      <c r="R30" s="119">
        <v>3312775.1199685917</v>
      </c>
      <c r="T30" s="119">
        <v>3369579.8900396805</v>
      </c>
      <c r="V30" s="119">
        <v>3429502.5260129143</v>
      </c>
      <c r="X30" s="119">
        <v>3493252.2840672932</v>
      </c>
      <c r="Z30" s="119">
        <v>3561826.0912859002</v>
      </c>
      <c r="AB30" s="119">
        <v>3636702.7235348835</v>
      </c>
      <c r="AD30" s="119">
        <v>3720175.3880499951</v>
      </c>
      <c r="AF30" s="119"/>
      <c r="AH30" s="119"/>
      <c r="AJ30" s="119"/>
      <c r="AL30" s="119"/>
      <c r="AN30" s="119"/>
      <c r="AP30" s="119"/>
      <c r="AR30" s="119"/>
      <c r="AT30" s="119"/>
      <c r="AV30" s="119"/>
    </row>
    <row r="31" spans="1:49" x14ac:dyDescent="0.2">
      <c r="A31" t="s">
        <v>47</v>
      </c>
      <c r="B31" s="80">
        <v>1.0000000000000027</v>
      </c>
      <c r="D31" s="80">
        <v>1.0124475748265371</v>
      </c>
      <c r="F31" s="80">
        <v>1.0245658056857516</v>
      </c>
      <c r="H31" s="80">
        <v>1.0363340059628201</v>
      </c>
      <c r="J31" s="80">
        <v>1.0477205095586086</v>
      </c>
      <c r="L31" s="80">
        <v>1.0586795269863567</v>
      </c>
      <c r="N31" s="80">
        <v>1.0691469009575842</v>
      </c>
      <c r="P31" s="80">
        <v>1.0790331214254616</v>
      </c>
      <c r="R31" s="80">
        <v>1.0882143264635362</v>
      </c>
      <c r="T31" s="80">
        <v>1.096516131267345</v>
      </c>
      <c r="V31" s="80">
        <v>1.1036909879895882</v>
      </c>
      <c r="X31" s="80">
        <v>1.1093788489422378</v>
      </c>
      <c r="Z31" s="80">
        <v>1.1130404915743566</v>
      </c>
      <c r="AB31" s="80">
        <v>1.1138326369581288</v>
      </c>
      <c r="AD31" s="80">
        <v>1.1103590451835064</v>
      </c>
      <c r="AF31" s="80"/>
      <c r="AH31" s="80"/>
      <c r="AJ31" s="80"/>
      <c r="AL31" s="80"/>
      <c r="AN31" s="80"/>
      <c r="AP31" s="80"/>
      <c r="AR31" s="80"/>
      <c r="AT31" s="80"/>
      <c r="AV31" s="80"/>
    </row>
    <row r="32" spans="1:49" x14ac:dyDescent="0.2">
      <c r="A32" t="s">
        <v>64</v>
      </c>
      <c r="B32" s="86">
        <v>14734457.915000005</v>
      </c>
      <c r="D32" s="86">
        <v>14970776.063063521</v>
      </c>
      <c r="F32" s="86">
        <v>15212109.601518324</v>
      </c>
      <c r="H32" s="86">
        <v>15459414.81063341</v>
      </c>
      <c r="J32" s="86">
        <v>15713770.573046599</v>
      </c>
      <c r="L32" s="86">
        <v>15976417.039621226</v>
      </c>
      <c r="N32" s="86">
        <v>16248815.558968578</v>
      </c>
      <c r="P32" s="86">
        <v>16532717.352505792</v>
      </c>
      <c r="R32" s="86">
        <v>16830292.985873725</v>
      </c>
      <c r="T32" s="86">
        <v>17144285.46970056</v>
      </c>
      <c r="V32" s="86">
        <v>17478308.083048783</v>
      </c>
      <c r="X32" s="86">
        <v>17837303.046210989</v>
      </c>
      <c r="Z32" s="86">
        <v>18228368.157808069</v>
      </c>
      <c r="AB32" s="86">
        <v>18662232.315601368</v>
      </c>
      <c r="AD32" s="86">
        <v>19156055.609207328</v>
      </c>
      <c r="AF32" s="86"/>
      <c r="AH32" s="86"/>
      <c r="AJ32" s="86"/>
      <c r="AL32" s="86"/>
      <c r="AN32" s="86"/>
      <c r="AP32" s="86"/>
      <c r="AR32" s="86"/>
      <c r="AT32" s="86"/>
      <c r="AV32" s="86"/>
    </row>
    <row r="33" spans="1:49 16319:16321" x14ac:dyDescent="0.2">
      <c r="A33" t="s">
        <v>54</v>
      </c>
      <c r="B33" s="117">
        <v>7019665.6910000108</v>
      </c>
      <c r="D33" s="117">
        <v>7132250.4030709825</v>
      </c>
      <c r="F33" s="117">
        <v>7247224.5023014881</v>
      </c>
      <c r="H33" s="117">
        <v>7365043.5673163226</v>
      </c>
      <c r="J33" s="117">
        <v>7486221.5386506552</v>
      </c>
      <c r="L33" s="117">
        <v>7611349.4012309927</v>
      </c>
      <c r="N33" s="117">
        <v>7741123.1413152963</v>
      </c>
      <c r="P33" s="117">
        <v>7876377.5323614143</v>
      </c>
      <c r="R33" s="117">
        <v>8018145.7506038174</v>
      </c>
      <c r="T33" s="117">
        <v>8167735.3980850149</v>
      </c>
      <c r="V33" s="117">
        <v>8326867.6357389297</v>
      </c>
      <c r="X33" s="117">
        <v>8497897.0053000376</v>
      </c>
      <c r="Z33" s="117">
        <v>8684204.8124256041</v>
      </c>
      <c r="AB33" s="117">
        <v>8890902.7151666824</v>
      </c>
      <c r="AD33" s="117">
        <v>9126165.8327092584</v>
      </c>
      <c r="AF33" s="117"/>
      <c r="AH33" s="117"/>
      <c r="AJ33" s="117"/>
      <c r="AL33" s="117"/>
      <c r="AN33" s="117"/>
      <c r="AP33" s="117"/>
      <c r="AR33" s="117"/>
      <c r="AT33" s="117"/>
      <c r="AV33" s="117"/>
    </row>
    <row r="34" spans="1:49 16319:16321" x14ac:dyDescent="0.2">
      <c r="A34" t="s">
        <v>75</v>
      </c>
      <c r="B34" s="117">
        <v>1136879.4409999943</v>
      </c>
      <c r="D34" s="117">
        <v>1155113.2291910816</v>
      </c>
      <c r="F34" s="117">
        <v>1173733.9958801977</v>
      </c>
      <c r="H34" s="117">
        <v>1192815.5297136635</v>
      </c>
      <c r="J34" s="117">
        <v>1212441.1208132098</v>
      </c>
      <c r="L34" s="117">
        <v>1232706.3137089519</v>
      </c>
      <c r="N34" s="117">
        <v>1253724.0546349296</v>
      </c>
      <c r="P34" s="117">
        <v>1275629.0057246722</v>
      </c>
      <c r="R34" s="117">
        <v>1298589.5579941589</v>
      </c>
      <c r="T34" s="117">
        <v>1322816.543464689</v>
      </c>
      <c r="V34" s="117">
        <v>1348589.0056288629</v>
      </c>
      <c r="X34" s="117">
        <v>1376288.2646233207</v>
      </c>
      <c r="Z34" s="117">
        <v>1406462.142865537</v>
      </c>
      <c r="AB34" s="117">
        <v>1439938.1632151692</v>
      </c>
      <c r="AD34" s="117">
        <v>1478040.5130600797</v>
      </c>
      <c r="AF34" s="117"/>
      <c r="AH34" s="117"/>
      <c r="AJ34" s="117"/>
      <c r="AL34" s="117"/>
      <c r="AN34" s="117"/>
      <c r="AP34" s="117"/>
      <c r="AR34" s="117"/>
      <c r="AT34" s="117"/>
      <c r="AV34" s="117"/>
    </row>
    <row r="35" spans="1:49 16319:16321" x14ac:dyDescent="0.2">
      <c r="A35" t="s">
        <v>78</v>
      </c>
      <c r="B35" s="233">
        <v>1</v>
      </c>
      <c r="D35" s="233">
        <v>1.0035499159478953</v>
      </c>
      <c r="F35" s="233">
        <v>1.0076911827309969</v>
      </c>
      <c r="H35" s="233">
        <v>1.0125206996888414</v>
      </c>
      <c r="J35" s="233">
        <v>1.0181656431978567</v>
      </c>
      <c r="L35" s="233">
        <v>1.0247948272242202</v>
      </c>
      <c r="N35" s="233">
        <v>1.0326356071392431</v>
      </c>
      <c r="P35" s="233">
        <v>1.0419995210075044</v>
      </c>
      <c r="R35" s="233">
        <v>1.0533223268209744</v>
      </c>
      <c r="T35" s="233">
        <v>1.0672289750063957</v>
      </c>
      <c r="V35" s="233">
        <v>1.0846420208573988</v>
      </c>
      <c r="X35" s="233">
        <v>1.1069721479313603</v>
      </c>
      <c r="Z35" s="233">
        <v>1.1364701823261079</v>
      </c>
      <c r="AB35" s="233">
        <v>1.1769203093887497</v>
      </c>
      <c r="AD35" s="233">
        <v>1.2351138098502656</v>
      </c>
      <c r="AF35" s="233"/>
      <c r="AH35" s="233"/>
      <c r="AJ35" s="233"/>
      <c r="AL35" s="233"/>
      <c r="AN35" s="233"/>
      <c r="AP35" s="233"/>
      <c r="AR35" s="233"/>
      <c r="AT35" s="233"/>
      <c r="AV35" s="233"/>
    </row>
    <row r="36" spans="1:49 16319:16321" x14ac:dyDescent="0.2">
      <c r="A36" t="s">
        <v>21</v>
      </c>
      <c r="B36" s="37">
        <v>0.47195767671988198</v>
      </c>
      <c r="C36" s="38">
        <v>0.31738834428178964</v>
      </c>
      <c r="D36" s="37">
        <v>0.47198363476905258</v>
      </c>
      <c r="E36" s="38">
        <v>0.32187918077129701</v>
      </c>
      <c r="F36" s="37">
        <v>0.47200860119289878</v>
      </c>
      <c r="G36" s="38">
        <v>0.3268113159095779</v>
      </c>
      <c r="H36" s="37">
        <v>0.47203275868342731</v>
      </c>
      <c r="I36" s="38">
        <v>0.33226095523300786</v>
      </c>
      <c r="J36" s="37">
        <v>0.47205632390582608</v>
      </c>
      <c r="K36" s="38">
        <v>0.33832201564929698</v>
      </c>
      <c r="L36" s="37">
        <v>0.47207955627373571</v>
      </c>
      <c r="M36" s="38">
        <v>0.34511169652495127</v>
      </c>
      <c r="N36" s="37">
        <v>0.47210276945152374</v>
      </c>
      <c r="O36" s="38">
        <v>0.35277838487992885</v>
      </c>
      <c r="P36" s="37">
        <v>0.47212634597648623</v>
      </c>
      <c r="Q36" s="38">
        <v>0.36151295524141253</v>
      </c>
      <c r="R36" s="37">
        <v>0.47215075234189824</v>
      </c>
      <c r="S36" s="38">
        <v>0.37156553753645433</v>
      </c>
      <c r="T36" s="37">
        <v>0.47217656611435888</v>
      </c>
      <c r="U36" s="38">
        <v>0.38327130597270676</v>
      </c>
      <c r="V36" s="37">
        <v>0.47220449438417339</v>
      </c>
      <c r="W36" s="38">
        <v>0.39709101746279674</v>
      </c>
      <c r="X36" s="37">
        <v>0.47223539741977133</v>
      </c>
      <c r="Y36" s="38">
        <v>0.41367835230188088</v>
      </c>
      <c r="Z36" s="37">
        <v>0.47227028910348529</v>
      </c>
      <c r="AA36" s="38">
        <v>0.43399704306317899</v>
      </c>
      <c r="AB36" s="37">
        <v>0.47231027458218749</v>
      </c>
      <c r="AC36" s="38">
        <v>0.45953776604325425</v>
      </c>
      <c r="AD36" s="37">
        <v>0.47235629940973672</v>
      </c>
      <c r="AE36" s="38">
        <v>0.49275505284756926</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2.1403217525954466E-2</v>
      </c>
      <c r="C37" s="40">
        <v>0.3496246130199252</v>
      </c>
      <c r="D37" s="39">
        <v>2.0421728477524419E-2</v>
      </c>
      <c r="E37" s="40">
        <v>0.34429238419519359</v>
      </c>
      <c r="F37" s="39">
        <v>1.9437343987834199E-2</v>
      </c>
      <c r="G37" s="40">
        <v>0.33887844618475688</v>
      </c>
      <c r="H37" s="39">
        <v>1.84495437193858E-2</v>
      </c>
      <c r="I37" s="40">
        <v>0.33337972925029058</v>
      </c>
      <c r="J37" s="39">
        <v>1.7457845650044976E-2</v>
      </c>
      <c r="K37" s="40">
        <v>0.32779368622334965</v>
      </c>
      <c r="L37" s="39">
        <v>1.6461787713523444E-2</v>
      </c>
      <c r="M37" s="40">
        <v>0.32211833421644182</v>
      </c>
      <c r="N37" s="39">
        <v>1.5460896696444333E-2</v>
      </c>
      <c r="O37" s="40">
        <v>0.31635225962778013</v>
      </c>
      <c r="P37" s="39">
        <v>1.4454661711504438E-2</v>
      </c>
      <c r="Q37" s="40">
        <v>0.3104947001617559</v>
      </c>
      <c r="R37" s="39">
        <v>1.3442490406809764E-2</v>
      </c>
      <c r="S37" s="40">
        <v>0.3045456047195535</v>
      </c>
      <c r="T37" s="39">
        <v>1.2423631410895765E-2</v>
      </c>
      <c r="U37" s="40">
        <v>0.29850560870743004</v>
      </c>
      <c r="V37" s="39">
        <v>1.1397094154967129E-2</v>
      </c>
      <c r="W37" s="40">
        <v>0.29237618140238913</v>
      </c>
      <c r="X37" s="39">
        <v>1.0361501780854602E-2</v>
      </c>
      <c r="Y37" s="40">
        <v>0.28615970229749049</v>
      </c>
      <c r="Z37" s="39">
        <v>9.3148851995066024E-3</v>
      </c>
      <c r="AA37" s="40">
        <v>0.27985981916873964</v>
      </c>
      <c r="AB37" s="39">
        <v>8.2543945575593407E-3</v>
      </c>
      <c r="AC37" s="40">
        <v>0.27348277404455434</v>
      </c>
      <c r="AD37" s="39">
        <v>7.1759327376922149E-3</v>
      </c>
      <c r="AE37" s="40">
        <v>0.2670433714576545</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0.18356861559608953</v>
      </c>
      <c r="E38" s="38">
        <v>6.1384362007165003E-2</v>
      </c>
      <c r="F38" s="37">
        <v>0.18664303350715589</v>
      </c>
      <c r="G38" s="38">
        <v>6.2296839040927671E-2</v>
      </c>
      <c r="H38" s="37">
        <v>0.19008168065582565</v>
      </c>
      <c r="I38" s="38">
        <v>6.3321851525614856E-2</v>
      </c>
      <c r="J38" s="37">
        <v>0.19397427988832358</v>
      </c>
      <c r="K38" s="38">
        <v>6.4483946553301516E-2</v>
      </c>
      <c r="L38" s="37">
        <v>0.19844318059008323</v>
      </c>
      <c r="M38" s="38">
        <v>6.5815522151792191E-2</v>
      </c>
      <c r="N38" s="37">
        <v>0.20366028560713101</v>
      </c>
      <c r="O38" s="38">
        <v>6.7360365658957269E-2</v>
      </c>
      <c r="P38" s="37">
        <v>0.20987595140188162</v>
      </c>
      <c r="Q38" s="38">
        <v>6.9179594341625031E-2</v>
      </c>
      <c r="R38" s="37">
        <v>0.21747097915875049</v>
      </c>
      <c r="S38" s="38">
        <v>7.1361668087898372E-2</v>
      </c>
      <c r="T38" s="37">
        <v>0.22705877840162392</v>
      </c>
      <c r="U38" s="38">
        <v>7.4041250326907157E-2</v>
      </c>
      <c r="V38" s="37">
        <v>0.23970236397456679</v>
      </c>
      <c r="W38" s="38">
        <v>7.7437012783524703E-2</v>
      </c>
      <c r="X38" s="37">
        <v>0.25744351992509473</v>
      </c>
      <c r="Y38" s="38">
        <v>8.1938329914449437E-2</v>
      </c>
      <c r="Z38" s="37">
        <v>0.2848536574216104</v>
      </c>
      <c r="AA38" s="38">
        <v>8.8341984392769413E-2</v>
      </c>
      <c r="AB38" s="37">
        <v>0.33522016662016013</v>
      </c>
      <c r="AC38" s="38">
        <v>9.8717857034678017E-2</v>
      </c>
      <c r="AD38" s="37">
        <v>0.47883632893884065</v>
      </c>
      <c r="AE38" s="38">
        <v>0.12233586889923437</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0.23064923795098771</v>
      </c>
      <c r="C39" s="40">
        <v>0.22092201281804777</v>
      </c>
      <c r="D39" s="39">
        <v>0.22777134690998896</v>
      </c>
      <c r="E39" s="40">
        <v>0.22081811578247471</v>
      </c>
      <c r="F39" s="39">
        <v>0.22492686764955055</v>
      </c>
      <c r="G39" s="40">
        <v>0.22085508399709816</v>
      </c>
      <c r="H39" s="39">
        <v>0.22210361728955433</v>
      </c>
      <c r="I39" s="40">
        <v>0.22104866466671774</v>
      </c>
      <c r="J39" s="39">
        <v>0.21928914198551092</v>
      </c>
      <c r="K39" s="40">
        <v>0.22141892373750327</v>
      </c>
      <c r="L39" s="39">
        <v>0.21647035837728806</v>
      </c>
      <c r="M39" s="40">
        <v>0.22199134818449193</v>
      </c>
      <c r="N39" s="39">
        <v>0.21363311728911955</v>
      </c>
      <c r="O39" s="40">
        <v>0.22279846528731595</v>
      </c>
      <c r="P39" s="39">
        <v>0.21076164422348603</v>
      </c>
      <c r="Q39" s="40">
        <v>0.22388197133584928</v>
      </c>
      <c r="R39" s="39">
        <v>0.2078379844018084</v>
      </c>
      <c r="S39" s="40">
        <v>0.22529598006326437</v>
      </c>
      <c r="T39" s="39">
        <v>0.20484070652767936</v>
      </c>
      <c r="U39" s="40">
        <v>0.22711163049037442</v>
      </c>
      <c r="V39" s="39">
        <v>0.20174378484804326</v>
      </c>
      <c r="W39" s="40">
        <v>0.22942417033018697</v>
      </c>
      <c r="X39" s="39">
        <v>0.19851435731987402</v>
      </c>
      <c r="Y39" s="40">
        <v>0.23236395915532099</v>
      </c>
      <c r="Z39" s="39">
        <v>0.19510964066105435</v>
      </c>
      <c r="AA39" s="40">
        <v>0.23611425537946704</v>
      </c>
      <c r="AB39" s="39">
        <v>0.19147230470647894</v>
      </c>
      <c r="AC39" s="40">
        <v>0.24094075380190255</v>
      </c>
      <c r="AD39" s="39">
        <v>0.18752518342117658</v>
      </c>
      <c r="AE39" s="40">
        <v>0.24723886187689467</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8.1260252592576743E-2</v>
      </c>
      <c r="E42" s="135"/>
      <c r="F42" s="177">
        <f>10.8%+(1-10.8%)*(1-SUM(F26:G26)/SUM($B$26:$C$26))</f>
        <v>5.2446365042158133E-2</v>
      </c>
      <c r="G42" s="135"/>
      <c r="H42" s="177">
        <f>10.8%+(1-10.8%)*(1-SUM(H26:I26)/SUM($B$26:$C$26))</f>
        <v>2.1082545198737312E-2</v>
      </c>
      <c r="I42" s="135"/>
      <c r="J42" s="177">
        <f>10.8%+(1-10.8%)*(1-SUM(J26:K26)/SUM($B$26:$C$26))</f>
        <v>-1.3456655981331805E-2</v>
      </c>
      <c r="K42" s="135"/>
      <c r="L42" s="177">
        <f>10.8%+(1-10.8%)*(1-SUM(L26:M26)/SUM($B$26:$C$26))</f>
        <v>-5.2015096694085716E-2</v>
      </c>
      <c r="M42" s="135"/>
      <c r="N42" s="177">
        <f>10.8%+(1-10.8%)*(1-SUM(N26:O26)/SUM($B$26:$C$26))</f>
        <v>-9.5767112262091697E-2</v>
      </c>
      <c r="O42" s="135"/>
      <c r="P42" s="177">
        <f>10.8%+(1-10.8%)*(1-SUM(P26:Q26)/SUM($B$26:$C$26))</f>
        <v>-0.14640652498253001</v>
      </c>
      <c r="Q42" s="135"/>
      <c r="R42" s="177">
        <f>10.8%+(1-10.8%)*(1-SUM(R26:S26)/SUM($B$26:$C$26))</f>
        <v>-0.20648768779095014</v>
      </c>
      <c r="S42" s="135"/>
      <c r="T42" s="177">
        <f>10.8%+(1-10.8%)*(1-SUM(T26:U26)/SUM($B$26:$C$26))</f>
        <v>-0.28008736559659708</v>
      </c>
      <c r="U42" s="135"/>
      <c r="V42" s="177">
        <f>10.8%+(1-10.8%)*(1-SUM(V26:W26)/SUM($B$26:$C$26))</f>
        <v>-0.37421030346251916</v>
      </c>
      <c r="W42" s="135"/>
      <c r="X42" s="177">
        <f>10.8%+(1-10.8%)*(1-SUM(X26:Y26)/SUM($B$26:$C$26))</f>
        <v>-0.50219504363427958</v>
      </c>
      <c r="Y42" s="162"/>
      <c r="Z42" s="177">
        <f>10.8%+(1-10.8%)*(1-SUM(Z26:AA26)/SUM($B$26:$C$26))</f>
        <v>-0.69365219069378725</v>
      </c>
      <c r="AA42" s="135"/>
      <c r="AB42" s="177">
        <f>10.8%+(1-10.8%)*(1-SUM(AB26:AC26)/SUM($B$26:$C$26))</f>
        <v>-1.0339169109403041</v>
      </c>
      <c r="AC42" s="135"/>
      <c r="AD42" s="177">
        <f>10.8%+(1-10.8%)*(1-SUM(AD26:AE26)/SUM($B$26:$C$26))</f>
        <v>-1.9704730671844377</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0.58262976879003892</v>
      </c>
      <c r="E43" s="135"/>
      <c r="F43" s="162">
        <f t="array" ref="F43">SUM(F15:G15*F27:G27)/SUM(F15:G15*F27:G27,F13:G13*F26:G26)</f>
        <v>0.59867611111382746</v>
      </c>
      <c r="G43" s="135"/>
      <c r="H43" s="162">
        <f t="array" ref="H43">SUM(H15:I15*H27:I27)/SUM(H15:I15*H27:I27,H13:I13*H26:I26)</f>
        <v>0.61546559522183453</v>
      </c>
      <c r="I43" s="135"/>
      <c r="J43" s="162">
        <f t="array" ref="J43">SUM(J15:K15*J27:K27)/SUM(J15:K15*J27:K27,J13:K13*J26:K26)</f>
        <v>0.63314966028685105</v>
      </c>
      <c r="K43" s="135"/>
      <c r="L43" s="162">
        <f t="array" ref="L43">SUM(L15:M15*L27:M27)/SUM(L15:M15*L27:M27,L13:M13*L26:M26)</f>
        <v>0.65191362948791065</v>
      </c>
      <c r="M43" s="135"/>
      <c r="N43" s="162">
        <f t="array" ref="N43">SUM(N15:O15*N27:O27)/SUM(N15:O15*N27:O27,N13:O13*N26:O26)</f>
        <v>0.67198890161440039</v>
      </c>
      <c r="O43" s="135"/>
      <c r="P43" s="162">
        <f t="array" ref="P43">SUM(P15:Q15*P27:Q27)/SUM(P15:Q15*P27:Q27,P13:Q13*P26:Q26)</f>
        <v>0.69367009521265843</v>
      </c>
      <c r="Q43" s="135"/>
      <c r="R43" s="162">
        <f t="array" ref="R43">SUM(R15:S15*R27:S27)/SUM(R15:S15*R27:S27,R13:S13*R26:S26)</f>
        <v>0.71734161216790304</v>
      </c>
      <c r="S43" s="135"/>
      <c r="T43" s="162">
        <f t="array" ref="T43">SUM(T15:U15*T27:U27)/SUM(T15:U15*T27:U27,T13:U13*T26:U26)</f>
        <v>0.74351723753463117</v>
      </c>
      <c r="U43" s="135"/>
      <c r="V43" s="162">
        <f t="array" ref="V43">SUM(V15:W15*V27:W27)/SUM(V15:W15*V27:W27,V13:W13*V26:W26)</f>
        <v>0.77290541727190976</v>
      </c>
      <c r="W43" s="135"/>
      <c r="X43" s="162">
        <f t="array" ref="X43">SUM(X15:Y15*X27:Y27)/SUM(X15:Y15*X27:Y27,X13:Y13*X26:Y26)</f>
        <v>0.80651763539271037</v>
      </c>
      <c r="Y43" s="135"/>
      <c r="Z43" s="162">
        <f t="array" ref="Z43">SUM(Z15:AA15*Z27:AA27)/SUM(Z15:AA15*Z27:AA27,Z13:AA13*Z26:AA26)</f>
        <v>0.84586071199941892</v>
      </c>
      <c r="AA43" s="135"/>
      <c r="AB43" s="162">
        <f t="array" ref="AB43">SUM(AB15:AC15*AB27:AC27)/SUM(AB15:AC15*AB27:AC27,AB13:AC13*AB26:AC26)</f>
        <v>0.89329570069233055</v>
      </c>
      <c r="AC43" s="135"/>
      <c r="AD43" s="162">
        <f t="array" ref="AD43">SUM(AD15:AE15*AD27:AE27)/SUM(AD15:AE15*AD27:AE27,AD13:AE13*AD26:AE26)</f>
        <v>0.95275908937959708</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0.29754226190682309</v>
      </c>
      <c r="D44" s="193">
        <f>(SUM(D11:E11*D24:E24)+D34)/D32</f>
        <v>0.29754226052069871</v>
      </c>
      <c r="F44" s="193">
        <f>(SUM(F11:G11*F24:G24)+F34)/F32</f>
        <v>0.29754225935394313</v>
      </c>
      <c r="H44" s="193">
        <f>(SUM(H11:I11*H24:I24)+H34)/H32</f>
        <v>0.29754225867737633</v>
      </c>
      <c r="J44" s="193">
        <f>(SUM(J11:K11*J24:K24)+J34)/J32</f>
        <v>0.29754226175240139</v>
      </c>
      <c r="L44" s="193">
        <f>(SUM(L11:M11*L24:M24)+L34)/L32</f>
        <v>0.29754225820823665</v>
      </c>
      <c r="N44" s="193">
        <f>(SUM(N11:O11*N24:O24)+N34)/N32</f>
        <v>0.29754226173196546</v>
      </c>
      <c r="P44" s="193">
        <f>(SUM(P11:Q11*P24:Q24)+P34)/P32</f>
        <v>0.29754224345512442</v>
      </c>
      <c r="R44" s="193">
        <f>(SUM(R11:S11*R24:S24)+R34)/R32</f>
        <v>0.29754225837357995</v>
      </c>
      <c r="T44" s="193">
        <f>(SUM(T11:U11*T24:U24)+T34)/T32</f>
        <v>0.2975422580448791</v>
      </c>
      <c r="V44" s="193">
        <f>(SUM(V11:W11*V24:W24)+V34)/V32</f>
        <v>0.29754225742093837</v>
      </c>
      <c r="X44" s="193">
        <f>(SUM(X11:Y11*X24:Y24)+X34)/X32</f>
        <v>0.29754225590605166</v>
      </c>
      <c r="Z44" s="193">
        <f>(SUM(Z11:AA11*Z24:AA24)+Z34)/Z32</f>
        <v>0.297542262749598</v>
      </c>
      <c r="AB44" s="193">
        <f>(SUM(AB11:AC11*AB24:AC24)+AB34)/AB32</f>
        <v>0.29754226198070494</v>
      </c>
      <c r="AD44" s="193">
        <f>(SUM(AD11:AE11*AD24:AE24)+AD34)/AD32</f>
        <v>0.2975422617207335</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0.22038438812148345</v>
      </c>
      <c r="F45" s="193">
        <f>SUM(F11:G11*F24:G24)/F32</f>
        <v>0.22038438798526408</v>
      </c>
      <c r="H45" s="193">
        <f>SUM(H11:I11*H24:I24)/H32</f>
        <v>0.2203843879348685</v>
      </c>
      <c r="J45" s="193">
        <f>SUM(J11:K11*J24:K24)/J32</f>
        <v>0.22038438833321852</v>
      </c>
      <c r="L45" s="193">
        <f>SUM(L11:M11*L24:M24)/L32</f>
        <v>0.22038438791404855</v>
      </c>
      <c r="N45" s="193">
        <f>SUM(N11:O11*N24:O24)/N32</f>
        <v>0.22038438828051049</v>
      </c>
      <c r="P45" s="193">
        <f>SUM(P11:Q11*P24:Q24)/P32</f>
        <v>0.22038438860730467</v>
      </c>
      <c r="R45" s="193">
        <f>SUM(R11:S11*R24:S24)/R32</f>
        <v>0.22038438838972926</v>
      </c>
      <c r="T45" s="193">
        <f>SUM(T11:U11*T24:U24)/T32</f>
        <v>0.22038438839772878</v>
      </c>
      <c r="V45" s="193">
        <f>SUM(V11:W11*V24:W24)/V32</f>
        <v>0.22038438840861774</v>
      </c>
      <c r="X45" s="193">
        <f>SUM(X11:Y11*X24:Y24)/X32</f>
        <v>0.22038438842699498</v>
      </c>
      <c r="Z45" s="193">
        <f>SUM(Z11:AA11*Z24:AA24)/Z32</f>
        <v>0.22038438823831966</v>
      </c>
      <c r="AB45" s="193">
        <f>SUM(AB11:AC11*AB24:AC24)/AB32</f>
        <v>0.2203843883210034</v>
      </c>
      <c r="AD45" s="193">
        <f>SUM(AD11:AE11*AD24:AE24)/AD32</f>
        <v>0.2203843883457125</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7.715787357488231E-2</v>
      </c>
      <c r="D46" s="193">
        <f>D34/D32</f>
        <v>7.7157872399215274E-2</v>
      </c>
      <c r="F46" s="193">
        <f>F34/F32</f>
        <v>7.7157871368679007E-2</v>
      </c>
      <c r="H46" s="193">
        <f>H34/H32</f>
        <v>7.7157870742507809E-2</v>
      </c>
      <c r="J46" s="193">
        <f>J34/J32</f>
        <v>7.7157873419182843E-2</v>
      </c>
      <c r="L46" s="193">
        <f>L34/L32</f>
        <v>7.7157870294188149E-2</v>
      </c>
      <c r="N46" s="193">
        <f>N34/N32</f>
        <v>7.7157873451454945E-2</v>
      </c>
      <c r="P46" s="193">
        <f>P34/P32</f>
        <v>7.7157854847819715E-2</v>
      </c>
      <c r="R46" s="193">
        <f>R34/R32</f>
        <v>7.7157869983850685E-2</v>
      </c>
      <c r="T46" s="193">
        <f>T34/T32</f>
        <v>7.7157869647150323E-2</v>
      </c>
      <c r="V46" s="193">
        <f>V34/V32</f>
        <v>7.7157869012320635E-2</v>
      </c>
      <c r="X46" s="193">
        <f>X34/X32</f>
        <v>7.7157867479056633E-2</v>
      </c>
      <c r="Z46" s="193">
        <f>Z34/Z32</f>
        <v>7.715787451127834E-2</v>
      </c>
      <c r="AB46" s="193">
        <f>AB34/AB32</f>
        <v>7.7157873659701517E-2</v>
      </c>
      <c r="AD46" s="193">
        <f>AD34/AD32</f>
        <v>7.7157873375020988E-2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1.0177286246397081</v>
      </c>
      <c r="E48" s="191"/>
      <c r="F48" s="191">
        <f>F24/$B$24</f>
        <v>1.0357692070296776</v>
      </c>
      <c r="G48" s="191"/>
      <c r="H48" s="191">
        <f>H24/$B$24</f>
        <v>1.054199154561364</v>
      </c>
      <c r="I48" s="191"/>
      <c r="J48" s="191">
        <f>J24/$B$24</f>
        <v>1.0731069848104622</v>
      </c>
      <c r="K48" s="191"/>
      <c r="L48" s="191">
        <f>L24/$B$24</f>
        <v>1.0925957390132042</v>
      </c>
      <c r="M48" s="191"/>
      <c r="N48" s="191">
        <f>N24/$B$24</f>
        <v>1.1127881445416619</v>
      </c>
      <c r="O48" s="191"/>
      <c r="P48" s="191">
        <f>P24/$B$24</f>
        <v>1.1338325798003719</v>
      </c>
      <c r="Q48" s="191"/>
      <c r="R48" s="191">
        <f>R24/$B$24</f>
        <v>1.1559136961800869</v>
      </c>
      <c r="S48" s="191"/>
      <c r="T48" s="191">
        <f>T24/$B$24</f>
        <v>1.1792650232392969</v>
      </c>
      <c r="U48" s="191"/>
      <c r="V48" s="191">
        <f>V24/$B$24</f>
        <v>1.2041920448218111</v>
      </c>
      <c r="W48" s="191"/>
      <c r="X48" s="191">
        <f>X24/$B$24</f>
        <v>1.2311065725765482</v>
      </c>
      <c r="Y48" s="191"/>
      <c r="Z48" s="191">
        <f>Z24/$B$24</f>
        <v>1.2605858926346076</v>
      </c>
      <c r="AA48" s="191"/>
      <c r="AB48" s="191">
        <f>AB24/$B$24</f>
        <v>1.2934733478715561</v>
      </c>
      <c r="AC48" s="191"/>
      <c r="AD48" s="191">
        <f>AD24/$B$24</f>
        <v>1.3310597790138201</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0.94813681690197305</v>
      </c>
      <c r="E49" s="191"/>
      <c r="F49" s="191">
        <f>F13/F35/$B$13*$B$35</f>
        <v>0.89471840671587888</v>
      </c>
      <c r="G49" s="191"/>
      <c r="H49" s="191">
        <f>H13/H35/$B$13*$B$35</f>
        <v>0.83948395276713816</v>
      </c>
      <c r="I49" s="191"/>
      <c r="J49" s="191">
        <f>J13/J35/$B$13*$B$35</f>
        <v>0.78214307451213749</v>
      </c>
      <c r="K49" s="191"/>
      <c r="L49" s="191">
        <f>L13/L35/$B$13*$B$35</f>
        <v>0.72237195804937593</v>
      </c>
      <c r="M49" s="191"/>
      <c r="N49" s="191">
        <f>N13/N35/$B$13*$B$35</f>
        <v>0.6598102574735657</v>
      </c>
      <c r="O49" s="191"/>
      <c r="P49" s="191">
        <f>P13/P35/$B$13*$B$35</f>
        <v>0.59406251418692868</v>
      </c>
      <c r="Q49" s="191"/>
      <c r="R49" s="191">
        <f>R13/R35/$B$13*$B$35</f>
        <v>0.5247066610378377</v>
      </c>
      <c r="S49" s="191"/>
      <c r="T49" s="191">
        <f>T13/T35/$B$13*$B$35</f>
        <v>0.45132066793189152</v>
      </c>
      <c r="U49" s="191"/>
      <c r="V49" s="191">
        <f>V13/V35/$B$13*$B$35</f>
        <v>0.37354978059890714</v>
      </c>
      <c r="W49" s="191"/>
      <c r="X49" s="191">
        <f>X13/X35/$B$13*$B$35</f>
        <v>0.29126756178604785</v>
      </c>
      <c r="Y49" s="191"/>
      <c r="Z49" s="191">
        <f>Z13/Z35/$B$13*$B$35</f>
        <v>0.20497491922435643</v>
      </c>
      <c r="AA49" s="191"/>
      <c r="AB49" s="191">
        <f>AB13/AB35/$B$13*$B$35</f>
        <v>0.11688892496430756</v>
      </c>
      <c r="AC49" s="191"/>
      <c r="AD49" s="191">
        <f>AD13/AD35/$B$13*$B$35</f>
        <v>3.468638125577244E-2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-414909.73929012707</v>
      </c>
      <c r="F51" s="29">
        <f>F30-F10*F23</f>
        <v>-424307.21787741594</v>
      </c>
      <c r="H51" s="29">
        <f>H30-H10*H23</f>
        <v>-434087.08930834197</v>
      </c>
      <c r="J51" s="29">
        <f>J30-J10*J23</f>
        <v>-444316.05328899855</v>
      </c>
      <c r="L51" s="29">
        <f>L30-L10*L23</f>
        <v>-455074.2498279037</v>
      </c>
      <c r="N51" s="29">
        <f>N30-N10*N23</f>
        <v>-466460.69438157137</v>
      </c>
      <c r="P51" s="29">
        <f>P30-P10*P23</f>
        <v>-478598.10740033537</v>
      </c>
      <c r="R51" s="29">
        <f>R30-R10*R23</f>
        <v>-491648.73119542515</v>
      </c>
      <c r="T51" s="29">
        <f>T30-T10*T23</f>
        <v>-505820.77035514871</v>
      </c>
      <c r="V51" s="29">
        <f>V30-V10*V23</f>
        <v>-521402.67836797098</v>
      </c>
      <c r="X51" s="29">
        <f>X30-X10*X23</f>
        <v>-538802.36919415463</v>
      </c>
      <c r="Z51" s="29">
        <f>Z30-Z10*Z23</f>
        <v>-558627.34618963022</v>
      </c>
      <c r="AB51" s="29">
        <f>AB30-AB10*AB23</f>
        <v>-581824.06010636268</v>
      </c>
      <c r="AD51" s="29">
        <f>AD30-AD10*AD23</f>
        <v>-609978.27683638269</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2008316.3444783103</v>
      </c>
      <c r="F52" s="29">
        <f t="array" ref="F52">Calibration!sL*SUM(F13:G13*F26:G26)</f>
        <v>1962669.8896790298</v>
      </c>
      <c r="H52" s="29">
        <f t="array" ref="H52">Calibration!sL*SUM(H13:I13*H26:I26)</f>
        <v>1911577.9353548938</v>
      </c>
      <c r="J52" s="29">
        <f t="array" ref="J52">Calibration!sL*SUM(J13:K13*J26:K26)</f>
        <v>1854126.8752591889</v>
      </c>
      <c r="L52" s="29">
        <f t="array" ref="L52">Calibration!sL*SUM(L13:M13*L26:M26)</f>
        <v>1789160.9165033938</v>
      </c>
      <c r="N52" s="29">
        <f t="array" ref="N52">Calibration!sL*SUM(N13:O13*N26:O26)</f>
        <v>1715197.1563230057</v>
      </c>
      <c r="P52" s="29">
        <f t="array" ref="P52">Calibration!sL*SUM(P13:Q13*P26:Q26)</f>
        <v>1630301.5625353395</v>
      </c>
      <c r="R52" s="29">
        <f t="array" ref="R52">Calibration!sL*SUM(R13:S13*R26:S26)</f>
        <v>1531899.9038986627</v>
      </c>
      <c r="T52" s="29">
        <f t="array" ref="T52">Calibration!sL*SUM(T13:U13*T26:U26)</f>
        <v>1416485.2885454581</v>
      </c>
      <c r="V52" s="29">
        <f t="array" ref="V52">Calibration!sL*SUM(V13:W13*V26:W26)</f>
        <v>1279138.9960676988</v>
      </c>
      <c r="X52" s="29">
        <f t="array" ref="X52">Calibration!sL*SUM(X13:Y13*X26:Y26)</f>
        <v>1112717.1102655658</v>
      </c>
      <c r="Z52" s="29">
        <f t="array" ref="Z52">Calibration!sL*SUM(Z13:AA13*Z26:AA26)</f>
        <v>906384.82334735163</v>
      </c>
      <c r="AB52" s="29">
        <f t="array" ref="AB52">Calibration!sL*SUM(AB13:AC13*AB26:AC26)</f>
        <v>642810.93528761715</v>
      </c>
      <c r="AD52" s="29">
        <f t="array" ref="AD52">Calibration!sL*SUM(AD13:AE13*AD26:AE26)</f>
        <v>292362.19732678158</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2861031.9720069431</v>
      </c>
      <c r="F53" s="29">
        <f t="array" ref="F53">Calibration!sK*SUM(F15:G15*F27:G27)</f>
        <v>2987882.8420975064</v>
      </c>
      <c r="H53" s="29">
        <f t="array" ref="H53">Calibration!sK*SUM(H15:I15*H27:I27)</f>
        <v>3122338.4310236508</v>
      </c>
      <c r="J53" s="29">
        <f t="array" ref="J53">Calibration!sK*SUM(J15:K15*J27:K27)</f>
        <v>3265700.0224183057</v>
      </c>
      <c r="L53" s="29">
        <f t="array" ref="L53">Calibration!sK*SUM(L15:M15*L27:M27)</f>
        <v>3419572.6312476043</v>
      </c>
      <c r="N53" s="29">
        <f t="array" ref="N53">Calibration!sK*SUM(N15:O15*N27:O27)</f>
        <v>3585972.8535458669</v>
      </c>
      <c r="P53" s="29">
        <f t="array" ref="P53">Calibration!sK*SUM(P15:Q15*P27:Q27)</f>
        <v>3767479.5926552429</v>
      </c>
      <c r="R53" s="29">
        <f t="array" ref="R53">Calibration!sK*SUM(R15:S15*R27:S27)</f>
        <v>3967472.4842196954</v>
      </c>
      <c r="T53" s="29">
        <f t="array" ref="T53">Calibration!sK*SUM(T15:U15*T27:U27)</f>
        <v>4190485.236230474</v>
      </c>
      <c r="V53" s="29">
        <f t="array" ref="V53">Calibration!sK*SUM(V15:W15*V27:W27)</f>
        <v>4442799.3907047641</v>
      </c>
      <c r="X53" s="29">
        <f t="array" ref="X53">Calibration!sK*SUM(X15:Y15*X27:Y27)</f>
        <v>4733437.3751675766</v>
      </c>
      <c r="Z53" s="29">
        <f t="array" ref="Z53">Calibration!sK*SUM(Z15:AA15*Z27:AA27)</f>
        <v>5075952.1295209955</v>
      </c>
      <c r="AB53" s="29">
        <f t="array" ref="AB53">Calibration!sK*SUM(AB15:AC15*AB27:AC27)</f>
        <v>5491815.8905097041</v>
      </c>
      <c r="AD53" s="29">
        <f t="array" ref="AD53">Calibration!sK*SUM(AD15:AE15*AD27:AE27)</f>
        <v>6017352.3834420806</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0.19833155987651127</v>
      </c>
      <c r="F55" s="193">
        <f>F30/F32</f>
        <v>0.1981534777177115</v>
      </c>
      <c r="H55" s="193">
        <f>H30/H32</f>
        <v>0.1979670634956591</v>
      </c>
      <c r="J55" s="193">
        <f>J30/J32</f>
        <v>0.19777061970568177</v>
      </c>
      <c r="L55" s="193">
        <f>L30/L32</f>
        <v>0.19756208020166391</v>
      </c>
      <c r="N55" s="193">
        <f>N30/N32</f>
        <v>0.19733883862204343</v>
      </c>
      <c r="P55" s="193">
        <f>P30/P32</f>
        <v>0.19709765985784056</v>
      </c>
      <c r="R55" s="193">
        <f>R30/R32</f>
        <v>0.19683407310550827</v>
      </c>
      <c r="T55" s="193">
        <f>T30/T32</f>
        <v>0.19654245118554556</v>
      </c>
      <c r="V55" s="193">
        <f>V30/V32</f>
        <v>0.19621478862356212</v>
      </c>
      <c r="X55" s="193">
        <f>X30/X32</f>
        <v>0.19583971158741578</v>
      </c>
      <c r="Z55" s="193">
        <f>Z30/Z32</f>
        <v>0.19540016201396515</v>
      </c>
      <c r="AB55" s="193">
        <f>AB30/AB32</f>
        <v>0.19486965235636095</v>
      </c>
      <c r="AD55" s="193">
        <f>AD30/AD32</f>
        <v>0.19420362228756</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3.475585894018144E-2</v>
      </c>
      <c r="F56" s="193">
        <f>(Model!$C$52*F5*F20+F2*G5*G20)/F32</f>
        <v>4.0509490017961176E-2</v>
      </c>
      <c r="H56" s="193">
        <f>(Model!$C$52*H5*H20+H2*I5*I20)/H32</f>
        <v>4.6527251807164993E-2</v>
      </c>
      <c r="J56" s="193">
        <f>(Model!$C$52*J5*J20+J2*K5*K20)/J32</f>
        <v>5.2863407758734021E-2</v>
      </c>
      <c r="L56" s="193">
        <f>(Model!$C$52*L5*L20+L2*M5*M20)/L32</f>
        <v>5.9584399270826656E-2</v>
      </c>
      <c r="N56" s="193">
        <f>(Model!$C$52*N5*N20+N2*O5*O20)/N32</f>
        <v>6.6773190368182272E-2</v>
      </c>
      <c r="P56" s="193">
        <f>(Model!$C$52*P5*P20+P2*Q5*Q20)/P32</f>
        <v>7.4535552606467118E-2</v>
      </c>
      <c r="R56" s="193">
        <f>(Model!$C$52*R5*R20+R2*S5*S20)/R32</f>
        <v>8.3009318150822395E-2</v>
      </c>
      <c r="T56" s="193">
        <f>(Model!$C$52*T5*T20+T2*U5*U20)/T32</f>
        <v>9.2379174003025422E-2</v>
      </c>
      <c r="V56" s="193">
        <f>(Model!$C$52*V5*V20+V2*W5*W20)/V32</f>
        <v>0.10289971922450897</v>
      </c>
      <c r="X56" s="193">
        <f>(Model!$C$52*X5*X20+X2*Y5*Y20)/X32</f>
        <v>0.11493480800003793</v>
      </c>
      <c r="Z56" s="193">
        <f>(Model!$C$52*Z5*Z20+Z2*AA5*AA20)/Z32</f>
        <v>0.12902687065760293</v>
      </c>
      <c r="AB56" s="193">
        <f>(Model!$C$52*AB5*AB20+AB2*AC5*AC20)/AB32</f>
        <v>0.14602707444986043</v>
      </c>
      <c r="AD56" s="193">
        <f>(Model!$C$52*AD5*AD20+AD2*AE5*AE20)/AD32</f>
        <v>0.16735623119479665</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0.15290993780443457</v>
      </c>
      <c r="F57" s="193">
        <f t="array" ref="F57">SUM(Model!tauL*F13:G13*F26:G26)/F32</f>
        <v>0.14706377746996868</v>
      </c>
      <c r="H57" s="193">
        <f t="array" ref="H57">SUM(Model!tauL*H13:I13*H26:I26)/H32</f>
        <v>0.14094408728218547</v>
      </c>
      <c r="J57" s="193">
        <f t="array" ref="J57">SUM(Model!tauL*J13:K13*J26:K26)/J32</f>
        <v>0.13449524922417561</v>
      </c>
      <c r="L57" s="193">
        <f t="array" ref="L57">SUM(Model!tauL*L13:M13*L26:M26)/L32</f>
        <v>0.12764914700935417</v>
      </c>
      <c r="N57" s="193">
        <f t="array" ref="N57">SUM(Model!tauL*N13:O13*N26:O26)/N32</f>
        <v>0.12032067011368512</v>
      </c>
      <c r="P57" s="193">
        <f t="array" ref="P57">SUM(Model!tauL*P13:Q13*P26:Q26)/P32</f>
        <v>0.11240137056489527</v>
      </c>
      <c r="R57" s="193">
        <f t="array" ref="R57">SUM(Model!tauL*R13:S13*R26:S26)/R32</f>
        <v>0.10374964410513068</v>
      </c>
      <c r="T57" s="193">
        <f t="array" ref="T57">SUM(Model!tauL*T13:U13*T26:U26)/T32</f>
        <v>9.417607403869134E-2</v>
      </c>
      <c r="V57" s="193">
        <f t="array" ref="V57">SUM(Model!tauL*V13:W13*V26:W26)/V32</f>
        <v>8.3419244438311058E-2</v>
      </c>
      <c r="X57" s="193">
        <f t="array" ref="X57">SUM(Model!tauL*X13:Y13*X26:Y26)/X32</f>
        <v>7.1105546472022843E-2</v>
      </c>
      <c r="Y57" s="193"/>
      <c r="Z57" s="193">
        <f t="array" ref="Z57">SUM(Model!tauL*Z13:AA13*Z26:AA26)/Z32</f>
        <v>5.6677767668329292E-2</v>
      </c>
      <c r="AB57" s="193">
        <f t="array" ref="AB57">SUM(Model!tauL*AB13:AC13*AB26:AC26)/AB32</f>
        <v>3.9261561464550614E-2</v>
      </c>
      <c r="AD57" s="193">
        <f t="array" ref="AD57">SUM(Model!tauL*AD13:AE13*AD26:AE26)/AD32</f>
        <v>1.7396546057530011E-2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1.0665763131895288E-2</v>
      </c>
      <c r="F58" s="193">
        <f t="array" ref="F58">SUM(Model!tauY/(1+Model!tauY)*F3:G3*F18:G18)/F32</f>
        <v>1.0580210229781662E-2</v>
      </c>
      <c r="H58" s="193">
        <f t="array" ref="H58">SUM(Model!tauY/(1+Model!tauY)*H3:I3*H18:I18)/H32</f>
        <v>1.0495724406308617E-2</v>
      </c>
      <c r="J58" s="193">
        <f t="array" ref="J58">SUM(Model!tauY/(1+Model!tauY)*J3:K3*J18:K18)/J32</f>
        <v>1.0411962722772129E-2</v>
      </c>
      <c r="L58" s="193">
        <f t="array" ref="L58">SUM(Model!tauY/(1+Model!tauY)*L3:M3*L18:M18)/L32</f>
        <v>1.0328533921483059E-2</v>
      </c>
      <c r="N58" s="193">
        <f t="array" ref="N58">SUM(Model!tauY/(1+Model!tauY)*N3:O3*N18:O18)/N32</f>
        <v>1.0244978140176013E-2</v>
      </c>
      <c r="P58" s="193">
        <f t="array" ref="P58">SUM(Model!tauY/(1+Model!tauY)*P3:Q3*P18:Q18)/P32</f>
        <v>1.0160736686478173E-2</v>
      </c>
      <c r="R58" s="193">
        <f t="array" ref="R58">SUM(Model!tauY/(1+Model!tauY)*R3:S3*R18:S18)/R32</f>
        <v>1.0075110849555176E-2</v>
      </c>
      <c r="T58" s="193">
        <f t="array" ref="T58">SUM(Model!tauY/(1+Model!tauY)*T3:U3*T18:U18)/T32</f>
        <v>9.9872031438288118E-3</v>
      </c>
      <c r="V58" s="193">
        <f t="array" ref="V58">SUM(Model!tauY/(1+Model!tauY)*V3:W3*V18:W18)/V32</f>
        <v>9.8958249607420945E-3</v>
      </c>
      <c r="X58" s="193">
        <f t="array" ref="X58">SUM(Model!tauY/(1+Model!tauY)*X3:Y3*X18:Y18)/X32</f>
        <v>9.7993571153549997E-3</v>
      </c>
      <c r="Y58" s="193"/>
      <c r="Z58" s="193">
        <f t="array" ref="Z58">SUM(Model!tauY/(1+Model!tauY)*Z3:AA3*Z18:AA18)/Z32</f>
        <v>9.6955236880329077E-3</v>
      </c>
      <c r="AB58" s="193">
        <f t="array" ref="AB58">SUM(Model!tauY/(1+Model!tauY)*AB3:AC3*AB18:AC18)/AB32</f>
        <v>9.581016441949905E-3</v>
      </c>
      <c r="AD58" s="193">
        <f t="array" ref="AD58">SUM(Model!tauY/(1+Model!tauY)*AD3:AE3*AD18:AE18)/AD32</f>
        <v>9.450845035233333E-3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6.1596929497654811E-3</v>
      </c>
      <c r="F59" s="193">
        <f>(F2*G5*G20)/F32</f>
        <v>1.1987733326412259E-2</v>
      </c>
      <c r="H59" s="193">
        <f>(H2*I5*I20)/H32</f>
        <v>1.8081422057626959E-2</v>
      </c>
      <c r="J59" s="193">
        <f>(J2*K5*K20)/J32</f>
        <v>2.4495487562463052E-2</v>
      </c>
      <c r="L59" s="193">
        <f>(L2*M5*M20)/L32</f>
        <v>3.1296915713076488E-2</v>
      </c>
      <c r="N59" s="193">
        <f>(N2*O5*O20)/N32</f>
        <v>3.8569322368837998E-2</v>
      </c>
      <c r="P59" s="193">
        <f>(P2*Q5*Q20)/P32</f>
        <v>4.6419280359505183E-2</v>
      </c>
      <c r="R59" s="193">
        <f>(R2*S5*S20)/R32</f>
        <v>5.49856308876807E-2</v>
      </c>
      <c r="T59" s="193">
        <f>(T2*U5*U20)/T32</f>
        <v>6.445437222506338E-2</v>
      </c>
      <c r="V59" s="193">
        <f>(V2*W5*W20)/V32</f>
        <v>7.5081862211221581E-2</v>
      </c>
      <c r="X59" s="193">
        <f>(X2*Y5*Y20)/X32</f>
        <v>8.7234408490217255E-2</v>
      </c>
      <c r="Z59" s="193">
        <f>(Z2*AA5*AA20)/Z32</f>
        <v>0.10145802374181248</v>
      </c>
      <c r="AB59" s="193">
        <f>(AB2*AC5*AC20)/AB32</f>
        <v>0.11860939762369023</v>
      </c>
      <c r="AD59" s="193">
        <f>(AD2*AE5*AE20)/AD32</f>
        <v>0.14011841785062804</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2.8596165990415957E-2</v>
      </c>
      <c r="F60" s="193">
        <f>Model!$C$52*F5*F20/F32</f>
        <v>2.8521756691548921E-2</v>
      </c>
      <c r="H60" s="193">
        <f>Model!$C$52*H5*H20/H32</f>
        <v>2.8445829749538031E-2</v>
      </c>
      <c r="J60" s="193">
        <f>Model!$C$52*J5*J20/J32</f>
        <v>2.8367920196270966E-2</v>
      </c>
      <c r="L60" s="193">
        <f>Model!$C$52*L5*L20/L32</f>
        <v>2.8287483557750171E-2</v>
      </c>
      <c r="N60" s="193">
        <f>Model!$C$52*N5*N20/N32</f>
        <v>2.8203867999344281E-2</v>
      </c>
      <c r="P60" s="193">
        <f>Model!$C$52*P5*P20/P32</f>
        <v>2.8116272246961938E-2</v>
      </c>
      <c r="R60" s="193">
        <f>Model!$C$52*R5*R20/R32</f>
        <v>2.8023687263141698E-2</v>
      </c>
      <c r="T60" s="193">
        <f>Model!$C$52*T5*T20/T32</f>
        <v>2.7924801777962048E-2</v>
      </c>
      <c r="V60" s="193">
        <f>Model!$C$52*V5*V20/V32</f>
        <v>2.7817857013287393E-2</v>
      </c>
      <c r="X60" s="193">
        <f>Model!$C$52*X5*X20/X32</f>
        <v>2.7700399509820683E-2</v>
      </c>
      <c r="Z60" s="193">
        <f>Model!$C$52*Z5*Z20/Z32</f>
        <v>2.7568846915790458E-2</v>
      </c>
      <c r="AB60" s="193">
        <f>Model!$C$52*AB5*AB20/AB32</f>
        <v>2.7417676826170197E-2</v>
      </c>
      <c r="AD60" s="193">
        <f>Model!$C$52*AD5*AD20/AD32</f>
        <v>2.7237813344168624E-2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0.91148822861591361</v>
      </c>
      <c r="F62">
        <f>F13/F15</f>
        <v>0.82701625852836358</v>
      </c>
      <c r="H62">
        <f>H13/H15</f>
        <v>0.7461052779824725</v>
      </c>
      <c r="J62">
        <f>J13/J15</f>
        <v>0.6683318233673462</v>
      </c>
      <c r="L62">
        <f>L13/L15</f>
        <v>0.5933210309678737</v>
      </c>
      <c r="N62">
        <f>N13/N15</f>
        <v>0.52074241378007635</v>
      </c>
      <c r="P62">
        <f>P13/P15</f>
        <v>0.45031086037237728</v>
      </c>
      <c r="R62">
        <f>R13/R15</f>
        <v>0.38179277460920102</v>
      </c>
      <c r="T62">
        <f>T13/T15</f>
        <v>0.31502300459669802</v>
      </c>
      <c r="V62">
        <f>V13/V15</f>
        <v>0.2499435587235935</v>
      </c>
      <c r="X62">
        <f>X13/X15</f>
        <v>0.18668777690182428</v>
      </c>
      <c r="Z62">
        <f>Z13/Z15</f>
        <v>0.1257781099354163</v>
      </c>
      <c r="AB62">
        <f>AB13/AB15</f>
        <v>6.865437872507682E-2</v>
      </c>
      <c r="AD62">
        <f>AD13/AD15</f>
        <v>1.9513011517275827E-2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0.99848959459901709</v>
      </c>
      <c r="E65" s="191"/>
      <c r="F65" s="191">
        <f t="array" ref="F65">SQRT((F9:G9*$B$22:$C$22+F10:G10*$B$23:$C$23+F11:G11*$B$24:$C$24+F4:G4*($B$25:$C$25-$B$19:$C$19))/($B$9:$C$9*$B$22:$C$22+$B$10:$C$10*$B$23:$C$23+$B$11:$C$11*$B$24:$C$24+$B$4:$C$4*($B$25:$C$25-$B$19:$C$19))*(F9:G9*F22:G22+F10:G10*F23:G23+F11:G11*F24:G24+F4:G4*(F25:G25-F19:G19))/($B$9:$C$9*F22:G22+$B$10:$C$10*F23:G23+$B$11:$C$11*F24:G24+$B$4:$C$4*(F25:G25-F19:G19)))</f>
        <v>0.99705800955355228</v>
      </c>
      <c r="G65" s="191"/>
      <c r="H65" s="191">
        <f t="array" ref="H65">SQRT((H9:I9*$B$22:$C$22+H10:I10*$B$23:$C$23+H11:I11*$B$24:$C$24+H4:I4*($B$25:$C$25-$B$19:$C$19))/($B$9:$C$9*$B$22:$C$22+$B$10:$C$10*$B$23:$C$23+$B$11:$C$11*$B$24:$C$24+$B$4:$C$4*($B$25:$C$25-$B$19:$C$19))*(H9:I9*H22:I22+H10:I10*H23:I23+H11:I11*H24:I24+H4:I4*(H25:I25-H19:I19))/($B$9:$C$9*H22:I22+$B$10:$C$10*H23:I23+$B$11:$C$11*H24:I24+$B$4:$C$4*(H25:I25-H19:I19)))</f>
        <v>0.99569188619289506</v>
      </c>
      <c r="I65" s="191"/>
      <c r="J65" s="191">
        <f t="array" ref="J65">SQRT((J9:K9*$B$22:$C$22+J10:K10*$B$23:$C$23+J11:K11*$B$24:$C$24+J4:K4*($B$25:$C$25-$B$19:$C$19))/($B$9:$C$9*$B$22:$C$22+$B$10:$C$10*$B$23:$C$23+$B$11:$C$11*$B$24:$C$24+$B$4:$C$4*($B$25:$C$25-$B$19:$C$19))*(J9:K9*J22:K22+J10:K10*J23:K23+J11:K11*J24:K24+J4:K4*(J25:K25-J19:K19))/($B$9:$C$9*J22:K22+$B$10:$C$10*J23:K23+$B$11:$C$11*J24:K24+$B$4:$C$4*(J25:K25-J19:K19)))</f>
        <v>0.99437678211867142</v>
      </c>
      <c r="K65" s="191"/>
      <c r="L65" s="191">
        <f t="array" ref="L65">SQRT((L9:M9*$B$22:$C$22+L10:M10*$B$23:$C$23+L11:M11*$B$24:$C$24+L4:M4*($B$25:$C$25-$B$19:$C$19))/($B$9:$C$9*$B$22:$C$22+$B$10:$C$10*$B$23:$C$23+$B$11:$C$11*$B$24:$C$24+$B$4:$C$4*($B$25:$C$25-$B$19:$C$19))*(L9:M9*L22:M22+L10:M10*L23:M23+L11:M11*L24:M24+L4:M4*(L25:M25-L19:M19))/($B$9:$C$9*L22:M22+$B$10:$C$10*L23:M23+$B$11:$C$11*L24:M24+$B$4:$C$4*(L25:M25-L19:M19)))</f>
        <v>0.99309670733169553</v>
      </c>
      <c r="M65" s="191"/>
      <c r="N65" s="191">
        <f t="array" ref="N65">SQRT((N9:O9*$B$22:$C$22+N10:O10*$B$23:$C$23+N11:O11*$B$24:$C$24+N4:O4*($B$25:$C$25-$B$19:$C$19))/($B$9:$C$9*$B$22:$C$22+$B$10:$C$10*$B$23:$C$23+$B$11:$C$11*$B$24:$C$24+$B$4:$C$4*($B$25:$C$25-$B$19:$C$19))*(N9:O9*N22:O22+N10:O10*N23:O23+N11:O11*N24:O24+N4:O4*(N25:O25-N19:O19))/($B$9:$C$9*N22:O22+$B$10:$C$10*N23:O23+$B$11:$C$11*N24:O24+$B$4:$C$4*(N25:O25-N19:O19)))</f>
        <v>0.99183355202231682</v>
      </c>
      <c r="O65" s="191"/>
      <c r="P65" s="191">
        <f t="array" ref="P65">SQRT((P9:Q9*$B$22:$C$22+P10:Q10*$B$23:$C$23+P11:Q11*$B$24:$C$24+P4:Q4*($B$25:$C$25-$B$19:$C$19))/($B$9:$C$9*$B$22:$C$22+$B$10:$C$10*$B$23:$C$23+$B$11:$C$11*$B$24:$C$24+$B$4:$C$4*($B$25:$C$25-$B$19:$C$19))*(P9:Q9*P22:Q22+P10:Q10*P23:Q23+P11:Q11*P24:Q24+P4:Q4*(P25:Q25-P19:Q19))/($B$9:$C$9*P22:Q22+$B$10:$C$10*P23:Q23+$B$11:$C$11*P24:Q24+$B$4:$C$4*(P25:Q25-P19:Q19)))</f>
        <v>0.99056645774753693</v>
      </c>
      <c r="Q65" s="191"/>
      <c r="R65" s="191">
        <f t="array" ref="R65">SQRT((R9:S9*$B$22:$C$22+R10:S10*$B$23:$C$23+R11:S11*$B$24:$C$24+R4:S4*($B$25:$C$25-$B$19:$C$19))/($B$9:$C$9*$B$22:$C$22+$B$10:$C$10*$B$23:$C$23+$B$11:$C$11*$B$24:$C$24+$B$4:$C$4*($B$25:$C$25-$B$19:$C$19))*(R9:S9*R22:S22+R10:S10*R23:S23+R11:S11*R24:S24+R4:S4*(R25:S25-R19:S19))/($B$9:$C$9*R22:S22+$B$10:$C$10*R23:S23+$B$11:$C$11*R24:S24+$B$4:$C$4*(R25:S25-R19:S19)))</f>
        <v>0.9892710258538272</v>
      </c>
      <c r="S65" s="191"/>
      <c r="T65" s="191">
        <f t="array" ref="T65">SQRT((T9:U9*$B$22:$C$22+T10:U10*$B$23:$C$23+T11:U11*$B$24:$C$24+T4:U4*($B$25:$C$25-$B$19:$C$19))/($B$9:$C$9*$B$22:$C$22+$B$10:$C$10*$B$23:$C$23+$B$11:$C$11*$B$24:$C$24+$B$4:$C$4*($B$25:$C$25-$B$19:$C$19))*(T9:U9*T22:U22+T10:U10*T23:U23+T11:U11*T24:U24+T4:U4*(T25:U25-T19:U19))/($B$9:$C$9*T22:U22+$B$10:$C$10*T23:U23+$B$11:$C$11*T24:U24+$B$4:$C$4*(T25:U25-T19:U19)))</f>
        <v>0.98791851954985554</v>
      </c>
      <c r="U65" s="191"/>
      <c r="V65" s="191">
        <f t="array" ref="V65">SQRT((V9:W9*$B$22:$C$22+V10:W10*$B$23:$C$23+V11:W11*$B$24:$C$24+V4:W4*($B$25:$C$25-$B$19:$C$19))/($B$9:$C$9*$B$22:$C$22+$B$10:$C$10*$B$23:$C$23+$B$11:$C$11*$B$24:$C$24+$B$4:$C$4*($B$25:$C$25-$B$19:$C$19))*(V9:W9*V22:W22+V10:W10*V23:W23+V11:W11*V24:W24+V4:W4*(V25:W25-V19:W19))/($B$9:$C$9*V22:W22+$B$10:$C$10*V23:W23+$B$11:$C$11*V24:W24+$B$4:$C$4*(V25:W25-V19:W19)))</f>
        <v>0.986475037676949</v>
      </c>
      <c r="W65" s="191"/>
      <c r="X65" s="191">
        <f t="array" ref="X65">SQRT((X9:Y9*$B$22:$C$22+X10:Y10*$B$23:$C$23+X11:Y11*$B$24:$C$24+X4:Y4*($B$25:$C$25-$B$19:$C$19))/($B$9:$C$9*$B$22:$C$22+$B$10:$C$10*$B$23:$C$23+$B$11:$C$11*$B$24:$C$24+$B$4:$C$4*($B$25:$C$25-$B$19:$C$19))*(X9:Y9*X22:Y22+X10:Y10*X23:Y23+X11:Y11*X24:Y24+X4:Y4*(X25:Y25-X19:Y19))/($B$9:$C$9*X22:Y22+$B$10:$C$10*X23:Y23+$B$11:$C$11*X24:Y24+$B$4:$C$4*(X25:Y25-X19:Y19)))</f>
        <v>0.98490110107407247</v>
      </c>
      <c r="Y65" s="191"/>
      <c r="Z65" s="191">
        <f t="array" ref="Z65">SQRT((Z9:AA9*$B$22:$C$22+Z10:AA10*$B$23:$C$23+Z11:AA11*$B$24:$C$24+Z4:AA4*($B$25:$C$25-$B$19:$C$19))/($B$9:$C$9*$B$22:$C$22+$B$10:$C$10*$B$23:$C$23+$B$11:$C$11*$B$24:$C$24+$B$4:$C$4*($B$25:$C$25-$B$19:$C$19))*(Z9:AA9*Z22:AA22+Z10:AA10*Z23:AA23+Z11:AA11*Z24:AA24+Z4:AA4*(Z25:AA25-Z19:AA19))/($B$9:$C$9*Z22:AA22+$B$10:$C$10*Z23:AA23+$B$11:$C$11*Z24:AA24+$B$4:$C$4*(Z25:AA25-Z19:AA19)))</f>
        <v>0.98315245569620935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0.98118434247205932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0.97896436792297548</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0.99833928567689711</v>
      </c>
      <c r="E66" s="191"/>
      <c r="F66" s="191">
        <f t="array" ref="F66">SQRT((F9:G9*$B$22:$C$22)/($B$9:$C$9*$B$22:$C$22)*(F9:G9*F22:G22)/($B$9:$C$9*F22:G22))</f>
        <v>0.99676386854551147</v>
      </c>
      <c r="G66" s="191"/>
      <c r="H66" s="191">
        <f t="array" ref="H66">SQRT((H9:I9*$B$22:$C$22)/($B$9:$C$9*$B$22:$C$22)*(H9:I9*H22:I22)/($B$9:$C$9*H22:I22))</f>
        <v>0.99525925175375374</v>
      </c>
      <c r="I66" s="191"/>
      <c r="J66" s="191">
        <f t="array" ref="J66">SQRT((J9:K9*$B$22:$C$22)/($B$9:$C$9*$B$22:$C$22)*(J9:K9*J22:K22)/($B$9:$C$9*J22:K22))</f>
        <v>0.99380968243891921</v>
      </c>
      <c r="K66" s="191"/>
      <c r="L66" s="191">
        <f t="array" ref="L66">SQRT((L9:M9*$B$22:$C$22)/($B$9:$C$9*$B$22:$C$22)*(L9:M9*L22:M22)/($B$9:$C$9*L22:M22))</f>
        <v>0.99239763956601479</v>
      </c>
      <c r="M66" s="191"/>
      <c r="N66" s="191">
        <f t="array" ref="N66">SQRT((N9:O9*$B$22:$C$22)/($B$9:$C$9*$B$22:$C$22)*(N9:O9*N22:O22)/($B$9:$C$9*N22:O22))</f>
        <v>0.991003198390912</v>
      </c>
      <c r="O66" s="191"/>
      <c r="P66" s="191">
        <f t="array" ref="P66">SQRT((P9:Q9*$B$22:$C$22)/($B$9:$C$9*$B$22:$C$22)*(P9:Q9*P22:Q22)/($B$9:$C$9*P22:Q22))</f>
        <v>0.98960332753193736</v>
      </c>
      <c r="Q66" s="191"/>
      <c r="R66" s="191">
        <f t="array" ref="R66">SQRT((R9:S9*$B$22:$C$22)/($B$9:$C$9*$B$22:$C$22)*(R9:S9*R22:S22)/($B$9:$C$9*R22:S22))</f>
        <v>0.98817099940192932</v>
      </c>
      <c r="S66" s="191"/>
      <c r="T66" s="191">
        <f t="array" ref="T66">SQRT((T9:U9*$B$22:$C$22)/($B$9:$C$9*$B$22:$C$22)*(T9:U9*T22:U22)/($B$9:$C$9*T22:U22))</f>
        <v>0.98667428437480598</v>
      </c>
      <c r="U66" s="191"/>
      <c r="V66" s="191">
        <f t="array" ref="V66">SQRT((V9:W9*$B$22:$C$22)/($B$9:$C$9*$B$22:$C$22)*(V9:W9*V22:W22)/($B$9:$C$9*V22:W22))</f>
        <v>0.98507540040539343</v>
      </c>
      <c r="W66" s="191"/>
      <c r="X66" s="191">
        <f t="array" ref="X66">SQRT((X9:Y9*$B$22:$C$22)/($B$9:$C$9*$B$22:$C$22)*(X9:Y9*X22:Y22)/($B$9:$C$9*X22:Y22))</f>
        <v>0.98333020232232182</v>
      </c>
      <c r="Y66" s="191"/>
      <c r="Z66" s="191">
        <f t="array" ref="Z66">SQRT((Z9:AA9*$B$22:$C$22)/($B$9:$C$9*$B$22:$C$22)*(Z9:AA9*Z22:AA22)/($B$9:$C$9*Z22:AA22))</f>
        <v>0.98138900039375099</v>
      </c>
      <c r="AA66" s="191"/>
      <c r="AB66" s="191">
        <f t="array" ref="AB66">SQRT((AB9:AC9*$B$22:$C$22)/($B$9:$C$9*$B$22:$C$22)*(AB9:AC9*AB22:AC22)/($B$9:$C$9*AB22:AC22))</f>
        <v>0.97920121631742341</v>
      </c>
      <c r="AC66" s="191"/>
      <c r="AD66" s="191">
        <f t="array" ref="AD66">SQRT((AD9:AE9*$B$22:$C$22)/($B$9:$C$9*$B$22:$C$22)*(AD9:AE9*AD22:AE22)/($B$9:$C$9*AD22:AE22))</f>
        <v>0.97672963762544762</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0.99833928567689711</v>
      </c>
      <c r="E68" s="191"/>
      <c r="F68" s="191">
        <f>F66/F67</f>
        <v>0.99676386854551147</v>
      </c>
      <c r="G68" s="191"/>
      <c r="H68" s="191">
        <f>H66/H67</f>
        <v>0.99525925175375374</v>
      </c>
      <c r="I68" s="191"/>
      <c r="J68" s="191">
        <f>J66/J67</f>
        <v>0.99380968243891921</v>
      </c>
      <c r="K68" s="191"/>
      <c r="L68" s="191">
        <f>L66/L67</f>
        <v>0.99239763956601479</v>
      </c>
      <c r="M68" s="191"/>
      <c r="N68" s="191">
        <f>N66/N67</f>
        <v>0.991003198390912</v>
      </c>
      <c r="O68" s="191"/>
      <c r="P68" s="191">
        <f>P66/P67</f>
        <v>0.98960332753193736</v>
      </c>
      <c r="Q68" s="191"/>
      <c r="R68" s="191">
        <f>R66/R67</f>
        <v>0.98817099940192932</v>
      </c>
      <c r="S68" s="191"/>
      <c r="T68" s="191">
        <f>T66/T67</f>
        <v>0.98667428437480598</v>
      </c>
      <c r="U68" s="191"/>
      <c r="V68" s="191">
        <f>V66/V67</f>
        <v>0.98507540040539343</v>
      </c>
      <c r="W68" s="191"/>
      <c r="X68" s="191">
        <f>X66/X67</f>
        <v>0.98333020232232182</v>
      </c>
      <c r="Y68" s="191"/>
      <c r="Z68" s="191">
        <f>Z66/Z67</f>
        <v>0.98138900039375099</v>
      </c>
      <c r="AA68" s="191"/>
      <c r="AB68" s="191">
        <f>AB66/AB67</f>
        <v>0.97920121631742341</v>
      </c>
      <c r="AC68" s="191"/>
      <c r="AD68" s="191">
        <f>AD66/AD67</f>
        <v>0.97672963762544762</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1.0175754205170653</v>
      </c>
      <c r="E69" s="191"/>
      <c r="F69" s="191">
        <f>F32/F65/($B$32)</f>
        <v>1.0354636475018617</v>
      </c>
      <c r="G69" s="191"/>
      <c r="H69" s="191">
        <f>H32/H65/($B$32)</f>
        <v>1.0537411002416215</v>
      </c>
      <c r="I69" s="191"/>
      <c r="J69" s="191">
        <f>J32/J65/($B$32)</f>
        <v>1.0724949847672669</v>
      </c>
      <c r="K69" s="191"/>
      <c r="L69" s="191">
        <f>L32/L65/($B$32)</f>
        <v>1.0918266332449553</v>
      </c>
      <c r="M69" s="191"/>
      <c r="N69" s="191">
        <f>N32/N65/($B$32)</f>
        <v>1.1118565291334421</v>
      </c>
      <c r="O69" s="191"/>
      <c r="P69" s="191">
        <f>P32/P65/($B$32)</f>
        <v>1.1327301501648259</v>
      </c>
      <c r="Q69" s="191"/>
      <c r="R69" s="191">
        <f>R32/R65/($B$32)</f>
        <v>1.1546283700073869</v>
      </c>
      <c r="S69" s="191"/>
      <c r="T69" s="191">
        <f>T32/T65/($B$32)</f>
        <v>1.1777797961270191</v>
      </c>
      <c r="U69" s="191"/>
      <c r="V69" s="191">
        <f>V32/V65/($B$32)</f>
        <v>1.2024835043961695</v>
      </c>
      <c r="W69" s="191"/>
      <c r="X69" s="191">
        <f>X32/X65/($B$32)</f>
        <v>1.2291429801933518</v>
      </c>
      <c r="Y69" s="191"/>
      <c r="Z69" s="191">
        <f>Z32/Z65/($B$32)</f>
        <v>1.2583248126381636</v>
      </c>
      <c r="AA69" s="191"/>
      <c r="AB69" s="191">
        <f>AB32/AB65/($B$32)</f>
        <v>1.290859037132386</v>
      </c>
      <c r="AC69" s="191"/>
      <c r="AD69" s="191">
        <f>AD32/AD65/($B$32)</f>
        <v>1.3280213030542347</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1.0156747494881846</v>
      </c>
      <c r="E70" s="138"/>
      <c r="F70" s="138">
        <f>F18/$B$18</f>
        <v>1.0315200311399384</v>
      </c>
      <c r="G70" s="138"/>
      <c r="H70" s="138">
        <f>H18/$B$18</f>
        <v>1.0475969297027168</v>
      </c>
      <c r="I70" s="138"/>
      <c r="J70" s="138">
        <f>J18/$B$18</f>
        <v>1.063974304015292</v>
      </c>
      <c r="K70" s="138"/>
      <c r="L70" s="138">
        <f>L18/$B$18</f>
        <v>1.0807311399476356</v>
      </c>
      <c r="M70" s="138"/>
      <c r="N70" s="138">
        <f>N18/$B$18</f>
        <v>1.0979602284000607</v>
      </c>
      <c r="O70" s="138"/>
      <c r="P70" s="138">
        <f>P18/$B$18</f>
        <v>1.1157718717757188</v>
      </c>
      <c r="Q70" s="138"/>
      <c r="R70" s="138">
        <f>R18/$B$18</f>
        <v>1.1343011681093282</v>
      </c>
      <c r="S70" s="138"/>
      <c r="T70" s="138">
        <f>T18/$B$18</f>
        <v>1.1537151315372556</v>
      </c>
      <c r="U70" s="138"/>
      <c r="V70" s="138">
        <f>V18/$B$18</f>
        <v>1.1742268992451557</v>
      </c>
      <c r="W70" s="138"/>
      <c r="X70" s="138">
        <f>X18/$B$18</f>
        <v>1.1961145095590247</v>
      </c>
      <c r="Y70" s="138"/>
      <c r="Z70" s="138">
        <f>Z18/$B$18</f>
        <v>1.2197514623615815</v>
      </c>
      <c r="AA70" s="138"/>
      <c r="AB70" s="138">
        <f>AB18/$B$18</f>
        <v>1.2456516255692902</v>
      </c>
      <c r="AC70" s="138"/>
      <c r="AD70" s="138">
        <f>AD18/$B$18</f>
        <v>1.2745351314416138</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0.92984694146091007</v>
      </c>
      <c r="E71" s="138"/>
      <c r="F71" s="138">
        <f>G18/$C$18</f>
        <v>0.86085443675181827</v>
      </c>
      <c r="G71" s="138"/>
      <c r="H71" s="138">
        <f>I18/$C$18</f>
        <v>0.79300179819980088</v>
      </c>
      <c r="I71" s="138"/>
      <c r="J71" s="138">
        <f>K18/$C$18</f>
        <v>0.72627216613721601</v>
      </c>
      <c r="K71" s="138"/>
      <c r="L71" s="138">
        <f>M18/$C$18</f>
        <v>0.66065450155564942</v>
      </c>
      <c r="M71" s="138"/>
      <c r="N71" s="138">
        <f>O18/$C$18</f>
        <v>0.59614787651842849</v>
      </c>
      <c r="O71" s="138"/>
      <c r="P71" s="138">
        <f>Q18/$C$18</f>
        <v>0.53276592635805076</v>
      </c>
      <c r="Q71" s="138"/>
      <c r="R71" s="138">
        <f>S18/$C$18</f>
        <v>0.47054677519221805</v>
      </c>
      <c r="S71" s="138"/>
      <c r="T71" s="138">
        <f>U18/$C$18</f>
        <v>0.40956452117931308</v>
      </c>
      <c r="U71" s="138"/>
      <c r="V71" s="138">
        <f>W18/$C$18</f>
        <v>0.34995047285400677</v>
      </c>
      <c r="W71" s="138"/>
      <c r="X71" s="138">
        <f>Y18/$C$18</f>
        <v>0.29192375063048953</v>
      </c>
      <c r="Y71" s="138"/>
      <c r="Z71" s="138">
        <f>AA18/$C$18</f>
        <v>0.23583996560899581</v>
      </c>
      <c r="AA71" s="138"/>
      <c r="AB71" s="138">
        <f>AC18/$C$18</f>
        <v>0.18226747953884911</v>
      </c>
      <c r="AC71" s="138"/>
      <c r="AD71" s="138">
        <f>AE18/$C$18</f>
        <v>0.13210472247992802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1.0158494804829403</v>
      </c>
      <c r="E72" s="138"/>
      <c r="F72" s="138">
        <f>G19/$C$19</f>
        <v>1.0339280659557957</v>
      </c>
      <c r="G72" s="138"/>
      <c r="H72" s="138">
        <f>I19/$C$19</f>
        <v>1.0546372663846735</v>
      </c>
      <c r="I72" s="138"/>
      <c r="J72" s="138">
        <f>K19/$C$19</f>
        <v>1.0784655331283104</v>
      </c>
      <c r="K72" s="138"/>
      <c r="L72" s="138">
        <f>M19/$C$19</f>
        <v>1.1060110115323201</v>
      </c>
      <c r="M72" s="138"/>
      <c r="N72" s="138">
        <f>O19/$C$19</f>
        <v>1.1380099627177891</v>
      </c>
      <c r="O72" s="138"/>
      <c r="P72" s="138">
        <f>Q19/$C$19</f>
        <v>1.1753744595822631</v>
      </c>
      <c r="Q72" s="138"/>
      <c r="R72" s="138">
        <f>S19/$C$19</f>
        <v>1.2192336547758018</v>
      </c>
      <c r="S72" s="138"/>
      <c r="T72" s="138">
        <f>U19/$C$19</f>
        <v>1.2709944268581543</v>
      </c>
      <c r="U72" s="138"/>
      <c r="V72" s="138">
        <f>W19/$C$19</f>
        <v>1.3323911829548474</v>
      </c>
      <c r="W72" s="138"/>
      <c r="X72" s="138">
        <f>Y19/$C$19</f>
        <v>1.405529158447407</v>
      </c>
      <c r="Y72" s="138"/>
      <c r="Z72" s="138">
        <f>AA19/$C$19</f>
        <v>1.4928501883211014</v>
      </c>
      <c r="AA72" s="138"/>
      <c r="AB72" s="138">
        <f>AC19/$C$19</f>
        <v>1.5968648705517416</v>
      </c>
      <c r="AC72" s="138"/>
      <c r="AD72" s="138">
        <f>AE19/$C$19</f>
        <v>1.7192222019984882</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0.47641153352875221</v>
      </c>
      <c r="D73" s="193">
        <f t="array" ref="D73">SUM(D9:E9*D22:E22)/D32</f>
        <v>0.47641153491487659</v>
      </c>
      <c r="E73" s="138"/>
      <c r="F73" s="193">
        <f t="array" ref="F73">SUM(F9:G9*F22:G22)/F32</f>
        <v>0.47641153608163217</v>
      </c>
      <c r="G73" s="138"/>
      <c r="H73" s="193">
        <f t="array" ref="H73">SUM(H9:I9*H22:I22)/H32</f>
        <v>0.47641153675819886</v>
      </c>
      <c r="I73" s="138"/>
      <c r="J73" s="193">
        <f t="array" ref="J73">SUM(J9:K9*J22:K22)/J32</f>
        <v>0.47641153368317379</v>
      </c>
      <c r="K73" s="138"/>
      <c r="L73" s="193">
        <f t="array" ref="L73">SUM(L9:M9*L22:M22)/L32</f>
        <v>0.47641153722733859</v>
      </c>
      <c r="M73" s="138"/>
      <c r="N73" s="193">
        <f t="array" ref="N73">SUM(N9:O9*N22:O22)/N32</f>
        <v>0.47641153370360989</v>
      </c>
      <c r="O73" s="138"/>
      <c r="P73" s="193">
        <f t="array" ref="P73">SUM(P9:Q9*P22:Q22)/P32</f>
        <v>0.47641155198045088</v>
      </c>
      <c r="Q73" s="138"/>
      <c r="R73" s="193">
        <f t="array" ref="R73">SUM(R9:S9*R22:S22)/R32</f>
        <v>0.4764115370619954</v>
      </c>
      <c r="S73" s="138"/>
      <c r="T73" s="193">
        <f t="array" ref="T73">SUM(T9:U9*T22:U22)/T32</f>
        <v>0.47641153739069625</v>
      </c>
      <c r="U73" s="138"/>
      <c r="V73" s="193">
        <f t="array" ref="V73">SUM(V9:W9*V22:W22)/V32</f>
        <v>0.47641153801463698</v>
      </c>
      <c r="W73" s="138"/>
      <c r="X73" s="193">
        <f t="array" ref="X73">SUM(X9:Y9*X22:Y22)/X32</f>
        <v>0.47641153952952375</v>
      </c>
      <c r="Y73" s="138"/>
      <c r="Z73" s="193">
        <f t="array" ref="Z73">SUM(Z9:AA9*Z22:AA22)/Z32</f>
        <v>0.47641153268597736</v>
      </c>
      <c r="AA73" s="138"/>
      <c r="AB73" s="193">
        <f t="array" ref="AB73">SUM(AB9:AC9*AB22:AC22)/AB32</f>
        <v>0.47641153345487042</v>
      </c>
      <c r="AC73" s="138"/>
      <c r="AD73" s="193">
        <f t="array" ref="AD73">SUM(AD9:AE9*AD22:AE22)/AD32</f>
        <v>0.47641153371484174</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0.22604620456442481</v>
      </c>
      <c r="AA74" s="138"/>
      <c r="AB74" s="193">
        <f t="array" ref="AB74">SUM(AB10:AC10*AB23:AC23)/AB32</f>
        <v>0.22604620456442481</v>
      </c>
      <c r="AC74" s="138"/>
      <c r="AD74" s="193">
        <f t="array" ref="AD74">SUM(AD10:AE10*AD23:AE23)/AD32</f>
        <v>0.22604620456442484</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0.22038438812148345</v>
      </c>
      <c r="E75" s="138"/>
      <c r="F75" s="193">
        <f t="array" ref="F75">SUM(F11:G11*F24:G24)/F32</f>
        <v>0.22038438798526408</v>
      </c>
      <c r="G75" s="138"/>
      <c r="H75" s="193">
        <f t="array" ref="H75">SUM(H11:I11*H24:I24)/H32</f>
        <v>0.2203843879348685</v>
      </c>
      <c r="I75" s="138"/>
      <c r="J75" s="193">
        <f t="array" ref="J75">SUM(J11:K11*J24:K24)/J32</f>
        <v>0.22038438833321852</v>
      </c>
      <c r="K75" s="138"/>
      <c r="L75" s="193">
        <f t="array" ref="L75">SUM(L11:M11*L24:M24)/L32</f>
        <v>0.22038438791404855</v>
      </c>
      <c r="M75" s="138"/>
      <c r="N75" s="193">
        <f t="array" ref="N75">SUM(N11:O11*N24:O24)/N32</f>
        <v>0.22038438828051049</v>
      </c>
      <c r="O75" s="138"/>
      <c r="P75" s="193">
        <f t="array" ref="P75">SUM(P11:Q11*P24:Q24)/P32</f>
        <v>0.22038438860730467</v>
      </c>
      <c r="Q75" s="138"/>
      <c r="R75" s="193">
        <f t="array" ref="R75">SUM(R11:S11*R24:S24)/R32</f>
        <v>0.22038438838972926</v>
      </c>
      <c r="S75" s="138"/>
      <c r="T75" s="193">
        <f t="array" ref="T75">SUM(T11:U11*T24:U24)/T32</f>
        <v>0.22038438839772878</v>
      </c>
      <c r="U75" s="138"/>
      <c r="V75" s="193">
        <f t="array" ref="V75">SUM(V11:W11*V24:W24)/V32</f>
        <v>0.22038438840861774</v>
      </c>
      <c r="W75" s="138"/>
      <c r="X75" s="193">
        <f t="array" ref="X75">SUM(X11:Y11*X24:Y24)/X32</f>
        <v>0.22038438842699498</v>
      </c>
      <c r="Y75" s="138"/>
      <c r="Z75" s="193">
        <f t="array" ref="Z75">SUM(Z11:AA11*Z24:AA24)/Z32</f>
        <v>0.22038438823831966</v>
      </c>
      <c r="AA75" s="138"/>
      <c r="AB75" s="193">
        <f t="array" ref="AB75">SUM(AB11:AC11*AB24:AC24)/AB32</f>
        <v>0.2203843883210034</v>
      </c>
      <c r="AC75" s="138"/>
      <c r="AD75" s="193">
        <f t="array" ref="AD75">SUM(AD11:AE11*AD24:AE24)/AD32</f>
        <v>0.2203843883457125</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0.22268598216424468</v>
      </c>
      <c r="E76" s="138"/>
      <c r="F76" s="193">
        <f t="array" ref="F76">SUM(F12:G12*F25:G25)/F32</f>
        <v>0.22238110924563179</v>
      </c>
      <c r="G76" s="138"/>
      <c r="H76" s="193">
        <f t="array" ref="H76">SUM(H12:I12*H25:I25)/H32</f>
        <v>0.22210644506241461</v>
      </c>
      <c r="I76" s="138"/>
      <c r="J76" s="193">
        <f t="array" ref="J76">SUM(J12:K12*J25:K25)/J32</f>
        <v>0.22186500961269526</v>
      </c>
      <c r="K76" s="138"/>
      <c r="L76" s="193">
        <f t="array" ref="L76">SUM(L12:M12*L25:M25)/L32</f>
        <v>0.22166061786404487</v>
      </c>
      <c r="M76" s="138"/>
      <c r="N76" s="193">
        <f t="array" ref="N76">SUM(N12:O12*N25:O25)/N32</f>
        <v>0.22149801829725266</v>
      </c>
      <c r="O76" s="138"/>
      <c r="P76" s="193">
        <f t="array" ref="P76">SUM(P12:Q12*P25:Q25)/P32</f>
        <v>0.2213829541330945</v>
      </c>
      <c r="Q76" s="138"/>
      <c r="R76" s="193">
        <f t="array" ref="R76">SUM(R12:S12*R25:S25)/R32</f>
        <v>0.22132224315344953</v>
      </c>
      <c r="S76" s="138"/>
      <c r="T76" s="193">
        <f t="array" ref="T76">SUM(T12:U12*T25:U25)/T32</f>
        <v>0.22132355360091355</v>
      </c>
      <c r="U76" s="138"/>
      <c r="V76" s="193">
        <f t="array" ref="V76">SUM(V12:W12*V25:W25)/V32</f>
        <v>0.22139482425227455</v>
      </c>
      <c r="W76" s="138"/>
      <c r="X76" s="193">
        <f t="array" ref="X76">SUM(X12:Y12*X25:Y25)/X32</f>
        <v>0.22154251620023493</v>
      </c>
      <c r="Y76" s="138"/>
      <c r="Z76" s="193">
        <f t="array" ref="Z76">SUM(Z12:AA12*Z25:AA25)/Z32</f>
        <v>0.22176734502020767</v>
      </c>
      <c r="AA76" s="138"/>
      <c r="AB76" s="193">
        <f t="array" ref="AB76">SUM(AB12:AC12*AB25:AC25)/AB32</f>
        <v>0.22205399296510001</v>
      </c>
      <c r="AC76" s="138"/>
      <c r="AD76" s="193">
        <f t="array" ref="AD76">SUM(AD12:AE12*AD25:AE25)/AD32</f>
        <v>0.22234675661388428</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0.14552810976502939</v>
      </c>
      <c r="E77" s="138"/>
      <c r="F77" s="193">
        <f t="array" ref="F77">SUM(F4:G4*F19:G19)/F32</f>
        <v>0.14522323787695279</v>
      </c>
      <c r="G77" s="138"/>
      <c r="H77" s="193">
        <f t="array" ref="H77">SUM(H4:I4*H19:I19)/H32</f>
        <v>0.14494857431990679</v>
      </c>
      <c r="I77" s="138"/>
      <c r="J77" s="193">
        <f t="array" ref="J77">SUM(J4:K4*J19:K19)/J32</f>
        <v>0.14470713619351241</v>
      </c>
      <c r="K77" s="138"/>
      <c r="L77" s="193">
        <f t="array" ref="L77">SUM(L4:M4*L19:M19)/L32</f>
        <v>0.1445027475698567</v>
      </c>
      <c r="M77" s="138"/>
      <c r="N77" s="193">
        <f t="array" ref="N77">SUM(N4:O4*N19:O19)/N32</f>
        <v>0.14434014484579771</v>
      </c>
      <c r="O77" s="138"/>
      <c r="P77" s="193">
        <f t="array" ref="P77">SUM(P4:Q4*P19:Q19)/P32</f>
        <v>0.1442250992852748</v>
      </c>
      <c r="Q77" s="138"/>
      <c r="R77" s="193">
        <f t="array" ref="R77">SUM(R4:S4*R19:S19)/R32</f>
        <v>0.14416437316959885</v>
      </c>
      <c r="S77" s="138"/>
      <c r="T77" s="193">
        <f t="array" ref="T77">SUM(T4:U4*T19:U19)/T32</f>
        <v>0.14416568395376325</v>
      </c>
      <c r="U77" s="138"/>
      <c r="V77" s="193">
        <f t="array" ref="V77">SUM(V4:W4*V19:W19)/V32</f>
        <v>0.14423695523995392</v>
      </c>
      <c r="W77" s="138"/>
      <c r="X77" s="193">
        <f t="array" ref="X77">SUM(X4:Y4*X19:Y19)/X32</f>
        <v>0.14438464872117832</v>
      </c>
      <c r="Y77" s="138"/>
      <c r="Z77" s="193">
        <f t="array" ref="Z77">SUM(Z4:AA4*Z19:AA19)/Z32</f>
        <v>0.14460947050892933</v>
      </c>
      <c r="AA77" s="138"/>
      <c r="AB77" s="193">
        <f t="array" ref="AB77">SUM(AB4:AC4*AB19:AC19)/AB32</f>
        <v>0.1448961193053985</v>
      </c>
      <c r="AC77" s="138"/>
      <c r="AD77" s="193">
        <f t="array" ref="AD77">SUM(AD4:AE4*AD19:AE19)/AD32</f>
        <v>0.14518888323886331</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0.33459254218005813</v>
      </c>
      <c r="E78" s="138"/>
      <c r="F78" s="193">
        <f t="array" ref="F78">SUM(F13:G13*F26:G26)/F32</f>
        <v>0.32180016467740746</v>
      </c>
      <c r="G78" s="138"/>
      <c r="H78" s="193">
        <f t="array" ref="H78">SUM(H13:I13*H26:I26)/H32</f>
        <v>0.30840925806476116</v>
      </c>
      <c r="I78" s="138"/>
      <c r="J78" s="193">
        <f t="array" ref="J78">SUM(J13:K13*J26:K26)/J32</f>
        <v>0.29429812081025081</v>
      </c>
      <c r="K78" s="138"/>
      <c r="L78" s="193">
        <f t="array" ref="L78">SUM(L13:M13*L26:M26)/L32</f>
        <v>0.27931770307565401</v>
      </c>
      <c r="M78" s="138"/>
      <c r="N78" s="193">
        <f t="array" ref="N78">SUM(N13:O13*N26:O26)/N32</f>
        <v>0.26328176878624376</v>
      </c>
      <c r="O78" s="138"/>
      <c r="P78" s="193">
        <f t="array" ref="P78">SUM(P13:Q13*P26:Q26)/P32</f>
        <v>0.24595301562368679</v>
      </c>
      <c r="Q78" s="138"/>
      <c r="R78" s="193">
        <f t="array" ref="R78">SUM(R13:S13*R26:S26)/R32</f>
        <v>0.22702158976618991</v>
      </c>
      <c r="S78" s="138"/>
      <c r="T78" s="193">
        <f t="array" ref="T78">SUM(T13:U13*T26:U26)/T32</f>
        <v>0.20607301577379405</v>
      </c>
      <c r="U78" s="138"/>
      <c r="V78" s="193">
        <f t="array" ref="V78">SUM(V13:W13*V26:W26)/V32</f>
        <v>0.18253527183466492</v>
      </c>
      <c r="W78" s="138"/>
      <c r="X78" s="193">
        <f t="array" ref="X78">SUM(X13:Y13*X26:Y26)/X32</f>
        <v>0.15559083927955408</v>
      </c>
      <c r="Y78" s="138"/>
      <c r="Z78" s="193">
        <f t="array" ref="Z78">SUM(Z13:AA13*Z26:AA26)/Z32</f>
        <v>0.12402044393930184</v>
      </c>
      <c r="AA78" s="138"/>
      <c r="AB78" s="193">
        <f t="array" ref="AB78">SUM(AB13:AC13*AB26:AC26)/AB32</f>
        <v>8.5910869162629522E-2</v>
      </c>
      <c r="AC78" s="138"/>
      <c r="AD78" s="193">
        <f t="array" ref="AD78">SUM(AD13:AE13*AD26:AE26)/AD32</f>
        <v>3.8066555085425099E-2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0.46707589787631687</v>
      </c>
      <c r="F79" s="193">
        <f t="array" ref="F79">SUM(F15:G15*F27:G27)/F32</f>
        <v>0.48004635776740928</v>
      </c>
      <c r="H79" s="193">
        <f t="array" ref="H79">SUM(H15:I15*H27:I27)/H32</f>
        <v>0.49362367899500531</v>
      </c>
      <c r="J79" s="193">
        <f t="array" ref="J79">SUM(J15:K15*J27:K27)/J32</f>
        <v>0.50793125981502318</v>
      </c>
      <c r="L79" s="193">
        <f t="array" ref="L79">SUM(L15:M15*L27:M27)/L32</f>
        <v>0.52312021675652487</v>
      </c>
      <c r="N79" s="193">
        <f t="array" ref="N79">SUM(N15:O15*N27:O27)/N32</f>
        <v>0.53937939140638469</v>
      </c>
      <c r="P79" s="193">
        <f t="array" ref="P79">SUM(P15:Q15*P27:Q27)/P32</f>
        <v>0.55694938397856808</v>
      </c>
      <c r="R79" s="193">
        <f t="array" ref="R79">SUM(R15:S15*R27:S27)/R32</f>
        <v>0.57614435024845401</v>
      </c>
      <c r="T79" s="193">
        <f t="array" ref="T79">SUM(T15:U15*T27:U27)/T32</f>
        <v>0.59738454914392125</v>
      </c>
      <c r="V79" s="193">
        <f t="array" ref="V79">SUM(V15:W15*V27:W27)/V32</f>
        <v>0.62124996003597799</v>
      </c>
      <c r="X79" s="193">
        <f t="array" ref="X79">SUM(X15:Y15*X27:Y27)/X32</f>
        <v>0.64856947577218804</v>
      </c>
      <c r="Z79" s="193">
        <f t="array" ref="Z79">SUM(Z15:AA15*Z27:AA27)/Z32</f>
        <v>0.68057937968797688</v>
      </c>
      <c r="AB79" s="193">
        <f t="array" ref="AB79">SUM(AB15:AC15*AB27:AC27)/AB32</f>
        <v>0.71921947441345724</v>
      </c>
      <c r="AD79" s="193">
        <f t="array" ref="AD79">SUM(AD15:AE15*AD27:AE27)/AD32</f>
        <v>0.76772983167991615</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0.19833155987651127</v>
      </c>
      <c r="F80" s="236">
        <f>F55</f>
        <v>0.1981534777177115</v>
      </c>
      <c r="H80" s="236">
        <f>H55</f>
        <v>0.1979670634956591</v>
      </c>
      <c r="J80" s="236">
        <f>J55</f>
        <v>0.19777061970568177</v>
      </c>
      <c r="L80" s="236">
        <f>L55</f>
        <v>0.19756208020166391</v>
      </c>
      <c r="N80" s="236">
        <f>N55</f>
        <v>0.19733883862204343</v>
      </c>
      <c r="P80" s="236">
        <f>P55</f>
        <v>0.19709765985784056</v>
      </c>
      <c r="R80" s="236">
        <f>R55</f>
        <v>0.19683407310550827</v>
      </c>
      <c r="T80" s="236">
        <f>T55</f>
        <v>0.19654245118554556</v>
      </c>
      <c r="V80" s="236">
        <f>V55</f>
        <v>0.19621478862356212</v>
      </c>
      <c r="X80" s="236">
        <f>X55</f>
        <v>0.19583971158741578</v>
      </c>
      <c r="Z80" s="236">
        <f>Z55</f>
        <v>0.19540016201396515</v>
      </c>
      <c r="AB80" s="236">
        <f>AB55</f>
        <v>0.19486965235636095</v>
      </c>
      <c r="AD80" s="236">
        <f>AD55</f>
        <v>0.19420362228756</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-2.7714644687913573E-2</v>
      </c>
      <c r="F81" s="236">
        <f>F51/F$32</f>
        <v>-2.7892726846713341E-2</v>
      </c>
      <c r="H81" s="236">
        <f>H51/H$32</f>
        <v>-2.8079141068765745E-2</v>
      </c>
      <c r="J81" s="236">
        <f>J51/J$32</f>
        <v>-2.8275584858743052E-2</v>
      </c>
      <c r="L81" s="236">
        <f>L51/L$32</f>
        <v>-2.8484124362760922E-2</v>
      </c>
      <c r="N81" s="236">
        <f>N51/N$32</f>
        <v>-2.870736594238139E-2</v>
      </c>
      <c r="P81" s="236">
        <f>P51/P$32</f>
        <v>-2.8948544706584266E-2</v>
      </c>
      <c r="R81" s="236">
        <f>R51/R$32</f>
        <v>-2.9212131458916595E-2</v>
      </c>
      <c r="T81" s="236">
        <f>T51/T$32</f>
        <v>-2.9503753378879272E-2</v>
      </c>
      <c r="V81" s="236">
        <f>V51/V$32</f>
        <v>-2.9831415940862707E-2</v>
      </c>
      <c r="X81" s="236">
        <f>X51/X$32</f>
        <v>-3.0206492977009065E-2</v>
      </c>
      <c r="Z81" s="236">
        <f>Z51/Z$32</f>
        <v>-3.0646042550459669E-2</v>
      </c>
      <c r="AB81" s="236">
        <f>AB51/AB$32</f>
        <v>-3.1176552208063868E-2</v>
      </c>
      <c r="AD81" s="236">
        <f>AD51/AD$32</f>
        <v>-3.1842582276864845E-2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0.13414911398169305</v>
      </c>
      <c r="F82" s="236">
        <f>F52/F$32</f>
        <v>0.12902023066433438</v>
      </c>
      <c r="H82" s="236">
        <f>H52/H$32</f>
        <v>0.12365137741436746</v>
      </c>
      <c r="J82" s="236">
        <f>J52/J$32</f>
        <v>0.11799376009978929</v>
      </c>
      <c r="L82" s="236">
        <f>L52/L$32</f>
        <v>0.11198761975643894</v>
      </c>
      <c r="N82" s="236">
        <f>N52/N$32</f>
        <v>0.10555828823943404</v>
      </c>
      <c r="P82" s="236">
        <f>P52/P$32</f>
        <v>9.8610623273508141E-2</v>
      </c>
      <c r="R82" s="236">
        <f>R52/R$32</f>
        <v>9.1020394308313102E-2</v>
      </c>
      <c r="T82" s="236">
        <f>T52/T$32</f>
        <v>8.2621424558570314E-2</v>
      </c>
      <c r="V82" s="236">
        <f>V52/V$32</f>
        <v>7.3184371736087148E-2</v>
      </c>
      <c r="X82" s="236">
        <f>X52/X$32</f>
        <v>6.2381465818170861E-2</v>
      </c>
      <c r="Z82" s="236">
        <f>Z52/Z$32</f>
        <v>4.9723859837618227E-2</v>
      </c>
      <c r="AB82" s="236">
        <f>AB52/AB$32</f>
        <v>3.4444482547258619E-2</v>
      </c>
      <c r="AD82" s="236">
        <f>AD52/AD$32</f>
        <v>1.5262129286483076E-2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0.19110779293972555</v>
      </c>
      <c r="F83" s="236">
        <f>F53/F$32</f>
        <v>0.19641475905480493</v>
      </c>
      <c r="H83" s="236">
        <f>H53/H$32</f>
        <v>0.20197002727917104</v>
      </c>
      <c r="J83" s="236">
        <f>J53/J$32</f>
        <v>0.20782408698392682</v>
      </c>
      <c r="L83" s="236">
        <f>L53/L$32</f>
        <v>0.21403876869057223</v>
      </c>
      <c r="N83" s="236">
        <f>N53/N$32</f>
        <v>0.22069133842599251</v>
      </c>
      <c r="P83" s="236">
        <f>P53/P$32</f>
        <v>0.22788023966817667</v>
      </c>
      <c r="R83" s="236">
        <f>R53/R$32</f>
        <v>0.23573401173406422</v>
      </c>
      <c r="T83" s="236">
        <f>T53/T$32</f>
        <v>0.2444246068835241</v>
      </c>
      <c r="V83" s="236">
        <f>V53/V$32</f>
        <v>0.25418932825732615</v>
      </c>
      <c r="X83" s="236">
        <f>X53/X$32</f>
        <v>0.26536732391128243</v>
      </c>
      <c r="Z83" s="236">
        <f>Z53/Z$32</f>
        <v>0.27846442893719625</v>
      </c>
      <c r="AB83" s="236">
        <f>AB53/AB$32</f>
        <v>0.29427432890322675</v>
      </c>
      <c r="AD83" s="236">
        <f>AD53/AD$32</f>
        <v>0.3141227247508015</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5.6340422416369225E-2</v>
      </c>
      <c r="E2" s="227"/>
      <c r="F2" s="226">
        <v>0.11199051711865128</v>
      </c>
      <c r="G2" s="227"/>
      <c r="H2" s="226">
        <v>0.17351496300092922</v>
      </c>
      <c r="I2" s="227"/>
      <c r="J2" s="226">
        <v>0.24188314940057037</v>
      </c>
      <c r="K2" s="227"/>
      <c r="L2" s="226">
        <v>0.31828616911698265</v>
      </c>
      <c r="M2" s="227"/>
      <c r="N2" s="226">
        <v>0.40422062067046199</v>
      </c>
      <c r="O2" s="227"/>
      <c r="P2" s="226">
        <v>0.50158354013640671</v>
      </c>
      <c r="Q2" s="227"/>
      <c r="R2" s="226">
        <v>0.61283174115509786</v>
      </c>
      <c r="S2" s="227"/>
      <c r="T2" s="226">
        <v>0.74121688597090274</v>
      </c>
      <c r="U2" s="227"/>
      <c r="V2" s="226">
        <v>0.89116175797922303</v>
      </c>
      <c r="W2" s="227"/>
      <c r="X2" s="226">
        <v>1.0688865178865512</v>
      </c>
      <c r="Y2" s="227"/>
      <c r="Z2" s="226">
        <v>1.2835127321432536</v>
      </c>
      <c r="AA2" s="227"/>
      <c r="AB2" s="226">
        <v>1.5491470656679502</v>
      </c>
      <c r="AC2" s="227"/>
      <c r="AD2" s="226">
        <v>1.889145814030561</v>
      </c>
      <c r="AE2" s="227"/>
      <c r="AF2" s="226">
        <v>2.3458055244977483</v>
      </c>
      <c r="AG2" s="227"/>
      <c r="AH2" s="226">
        <v>3.0055989615021641</v>
      </c>
      <c r="AI2" s="227"/>
      <c r="AJ2" s="226">
        <v>4.0785809158236894</v>
      </c>
      <c r="AK2" s="227"/>
      <c r="AL2" s="226">
        <v>6.2309459641018297</v>
      </c>
      <c r="AM2" s="227"/>
      <c r="AN2" s="226">
        <v>12.89719099728678</v>
      </c>
      <c r="AO2" s="227"/>
      <c r="AP2" s="226">
        <v>16.199355745583667</v>
      </c>
      <c r="AQ2" s="227"/>
      <c r="AR2" s="226">
        <v>21.459134273586727</v>
      </c>
      <c r="AS2" s="227"/>
      <c r="AT2" s="226">
        <v>30.794858605942064</v>
      </c>
      <c r="AU2" s="227"/>
      <c r="AV2" s="226">
        <v>50.562785413270085</v>
      </c>
      <c r="AW2" s="227"/>
    </row>
    <row r="3" spans="1:49" x14ac:dyDescent="0.2">
      <c r="A3" t="s">
        <v>12</v>
      </c>
      <c r="B3" s="84">
        <v>1000</v>
      </c>
      <c r="C3" s="85">
        <v>1000</v>
      </c>
      <c r="D3" s="84">
        <v>999.15313719587039</v>
      </c>
      <c r="E3" s="85">
        <v>1023.6283628117961</v>
      </c>
      <c r="F3" s="84">
        <v>998.31029194645964</v>
      </c>
      <c r="G3" s="85">
        <v>1050.3142705366199</v>
      </c>
      <c r="H3" s="84">
        <v>997.46968507613121</v>
      </c>
      <c r="I3" s="85">
        <v>1080.6443716956151</v>
      </c>
      <c r="J3" s="84">
        <v>996.62879109240566</v>
      </c>
      <c r="K3" s="85">
        <v>1115.3636014286596</v>
      </c>
      <c r="L3" s="84">
        <v>995.78393594092859</v>
      </c>
      <c r="M3" s="85">
        <v>1155.4230811529337</v>
      </c>
      <c r="N3" s="84">
        <v>994.93012769719905</v>
      </c>
      <c r="O3" s="85">
        <v>1202.0701760064385</v>
      </c>
      <c r="P3" s="84">
        <v>994.06044620451667</v>
      </c>
      <c r="Q3" s="85">
        <v>1256.9564388426954</v>
      </c>
      <c r="R3" s="84">
        <v>993.16546604326879</v>
      </c>
      <c r="S3" s="85">
        <v>1322.3212426486789</v>
      </c>
      <c r="T3" s="84">
        <v>992.23238387530864</v>
      </c>
      <c r="U3" s="85">
        <v>1401.271716348843</v>
      </c>
      <c r="V3" s="84">
        <v>991.24385607234728</v>
      </c>
      <c r="W3" s="85">
        <v>1498.2413772491223</v>
      </c>
      <c r="X3" s="84">
        <v>990.17647598743918</v>
      </c>
      <c r="Y3" s="85">
        <v>1619.769047481311</v>
      </c>
      <c r="Z3" s="84">
        <v>988.99885992052214</v>
      </c>
      <c r="AA3" s="85">
        <v>1775.8931111120014</v>
      </c>
      <c r="AB3" s="84">
        <v>987.66957944034891</v>
      </c>
      <c r="AC3" s="85">
        <v>1982.8129897315234</v>
      </c>
      <c r="AD3" s="84">
        <v>986.13598370829857</v>
      </c>
      <c r="AE3" s="85">
        <v>2268.3717877113368</v>
      </c>
      <c r="AF3" s="84">
        <v>984.33794214520356</v>
      </c>
      <c r="AG3" s="85">
        <v>2684.5525036290492</v>
      </c>
      <c r="AH3" s="84">
        <v>982.23115272165217</v>
      </c>
      <c r="AI3" s="85">
        <v>3340.0162841737792</v>
      </c>
      <c r="AJ3" s="84">
        <v>979.88670617761716</v>
      </c>
      <c r="AK3" s="85">
        <v>4502.1923767965191</v>
      </c>
      <c r="AL3" s="84">
        <v>977.90935794054553</v>
      </c>
      <c r="AM3" s="85">
        <v>7022.4759962593589</v>
      </c>
      <c r="AN3" s="84">
        <v>979.32238874837492</v>
      </c>
      <c r="AO3" s="85">
        <v>15266.159294882547</v>
      </c>
      <c r="AP3" s="84">
        <v>980.83800659314488</v>
      </c>
      <c r="AQ3" s="85">
        <v>19404.402609503984</v>
      </c>
      <c r="AR3" s="84">
        <v>983.19313792363732</v>
      </c>
      <c r="AS3" s="85">
        <v>26008.524028585256</v>
      </c>
      <c r="AT3" s="84">
        <v>986.80491648053021</v>
      </c>
      <c r="AU3" s="85">
        <v>37734.405711591382</v>
      </c>
      <c r="AV3" s="84">
        <v>992.60203180706424</v>
      </c>
      <c r="AW3" s="85">
        <v>62541.762014580301</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999.11126451186453</v>
      </c>
      <c r="E5" s="42">
        <v>1020.6111747770534</v>
      </c>
      <c r="F5" s="41">
        <v>998.22649014599449</v>
      </c>
      <c r="G5" s="42">
        <v>1043.5738875627853</v>
      </c>
      <c r="H5" s="41">
        <v>997.34381119229408</v>
      </c>
      <c r="I5" s="42">
        <v>1069.285312530146</v>
      </c>
      <c r="J5" s="41">
        <v>996.46057585485573</v>
      </c>
      <c r="K5" s="42">
        <v>1098.2365675304225</v>
      </c>
      <c r="L5" s="41">
        <v>995.57292226708307</v>
      </c>
      <c r="M5" s="42">
        <v>1131.0380020739151</v>
      </c>
      <c r="N5" s="41">
        <v>994.67559875715699</v>
      </c>
      <c r="O5" s="42">
        <v>1168.4634844177235</v>
      </c>
      <c r="P5" s="41">
        <v>993.76131996301012</v>
      </c>
      <c r="Q5" s="42">
        <v>1211.5013667105452</v>
      </c>
      <c r="R5" s="41">
        <v>992.82015646015509</v>
      </c>
      <c r="S5" s="42">
        <v>1261.4361270751303</v>
      </c>
      <c r="T5" s="41">
        <v>991.83861184312275</v>
      </c>
      <c r="U5" s="42">
        <v>1319.9641201317409</v>
      </c>
      <c r="V5" s="41">
        <v>990.79839199973708</v>
      </c>
      <c r="W5" s="42">
        <v>1389.3690226735239</v>
      </c>
      <c r="X5" s="41">
        <v>989.67479072681726</v>
      </c>
      <c r="Y5" s="42">
        <v>1472.7914531592271</v>
      </c>
      <c r="Z5" s="41">
        <v>988.43465605219785</v>
      </c>
      <c r="AA5" s="42">
        <v>1574.658342209588</v>
      </c>
      <c r="AB5" s="41">
        <v>987.03418324250629</v>
      </c>
      <c r="AC5" s="42">
        <v>1701.3902697799665</v>
      </c>
      <c r="AD5" s="41">
        <v>985.41762862748112</v>
      </c>
      <c r="AE5" s="42">
        <v>1862.6099329258627</v>
      </c>
      <c r="AF5" s="41">
        <v>983.52119161680628</v>
      </c>
      <c r="AG5" s="42">
        <v>2073.292484365355</v>
      </c>
      <c r="AH5" s="41">
        <v>981.29754530212449</v>
      </c>
      <c r="AI5" s="42">
        <v>2357.7225337804116</v>
      </c>
      <c r="AJ5" s="41">
        <v>978.82105651818995</v>
      </c>
      <c r="AK5" s="42">
        <v>2756.7668329710291</v>
      </c>
      <c r="AL5" s="41">
        <v>976.7306863247909</v>
      </c>
      <c r="AM5" s="42">
        <v>3338.9699790060376</v>
      </c>
      <c r="AN5" s="41">
        <v>978.22463870650768</v>
      </c>
      <c r="AO5" s="42">
        <v>4192.6947605010992</v>
      </c>
      <c r="AP5" s="41">
        <v>979.82619103941022</v>
      </c>
      <c r="AQ5" s="42">
        <v>4396.9118676735379</v>
      </c>
      <c r="AR5" s="41">
        <v>982.31309919458477</v>
      </c>
      <c r="AS5" s="42">
        <v>4607.1135331763153</v>
      </c>
      <c r="AT5" s="41">
        <v>986.1228557757089</v>
      </c>
      <c r="AU5" s="42">
        <v>4817.3901468162776</v>
      </c>
      <c r="AV5" s="41">
        <v>992.22749684954817</v>
      </c>
      <c r="AW5" s="42">
        <v>5018.9260200540957</v>
      </c>
    </row>
    <row r="6" spans="1:49" x14ac:dyDescent="0.2">
      <c r="A6" t="s">
        <v>77</v>
      </c>
      <c r="B6" s="41">
        <v>999.99999999999943</v>
      </c>
      <c r="C6" s="42">
        <v>999.99999999999909</v>
      </c>
      <c r="D6" s="41">
        <v>999.04331792886717</v>
      </c>
      <c r="E6" s="42">
        <v>1025.4590076481932</v>
      </c>
      <c r="F6" s="41">
        <v>998.09096516963098</v>
      </c>
      <c r="G6" s="42">
        <v>1054.108843451487</v>
      </c>
      <c r="H6" s="41">
        <v>997.14093289293953</v>
      </c>
      <c r="I6" s="42">
        <v>1086.5518202209998</v>
      </c>
      <c r="J6" s="41">
        <v>996.19036675885718</v>
      </c>
      <c r="K6" s="42">
        <v>1123.5520585752772</v>
      </c>
      <c r="L6" s="41">
        <v>995.23511111095331</v>
      </c>
      <c r="M6" s="42">
        <v>1166.0841264588851</v>
      </c>
      <c r="N6" s="41">
        <v>994.26951598049027</v>
      </c>
      <c r="O6" s="42">
        <v>1215.4255562481394</v>
      </c>
      <c r="P6" s="41">
        <v>993.28574475837399</v>
      </c>
      <c r="Q6" s="42">
        <v>1273.266847038971</v>
      </c>
      <c r="R6" s="41">
        <v>992.27311842099721</v>
      </c>
      <c r="S6" s="42">
        <v>1341.8995572414844</v>
      </c>
      <c r="T6" s="41">
        <v>991.21712379722851</v>
      </c>
      <c r="U6" s="42">
        <v>1424.5028553452883</v>
      </c>
      <c r="V6" s="41">
        <v>990.09809154816651</v>
      </c>
      <c r="W6" s="42">
        <v>1525.6133037291106</v>
      </c>
      <c r="X6" s="41">
        <v>988.8894624200376</v>
      </c>
      <c r="Y6" s="42">
        <v>1651.9230311739225</v>
      </c>
      <c r="Z6" s="41">
        <v>987.55560435029531</v>
      </c>
      <c r="AA6" s="42">
        <v>1813.7089880518629</v>
      </c>
      <c r="AB6" s="41">
        <v>986.04944598659768</v>
      </c>
      <c r="AC6" s="42">
        <v>2027.5620493990577</v>
      </c>
      <c r="AD6" s="41">
        <v>984.31110462212962</v>
      </c>
      <c r="AE6" s="42">
        <v>2322.0100423405429</v>
      </c>
      <c r="AF6" s="41">
        <v>982.2720760849403</v>
      </c>
      <c r="AG6" s="42">
        <v>2750.3355309617691</v>
      </c>
      <c r="AH6" s="41">
        <v>979.88162246230161</v>
      </c>
      <c r="AI6" s="42">
        <v>3423.9534302077022</v>
      </c>
      <c r="AJ6" s="41">
        <v>977.21985179103808</v>
      </c>
      <c r="AK6" s="42">
        <v>4617.1366054429564</v>
      </c>
      <c r="AL6" s="41">
        <v>974.97349243734811</v>
      </c>
      <c r="AM6" s="42">
        <v>7203.1914460077278</v>
      </c>
      <c r="AN6" s="41">
        <v>976.57888983320368</v>
      </c>
      <c r="AO6" s="42">
        <v>15660.017905800025</v>
      </c>
      <c r="AP6" s="41">
        <v>978.30012418233309</v>
      </c>
      <c r="AQ6" s="42">
        <v>19905.096057500486</v>
      </c>
      <c r="AR6" s="41">
        <v>980.97330649898606</v>
      </c>
      <c r="AS6" s="42">
        <v>26679.676556045764</v>
      </c>
      <c r="AT6" s="41">
        <v>985.06943456611475</v>
      </c>
      <c r="AU6" s="42">
        <v>38708.18206994958</v>
      </c>
      <c r="AV6" s="41">
        <v>991.63549601790874</v>
      </c>
      <c r="AW6" s="42">
        <v>64155.741368311828</v>
      </c>
    </row>
    <row r="7" spans="1:49" x14ac:dyDescent="0.2">
      <c r="A7" t="s">
        <v>13</v>
      </c>
      <c r="B7" s="33">
        <v>1015.9116825427475</v>
      </c>
      <c r="C7" s="34">
        <v>1015.9116825427475</v>
      </c>
      <c r="D7" s="33">
        <v>1015.0088057776603</v>
      </c>
      <c r="E7" s="34">
        <v>1015.0088057776603</v>
      </c>
      <c r="F7" s="33">
        <v>1014.1099531629585</v>
      </c>
      <c r="G7" s="34">
        <v>1014.1099531629585</v>
      </c>
      <c r="H7" s="33">
        <v>1013.2132293019597</v>
      </c>
      <c r="I7" s="34">
        <v>1013.2132293019597</v>
      </c>
      <c r="J7" s="33">
        <v>1012.3159402042215</v>
      </c>
      <c r="K7" s="34">
        <v>1012.3159402042215</v>
      </c>
      <c r="L7" s="33">
        <v>1011.4141625543523</v>
      </c>
      <c r="M7" s="34">
        <v>1011.4141625543523</v>
      </c>
      <c r="N7" s="33">
        <v>1010.5025611175981</v>
      </c>
      <c r="O7" s="34">
        <v>1010.5025611175981</v>
      </c>
      <c r="P7" s="33">
        <v>1009.5737346095232</v>
      </c>
      <c r="Q7" s="34">
        <v>1009.5737346095232</v>
      </c>
      <c r="R7" s="33">
        <v>1008.61759561179</v>
      </c>
      <c r="S7" s="34">
        <v>1008.61759561179</v>
      </c>
      <c r="T7" s="33">
        <v>1007.6204329684098</v>
      </c>
      <c r="U7" s="34">
        <v>1007.6204329684098</v>
      </c>
      <c r="V7" s="33">
        <v>1006.5636614771015</v>
      </c>
      <c r="W7" s="34">
        <v>1006.5636614771015</v>
      </c>
      <c r="X7" s="33">
        <v>1005.4221818174224</v>
      </c>
      <c r="Y7" s="34">
        <v>1005.4221818174224</v>
      </c>
      <c r="Z7" s="33">
        <v>1004.1623145135502</v>
      </c>
      <c r="AA7" s="34">
        <v>1004.1623145135502</v>
      </c>
      <c r="AB7" s="33">
        <v>1002.7395578251011</v>
      </c>
      <c r="AC7" s="34">
        <v>1002.7395578251011</v>
      </c>
      <c r="AD7" s="33">
        <v>1001.0972811062286</v>
      </c>
      <c r="AE7" s="34">
        <v>1001.0972811062286</v>
      </c>
      <c r="AF7" s="33">
        <v>999.17066859187753</v>
      </c>
      <c r="AG7" s="34">
        <v>999.17066859187753</v>
      </c>
      <c r="AH7" s="33">
        <v>996.91164032294921</v>
      </c>
      <c r="AI7" s="34">
        <v>996.91164032294921</v>
      </c>
      <c r="AJ7" s="33">
        <v>994.39574643566402</v>
      </c>
      <c r="AK7" s="34">
        <v>994.39574643566402</v>
      </c>
      <c r="AL7" s="33">
        <v>992.27211493535083</v>
      </c>
      <c r="AM7" s="34">
        <v>992.27211493535083</v>
      </c>
      <c r="AN7" s="33">
        <v>993.78983861309939</v>
      </c>
      <c r="AO7" s="34">
        <v>993.78983861309939</v>
      </c>
      <c r="AP7" s="33">
        <v>995.41687433829873</v>
      </c>
      <c r="AQ7" s="34">
        <v>995.41687433829873</v>
      </c>
      <c r="AR7" s="33">
        <v>997.94335338655139</v>
      </c>
      <c r="AS7" s="34">
        <v>997.94335338655139</v>
      </c>
      <c r="AT7" s="33">
        <v>1001.8137296049595</v>
      </c>
      <c r="AU7" s="34">
        <v>1001.8137296049595</v>
      </c>
      <c r="AV7" s="33">
        <v>1008.0155057896031</v>
      </c>
      <c r="AW7" s="34">
        <v>1008.0155057896031</v>
      </c>
    </row>
    <row r="8" spans="1:49" x14ac:dyDescent="0.2">
      <c r="B8" s="35">
        <v>1005.7716594496609</v>
      </c>
      <c r="C8" s="36">
        <v>1005.7716594496609</v>
      </c>
      <c r="D8" s="35">
        <v>1078.1128394868595</v>
      </c>
      <c r="E8" s="36">
        <v>1078.1128394868595</v>
      </c>
      <c r="F8" s="35">
        <v>1160.4442668824629</v>
      </c>
      <c r="G8" s="36">
        <v>1160.4442668824629</v>
      </c>
      <c r="H8" s="35">
        <v>1254.8223139712513</v>
      </c>
      <c r="I8" s="36">
        <v>1254.8223139712513</v>
      </c>
      <c r="J8" s="35">
        <v>1363.8814872715534</v>
      </c>
      <c r="K8" s="36">
        <v>1363.8814872715534</v>
      </c>
      <c r="L8" s="35">
        <v>1491.0317548797475</v>
      </c>
      <c r="M8" s="36">
        <v>1491.0317548797475</v>
      </c>
      <c r="N8" s="35">
        <v>1640.7805193198265</v>
      </c>
      <c r="O8" s="36">
        <v>1640.7805193198265</v>
      </c>
      <c r="P8" s="35">
        <v>1819.1705111053157</v>
      </c>
      <c r="Q8" s="36">
        <v>1819.1705111053157</v>
      </c>
      <c r="R8" s="35">
        <v>2034.4842251865257</v>
      </c>
      <c r="S8" s="36">
        <v>2034.4842251865257</v>
      </c>
      <c r="T8" s="35">
        <v>2298.3438148491123</v>
      </c>
      <c r="U8" s="36">
        <v>2298.3438148491123</v>
      </c>
      <c r="V8" s="35">
        <v>2627.5215634011365</v>
      </c>
      <c r="W8" s="36">
        <v>2627.5215634011365</v>
      </c>
      <c r="X8" s="35">
        <v>3047.0383810996673</v>
      </c>
      <c r="Y8" s="36">
        <v>3047.0383810996673</v>
      </c>
      <c r="Z8" s="35">
        <v>3595.7523732111827</v>
      </c>
      <c r="AA8" s="36">
        <v>3595.7523732111827</v>
      </c>
      <c r="AB8" s="35">
        <v>4337.0940137656034</v>
      </c>
      <c r="AC8" s="36">
        <v>4337.0940137656034</v>
      </c>
      <c r="AD8" s="35">
        <v>5381.3516908845004</v>
      </c>
      <c r="AE8" s="36">
        <v>5381.3516908845004</v>
      </c>
      <c r="AF8" s="35">
        <v>6936.8334480892663</v>
      </c>
      <c r="AG8" s="36">
        <v>6936.8334480892663</v>
      </c>
      <c r="AH8" s="35">
        <v>9444.0909328210673</v>
      </c>
      <c r="AI8" s="36">
        <v>9444.0909328210673</v>
      </c>
      <c r="AJ8" s="35">
        <v>14000.46342730238</v>
      </c>
      <c r="AK8" s="36">
        <v>14000.46342730238</v>
      </c>
      <c r="AL8" s="35">
        <v>24143.91149395088</v>
      </c>
      <c r="AM8" s="36">
        <v>24143.91149395088</v>
      </c>
      <c r="AN8" s="35">
        <v>58266.679880007323</v>
      </c>
      <c r="AO8" s="36">
        <v>58266.679880007323</v>
      </c>
      <c r="AP8" s="35">
        <v>75624.051394095877</v>
      </c>
      <c r="AQ8" s="36">
        <v>75624.051394095877</v>
      </c>
      <c r="AR8" s="35">
        <v>103471.78145526543</v>
      </c>
      <c r="AS8" s="36">
        <v>103471.78145526543</v>
      </c>
      <c r="AT8" s="35">
        <v>153168.23856768204</v>
      </c>
      <c r="AU8" s="36">
        <v>153168.23856768204</v>
      </c>
      <c r="AV8" s="35">
        <v>258789.80537712702</v>
      </c>
      <c r="AW8" s="36">
        <v>258789.80537712702</v>
      </c>
    </row>
    <row r="9" spans="1:49" x14ac:dyDescent="0.2">
      <c r="A9" t="s">
        <v>14</v>
      </c>
      <c r="B9" s="41">
        <v>1015.9116825427475</v>
      </c>
      <c r="C9" s="42">
        <v>1005.7716594496609</v>
      </c>
      <c r="D9" s="41">
        <v>1015.0088057776603</v>
      </c>
      <c r="E9" s="42">
        <v>1078.1128394868595</v>
      </c>
      <c r="F9" s="41">
        <v>1014.1099531629585</v>
      </c>
      <c r="G9" s="42">
        <v>1160.4442668824629</v>
      </c>
      <c r="H9" s="41">
        <v>1013.2132293019597</v>
      </c>
      <c r="I9" s="42">
        <v>1254.8223139712513</v>
      </c>
      <c r="J9" s="41">
        <v>1012.3159402042215</v>
      </c>
      <c r="K9" s="42">
        <v>1363.8814872715534</v>
      </c>
      <c r="L9" s="41">
        <v>1011.4141625543523</v>
      </c>
      <c r="M9" s="42">
        <v>1491.0317548797475</v>
      </c>
      <c r="N9" s="41">
        <v>1010.5025611175981</v>
      </c>
      <c r="O9" s="42">
        <v>1640.7805193198265</v>
      </c>
      <c r="P9" s="41">
        <v>1009.5737346095232</v>
      </c>
      <c r="Q9" s="42">
        <v>1819.1705111053157</v>
      </c>
      <c r="R9" s="41">
        <v>1008.61759561179</v>
      </c>
      <c r="S9" s="42">
        <v>2034.4842251865257</v>
      </c>
      <c r="T9" s="41">
        <v>1007.6204329684098</v>
      </c>
      <c r="U9" s="42">
        <v>2298.3438148491123</v>
      </c>
      <c r="V9" s="41">
        <v>1006.5636614771015</v>
      </c>
      <c r="W9" s="42">
        <v>2627.5215634011365</v>
      </c>
      <c r="X9" s="41">
        <v>1005.4221818174224</v>
      </c>
      <c r="Y9" s="42">
        <v>3047.0383810996673</v>
      </c>
      <c r="Z9" s="41">
        <v>1004.1623145135502</v>
      </c>
      <c r="AA9" s="42">
        <v>3595.7523732111827</v>
      </c>
      <c r="AB9" s="41">
        <v>1002.7395578251011</v>
      </c>
      <c r="AC9" s="42">
        <v>4337.0940137656034</v>
      </c>
      <c r="AD9" s="41">
        <v>1001.0972811062286</v>
      </c>
      <c r="AE9" s="42">
        <v>5381.3516908845004</v>
      </c>
      <c r="AF9" s="41">
        <v>999.17066859187753</v>
      </c>
      <c r="AG9" s="42">
        <v>6936.8334480892663</v>
      </c>
      <c r="AH9" s="41">
        <v>996.91164032294921</v>
      </c>
      <c r="AI9" s="42">
        <v>9444.0909328210673</v>
      </c>
      <c r="AJ9" s="41">
        <v>994.39574643566402</v>
      </c>
      <c r="AK9" s="42">
        <v>14000.46342730238</v>
      </c>
      <c r="AL9" s="41">
        <v>992.27211493535083</v>
      </c>
      <c r="AM9" s="42">
        <v>24143.91149395088</v>
      </c>
      <c r="AN9" s="41">
        <v>993.78983861309939</v>
      </c>
      <c r="AO9" s="42">
        <v>58266.679880007323</v>
      </c>
      <c r="AP9" s="41">
        <v>995.41687433829873</v>
      </c>
      <c r="AQ9" s="42">
        <v>75624.051394095877</v>
      </c>
      <c r="AR9" s="41">
        <v>997.94335338655139</v>
      </c>
      <c r="AS9" s="42">
        <v>103471.78145526543</v>
      </c>
      <c r="AT9" s="41">
        <v>1001.8137296049595</v>
      </c>
      <c r="AU9" s="42">
        <v>153168.23856768204</v>
      </c>
      <c r="AV9" s="41">
        <v>1008.0155057896031</v>
      </c>
      <c r="AW9" s="42">
        <v>258789.80537712702</v>
      </c>
    </row>
    <row r="10" spans="1:49" x14ac:dyDescent="0.2">
      <c r="A10" t="s">
        <v>15</v>
      </c>
      <c r="B10" s="41">
        <v>1015.9116825427475</v>
      </c>
      <c r="C10" s="42">
        <v>1005.7716594496609</v>
      </c>
      <c r="D10" s="41">
        <v>1015.0088057776603</v>
      </c>
      <c r="E10" s="42">
        <v>1078.1128394868595</v>
      </c>
      <c r="F10" s="41">
        <v>1014.1099531629585</v>
      </c>
      <c r="G10" s="42">
        <v>1160.4442668824629</v>
      </c>
      <c r="H10" s="41">
        <v>1013.2132293019597</v>
      </c>
      <c r="I10" s="42">
        <v>1254.8223139712513</v>
      </c>
      <c r="J10" s="41">
        <v>1012.3159402042215</v>
      </c>
      <c r="K10" s="42">
        <v>1363.8814872715534</v>
      </c>
      <c r="L10" s="41">
        <v>1011.4141625543523</v>
      </c>
      <c r="M10" s="42">
        <v>1491.0317548797475</v>
      </c>
      <c r="N10" s="41">
        <v>1010.5025611175981</v>
      </c>
      <c r="O10" s="42">
        <v>1640.7805193198265</v>
      </c>
      <c r="P10" s="41">
        <v>1009.5737346095232</v>
      </c>
      <c r="Q10" s="42">
        <v>1819.1705111053157</v>
      </c>
      <c r="R10" s="41">
        <v>1008.61759561179</v>
      </c>
      <c r="S10" s="42">
        <v>2034.4842251865257</v>
      </c>
      <c r="T10" s="41">
        <v>1007.6204329684098</v>
      </c>
      <c r="U10" s="42">
        <v>2298.3438148491123</v>
      </c>
      <c r="V10" s="41">
        <v>1006.5636614771015</v>
      </c>
      <c r="W10" s="42">
        <v>2627.5215634011365</v>
      </c>
      <c r="X10" s="41">
        <v>1005.4221818174224</v>
      </c>
      <c r="Y10" s="42">
        <v>3047.0383810996673</v>
      </c>
      <c r="Z10" s="41">
        <v>1004.1623145135502</v>
      </c>
      <c r="AA10" s="42">
        <v>3595.7523732111827</v>
      </c>
      <c r="AB10" s="41">
        <v>1002.7395578251011</v>
      </c>
      <c r="AC10" s="42">
        <v>4337.0940137656034</v>
      </c>
      <c r="AD10" s="41">
        <v>1001.0972811062286</v>
      </c>
      <c r="AE10" s="42">
        <v>5381.3516908845004</v>
      </c>
      <c r="AF10" s="41">
        <v>999.17066859187753</v>
      </c>
      <c r="AG10" s="42">
        <v>6936.8334480892663</v>
      </c>
      <c r="AH10" s="41">
        <v>996.91164032294921</v>
      </c>
      <c r="AI10" s="42">
        <v>9444.0909328210673</v>
      </c>
      <c r="AJ10" s="41">
        <v>994.39574643566402</v>
      </c>
      <c r="AK10" s="42">
        <v>14000.46342730238</v>
      </c>
      <c r="AL10" s="41">
        <v>992.27211493535083</v>
      </c>
      <c r="AM10" s="42">
        <v>24143.91149395088</v>
      </c>
      <c r="AN10" s="41">
        <v>993.78983861309939</v>
      </c>
      <c r="AO10" s="42">
        <v>58266.679880007323</v>
      </c>
      <c r="AP10" s="41">
        <v>995.41687433829873</v>
      </c>
      <c r="AQ10" s="42">
        <v>75624.051394095877</v>
      </c>
      <c r="AR10" s="41">
        <v>997.94335338655139</v>
      </c>
      <c r="AS10" s="42">
        <v>103471.78145526543</v>
      </c>
      <c r="AT10" s="41">
        <v>1001.8137296049595</v>
      </c>
      <c r="AU10" s="42">
        <v>153168.23856768204</v>
      </c>
      <c r="AV10" s="41">
        <v>1008.0155057896031</v>
      </c>
      <c r="AW10" s="42">
        <v>258789.80537712702</v>
      </c>
    </row>
    <row r="11" spans="1:49" x14ac:dyDescent="0.2">
      <c r="A11" t="s">
        <v>29</v>
      </c>
      <c r="B11" s="41">
        <v>1015.9116825427475</v>
      </c>
      <c r="C11" s="42">
        <v>1005.7716594496609</v>
      </c>
      <c r="D11" s="41">
        <v>1015.0088057776603</v>
      </c>
      <c r="E11" s="42">
        <v>1078.1128394868595</v>
      </c>
      <c r="F11" s="41">
        <v>1014.1099531629585</v>
      </c>
      <c r="G11" s="42">
        <v>1160.4442668824629</v>
      </c>
      <c r="H11" s="41">
        <v>1013.2132293019597</v>
      </c>
      <c r="I11" s="42">
        <v>1254.8223139712513</v>
      </c>
      <c r="J11" s="41">
        <v>1012.3159402042215</v>
      </c>
      <c r="K11" s="42">
        <v>1363.8814872715534</v>
      </c>
      <c r="L11" s="41">
        <v>1011.4141625543523</v>
      </c>
      <c r="M11" s="42">
        <v>1491.0317548797475</v>
      </c>
      <c r="N11" s="41">
        <v>1010.5025611175981</v>
      </c>
      <c r="O11" s="42">
        <v>1640.7805193198265</v>
      </c>
      <c r="P11" s="41">
        <v>1009.5737346095232</v>
      </c>
      <c r="Q11" s="42">
        <v>1819.1705111053157</v>
      </c>
      <c r="R11" s="41">
        <v>1008.61759561179</v>
      </c>
      <c r="S11" s="42">
        <v>2034.4842251865257</v>
      </c>
      <c r="T11" s="41">
        <v>1007.6204329684098</v>
      </c>
      <c r="U11" s="42">
        <v>2298.3438148491123</v>
      </c>
      <c r="V11" s="41">
        <v>1006.5636614771015</v>
      </c>
      <c r="W11" s="42">
        <v>2627.5215634011365</v>
      </c>
      <c r="X11" s="41">
        <v>1005.4221818174224</v>
      </c>
      <c r="Y11" s="42">
        <v>3047.0383810996673</v>
      </c>
      <c r="Z11" s="41">
        <v>1004.1623145135502</v>
      </c>
      <c r="AA11" s="42">
        <v>3595.7523732111827</v>
      </c>
      <c r="AB11" s="41">
        <v>1002.7395578251011</v>
      </c>
      <c r="AC11" s="42">
        <v>4337.0940137656034</v>
      </c>
      <c r="AD11" s="41">
        <v>1001.0972811062286</v>
      </c>
      <c r="AE11" s="42">
        <v>5381.3516908845004</v>
      </c>
      <c r="AF11" s="41">
        <v>999.17066859187753</v>
      </c>
      <c r="AG11" s="42">
        <v>6936.8334480892663</v>
      </c>
      <c r="AH11" s="41">
        <v>996.91164032294921</v>
      </c>
      <c r="AI11" s="42">
        <v>9444.0909328210673</v>
      </c>
      <c r="AJ11" s="41">
        <v>994.39574643566402</v>
      </c>
      <c r="AK11" s="42">
        <v>14000.46342730238</v>
      </c>
      <c r="AL11" s="41">
        <v>992.27211493535083</v>
      </c>
      <c r="AM11" s="42">
        <v>24143.91149395088</v>
      </c>
      <c r="AN11" s="41">
        <v>993.78983861309939</v>
      </c>
      <c r="AO11" s="42">
        <v>58266.679880007323</v>
      </c>
      <c r="AP11" s="41">
        <v>995.41687433829873</v>
      </c>
      <c r="AQ11" s="42">
        <v>75624.051394095877</v>
      </c>
      <c r="AR11" s="41">
        <v>997.94335338655139</v>
      </c>
      <c r="AS11" s="42">
        <v>103471.78145526543</v>
      </c>
      <c r="AT11" s="41">
        <v>1001.8137296049595</v>
      </c>
      <c r="AU11" s="42">
        <v>153168.23856768204</v>
      </c>
      <c r="AV11" s="41">
        <v>1008.0155057896031</v>
      </c>
      <c r="AW11" s="42">
        <v>258789.80537712702</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998.48227656959523</v>
      </c>
      <c r="E13" s="98">
        <v>998.48227656959523</v>
      </c>
      <c r="F13" s="97">
        <v>996.64277630386084</v>
      </c>
      <c r="G13" s="98">
        <v>996.64277630386084</v>
      </c>
      <c r="H13" s="97">
        <v>994.43084631531633</v>
      </c>
      <c r="I13" s="98">
        <v>994.43084631531633</v>
      </c>
      <c r="J13" s="97">
        <v>991.78428001673353</v>
      </c>
      <c r="K13" s="98">
        <v>991.78428001673353</v>
      </c>
      <c r="L13" s="97">
        <v>988.62604292013907</v>
      </c>
      <c r="M13" s="98">
        <v>988.62604292013907</v>
      </c>
      <c r="N13" s="97">
        <v>984.85931058707615</v>
      </c>
      <c r="O13" s="98">
        <v>984.85931058707615</v>
      </c>
      <c r="P13" s="97">
        <v>980.36088032686428</v>
      </c>
      <c r="Q13" s="98">
        <v>980.36088032686428</v>
      </c>
      <c r="R13" s="97">
        <v>974.97139884069531</v>
      </c>
      <c r="S13" s="98">
        <v>974.97139884069531</v>
      </c>
      <c r="T13" s="97">
        <v>968.48103248904738</v>
      </c>
      <c r="U13" s="98">
        <v>968.48103248904738</v>
      </c>
      <c r="V13" s="97">
        <v>960.60746924310251</v>
      </c>
      <c r="W13" s="98">
        <v>960.60746924310251</v>
      </c>
      <c r="X13" s="97">
        <v>950.96124824455387</v>
      </c>
      <c r="Y13" s="98">
        <v>950.96124824455387</v>
      </c>
      <c r="Z13" s="97">
        <v>938.98852307222057</v>
      </c>
      <c r="AA13" s="98">
        <v>938.98852307222057</v>
      </c>
      <c r="AB13" s="97">
        <v>923.87150497283312</v>
      </c>
      <c r="AC13" s="98">
        <v>923.87150497283312</v>
      </c>
      <c r="AD13" s="97">
        <v>904.34415941132988</v>
      </c>
      <c r="AE13" s="98">
        <v>904.34415941132988</v>
      </c>
      <c r="AF13" s="97">
        <v>878.32154772615024</v>
      </c>
      <c r="AG13" s="98">
        <v>878.32154772615024</v>
      </c>
      <c r="AH13" s="97">
        <v>842.07017934199689</v>
      </c>
      <c r="AI13" s="98">
        <v>842.07017934199689</v>
      </c>
      <c r="AJ13" s="97">
        <v>788.05897192148564</v>
      </c>
      <c r="AK13" s="98">
        <v>788.05897192148564</v>
      </c>
      <c r="AL13" s="97">
        <v>698.08604057979642</v>
      </c>
      <c r="AM13" s="98">
        <v>698.08604057979642</v>
      </c>
      <c r="AN13" s="97">
        <v>512.80155157013144</v>
      </c>
      <c r="AO13" s="98">
        <v>512.80155157013144</v>
      </c>
      <c r="AP13" s="97">
        <v>448.60751920138739</v>
      </c>
      <c r="AQ13" s="98">
        <v>448.60751920138739</v>
      </c>
      <c r="AR13" s="97">
        <v>366.7023738110629</v>
      </c>
      <c r="AS13" s="98">
        <v>366.7023738110629</v>
      </c>
      <c r="AT13" s="97">
        <v>259.76600436216125</v>
      </c>
      <c r="AU13" s="98">
        <v>259.76600436216125</v>
      </c>
      <c r="AV13" s="97">
        <v>121.14614842889522</v>
      </c>
      <c r="AW13" s="98">
        <v>121.14614842889522</v>
      </c>
    </row>
    <row r="14" spans="1:49" x14ac:dyDescent="0.2">
      <c r="A14" t="s">
        <v>36</v>
      </c>
      <c r="B14" s="41">
        <v>1457.0034251455234</v>
      </c>
      <c r="C14" s="42">
        <v>1457.0034251455236</v>
      </c>
      <c r="D14" s="41">
        <v>1454.7920969089998</v>
      </c>
      <c r="E14" s="42">
        <v>1454.7920969090001</v>
      </c>
      <c r="F14" s="41">
        <v>1452.1119387212689</v>
      </c>
      <c r="G14" s="42">
        <v>1452.1119387212691</v>
      </c>
      <c r="H14" s="41">
        <v>1448.8891491517775</v>
      </c>
      <c r="I14" s="42">
        <v>1448.8891491517775</v>
      </c>
      <c r="J14" s="41">
        <v>1445.0330929898676</v>
      </c>
      <c r="K14" s="42">
        <v>1445.0330929898678</v>
      </c>
      <c r="L14" s="41">
        <v>1440.4315307227077</v>
      </c>
      <c r="M14" s="42">
        <v>1440.431530722708</v>
      </c>
      <c r="N14" s="41">
        <v>1434.9433888118288</v>
      </c>
      <c r="O14" s="42">
        <v>1434.943388811829</v>
      </c>
      <c r="P14" s="41">
        <v>1428.3891605149217</v>
      </c>
      <c r="Q14" s="42">
        <v>1428.389160514922</v>
      </c>
      <c r="R14" s="41">
        <v>1420.5366675298151</v>
      </c>
      <c r="S14" s="42">
        <v>1420.5366675298153</v>
      </c>
      <c r="T14" s="41">
        <v>1411.080181525015</v>
      </c>
      <c r="U14" s="42">
        <v>1411.080181525015</v>
      </c>
      <c r="V14" s="41">
        <v>1399.6083729075733</v>
      </c>
      <c r="W14" s="42">
        <v>1399.6083729075735</v>
      </c>
      <c r="X14" s="41">
        <v>1385.5537958729772</v>
      </c>
      <c r="Y14" s="42">
        <v>1385.5537958729774</v>
      </c>
      <c r="Z14" s="41">
        <v>1368.1094942885616</v>
      </c>
      <c r="AA14" s="42">
        <v>1368.1094942885618</v>
      </c>
      <c r="AB14" s="41">
        <v>1346.0839471397671</v>
      </c>
      <c r="AC14" s="42">
        <v>1346.0839471397674</v>
      </c>
      <c r="AD14" s="41">
        <v>1317.6325377726569</v>
      </c>
      <c r="AE14" s="42">
        <v>1317.6325377726569</v>
      </c>
      <c r="AF14" s="41">
        <v>1279.717503416118</v>
      </c>
      <c r="AG14" s="42">
        <v>1279.7175034161182</v>
      </c>
      <c r="AH14" s="41">
        <v>1226.8991355141945</v>
      </c>
      <c r="AI14" s="42">
        <v>1226.8991355141948</v>
      </c>
      <c r="AJ14" s="41">
        <v>1148.2046213062642</v>
      </c>
      <c r="AK14" s="42">
        <v>1148.2046213062645</v>
      </c>
      <c r="AL14" s="41">
        <v>1017.1137521710401</v>
      </c>
      <c r="AM14" s="42">
        <v>1017.1137521710403</v>
      </c>
      <c r="AN14" s="41">
        <v>747.15361705762018</v>
      </c>
      <c r="AO14" s="42">
        <v>747.15361705762029</v>
      </c>
      <c r="AP14" s="41">
        <v>653.6226920224575</v>
      </c>
      <c r="AQ14" s="42">
        <v>653.62269202245761</v>
      </c>
      <c r="AR14" s="41">
        <v>534.28661465171263</v>
      </c>
      <c r="AS14" s="42">
        <v>534.28661465171274</v>
      </c>
      <c r="AT14" s="41">
        <v>378.47995809203587</v>
      </c>
      <c r="AU14" s="42">
        <v>378.47995809203593</v>
      </c>
      <c r="AV14" s="41">
        <v>176.51035320408829</v>
      </c>
      <c r="AW14" s="42">
        <v>176.51035320408832</v>
      </c>
    </row>
    <row r="15" spans="1:49" x14ac:dyDescent="0.2">
      <c r="A15" t="s">
        <v>18</v>
      </c>
      <c r="B15" s="154">
        <v>1000</v>
      </c>
      <c r="C15" s="155">
        <v>1000</v>
      </c>
      <c r="D15" s="154">
        <v>993.34092311958625</v>
      </c>
      <c r="E15" s="155">
        <v>993.34092311958625</v>
      </c>
      <c r="F15" s="154">
        <v>986.43381217208935</v>
      </c>
      <c r="G15" s="155">
        <v>986.43381217208935</v>
      </c>
      <c r="H15" s="154">
        <v>979.23388806136438</v>
      </c>
      <c r="I15" s="155">
        <v>979.23388806136438</v>
      </c>
      <c r="J15" s="154">
        <v>971.68581511289869</v>
      </c>
      <c r="K15" s="155">
        <v>971.68581511289869</v>
      </c>
      <c r="L15" s="154">
        <v>963.72080197013042</v>
      </c>
      <c r="M15" s="155">
        <v>963.72080197013042</v>
      </c>
      <c r="N15" s="154">
        <v>955.2517132168191</v>
      </c>
      <c r="O15" s="155">
        <v>955.2517132168191</v>
      </c>
      <c r="P15" s="154">
        <v>946.16756170116128</v>
      </c>
      <c r="Q15" s="155">
        <v>946.16756170116128</v>
      </c>
      <c r="R15" s="154">
        <v>936.32445237036472</v>
      </c>
      <c r="S15" s="155">
        <v>936.32445237036472</v>
      </c>
      <c r="T15" s="154">
        <v>925.53274642992176</v>
      </c>
      <c r="U15" s="155">
        <v>925.53274642992176</v>
      </c>
      <c r="V15" s="154">
        <v>913.53742696248764</v>
      </c>
      <c r="W15" s="155">
        <v>913.53742696248764</v>
      </c>
      <c r="X15" s="154">
        <v>899.98722068813709</v>
      </c>
      <c r="Y15" s="155">
        <v>899.98722068813709</v>
      </c>
      <c r="Z15" s="154">
        <v>884.38378514060719</v>
      </c>
      <c r="AA15" s="155">
        <v>884.38378514060719</v>
      </c>
      <c r="AB15" s="154">
        <v>865.99357558054771</v>
      </c>
      <c r="AC15" s="155">
        <v>865.99357558054771</v>
      </c>
      <c r="AD15" s="154">
        <v>843.68462089841398</v>
      </c>
      <c r="AE15" s="155">
        <v>843.68462089841398</v>
      </c>
      <c r="AF15" s="154">
        <v>815.59779573482047</v>
      </c>
      <c r="AG15" s="155">
        <v>815.59779573482047</v>
      </c>
      <c r="AH15" s="154">
        <v>778.40813154227499</v>
      </c>
      <c r="AI15" s="155">
        <v>778.40813154227499</v>
      </c>
      <c r="AJ15" s="154">
        <v>725.39829849011846</v>
      </c>
      <c r="AK15" s="155">
        <v>725.39829849011846</v>
      </c>
      <c r="AL15" s="154">
        <v>640.24114179333947</v>
      </c>
      <c r="AM15" s="155">
        <v>640.24114179333947</v>
      </c>
      <c r="AN15" s="154">
        <v>469.16713014802036</v>
      </c>
      <c r="AO15" s="155">
        <v>469.16713014802036</v>
      </c>
      <c r="AP15" s="154">
        <v>410.32364378951547</v>
      </c>
      <c r="AQ15" s="155">
        <v>410.32364378951547</v>
      </c>
      <c r="AR15" s="154">
        <v>335.342992396314</v>
      </c>
      <c r="AS15" s="155">
        <v>335.342992396314</v>
      </c>
      <c r="AT15" s="154">
        <v>237.52241629136307</v>
      </c>
      <c r="AU15" s="155">
        <v>237.52241629136307</v>
      </c>
      <c r="AV15" s="154">
        <v>110.76550094577897</v>
      </c>
      <c r="AW15" s="155">
        <v>110.76550094577897</v>
      </c>
    </row>
    <row r="16" spans="1:49" s="29" customFormat="1" x14ac:dyDescent="0.2">
      <c r="A16" t="s">
        <v>61</v>
      </c>
      <c r="B16" s="41">
        <v>1000</v>
      </c>
      <c r="C16" s="42">
        <v>1000</v>
      </c>
      <c r="D16" s="41">
        <v>996.08108340765352</v>
      </c>
      <c r="E16" s="42">
        <v>994.80799272093441</v>
      </c>
      <c r="F16" s="41">
        <v>991.87287406530265</v>
      </c>
      <c r="G16" s="42">
        <v>989.34610686836425</v>
      </c>
      <c r="H16" s="41">
        <v>987.32752417292033</v>
      </c>
      <c r="I16" s="42">
        <v>983.56791197638984</v>
      </c>
      <c r="J16" s="41">
        <v>982.38610268539071</v>
      </c>
      <c r="K16" s="42">
        <v>977.41613844667597</v>
      </c>
      <c r="L16" s="41">
        <v>976.97549806757365</v>
      </c>
      <c r="M16" s="42">
        <v>970.81967211297797</v>
      </c>
      <c r="N16" s="41">
        <v>971.00349167741581</v>
      </c>
      <c r="O16" s="42">
        <v>963.68864544767086</v>
      </c>
      <c r="P16" s="41">
        <v>964.35267551744982</v>
      </c>
      <c r="Q16" s="42">
        <v>955.90862186171341</v>
      </c>
      <c r="R16" s="41">
        <v>956.87101774449889</v>
      </c>
      <c r="S16" s="42">
        <v>947.33133672750273</v>
      </c>
      <c r="T16" s="41">
        <v>948.35823544876359</v>
      </c>
      <c r="U16" s="42">
        <v>937.76143708928998</v>
      </c>
      <c r="V16" s="41">
        <v>938.54490855694598</v>
      </c>
      <c r="W16" s="42">
        <v>926.93617627653134</v>
      </c>
      <c r="X16" s="41">
        <v>927.05959451623323</v>
      </c>
      <c r="Y16" s="42">
        <v>914.49345937151111</v>
      </c>
      <c r="Z16" s="41">
        <v>913.37461653241269</v>
      </c>
      <c r="AA16" s="42">
        <v>899.91920739889315</v>
      </c>
      <c r="AB16" s="41">
        <v>896.71188744895392</v>
      </c>
      <c r="AC16" s="42">
        <v>882.45598332107318</v>
      </c>
      <c r="AD16" s="41">
        <v>875.86853766143508</v>
      </c>
      <c r="AE16" s="42">
        <v>860.93378865103602</v>
      </c>
      <c r="AF16" s="41">
        <v>848.86601317475822</v>
      </c>
      <c r="AG16" s="42">
        <v>833.42944259511091</v>
      </c>
      <c r="AH16" s="41">
        <v>812.16328088509488</v>
      </c>
      <c r="AI16" s="42">
        <v>796.50209114535812</v>
      </c>
      <c r="AJ16" s="41">
        <v>758.61258885071368</v>
      </c>
      <c r="AK16" s="42">
        <v>743.2035542602415</v>
      </c>
      <c r="AL16" s="41">
        <v>670.89489148339464</v>
      </c>
      <c r="AM16" s="42">
        <v>656.67472692178444</v>
      </c>
      <c r="AN16" s="41">
        <v>492.28636385648167</v>
      </c>
      <c r="AO16" s="42">
        <v>481.56191894947005</v>
      </c>
      <c r="AP16" s="41">
        <v>430.60755901313718</v>
      </c>
      <c r="AQ16" s="42">
        <v>421.19839632939363</v>
      </c>
      <c r="AR16" s="41">
        <v>351.95788105618431</v>
      </c>
      <c r="AS16" s="42">
        <v>344.25070895369646</v>
      </c>
      <c r="AT16" s="41">
        <v>249.3074558975743</v>
      </c>
      <c r="AU16" s="42">
        <v>243.84072513878425</v>
      </c>
      <c r="AV16" s="41">
        <v>116.26532399259158</v>
      </c>
      <c r="AW16" s="42">
        <v>113.71412175749337</v>
      </c>
    </row>
    <row r="17" spans="1:49" x14ac:dyDescent="0.2">
      <c r="A17" t="s">
        <v>62</v>
      </c>
      <c r="B17" s="35">
        <v>1000.0000000000002</v>
      </c>
      <c r="C17" s="36">
        <v>999.99999999999977</v>
      </c>
      <c r="D17" s="35">
        <v>999.19208073888535</v>
      </c>
      <c r="E17" s="36">
        <v>1035.6664896326831</v>
      </c>
      <c r="F17" s="35">
        <v>998.38823083212446</v>
      </c>
      <c r="G17" s="36">
        <v>1076.0649121479908</v>
      </c>
      <c r="H17" s="35">
        <v>997.58675049779208</v>
      </c>
      <c r="I17" s="36">
        <v>1122.132749831763</v>
      </c>
      <c r="J17" s="35">
        <v>996.78524992661823</v>
      </c>
      <c r="K17" s="36">
        <v>1175.0651446994493</v>
      </c>
      <c r="L17" s="35">
        <v>995.98019450913978</v>
      </c>
      <c r="M17" s="36">
        <v>1236.4007978459167</v>
      </c>
      <c r="N17" s="35">
        <v>995.16686588648815</v>
      </c>
      <c r="O17" s="36">
        <v>1308.1639925233892</v>
      </c>
      <c r="P17" s="35">
        <v>994.33867301709211</v>
      </c>
      <c r="Q17" s="36">
        <v>1393.0547481891274</v>
      </c>
      <c r="R17" s="35">
        <v>993.48666025216755</v>
      </c>
      <c r="S17" s="36">
        <v>1494.7559526243551</v>
      </c>
      <c r="T17" s="35">
        <v>992.59866741800806</v>
      </c>
      <c r="U17" s="36">
        <v>1618.4108176882874</v>
      </c>
      <c r="V17" s="35">
        <v>991.65823719117907</v>
      </c>
      <c r="W17" s="36">
        <v>1771.407183886834</v>
      </c>
      <c r="X17" s="35">
        <v>990.64317409904243</v>
      </c>
      <c r="Y17" s="36">
        <v>1964.7165789720209</v>
      </c>
      <c r="Z17" s="35">
        <v>989.52373876527759</v>
      </c>
      <c r="AA17" s="36">
        <v>2215.3041951176406</v>
      </c>
      <c r="AB17" s="35">
        <v>988.26071733571996</v>
      </c>
      <c r="AC17" s="36">
        <v>2550.7488512859454</v>
      </c>
      <c r="AD17" s="35">
        <v>986.80434105688823</v>
      </c>
      <c r="AE17" s="36">
        <v>3018.8146797422387</v>
      </c>
      <c r="AF17" s="35">
        <v>985.09789826569113</v>
      </c>
      <c r="AG17" s="36">
        <v>3709.3840270125397</v>
      </c>
      <c r="AH17" s="35">
        <v>983.09991032014602</v>
      </c>
      <c r="AI17" s="36">
        <v>4811.8947936494023</v>
      </c>
      <c r="AJ17" s="35">
        <v>980.87842626244992</v>
      </c>
      <c r="AK17" s="36">
        <v>6796.6956251550673</v>
      </c>
      <c r="AL17" s="35">
        <v>979.00634582313467</v>
      </c>
      <c r="AM17" s="36">
        <v>11175.827201091446</v>
      </c>
      <c r="AN17" s="35">
        <v>980.34400467926105</v>
      </c>
      <c r="AO17" s="36">
        <v>25791.13979812845</v>
      </c>
      <c r="AP17" s="35">
        <v>981.77959154551513</v>
      </c>
      <c r="AQ17" s="36">
        <v>33204.226774288545</v>
      </c>
      <c r="AR17" s="35">
        <v>984.01201723074814</v>
      </c>
      <c r="AS17" s="36">
        <v>45088.284531649428</v>
      </c>
      <c r="AT17" s="35">
        <v>987.43948949947128</v>
      </c>
      <c r="AU17" s="36">
        <v>66287.426634813703</v>
      </c>
      <c r="AV17" s="35">
        <v>992.95041705985852</v>
      </c>
      <c r="AW17" s="36">
        <v>111352.11876847445</v>
      </c>
    </row>
    <row r="18" spans="1:49" x14ac:dyDescent="0.2">
      <c r="A18" t="s">
        <v>19</v>
      </c>
      <c r="B18" s="33">
        <v>27857.010133999996</v>
      </c>
      <c r="C18" s="34">
        <v>1236.7674480000003</v>
      </c>
      <c r="D18" s="33">
        <v>27858.156480145895</v>
      </c>
      <c r="E18" s="34">
        <v>1159.6954654443564</v>
      </c>
      <c r="F18" s="33">
        <v>27854.696631306586</v>
      </c>
      <c r="G18" s="34">
        <v>1083.1135734664581</v>
      </c>
      <c r="H18" s="33">
        <v>27845.920674803336</v>
      </c>
      <c r="I18" s="34">
        <v>1007.0661457726226</v>
      </c>
      <c r="J18" s="33">
        <v>27830.959291582429</v>
      </c>
      <c r="K18" s="34">
        <v>931.60169735916622</v>
      </c>
      <c r="L18" s="33">
        <v>27808.740624148129</v>
      </c>
      <c r="M18" s="34">
        <v>856.77395547016818</v>
      </c>
      <c r="N18" s="33">
        <v>27777.916439709381</v>
      </c>
      <c r="O18" s="34">
        <v>782.64097584776209</v>
      </c>
      <c r="P18" s="33">
        <v>27736.771180750358</v>
      </c>
      <c r="Q18" s="34">
        <v>709.27062496995404</v>
      </c>
      <c r="R18" s="33">
        <v>27683.078718821555</v>
      </c>
      <c r="S18" s="34">
        <v>636.74243173555612</v>
      </c>
      <c r="T18" s="33">
        <v>27613.891161843338</v>
      </c>
      <c r="U18" s="34">
        <v>565.15351513957251</v>
      </c>
      <c r="V18" s="33">
        <v>27525.207866176072</v>
      </c>
      <c r="W18" s="34">
        <v>494.62832418727669</v>
      </c>
      <c r="X18" s="33">
        <v>27411.441621210772</v>
      </c>
      <c r="Y18" s="34">
        <v>425.33405481306266</v>
      </c>
      <c r="Z18" s="33">
        <v>27264.51434955794</v>
      </c>
      <c r="AA18" s="34">
        <v>357.50651075783873</v>
      </c>
      <c r="AB18" s="33">
        <v>27072.236956232835</v>
      </c>
      <c r="AC18" s="34">
        <v>291.49481534213783</v>
      </c>
      <c r="AD18" s="33">
        <v>26815.206461951588</v>
      </c>
      <c r="AE18" s="34">
        <v>227.83756458478317</v>
      </c>
      <c r="AF18" s="33">
        <v>26460.316438087462</v>
      </c>
      <c r="AG18" s="34">
        <v>167.39801182606016</v>
      </c>
      <c r="AH18" s="33">
        <v>25945.544304000952</v>
      </c>
      <c r="AI18" s="34">
        <v>111.60643149674708</v>
      </c>
      <c r="AJ18" s="33">
        <v>25138.223688148424</v>
      </c>
      <c r="AK18" s="34">
        <v>62.883479635407213</v>
      </c>
      <c r="AL18" s="33">
        <v>23690.570445931076</v>
      </c>
      <c r="AM18" s="34">
        <v>25.257696420644319</v>
      </c>
      <c r="AN18" s="33">
        <v>20293.360493085827</v>
      </c>
      <c r="AO18" s="34">
        <v>4.2124531126638436</v>
      </c>
      <c r="AP18" s="33">
        <v>18966.114346829832</v>
      </c>
      <c r="AQ18" s="34">
        <v>2.2939661877672224</v>
      </c>
      <c r="AR18" s="33">
        <v>17126.808297617226</v>
      </c>
      <c r="AS18" s="34">
        <v>1.0514202012370608</v>
      </c>
      <c r="AT18" s="33">
        <v>14388.051693144347</v>
      </c>
      <c r="AU18" s="34">
        <v>0.36408738572027916</v>
      </c>
      <c r="AV18" s="33">
        <v>9796.4875845725473</v>
      </c>
      <c r="AW18" s="34">
        <v>7.1929626510469816E-2</v>
      </c>
    </row>
    <row r="19" spans="1:49" x14ac:dyDescent="0.2">
      <c r="A19" t="s">
        <v>3</v>
      </c>
      <c r="B19" s="41">
        <v>1886.3937400000138</v>
      </c>
      <c r="C19" s="42">
        <v>262.7871129999973</v>
      </c>
      <c r="D19" s="41">
        <v>1884.2343058211893</v>
      </c>
      <c r="E19" s="42">
        <v>260.04494532744445</v>
      </c>
      <c r="F19" s="41">
        <v>1881.773094239162</v>
      </c>
      <c r="G19" s="42">
        <v>257.56871990922127</v>
      </c>
      <c r="H19" s="41">
        <v>1878.9586117108213</v>
      </c>
      <c r="I19" s="42">
        <v>255.39371475058442</v>
      </c>
      <c r="J19" s="41">
        <v>1875.7268663449363</v>
      </c>
      <c r="K19" s="42">
        <v>253.56314450890744</v>
      </c>
      <c r="L19" s="41">
        <v>1871.9974739068734</v>
      </c>
      <c r="M19" s="42">
        <v>252.12722497901373</v>
      </c>
      <c r="N19" s="41">
        <v>1867.6683601232048</v>
      </c>
      <c r="O19" s="42">
        <v>251.14956952972611</v>
      </c>
      <c r="P19" s="41">
        <v>1862.6082027816217</v>
      </c>
      <c r="Q19" s="42">
        <v>250.70633139701729</v>
      </c>
      <c r="R19" s="41">
        <v>1856.6455563820919</v>
      </c>
      <c r="S19" s="42">
        <v>250.89147012321263</v>
      </c>
      <c r="T19" s="41">
        <v>1849.5528052842149</v>
      </c>
      <c r="U19" s="42">
        <v>251.82047253158524</v>
      </c>
      <c r="V19" s="41">
        <v>1841.0216137211464</v>
      </c>
      <c r="W19" s="42">
        <v>253.6350651053242</v>
      </c>
      <c r="X19" s="41">
        <v>1830.6243584435483</v>
      </c>
      <c r="Y19" s="42">
        <v>256.50695581739717</v>
      </c>
      <c r="Z19" s="41">
        <v>1817.7506896361824</v>
      </c>
      <c r="AA19" s="42">
        <v>260.63742476434771</v>
      </c>
      <c r="AB19" s="41">
        <v>1801.4976465031818</v>
      </c>
      <c r="AC19" s="42">
        <v>266.24411888221238</v>
      </c>
      <c r="AD19" s="41">
        <v>1780.4666968930883</v>
      </c>
      <c r="AE19" s="42">
        <v>273.50747270043536</v>
      </c>
      <c r="AF19" s="41">
        <v>1752.3551894380876</v>
      </c>
      <c r="AG19" s="42">
        <v>282.40037383960663</v>
      </c>
      <c r="AH19" s="41">
        <v>1713.0332628005276</v>
      </c>
      <c r="AI19" s="42">
        <v>292.1591179520633</v>
      </c>
      <c r="AJ19" s="41">
        <v>1654.0836343648725</v>
      </c>
      <c r="AK19" s="42">
        <v>299.56799607871511</v>
      </c>
      <c r="AL19" s="41">
        <v>1554.3345882760711</v>
      </c>
      <c r="AM19" s="42">
        <v>292.97401340824365</v>
      </c>
      <c r="AN19" s="41">
        <v>1334.1956426250067</v>
      </c>
      <c r="AO19" s="42">
        <v>230.97265306562934</v>
      </c>
      <c r="AP19" s="41">
        <v>1249.6911203457162</v>
      </c>
      <c r="AQ19" s="42">
        <v>203.21678448664048</v>
      </c>
      <c r="AR19" s="41">
        <v>1132.360587016989</v>
      </c>
      <c r="AS19" s="42">
        <v>167.33359697863992</v>
      </c>
      <c r="AT19" s="41">
        <v>956.25214902672406</v>
      </c>
      <c r="AU19" s="42">
        <v>121.97131290341814</v>
      </c>
      <c r="AV19" s="41">
        <v>656.50438335329727</v>
      </c>
      <c r="AW19" s="42">
        <v>66.195070725627957</v>
      </c>
    </row>
    <row r="20" spans="1:49" x14ac:dyDescent="0.2">
      <c r="A20" t="s">
        <v>127</v>
      </c>
      <c r="B20" s="82">
        <v>26548.356269999993</v>
      </c>
      <c r="C20" s="83">
        <v>1408.5418709999938</v>
      </c>
      <c r="D20" s="82">
        <v>26541.789663077085</v>
      </c>
      <c r="E20" s="83">
        <v>1338.1147774499941</v>
      </c>
      <c r="F20" s="82">
        <v>26530.84996747577</v>
      </c>
      <c r="G20" s="83">
        <v>1267.6876838999945</v>
      </c>
      <c r="H20" s="82">
        <v>26514.849011740735</v>
      </c>
      <c r="I20" s="83">
        <v>1197.2605903499946</v>
      </c>
      <c r="J20" s="82">
        <v>26492.940700116578</v>
      </c>
      <c r="K20" s="83">
        <v>1126.8334967999949</v>
      </c>
      <c r="L20" s="82">
        <v>26464.07642457003</v>
      </c>
      <c r="M20" s="83">
        <v>1056.4064032499953</v>
      </c>
      <c r="N20" s="82">
        <v>26426.933595116494</v>
      </c>
      <c r="O20" s="83">
        <v>985.97930969999561</v>
      </c>
      <c r="P20" s="82">
        <v>26379.82390433277</v>
      </c>
      <c r="Q20" s="83">
        <v>915.55221614999596</v>
      </c>
      <c r="R20" s="82">
        <v>26320.55250398627</v>
      </c>
      <c r="S20" s="83">
        <v>845.12512259999642</v>
      </c>
      <c r="T20" s="82">
        <v>26246.210299688439</v>
      </c>
      <c r="U20" s="83">
        <v>774.69802904999653</v>
      </c>
      <c r="V20" s="82">
        <v>26152.850530252195</v>
      </c>
      <c r="W20" s="83">
        <v>704.27093549999688</v>
      </c>
      <c r="X20" s="82">
        <v>26034.970766221544</v>
      </c>
      <c r="Y20" s="83">
        <v>633.84384194999734</v>
      </c>
      <c r="Z20" s="82">
        <v>25884.64212799993</v>
      </c>
      <c r="AA20" s="83">
        <v>563.41674839999757</v>
      </c>
      <c r="AB20" s="82">
        <v>25689.962727509126</v>
      </c>
      <c r="AC20" s="83">
        <v>492.98965484999775</v>
      </c>
      <c r="AD20" s="82">
        <v>25432.122962321861</v>
      </c>
      <c r="AE20" s="83">
        <v>422.56256129999798</v>
      </c>
      <c r="AF20" s="82">
        <v>25079.326556221546</v>
      </c>
      <c r="AG20" s="83">
        <v>352.13546774999827</v>
      </c>
      <c r="AH20" s="82">
        <v>24572.671052500151</v>
      </c>
      <c r="AI20" s="83">
        <v>281.70837419999856</v>
      </c>
      <c r="AJ20" s="82">
        <v>23787.698144887207</v>
      </c>
      <c r="AK20" s="83">
        <v>211.28128064999879</v>
      </c>
      <c r="AL20" s="82">
        <v>22401.506276988301</v>
      </c>
      <c r="AM20" s="83">
        <v>140.85418709999902</v>
      </c>
      <c r="AN20" s="82">
        <v>19199.14219973881</v>
      </c>
      <c r="AO20" s="83">
        <v>70.427093549999285</v>
      </c>
      <c r="AP20" s="82">
        <v>17953.430299414271</v>
      </c>
      <c r="AQ20" s="83">
        <v>56.341674839999328</v>
      </c>
      <c r="AR20" s="82">
        <v>16226.228992309605</v>
      </c>
      <c r="AS20" s="83">
        <v>42.256256129999379</v>
      </c>
      <c r="AT20" s="82">
        <v>13649.205728079058</v>
      </c>
      <c r="AU20" s="83">
        <v>28.170837419999433</v>
      </c>
      <c r="AV20" s="82">
        <v>9312.4842224899039</v>
      </c>
      <c r="AW20" s="83">
        <v>14.08541870999948</v>
      </c>
    </row>
    <row r="21" spans="1:49" x14ac:dyDescent="0.2">
      <c r="A21" t="s">
        <v>76</v>
      </c>
      <c r="B21" s="82">
        <v>24661.962530000252</v>
      </c>
      <c r="C21" s="83">
        <v>1145.7547579999959</v>
      </c>
      <c r="D21" s="82">
        <v>24657.556167537758</v>
      </c>
      <c r="E21" s="83">
        <v>1078.2002138284111</v>
      </c>
      <c r="F21" s="82">
        <v>24649.080100561863</v>
      </c>
      <c r="G21" s="83">
        <v>1010.6710167897313</v>
      </c>
      <c r="H21" s="82">
        <v>24635.897639295545</v>
      </c>
      <c r="I21" s="83">
        <v>943.18508267056438</v>
      </c>
      <c r="J21" s="82">
        <v>24617.226685051708</v>
      </c>
      <c r="K21" s="83">
        <v>875.76449677893265</v>
      </c>
      <c r="L21" s="82">
        <v>24592.099046546165</v>
      </c>
      <c r="M21" s="83">
        <v>808.43960749132282</v>
      </c>
      <c r="N21" s="82">
        <v>24559.294280069615</v>
      </c>
      <c r="O21" s="83">
        <v>741.24762714264386</v>
      </c>
      <c r="P21" s="82">
        <v>24517.255531975698</v>
      </c>
      <c r="Q21" s="83">
        <v>674.23927227013974</v>
      </c>
      <c r="R21" s="82">
        <v>24463.95961771865</v>
      </c>
      <c r="S21" s="83">
        <v>607.48209609208095</v>
      </c>
      <c r="T21" s="82">
        <v>24396.725403505472</v>
      </c>
      <c r="U21" s="83">
        <v>541.06817753206349</v>
      </c>
      <c r="V21" s="82">
        <v>24311.914994429157</v>
      </c>
      <c r="W21" s="83">
        <v>475.12509115555531</v>
      </c>
      <c r="X21" s="82">
        <v>24204.454386242622</v>
      </c>
      <c r="Y21" s="83">
        <v>409.83319891806281</v>
      </c>
      <c r="Z21" s="82">
        <v>24067.026245880137</v>
      </c>
      <c r="AA21" s="83">
        <v>345.4531611907957</v>
      </c>
      <c r="AB21" s="82">
        <v>23888.63340235921</v>
      </c>
      <c r="AC21" s="83">
        <v>282.37049909629832</v>
      </c>
      <c r="AD21" s="82">
        <v>23651.867274756929</v>
      </c>
      <c r="AE21" s="83">
        <v>221.17122066968381</v>
      </c>
      <c r="AF21" s="82">
        <v>23327.237440572215</v>
      </c>
      <c r="AG21" s="83">
        <v>162.77268003369352</v>
      </c>
      <c r="AH21" s="82">
        <v>22859.97411222164</v>
      </c>
      <c r="AI21" s="83">
        <v>108.65540930215846</v>
      </c>
      <c r="AJ21" s="82">
        <v>22134.032742276857</v>
      </c>
      <c r="AK21" s="83">
        <v>61.268545705129284</v>
      </c>
      <c r="AL21" s="82">
        <v>20847.647828397185</v>
      </c>
      <c r="AM21" s="83">
        <v>24.618794941645362</v>
      </c>
      <c r="AN21" s="82">
        <v>17865.303541599991</v>
      </c>
      <c r="AO21" s="83">
        <v>4.106422775431346</v>
      </c>
      <c r="AP21" s="82">
        <v>16704.0253824754</v>
      </c>
      <c r="AQ21" s="83">
        <v>2.2362411015262964</v>
      </c>
      <c r="AR21" s="82">
        <v>15094.066887002615</v>
      </c>
      <c r="AS21" s="83">
        <v>1.0249664074349978</v>
      </c>
      <c r="AT21" s="82">
        <v>12693.056087081706</v>
      </c>
      <c r="AU21" s="83">
        <v>0.35492758493222415</v>
      </c>
      <c r="AV21" s="82">
        <v>8656.0016867579834</v>
      </c>
      <c r="AW21" s="83">
        <v>7.0120047290144455E-2</v>
      </c>
    </row>
    <row r="22" spans="1:49" x14ac:dyDescent="0.2">
      <c r="A22" t="s">
        <v>28</v>
      </c>
      <c r="B22" s="41">
        <v>6533.6044688320853</v>
      </c>
      <c r="C22" s="42">
        <v>379.90788307663502</v>
      </c>
      <c r="D22" s="41">
        <v>6500.6933703472287</v>
      </c>
      <c r="E22" s="42">
        <v>362.11711865550262</v>
      </c>
      <c r="F22" s="41">
        <v>6465.1172809702139</v>
      </c>
      <c r="G22" s="42">
        <v>344.14022128973181</v>
      </c>
      <c r="H22" s="41">
        <v>6426.4729911979512</v>
      </c>
      <c r="I22" s="42">
        <v>325.97403451847828</v>
      </c>
      <c r="J22" s="41">
        <v>6384.2714762299856</v>
      </c>
      <c r="K22" s="42">
        <v>307.61560906266317</v>
      </c>
      <c r="L22" s="41">
        <v>6337.9112218905175</v>
      </c>
      <c r="M22" s="42">
        <v>289.06387433154663</v>
      </c>
      <c r="N22" s="41">
        <v>6286.6473448508659</v>
      </c>
      <c r="O22" s="42">
        <v>270.31745396392637</v>
      </c>
      <c r="P22" s="41">
        <v>6229.5409490962602</v>
      </c>
      <c r="Q22" s="42">
        <v>251.37694068731452</v>
      </c>
      <c r="R22" s="41">
        <v>6165.3920003230405</v>
      </c>
      <c r="S22" s="42">
        <v>232.24410994178413</v>
      </c>
      <c r="T22" s="41">
        <v>6092.6386594454134</v>
      </c>
      <c r="U22" s="42">
        <v>212.92241669258874</v>
      </c>
      <c r="V22" s="41">
        <v>6009.2036699912323</v>
      </c>
      <c r="W22" s="42">
        <v>193.41707546166901</v>
      </c>
      <c r="X22" s="41">
        <v>5912.2540401027418</v>
      </c>
      <c r="Y22" s="42">
        <v>173.73530395780219</v>
      </c>
      <c r="Z22" s="41">
        <v>5797.8059741354555</v>
      </c>
      <c r="AA22" s="42">
        <v>153.88641001357922</v>
      </c>
      <c r="AB22" s="41">
        <v>5660.0415949814806</v>
      </c>
      <c r="AC22" s="42">
        <v>133.88165323959402</v>
      </c>
      <c r="AD22" s="41">
        <v>5490.0525287545988</v>
      </c>
      <c r="AE22" s="42">
        <v>113.73424688968771</v>
      </c>
      <c r="AF22" s="41">
        <v>5273.3384633514888</v>
      </c>
      <c r="AG22" s="42">
        <v>93.459927586938605</v>
      </c>
      <c r="AH22" s="41">
        <v>4984.30343743301</v>
      </c>
      <c r="AI22" s="42">
        <v>73.081138865553982</v>
      </c>
      <c r="AJ22" s="41">
        <v>4572.447836907093</v>
      </c>
      <c r="AK22" s="42">
        <v>52.647893551452228</v>
      </c>
      <c r="AL22" s="41">
        <v>3920.9677092665916</v>
      </c>
      <c r="AM22" s="42">
        <v>32.336525565835871</v>
      </c>
      <c r="AN22" s="41">
        <v>2688.2541454142975</v>
      </c>
      <c r="AO22" s="42">
        <v>12.965270989731568</v>
      </c>
      <c r="AP22" s="41">
        <v>2293.7736696245215</v>
      </c>
      <c r="AQ22" s="42">
        <v>9.4453708153245728</v>
      </c>
      <c r="AR22" s="41">
        <v>1814.2924086503924</v>
      </c>
      <c r="AS22" s="42">
        <v>6.1799998546806414</v>
      </c>
      <c r="AT22" s="41">
        <v>1227.760705122058</v>
      </c>
      <c r="AU22" s="42">
        <v>3.299961192130155</v>
      </c>
      <c r="AV22" s="41">
        <v>534.19032319886537</v>
      </c>
      <c r="AW22" s="42">
        <v>1.0466011555835837</v>
      </c>
    </row>
    <row r="23" spans="1:49" x14ac:dyDescent="0.2">
      <c r="A23" t="s">
        <v>7</v>
      </c>
      <c r="B23" s="116">
        <v>3278.5018080150408</v>
      </c>
      <c r="C23" s="8">
        <v>0</v>
      </c>
      <c r="D23" s="116">
        <v>3283.9754558397517</v>
      </c>
      <c r="E23" s="8">
        <v>0</v>
      </c>
      <c r="F23" s="116">
        <v>3289.0563629253356</v>
      </c>
      <c r="G23" s="8">
        <v>0</v>
      </c>
      <c r="H23" s="116">
        <v>3293.6781876859859</v>
      </c>
      <c r="I23" s="8">
        <v>0</v>
      </c>
      <c r="J23" s="116">
        <v>3297.7582762542488</v>
      </c>
      <c r="K23" s="8">
        <v>0</v>
      </c>
      <c r="L23" s="116">
        <v>3301.1924328401965</v>
      </c>
      <c r="M23" s="8">
        <v>0</v>
      </c>
      <c r="N23" s="116">
        <v>3303.8476202414199</v>
      </c>
      <c r="O23" s="8">
        <v>0</v>
      </c>
      <c r="P23" s="116">
        <v>3305.5510015915397</v>
      </c>
      <c r="Q23" s="8">
        <v>0</v>
      </c>
      <c r="R23" s="116">
        <v>3306.0742238772777</v>
      </c>
      <c r="S23" s="8">
        <v>0</v>
      </c>
      <c r="T23" s="116">
        <v>3305.1094403212319</v>
      </c>
      <c r="U23" s="8">
        <v>0</v>
      </c>
      <c r="V23" s="116">
        <v>3302.2315891155567</v>
      </c>
      <c r="W23" s="8">
        <v>0</v>
      </c>
      <c r="X23" s="116">
        <v>3296.8373320461747</v>
      </c>
      <c r="Y23" s="8">
        <v>0</v>
      </c>
      <c r="Z23" s="116">
        <v>3288.0412360425453</v>
      </c>
      <c r="AA23" s="8">
        <v>0</v>
      </c>
      <c r="AB23" s="116">
        <v>3274.4892481626744</v>
      </c>
      <c r="AC23" s="8">
        <v>0</v>
      </c>
      <c r="AD23" s="116">
        <v>3254.0006004663337</v>
      </c>
      <c r="AE23" s="8">
        <v>0</v>
      </c>
      <c r="AF23" s="116">
        <v>3222.8161960737352</v>
      </c>
      <c r="AG23" s="8">
        <v>0</v>
      </c>
      <c r="AH23" s="116">
        <v>3173.8246814593549</v>
      </c>
      <c r="AI23" s="8">
        <v>0</v>
      </c>
      <c r="AJ23" s="116">
        <v>3091.6267276103249</v>
      </c>
      <c r="AK23" s="8">
        <v>0</v>
      </c>
      <c r="AL23" s="116">
        <v>2934.9240240904169</v>
      </c>
      <c r="AM23" s="8">
        <v>0</v>
      </c>
      <c r="AN23" s="116">
        <v>2540.2531751697943</v>
      </c>
      <c r="AO23" s="8">
        <v>0</v>
      </c>
      <c r="AP23" s="116">
        <v>2378.7345690439947</v>
      </c>
      <c r="AQ23" s="8">
        <v>0</v>
      </c>
      <c r="AR23" s="116">
        <v>2150.0732698191555</v>
      </c>
      <c r="AS23" s="8">
        <v>0</v>
      </c>
      <c r="AT23" s="116">
        <v>1802.6747107344959</v>
      </c>
      <c r="AU23" s="8">
        <v>0</v>
      </c>
      <c r="AV23" s="116">
        <v>1214.0326017098018</v>
      </c>
      <c r="AW23" s="8">
        <v>0</v>
      </c>
    </row>
    <row r="24" spans="1:49" x14ac:dyDescent="0.2">
      <c r="A24" t="s">
        <v>8</v>
      </c>
      <c r="B24" s="97">
        <v>3196.3846373657216</v>
      </c>
      <c r="C24" s="8">
        <v>0</v>
      </c>
      <c r="D24" s="97">
        <v>3237.6544569924158</v>
      </c>
      <c r="E24" s="8">
        <v>0</v>
      </c>
      <c r="F24" s="97">
        <v>3279.7238960619552</v>
      </c>
      <c r="G24" s="8">
        <v>0</v>
      </c>
      <c r="H24" s="97">
        <v>3322.708598394388</v>
      </c>
      <c r="I24" s="8">
        <v>0</v>
      </c>
      <c r="J24" s="97">
        <v>3366.7460615871896</v>
      </c>
      <c r="K24" s="8">
        <v>0</v>
      </c>
      <c r="L24" s="97">
        <v>3411.9991694491487</v>
      </c>
      <c r="M24" s="8">
        <v>0</v>
      </c>
      <c r="N24" s="97">
        <v>3458.6653648411666</v>
      </c>
      <c r="O24" s="8">
        <v>0</v>
      </c>
      <c r="P24" s="97">
        <v>3506.9833303982059</v>
      </c>
      <c r="Q24" s="8">
        <v>0</v>
      </c>
      <c r="R24" s="97">
        <v>3557.2461490173609</v>
      </c>
      <c r="S24" s="8">
        <v>0</v>
      </c>
      <c r="T24" s="97">
        <v>3609.8175318279773</v>
      </c>
      <c r="U24" s="8">
        <v>0</v>
      </c>
      <c r="V24" s="97">
        <v>3665.1557403324177</v>
      </c>
      <c r="W24" s="8">
        <v>0</v>
      </c>
      <c r="X24" s="97">
        <v>3723.8477684499567</v>
      </c>
      <c r="Y24" s="8">
        <v>0</v>
      </c>
      <c r="Z24" s="97">
        <v>3786.6609353187746</v>
      </c>
      <c r="AA24" s="8">
        <v>0</v>
      </c>
      <c r="AB24" s="97">
        <v>3854.6236765065701</v>
      </c>
      <c r="AC24" s="8">
        <v>0</v>
      </c>
      <c r="AD24" s="97">
        <v>3929.1535216265625</v>
      </c>
      <c r="AE24" s="8">
        <v>0</v>
      </c>
      <c r="AF24" s="97">
        <v>4012.259543644996</v>
      </c>
      <c r="AG24" s="8">
        <v>0</v>
      </c>
      <c r="AH24" s="97">
        <v>4106.8073726964121</v>
      </c>
      <c r="AI24" s="8">
        <v>0</v>
      </c>
      <c r="AJ24" s="97">
        <v>4216.3587039716913</v>
      </c>
      <c r="AK24" s="8">
        <v>0</v>
      </c>
      <c r="AL24" s="97">
        <v>4339.2353161061455</v>
      </c>
      <c r="AM24" s="8">
        <v>0</v>
      </c>
      <c r="AN24" s="97">
        <v>4382.0077107197121</v>
      </c>
      <c r="AO24" s="8">
        <v>0</v>
      </c>
      <c r="AP24" s="97">
        <v>4321.1790530649687</v>
      </c>
      <c r="AQ24" s="8">
        <v>0</v>
      </c>
      <c r="AR24" s="97">
        <v>4172.6158204703643</v>
      </c>
      <c r="AS24" s="8">
        <v>0</v>
      </c>
      <c r="AT24" s="97">
        <v>3824.5176924652988</v>
      </c>
      <c r="AU24" s="8">
        <v>0</v>
      </c>
      <c r="AV24" s="97">
        <v>2939.4148277011154</v>
      </c>
      <c r="AW24" s="8">
        <v>0</v>
      </c>
    </row>
    <row r="25" spans="1:49" x14ac:dyDescent="0.2">
      <c r="A25" t="s">
        <v>0</v>
      </c>
      <c r="B25" s="41">
        <v>3195.0476040000012</v>
      </c>
      <c r="C25" s="42">
        <v>91.012690000004397</v>
      </c>
      <c r="D25" s="41">
        <v>3200.5977226009431</v>
      </c>
      <c r="E25" s="42">
        <v>81.446653010033785</v>
      </c>
      <c r="F25" s="41">
        <v>3205.6061826171908</v>
      </c>
      <c r="G25" s="42">
        <v>72.251916376898592</v>
      </c>
      <c r="H25" s="41">
        <v>3209.9997719777157</v>
      </c>
      <c r="I25" s="42">
        <v>63.460912080128708</v>
      </c>
      <c r="J25" s="41">
        <v>3213.6912393174375</v>
      </c>
      <c r="K25" s="42">
        <v>55.107567394107008</v>
      </c>
      <c r="L25" s="41">
        <v>3216.5767657688457</v>
      </c>
      <c r="M25" s="42">
        <v>47.227839978381837</v>
      </c>
      <c r="N25" s="41">
        <v>3218.5283146319839</v>
      </c>
      <c r="O25" s="42">
        <v>39.858122933266657</v>
      </c>
      <c r="P25" s="41">
        <v>3219.3867164946773</v>
      </c>
      <c r="Q25" s="42">
        <v>33.035845338461492</v>
      </c>
      <c r="R25" s="41">
        <v>3218.9482791562255</v>
      </c>
      <c r="S25" s="42">
        <v>26.798084167094785</v>
      </c>
      <c r="T25" s="41">
        <v>3216.9450713991932</v>
      </c>
      <c r="U25" s="42">
        <v>21.180471586872606</v>
      </c>
      <c r="V25" s="41">
        <v>3213.0125466331319</v>
      </c>
      <c r="W25" s="42">
        <v>16.215461480396005</v>
      </c>
      <c r="X25" s="41">
        <v>3206.6347801975935</v>
      </c>
      <c r="Y25" s="42">
        <v>11.929929293363232</v>
      </c>
      <c r="Z25" s="41">
        <v>3197.0469589176723</v>
      </c>
      <c r="AA25" s="42">
        <v>8.3418853178656232</v>
      </c>
      <c r="AB25" s="41">
        <v>3183.0511574057064</v>
      </c>
      <c r="AC25" s="42">
        <v>5.4560862690525553</v>
      </c>
      <c r="AD25" s="41">
        <v>3162.6443991678721</v>
      </c>
      <c r="AE25" s="42">
        <v>3.2584477394051552</v>
      </c>
      <c r="AF25" s="41">
        <v>3132.1994811571062</v>
      </c>
      <c r="AG25" s="42">
        <v>1.7093082783298141</v>
      </c>
      <c r="AH25" s="41">
        <v>3084.4533671354193</v>
      </c>
      <c r="AI25" s="42">
        <v>0.73621719831793209</v>
      </c>
      <c r="AJ25" s="41">
        <v>3002.7950129801511</v>
      </c>
      <c r="AK25" s="42">
        <v>0.22829814008922178</v>
      </c>
      <c r="AL25" s="41">
        <v>2841.3265217091976</v>
      </c>
      <c r="AM25" s="42">
        <v>3.7690085004869256E-2</v>
      </c>
      <c r="AN25" s="41">
        <v>2426.8639746389354</v>
      </c>
      <c r="AO25" s="42">
        <v>1.3301156556457256E-3</v>
      </c>
      <c r="AP25" s="41">
        <v>2261.1356827365289</v>
      </c>
      <c r="AQ25" s="42">
        <v>4.4833264525490887E-4</v>
      </c>
      <c r="AR25" s="41">
        <v>2032.0836900880049</v>
      </c>
      <c r="AS25" s="42">
        <v>1.1438229547559162E-4</v>
      </c>
      <c r="AT25" s="41">
        <v>1694.658566725537</v>
      </c>
      <c r="AU25" s="42">
        <v>1.8816745371290139E-5</v>
      </c>
      <c r="AV25" s="41">
        <v>1140.4149548061073</v>
      </c>
      <c r="AW25" s="42">
        <v>1.3532607468403553E-6</v>
      </c>
    </row>
    <row r="26" spans="1:49" x14ac:dyDescent="0.2">
      <c r="A26" t="s">
        <v>27</v>
      </c>
      <c r="B26" s="33">
        <v>5036.2953101960647</v>
      </c>
      <c r="C26" s="34">
        <v>74.905331803938267</v>
      </c>
      <c r="D26" s="33">
        <v>5040.5816672263172</v>
      </c>
      <c r="E26" s="34">
        <v>70.618974773688592</v>
      </c>
      <c r="F26" s="33">
        <v>5044.847615782347</v>
      </c>
      <c r="G26" s="34">
        <v>66.353026217652172</v>
      </c>
      <c r="H26" s="33">
        <v>5049.0922024452384</v>
      </c>
      <c r="I26" s="34">
        <v>62.108439554769355</v>
      </c>
      <c r="J26" s="33">
        <v>5053.3145841881733</v>
      </c>
      <c r="K26" s="34">
        <v>57.88605781183356</v>
      </c>
      <c r="L26" s="33">
        <v>5057.514064178521</v>
      </c>
      <c r="M26" s="34">
        <v>53.686577821483901</v>
      </c>
      <c r="N26" s="33">
        <v>5061.6902120769437</v>
      </c>
      <c r="O26" s="34">
        <v>49.510429923059419</v>
      </c>
      <c r="P26" s="33">
        <v>5065.8427974713686</v>
      </c>
      <c r="Q26" s="34">
        <v>45.357844528639021</v>
      </c>
      <c r="R26" s="33">
        <v>5069.9718685509806</v>
      </c>
      <c r="S26" s="34">
        <v>41.228773449026427</v>
      </c>
      <c r="T26" s="33">
        <v>5074.0777193619888</v>
      </c>
      <c r="U26" s="34">
        <v>37.122922638013691</v>
      </c>
      <c r="V26" s="33">
        <v>5078.1607532672579</v>
      </c>
      <c r="W26" s="34">
        <v>33.039888732747677</v>
      </c>
      <c r="X26" s="33">
        <v>5082.221140570301</v>
      </c>
      <c r="Y26" s="34">
        <v>28.979501429699759</v>
      </c>
      <c r="Z26" s="33">
        <v>5086.2580366795137</v>
      </c>
      <c r="AA26" s="34">
        <v>24.942605320491641</v>
      </c>
      <c r="AB26" s="33">
        <v>5090.2678878226316</v>
      </c>
      <c r="AC26" s="34">
        <v>20.932754177377401</v>
      </c>
      <c r="AD26" s="33">
        <v>5094.2408982549332</v>
      </c>
      <c r="AE26" s="34">
        <v>16.959743745068518</v>
      </c>
      <c r="AF26" s="33">
        <v>5098.1535092452359</v>
      </c>
      <c r="AG26" s="34">
        <v>13.04713275476929</v>
      </c>
      <c r="AH26" s="33">
        <v>5101.9520984500869</v>
      </c>
      <c r="AI26" s="34">
        <v>9.2485435499195354</v>
      </c>
      <c r="AJ26" s="33">
        <v>5105.5168873433822</v>
      </c>
      <c r="AK26" s="34">
        <v>5.6837546566190911</v>
      </c>
      <c r="AL26" s="33">
        <v>5108.5840216917195</v>
      </c>
      <c r="AM26" s="34">
        <v>2.6166203082853565</v>
      </c>
      <c r="AN26" s="33">
        <v>5110.6315787377507</v>
      </c>
      <c r="AO26" s="34">
        <v>0.56906326225893789</v>
      </c>
      <c r="AP26" s="33">
        <v>5110.8608377573928</v>
      </c>
      <c r="AQ26" s="34">
        <v>0.33980424261162229</v>
      </c>
      <c r="AR26" s="33">
        <v>5111.0246266367794</v>
      </c>
      <c r="AS26" s="34">
        <v>0.1760153632249597</v>
      </c>
      <c r="AT26" s="33">
        <v>5111.1278225579026</v>
      </c>
      <c r="AU26" s="34">
        <v>7.2819442101403842E-2</v>
      </c>
      <c r="AV26" s="33">
        <v>5111.1809157625485</v>
      </c>
      <c r="AW26" s="34">
        <v>1.9726237456019199E-2</v>
      </c>
    </row>
    <row r="27" spans="1:49" x14ac:dyDescent="0.2">
      <c r="A27" t="s">
        <v>2</v>
      </c>
      <c r="B27" s="35">
        <v>6425.1981590000414</v>
      </c>
      <c r="C27" s="36">
        <v>273.22915400000028</v>
      </c>
      <c r="D27" s="35">
        <v>6440.6337614356053</v>
      </c>
      <c r="E27" s="36">
        <v>257.79357553802402</v>
      </c>
      <c r="F27" s="35">
        <v>6456.0199439137141</v>
      </c>
      <c r="G27" s="36">
        <v>242.40739642870628</v>
      </c>
      <c r="H27" s="35">
        <v>6471.3529330507899</v>
      </c>
      <c r="I27" s="36">
        <v>227.07438067751775</v>
      </c>
      <c r="J27" s="35">
        <v>6486.629314430279</v>
      </c>
      <c r="K27" s="36">
        <v>211.79803630424578</v>
      </c>
      <c r="L27" s="35">
        <v>6501.8460447413336</v>
      </c>
      <c r="M27" s="36">
        <v>196.58126898543</v>
      </c>
      <c r="N27" s="35">
        <v>6517.0013543322621</v>
      </c>
      <c r="O27" s="36">
        <v>181.42595967583935</v>
      </c>
      <c r="P27" s="35">
        <v>6532.0939549255381</v>
      </c>
      <c r="Q27" s="36">
        <v>166.33335897120736</v>
      </c>
      <c r="R27" s="35">
        <v>6547.1236193753093</v>
      </c>
      <c r="S27" s="36">
        <v>151.30369580336748</v>
      </c>
      <c r="T27" s="35">
        <v>6562.0910589835585</v>
      </c>
      <c r="U27" s="36">
        <v>136.33625465726013</v>
      </c>
      <c r="V27" s="35">
        <v>6576.9973611392843</v>
      </c>
      <c r="W27" s="36">
        <v>121.42995188151706</v>
      </c>
      <c r="X27" s="35">
        <v>6591.8427727914441</v>
      </c>
      <c r="Y27" s="36">
        <v>106.58454381417268</v>
      </c>
      <c r="Z27" s="35">
        <v>6606.6238600249217</v>
      </c>
      <c r="AA27" s="36">
        <v>91.80345269748149</v>
      </c>
      <c r="AB27" s="35">
        <v>6621.3271755520882</v>
      </c>
      <c r="AC27" s="36">
        <v>77.10013549009696</v>
      </c>
      <c r="AD27" s="35">
        <v>6635.9162833752043</v>
      </c>
      <c r="AE27" s="36">
        <v>62.51103163195021</v>
      </c>
      <c r="AF27" s="35">
        <v>6650.3039503176115</v>
      </c>
      <c r="AG27" s="36">
        <v>48.123362413885609</v>
      </c>
      <c r="AH27" s="35">
        <v>6664.291613447881</v>
      </c>
      <c r="AI27" s="36">
        <v>34.135700341703782</v>
      </c>
      <c r="AJ27" s="35">
        <v>6677.4356463945524</v>
      </c>
      <c r="AK27" s="36">
        <v>20.991666698386844</v>
      </c>
      <c r="AL27" s="35">
        <v>6688.7581289959926</v>
      </c>
      <c r="AM27" s="36">
        <v>9.6691828692787389</v>
      </c>
      <c r="AN27" s="35">
        <v>6696.3236882410074</v>
      </c>
      <c r="AO27" s="36">
        <v>2.1036238381689105</v>
      </c>
      <c r="AP27" s="35">
        <v>6697.1711269910484</v>
      </c>
      <c r="AQ27" s="36">
        <v>1.2561864795548074</v>
      </c>
      <c r="AR27" s="35">
        <v>6697.7766019205565</v>
      </c>
      <c r="AS27" s="36">
        <v>0.65071163118018771</v>
      </c>
      <c r="AT27" s="35">
        <v>6698.1581041507643</v>
      </c>
      <c r="AU27" s="36">
        <v>0.26921132763659883</v>
      </c>
      <c r="AV27" s="35">
        <v>6698.3543614261089</v>
      </c>
      <c r="AW27" s="36">
        <v>7.2928014398990409E-2</v>
      </c>
    </row>
    <row r="28" spans="1:49" x14ac:dyDescent="0.2">
      <c r="A28" t="s">
        <v>35</v>
      </c>
      <c r="B28" s="41">
        <v>13763.097676000029</v>
      </c>
      <c r="C28" s="42">
        <v>382.36647899999997</v>
      </c>
      <c r="D28" s="41">
        <v>13784.76479978741</v>
      </c>
      <c r="E28" s="42">
        <v>360.68551648133621</v>
      </c>
      <c r="F28" s="41">
        <v>13806.325559768349</v>
      </c>
      <c r="G28" s="42">
        <v>339.08343230986372</v>
      </c>
      <c r="H28" s="41">
        <v>13827.775145312282</v>
      </c>
      <c r="I28" s="42">
        <v>317.56543601142135</v>
      </c>
      <c r="J28" s="41">
        <v>13849.109287199322</v>
      </c>
      <c r="K28" s="42">
        <v>296.13631834721593</v>
      </c>
      <c r="L28" s="41">
        <v>13870.3243189897</v>
      </c>
      <c r="M28" s="42">
        <v>274.80005333151121</v>
      </c>
      <c r="N28" s="41">
        <v>13891.418239839042</v>
      </c>
      <c r="O28" s="42">
        <v>253.5592009469357</v>
      </c>
      <c r="P28" s="41">
        <v>13912.389825895854</v>
      </c>
      <c r="Q28" s="42">
        <v>232.41539732933964</v>
      </c>
      <c r="R28" s="41">
        <v>13933.239311280644</v>
      </c>
      <c r="S28" s="42">
        <v>211.36884931562028</v>
      </c>
      <c r="T28" s="41">
        <v>13953.968210385798</v>
      </c>
      <c r="U28" s="42">
        <v>190.41845993146967</v>
      </c>
      <c r="V28" s="41">
        <v>13974.578558896799</v>
      </c>
      <c r="W28" s="42">
        <v>169.56260283294944</v>
      </c>
      <c r="X28" s="41">
        <v>13995.07121822416</v>
      </c>
      <c r="Y28" s="42">
        <v>148.80082975800994</v>
      </c>
      <c r="Z28" s="41">
        <v>14015.441961163193</v>
      </c>
      <c r="AA28" s="42">
        <v>128.13783636275295</v>
      </c>
      <c r="AB28" s="41">
        <v>14035.672842776916</v>
      </c>
      <c r="AC28" s="42">
        <v>107.59229714969695</v>
      </c>
      <c r="AD28" s="41">
        <v>14055.714467667529</v>
      </c>
      <c r="AE28" s="42">
        <v>87.214960314035181</v>
      </c>
      <c r="AF28" s="41">
        <v>14075.448113513346</v>
      </c>
      <c r="AG28" s="42">
        <v>67.127401078911547</v>
      </c>
      <c r="AH28" s="41">
        <v>14094.603476056385</v>
      </c>
      <c r="AI28" s="42">
        <v>47.606324238884923</v>
      </c>
      <c r="AJ28" s="41">
        <v>14112.576956574059</v>
      </c>
      <c r="AK28" s="42">
        <v>29.269817863487859</v>
      </c>
      <c r="AL28" s="41">
        <v>14128.039018624386</v>
      </c>
      <c r="AM28" s="42">
        <v>13.480051564796371</v>
      </c>
      <c r="AN28" s="41">
        <v>14138.360003175312</v>
      </c>
      <c r="AO28" s="42">
        <v>2.9323930697773495</v>
      </c>
      <c r="AP28" s="41">
        <v>14139.515556089638</v>
      </c>
      <c r="AQ28" s="42">
        <v>1.7510673920268212</v>
      </c>
      <c r="AR28" s="41">
        <v>14140.341106505506</v>
      </c>
      <c r="AS28" s="42">
        <v>0.90705474239960504</v>
      </c>
      <c r="AT28" s="41">
        <v>14140.861246931143</v>
      </c>
      <c r="AU28" s="42">
        <v>0.37526309171459221</v>
      </c>
      <c r="AV28" s="41">
        <v>14141.128826957793</v>
      </c>
      <c r="AW28" s="42">
        <v>0.10165661908255157</v>
      </c>
    </row>
    <row r="29" spans="1:49" x14ac:dyDescent="0.2">
      <c r="A29" t="s">
        <v>53</v>
      </c>
      <c r="B29" s="35">
        <v>14362.768558000025</v>
      </c>
      <c r="C29" s="36">
        <v>817.26650999999993</v>
      </c>
      <c r="D29" s="35">
        <v>14362.967747823901</v>
      </c>
      <c r="E29" s="36">
        <v>763.20714868608002</v>
      </c>
      <c r="F29" s="35">
        <v>14360.790959209777</v>
      </c>
      <c r="G29" s="36">
        <v>709.68872594532161</v>
      </c>
      <c r="H29" s="35">
        <v>14355.871588713904</v>
      </c>
      <c r="I29" s="36">
        <v>656.76068460031411</v>
      </c>
      <c r="J29" s="35">
        <v>14347.760423946987</v>
      </c>
      <c r="K29" s="36">
        <v>604.47724096452146</v>
      </c>
      <c r="L29" s="35">
        <v>14335.903569033431</v>
      </c>
      <c r="M29" s="36">
        <v>552.89864596947893</v>
      </c>
      <c r="N29" s="35">
        <v>14319.603714873136</v>
      </c>
      <c r="O29" s="36">
        <v>502.09038310599033</v>
      </c>
      <c r="P29" s="35">
        <v>14297.973500140128</v>
      </c>
      <c r="Q29" s="36">
        <v>452.12740887510853</v>
      </c>
      <c r="R29" s="35">
        <v>14269.861136997524</v>
      </c>
      <c r="S29" s="36">
        <v>403.09533949499792</v>
      </c>
      <c r="T29" s="35">
        <v>14233.741212797115</v>
      </c>
      <c r="U29" s="36">
        <v>355.09441233440492</v>
      </c>
      <c r="V29" s="35">
        <v>14187.543524618508</v>
      </c>
      <c r="W29" s="36">
        <v>308.24555520962991</v>
      </c>
      <c r="X29" s="35">
        <v>14128.377286446403</v>
      </c>
      <c r="Y29" s="36">
        <v>262.69960348106599</v>
      </c>
      <c r="Z29" s="35">
        <v>14052.064282337287</v>
      </c>
      <c r="AA29" s="36">
        <v>218.65218178354539</v>
      </c>
      <c r="AB29" s="35">
        <v>13952.303157474753</v>
      </c>
      <c r="AC29" s="36">
        <v>176.36865743423189</v>
      </c>
      <c r="AD29" s="35">
        <v>13819.07054480083</v>
      </c>
      <c r="AE29" s="36">
        <v>136.22543495209317</v>
      </c>
      <c r="AF29" s="35">
        <v>13635.280515775468</v>
      </c>
      <c r="AG29" s="36">
        <v>98.781469920874812</v>
      </c>
      <c r="AH29" s="35">
        <v>13368.961715603311</v>
      </c>
      <c r="AI29" s="36">
        <v>64.903219486812361</v>
      </c>
      <c r="AJ29" s="35">
        <v>12951.817753375612</v>
      </c>
      <c r="AK29" s="36">
        <v>35.975463660569396</v>
      </c>
      <c r="AL29" s="35">
        <v>12205.015771582455</v>
      </c>
      <c r="AM29" s="36">
        <v>14.185449445338207</v>
      </c>
      <c r="AN29" s="35">
        <v>10455.400191416948</v>
      </c>
      <c r="AO29" s="36">
        <v>2.3168689831105653</v>
      </c>
      <c r="AP29" s="35">
        <v>9772.1545054591479</v>
      </c>
      <c r="AQ29" s="36">
        <v>1.2560591340370848</v>
      </c>
      <c r="AR29" s="35">
        <v>8825.2497053734332</v>
      </c>
      <c r="AS29" s="36">
        <v>0.57308649197077943</v>
      </c>
      <c r="AT29" s="35">
        <v>7414.9840106507218</v>
      </c>
      <c r="AU29" s="36">
        <v>0.1975324787679896</v>
      </c>
      <c r="AV29" s="35">
        <v>5049.7208493914623</v>
      </c>
      <c r="AW29" s="36">
        <v>3.8841727021260181E-2</v>
      </c>
    </row>
    <row r="30" spans="1:49" x14ac:dyDescent="0.2">
      <c r="A30" t="s">
        <v>48</v>
      </c>
      <c r="B30" s="119">
        <v>2924829.9599999995</v>
      </c>
      <c r="D30" s="119">
        <v>2988676.1033681822</v>
      </c>
      <c r="F30" s="119">
        <v>3054081.0093921721</v>
      </c>
      <c r="H30" s="119">
        <v>3121283.3133643055</v>
      </c>
      <c r="J30" s="119">
        <v>3190569.01178911</v>
      </c>
      <c r="L30" s="119">
        <v>3262273.7370965327</v>
      </c>
      <c r="N30" s="119">
        <v>3336812.3285297477</v>
      </c>
      <c r="P30" s="119">
        <v>3414686.3741925932</v>
      </c>
      <c r="R30" s="119">
        <v>3496519.2232573191</v>
      </c>
      <c r="T30" s="119">
        <v>3583095.4419324924</v>
      </c>
      <c r="V30" s="119">
        <v>3675422.2554417462</v>
      </c>
      <c r="X30" s="119">
        <v>3774822.8011484114</v>
      </c>
      <c r="Z30" s="119">
        <v>3883086.4879833274</v>
      </c>
      <c r="AB30" s="119">
        <v>4002726.2660659342</v>
      </c>
      <c r="AD30" s="119">
        <v>4137440.8941918639</v>
      </c>
      <c r="AF30" s="119">
        <v>4293009.5604929961</v>
      </c>
      <c r="AH30" s="119">
        <v>4479139.1632986013</v>
      </c>
      <c r="AJ30" s="119">
        <v>4713363.6053147409</v>
      </c>
      <c r="AL30" s="119">
        <v>5026731.6386780674</v>
      </c>
      <c r="AN30" s="119">
        <v>5404258.9423611648</v>
      </c>
      <c r="AP30" s="119">
        <v>5433547.3864547797</v>
      </c>
      <c r="AR30" s="119">
        <v>5371531.752653379</v>
      </c>
      <c r="AT30" s="119">
        <v>5070527.7043995867</v>
      </c>
      <c r="AV30" s="119">
        <v>4052619.8403907917</v>
      </c>
    </row>
    <row r="31" spans="1:49" x14ac:dyDescent="0.2">
      <c r="A31" t="s">
        <v>47</v>
      </c>
      <c r="B31" s="80">
        <v>1.0000000000000027</v>
      </c>
      <c r="D31" s="80">
        <v>0.99261117474908611</v>
      </c>
      <c r="F31" s="80">
        <v>0.98464223309285626</v>
      </c>
      <c r="H31" s="80">
        <v>0.97601017318847605</v>
      </c>
      <c r="J31" s="80">
        <v>0.96661509488312281</v>
      </c>
      <c r="L31" s="80">
        <v>0.95633558890784198</v>
      </c>
      <c r="N31" s="80">
        <v>0.94502247212578638</v>
      </c>
      <c r="P31" s="80">
        <v>0.93249009163950014</v>
      </c>
      <c r="R31" s="80">
        <v>0.91850405685896475</v>
      </c>
      <c r="T31" s="80">
        <v>0.90276354425229566</v>
      </c>
      <c r="V31" s="80">
        <v>0.88487467424111799</v>
      </c>
      <c r="X31" s="80">
        <v>0.86430970158845921</v>
      </c>
      <c r="Z31" s="80">
        <v>0.84034139906769378</v>
      </c>
      <c r="AB31" s="80">
        <v>0.81193241915288827</v>
      </c>
      <c r="AD31" s="80">
        <v>0.77753804135788773</v>
      </c>
      <c r="AF31" s="80">
        <v>0.73472794828248844</v>
      </c>
      <c r="AH31" s="80">
        <v>0.67939384999138874</v>
      </c>
      <c r="AJ31" s="80">
        <v>0.60389434509956497</v>
      </c>
      <c r="AL31" s="80">
        <v>0.49207891212968369</v>
      </c>
      <c r="AN31" s="80">
        <v>0.30421459752711255</v>
      </c>
      <c r="AP31" s="80">
        <v>0.25033499382452062</v>
      </c>
      <c r="AR31" s="80">
        <v>0.18885132611601443</v>
      </c>
      <c r="AT31" s="80">
        <v>0.11971113326993933</v>
      </c>
      <c r="AV31" s="80">
        <v>4.7182647169179068E-2</v>
      </c>
    </row>
    <row r="32" spans="1:49" x14ac:dyDescent="0.2">
      <c r="A32" t="s">
        <v>64</v>
      </c>
      <c r="B32" s="86">
        <v>14734457.915000005</v>
      </c>
      <c r="D32" s="86">
        <v>14745941.043593364</v>
      </c>
      <c r="F32" s="86">
        <v>14755677.05542214</v>
      </c>
      <c r="H32" s="86">
        <v>14763345.92415427</v>
      </c>
      <c r="J32" s="86">
        <v>14768543.786989849</v>
      </c>
      <c r="L32" s="86">
        <v>14770753.55600686</v>
      </c>
      <c r="N32" s="86">
        <v>14769310.054240378</v>
      </c>
      <c r="P32" s="86">
        <v>14763342.193909276</v>
      </c>
      <c r="R32" s="86">
        <v>14751694.862679452</v>
      </c>
      <c r="T32" s="86">
        <v>14732810.098190784</v>
      </c>
      <c r="V32" s="86">
        <v>14704543.815678906</v>
      </c>
      <c r="X32" s="86">
        <v>14663875.422594307</v>
      </c>
      <c r="Z32" s="86">
        <v>14606425.726822853</v>
      </c>
      <c r="AB32" s="86">
        <v>14525613.943099309</v>
      </c>
      <c r="AD32" s="86">
        <v>14411085.380185846</v>
      </c>
      <c r="AF32" s="86">
        <v>14245509.760204626</v>
      </c>
      <c r="AH32" s="86">
        <v>13997239.083876487</v>
      </c>
      <c r="AJ32" s="86">
        <v>13600318.896866592</v>
      </c>
      <c r="AL32" s="86">
        <v>12883398.215734065</v>
      </c>
      <c r="AN32" s="86">
        <v>11167972.485328363</v>
      </c>
      <c r="AP32" s="86">
        <v>10474993.52692464</v>
      </c>
      <c r="AR32" s="86">
        <v>9492091.8183281813</v>
      </c>
      <c r="AT32" s="86">
        <v>7989270.5064674485</v>
      </c>
      <c r="AV32" s="86">
        <v>5413776.7515967833</v>
      </c>
    </row>
    <row r="33" spans="1:49 16319:16321" x14ac:dyDescent="0.2">
      <c r="A33" t="s">
        <v>54</v>
      </c>
      <c r="B33" s="117">
        <v>7019665.6910000108</v>
      </c>
      <c r="D33" s="117">
        <v>6988664.1295833765</v>
      </c>
      <c r="F33" s="117">
        <v>6955695.3297970667</v>
      </c>
      <c r="H33" s="117">
        <v>6920426.9447225221</v>
      </c>
      <c r="J33" s="117">
        <v>6882451.0163750798</v>
      </c>
      <c r="L33" s="117">
        <v>6841256.586649131</v>
      </c>
      <c r="N33" s="117">
        <v>6796204.8553110901</v>
      </c>
      <c r="P33" s="117">
        <v>6746478.4385522958</v>
      </c>
      <c r="R33" s="117">
        <v>6691019.8334390325</v>
      </c>
      <c r="T33" s="117">
        <v>6628436.1233985974</v>
      </c>
      <c r="V33" s="117">
        <v>6556853.5851335311</v>
      </c>
      <c r="X33" s="117">
        <v>6473689.4957704069</v>
      </c>
      <c r="Z33" s="117">
        <v>6375275.6900996231</v>
      </c>
      <c r="AB33" s="117">
        <v>6256204.9230418922</v>
      </c>
      <c r="AD33" s="117">
        <v>6108120.6414778968</v>
      </c>
      <c r="AF33" s="117">
        <v>5917281.0698792469</v>
      </c>
      <c r="AH33" s="117">
        <v>5659095.0365990717</v>
      </c>
      <c r="AJ33" s="117">
        <v>5283917.5880109817</v>
      </c>
      <c r="AL33" s="117">
        <v>4671397.1327505987</v>
      </c>
      <c r="AN33" s="117">
        <v>3427002.9476385042</v>
      </c>
      <c r="AP33" s="117">
        <v>2997558.2246315284</v>
      </c>
      <c r="AR33" s="117">
        <v>2450016.6446694229</v>
      </c>
      <c r="AT33" s="117">
        <v>1735436.7742010271</v>
      </c>
      <c r="AV33" s="117">
        <v>809321.83818816766</v>
      </c>
    </row>
    <row r="34" spans="1:49 16319:16321" x14ac:dyDescent="0.2">
      <c r="A34" t="s">
        <v>75</v>
      </c>
      <c r="B34" s="117">
        <v>1136879.4409999943</v>
      </c>
      <c r="D34" s="117">
        <v>1137765.1244623428</v>
      </c>
      <c r="F34" s="117">
        <v>1138516.2848457061</v>
      </c>
      <c r="H34" s="117">
        <v>1139108.3575964386</v>
      </c>
      <c r="J34" s="117">
        <v>1139508.795857701</v>
      </c>
      <c r="L34" s="117">
        <v>1139679.9068613402</v>
      </c>
      <c r="N34" s="117">
        <v>1139568.5079123199</v>
      </c>
      <c r="P34" s="117">
        <v>1139108.0276544997</v>
      </c>
      <c r="R34" s="117">
        <v>1138209.3368180154</v>
      </c>
      <c r="T34" s="117">
        <v>1136752.2651702657</v>
      </c>
      <c r="V34" s="117">
        <v>1134571.329287057</v>
      </c>
      <c r="X34" s="117">
        <v>1131433.3952300113</v>
      </c>
      <c r="Z34" s="117">
        <v>1127000.7298350078</v>
      </c>
      <c r="AB34" s="117">
        <v>1120765.4782893648</v>
      </c>
      <c r="AD34" s="117">
        <v>1111928.6773137534</v>
      </c>
      <c r="AF34" s="117">
        <v>1099153.2261577419</v>
      </c>
      <c r="AH34" s="117">
        <v>1079997.2035811467</v>
      </c>
      <c r="AJ34" s="117">
        <v>1049371.6806766526</v>
      </c>
      <c r="AL34" s="117">
        <v>994055.61010988755</v>
      </c>
      <c r="AN34" s="117">
        <v>861697.00906395493</v>
      </c>
      <c r="AP34" s="117">
        <v>808228.22623681766</v>
      </c>
      <c r="AR34" s="117">
        <v>732389.62047467136</v>
      </c>
      <c r="AT34" s="117">
        <v>616435.12361214019</v>
      </c>
      <c r="AV34" s="117">
        <v>417715.50208044285</v>
      </c>
    </row>
    <row r="35" spans="1:49 16319:16321" x14ac:dyDescent="0.2">
      <c r="A35" t="s">
        <v>78</v>
      </c>
      <c r="B35" s="233">
        <v>1</v>
      </c>
      <c r="D35" s="233">
        <v>1.0029958891476796</v>
      </c>
      <c r="F35" s="233">
        <v>1.0063538776765495</v>
      </c>
      <c r="H35" s="233">
        <v>1.0101387945167892</v>
      </c>
      <c r="J35" s="233">
        <v>1.014432440940215</v>
      </c>
      <c r="L35" s="233">
        <v>1.0193387616441842</v>
      </c>
      <c r="N35" s="233">
        <v>1.0249932966848962</v>
      </c>
      <c r="P35" s="233">
        <v>1.0315747670233404</v>
      </c>
      <c r="R35" s="233">
        <v>1.0393244238586214</v>
      </c>
      <c r="T35" s="233">
        <v>1.0485755114967741</v>
      </c>
      <c r="V35" s="233">
        <v>1.0598011719553673</v>
      </c>
      <c r="X35" s="233">
        <v>1.0736950187440775</v>
      </c>
      <c r="Z35" s="233">
        <v>1.0913135136320586</v>
      </c>
      <c r="AB35" s="233">
        <v>1.1143426336671443</v>
      </c>
      <c r="AD35" s="233">
        <v>1.1456337511812504</v>
      </c>
      <c r="AF35" s="233">
        <v>1.1903830676379825</v>
      </c>
      <c r="AH35" s="233">
        <v>1.2590544247781117</v>
      </c>
      <c r="AJ35" s="233">
        <v>1.3759069931592314</v>
      </c>
      <c r="AL35" s="233">
        <v>1.6106802604235109</v>
      </c>
      <c r="AN35" s="233">
        <v>2.2568599709835948</v>
      </c>
      <c r="AP35" s="233">
        <v>2.5358224217283216</v>
      </c>
      <c r="AR35" s="233">
        <v>2.9409534280040037</v>
      </c>
      <c r="AT35" s="233">
        <v>3.5772952838217829</v>
      </c>
      <c r="AV35" s="233">
        <v>4.7162635772571573</v>
      </c>
    </row>
    <row r="36" spans="1:49 16319:16321" x14ac:dyDescent="0.2">
      <c r="A36" t="s">
        <v>21</v>
      </c>
      <c r="B36" s="37">
        <v>0.47195767671988198</v>
      </c>
      <c r="C36" s="38">
        <v>0.31738834428178964</v>
      </c>
      <c r="D36" s="37">
        <v>0.47197152300103296</v>
      </c>
      <c r="E36" s="38">
        <v>0.32009280458178474</v>
      </c>
      <c r="F36" s="37">
        <v>0.47198541183288434</v>
      </c>
      <c r="G36" s="38">
        <v>0.32308924958617108</v>
      </c>
      <c r="H36" s="37">
        <v>0.47199937171359002</v>
      </c>
      <c r="I36" s="38">
        <v>0.32642561905259154</v>
      </c>
      <c r="J36" s="37">
        <v>0.47201344788445837</v>
      </c>
      <c r="K36" s="38">
        <v>0.33016089870263637</v>
      </c>
      <c r="L36" s="37">
        <v>0.47202769719548437</v>
      </c>
      <c r="M36" s="38">
        <v>0.33436803841090335</v>
      </c>
      <c r="N36" s="37">
        <v>0.4720422124858043</v>
      </c>
      <c r="O36" s="38">
        <v>0.33913912279529324</v>
      </c>
      <c r="P36" s="37">
        <v>0.47205711516269205</v>
      </c>
      <c r="Q36" s="38">
        <v>0.34459130337551719</v>
      </c>
      <c r="R36" s="37">
        <v>0.47207257600136998</v>
      </c>
      <c r="S36" s="38">
        <v>0.3508764330131805</v>
      </c>
      <c r="T36" s="37">
        <v>0.47208883008983993</v>
      </c>
      <c r="U36" s="38">
        <v>0.35819493359595334</v>
      </c>
      <c r="V36" s="37">
        <v>0.47210620160833144</v>
      </c>
      <c r="W36" s="38">
        <v>0.36681724600773213</v>
      </c>
      <c r="X36" s="37">
        <v>0.47212513523873745</v>
      </c>
      <c r="Y36" s="38">
        <v>0.37711791894475744</v>
      </c>
      <c r="Z36" s="37">
        <v>0.47214623783778015</v>
      </c>
      <c r="AA36" s="38">
        <v>0.38963240476668853</v>
      </c>
      <c r="AB36" s="37">
        <v>0.47217032977246381</v>
      </c>
      <c r="AC36" s="38">
        <v>0.40515697369829923</v>
      </c>
      <c r="AD36" s="37">
        <v>0.47219848570050194</v>
      </c>
      <c r="AE36" s="38">
        <v>0.42493630245474584</v>
      </c>
      <c r="AF36" s="37">
        <v>0.47223199379436948</v>
      </c>
      <c r="AG36" s="38">
        <v>0.45104703496723997</v>
      </c>
      <c r="AH36" s="37">
        <v>0.47227194658620802</v>
      </c>
      <c r="AI36" s="38">
        <v>0.48727342778752514</v>
      </c>
      <c r="AJ36" s="37">
        <v>0.47231729471937156</v>
      </c>
      <c r="AK36" s="38">
        <v>0.54143114345935406</v>
      </c>
      <c r="AL36" s="37">
        <v>0.47235627963599625</v>
      </c>
      <c r="AM36" s="38">
        <v>0.63305489952136962</v>
      </c>
      <c r="AN36" s="37">
        <v>0.47232835132093703</v>
      </c>
      <c r="AO36" s="38">
        <v>0.83031501390326912</v>
      </c>
      <c r="AP36" s="37">
        <v>0.47229878023322064</v>
      </c>
      <c r="AQ36" s="38">
        <v>0.90251391230415556</v>
      </c>
      <c r="AR36" s="37">
        <v>0.47225361057388782</v>
      </c>
      <c r="AS36" s="38">
        <v>0.99906557307143873</v>
      </c>
      <c r="AT36" s="37">
        <v>0.4721861567521512</v>
      </c>
      <c r="AU36" s="38">
        <v>1.1365099577891113</v>
      </c>
      <c r="AV36" s="37">
        <v>0.47208237436697315</v>
      </c>
      <c r="AW36" s="38">
        <v>1.3534324123966244</v>
      </c>
    </row>
    <row r="37" spans="1:49 16319:16321" x14ac:dyDescent="0.2">
      <c r="B37" s="39">
        <v>2.1403217525954466E-2</v>
      </c>
      <c r="C37" s="40">
        <v>0.3496246130199252</v>
      </c>
      <c r="D37" s="39">
        <v>2.0663757500104307E-2</v>
      </c>
      <c r="E37" s="40">
        <v>0.34521414905198505</v>
      </c>
      <c r="F37" s="39">
        <v>1.9908686718052866E-2</v>
      </c>
      <c r="G37" s="40">
        <v>0.34068157308425912</v>
      </c>
      <c r="H37" s="39">
        <v>1.9137151952864861E-2</v>
      </c>
      <c r="I37" s="40">
        <v>0.3360205526832295</v>
      </c>
      <c r="J37" s="39">
        <v>1.8348202585021595E-2</v>
      </c>
      <c r="K37" s="40">
        <v>0.33122430744451559</v>
      </c>
      <c r="L37" s="39">
        <v>1.754085492317731E-2</v>
      </c>
      <c r="M37" s="40">
        <v>0.32628608768802841</v>
      </c>
      <c r="N37" s="39">
        <v>1.6713951696200192E-2</v>
      </c>
      <c r="O37" s="40">
        <v>0.32119844675787229</v>
      </c>
      <c r="P37" s="39">
        <v>1.5866244699071191E-2</v>
      </c>
      <c r="Q37" s="40">
        <v>0.31595391920062377</v>
      </c>
      <c r="R37" s="39">
        <v>1.4996306845363419E-2</v>
      </c>
      <c r="S37" s="40">
        <v>0.31054473237255314</v>
      </c>
      <c r="T37" s="39">
        <v>1.4102493384980907E-2</v>
      </c>
      <c r="U37" s="40">
        <v>0.30496292170631495</v>
      </c>
      <c r="V37" s="39">
        <v>1.3182857849174464E-2</v>
      </c>
      <c r="W37" s="40">
        <v>0.29920032405646557</v>
      </c>
      <c r="X37" s="39">
        <v>1.2235033783858986E-2</v>
      </c>
      <c r="Y37" s="40">
        <v>0.29324860014557846</v>
      </c>
      <c r="Z37" s="39">
        <v>1.1256041475146535E-2</v>
      </c>
      <c r="AA37" s="40">
        <v>0.28709917783318906</v>
      </c>
      <c r="AB37" s="39">
        <v>1.0241963220081836E-2</v>
      </c>
      <c r="AC37" s="40">
        <v>0.2807430285682912</v>
      </c>
      <c r="AD37" s="39">
        <v>9.1874000780706837E-3</v>
      </c>
      <c r="AE37" s="40">
        <v>0.27417025333552425</v>
      </c>
      <c r="AF37" s="39">
        <v>8.084500797509931E-3</v>
      </c>
      <c r="AG37" s="40">
        <v>0.26736928322704462</v>
      </c>
      <c r="AH37" s="39">
        <v>6.921157686014103E-3</v>
      </c>
      <c r="AI37" s="40">
        <v>0.26032579258359273</v>
      </c>
      <c r="AJ37" s="39">
        <v>5.67750631783253E-3</v>
      </c>
      <c r="AK37" s="40">
        <v>0.25302292830583062</v>
      </c>
      <c r="AL37" s="39">
        <v>4.3189369808485497E-3</v>
      </c>
      <c r="AM37" s="40">
        <v>0.24545312384345677</v>
      </c>
      <c r="AN37" s="39">
        <v>2.7822163921970532E-3</v>
      </c>
      <c r="AO37" s="40">
        <v>0.23770053098794114</v>
      </c>
      <c r="AP37" s="39">
        <v>2.4440725451606608E-3</v>
      </c>
      <c r="AQ37" s="40">
        <v>0.23616069705669596</v>
      </c>
      <c r="AR37" s="39">
        <v>2.092015538207097E-3</v>
      </c>
      <c r="AS37" s="40">
        <v>0.23464185957922942</v>
      </c>
      <c r="AT37" s="39">
        <v>1.7226784397497879E-3</v>
      </c>
      <c r="AU37" s="40">
        <v>0.23315765669383223</v>
      </c>
      <c r="AV37" s="39">
        <v>1.3292671734317157E-3</v>
      </c>
      <c r="AW37" s="40">
        <v>0.23172865833240677</v>
      </c>
    </row>
    <row r="38" spans="1:49 16319:16321" x14ac:dyDescent="0.2">
      <c r="A38" t="s">
        <v>22</v>
      </c>
      <c r="B38" s="37">
        <v>0.18079094942242827</v>
      </c>
      <c r="C38" s="38">
        <v>6.0565413429233668E-2</v>
      </c>
      <c r="D38" s="37">
        <v>0.18093737361331383</v>
      </c>
      <c r="E38" s="38">
        <v>6.0894413126492457E-2</v>
      </c>
      <c r="F38" s="37">
        <v>0.1811129980181625</v>
      </c>
      <c r="G38" s="38">
        <v>6.1261374469984885E-2</v>
      </c>
      <c r="H38" s="37">
        <v>0.18132250900987307</v>
      </c>
      <c r="I38" s="38">
        <v>6.1672651608320792E-2</v>
      </c>
      <c r="J38" s="37">
        <v>0.1815716997479338</v>
      </c>
      <c r="K38" s="38">
        <v>6.2136058764088301E-2</v>
      </c>
      <c r="L38" s="37">
        <v>0.18186778511597732</v>
      </c>
      <c r="M38" s="38">
        <v>6.2661309297179266E-2</v>
      </c>
      <c r="N38" s="37">
        <v>0.18221993802390099</v>
      </c>
      <c r="O38" s="38">
        <v>6.3260717814358464E-2</v>
      </c>
      <c r="P38" s="37">
        <v>0.18263996066662302</v>
      </c>
      <c r="Q38" s="38">
        <v>6.394998316835758E-2</v>
      </c>
      <c r="R38" s="37">
        <v>0.18314335338373827</v>
      </c>
      <c r="S38" s="38">
        <v>6.4749530413184472E-2</v>
      </c>
      <c r="T38" s="37">
        <v>0.18375091324953544</v>
      </c>
      <c r="U38" s="38">
        <v>6.568644030966643E-2</v>
      </c>
      <c r="V38" s="37">
        <v>0.18449127715789124</v>
      </c>
      <c r="W38" s="38">
        <v>6.6797405480237076E-2</v>
      </c>
      <c r="X38" s="37">
        <v>0.18540510239482319</v>
      </c>
      <c r="Y38" s="38">
        <v>6.8133508478262939E-2</v>
      </c>
      <c r="Z38" s="37">
        <v>0.18655230646945234</v>
      </c>
      <c r="AA38" s="38">
        <v>6.9768254758825379E-2</v>
      </c>
      <c r="AB38" s="37">
        <v>0.18802538911180372</v>
      </c>
      <c r="AC38" s="38">
        <v>7.1811754705852604E-2</v>
      </c>
      <c r="AD38" s="37">
        <v>0.18997582231869858</v>
      </c>
      <c r="AE38" s="38">
        <v>7.4437873210137132E-2</v>
      </c>
      <c r="AF38" s="37">
        <v>0.19267167575920827</v>
      </c>
      <c r="AG38" s="38">
        <v>7.794078682563027E-2</v>
      </c>
      <c r="AH38" s="37">
        <v>0.1966407811172162</v>
      </c>
      <c r="AI38" s="38">
        <v>8.286747838711335E-2</v>
      </c>
      <c r="AJ38" s="37">
        <v>0.20309775864355964</v>
      </c>
      <c r="AK38" s="38">
        <v>9.0385498537501288E-2</v>
      </c>
      <c r="AL38" s="37">
        <v>0.21563786458207188</v>
      </c>
      <c r="AM38" s="38">
        <v>0.10359694980523514</v>
      </c>
      <c r="AN38" s="37">
        <v>0.25183761853927544</v>
      </c>
      <c r="AO38" s="38">
        <v>0.1350907053536502</v>
      </c>
      <c r="AP38" s="37">
        <v>0.26947326923670417</v>
      </c>
      <c r="AQ38" s="38">
        <v>0.14812957768238191</v>
      </c>
      <c r="AR38" s="37">
        <v>0.29842248116643266</v>
      </c>
      <c r="AS38" s="38">
        <v>0.16740724880296837</v>
      </c>
      <c r="AT38" s="37">
        <v>0.35523418538962193</v>
      </c>
      <c r="AU38" s="38">
        <v>0.20000539693882588</v>
      </c>
      <c r="AV38" s="37">
        <v>0.52173606832428465</v>
      </c>
      <c r="AW38" s="38">
        <v>0.27424356851273124</v>
      </c>
    </row>
    <row r="39" spans="1:49 16319:16321" x14ac:dyDescent="0.2">
      <c r="A39" t="s">
        <v>23</v>
      </c>
      <c r="B39" s="39">
        <v>0.23064923795098771</v>
      </c>
      <c r="C39" s="40">
        <v>0.22092201281804777</v>
      </c>
      <c r="D39" s="39">
        <v>0.23119382526355439</v>
      </c>
      <c r="E39" s="40">
        <v>0.22229419983050996</v>
      </c>
      <c r="F39" s="39">
        <v>0.2317749149943221</v>
      </c>
      <c r="G39" s="40">
        <v>0.22380607386618923</v>
      </c>
      <c r="H39" s="39">
        <v>0.23239859829473908</v>
      </c>
      <c r="I39" s="40">
        <v>0.22548109836748206</v>
      </c>
      <c r="J39" s="39">
        <v>0.23307243011174908</v>
      </c>
      <c r="K39" s="40">
        <v>0.22734827223333187</v>
      </c>
      <c r="L39" s="39">
        <v>0.23380584301237142</v>
      </c>
      <c r="M39" s="40">
        <v>0.22944356294952142</v>
      </c>
      <c r="N39" s="39">
        <v>0.23461087761845267</v>
      </c>
      <c r="O39" s="40">
        <v>0.23181249803502493</v>
      </c>
      <c r="P39" s="39">
        <v>0.23550304079585468</v>
      </c>
      <c r="Q39" s="40">
        <v>0.23451324940780333</v>
      </c>
      <c r="R39" s="39">
        <v>0.23650272738356809</v>
      </c>
      <c r="S39" s="40">
        <v>0.23762150637733065</v>
      </c>
      <c r="T39" s="39">
        <v>0.23763731885968339</v>
      </c>
      <c r="U39" s="40">
        <v>0.24123755936223806</v>
      </c>
      <c r="V39" s="39">
        <v>0.23894451199481498</v>
      </c>
      <c r="W39" s="40">
        <v>0.24549736831395269</v>
      </c>
      <c r="X39" s="39">
        <v>0.2404777852942519</v>
      </c>
      <c r="Y39" s="40">
        <v>0.2505901951843883</v>
      </c>
      <c r="Z39" s="39">
        <v>0.24231584598652645</v>
      </c>
      <c r="AA39" s="40">
        <v>0.25678819807470765</v>
      </c>
      <c r="AB39" s="39">
        <v>0.24457998008279333</v>
      </c>
      <c r="AC39" s="40">
        <v>0.26449916578997051</v>
      </c>
      <c r="AD39" s="39">
        <v>0.24746840166198175</v>
      </c>
      <c r="AE39" s="40">
        <v>0.27436666006271559</v>
      </c>
      <c r="AF39" s="39">
        <v>0.25133123278696101</v>
      </c>
      <c r="AG39" s="40">
        <v>0.28747869755997824</v>
      </c>
      <c r="AH39" s="39">
        <v>0.25685688206665253</v>
      </c>
      <c r="AI39" s="40">
        <v>0.3058578245349482</v>
      </c>
      <c r="AJ39" s="39">
        <v>0.2656287782792971</v>
      </c>
      <c r="AK39" s="40">
        <v>0.33381846583704733</v>
      </c>
      <c r="AL39" s="39">
        <v>0.28233841579550506</v>
      </c>
      <c r="AM39" s="40">
        <v>0.38282124815530111</v>
      </c>
      <c r="AN39" s="39">
        <v>0.32997608703213638</v>
      </c>
      <c r="AO39" s="40">
        <v>0.49938213717912094</v>
      </c>
      <c r="AP39" s="39">
        <v>0.35311245121278489</v>
      </c>
      <c r="AQ39" s="40">
        <v>0.54760461869644506</v>
      </c>
      <c r="AR39" s="39">
        <v>0.3910697478205783</v>
      </c>
      <c r="AS39" s="40">
        <v>0.61888827170581784</v>
      </c>
      <c r="AT39" s="39">
        <v>0.46553614394798976</v>
      </c>
      <c r="AU39" s="40">
        <v>0.73941404782265197</v>
      </c>
      <c r="AV39" s="39">
        <v>0.68375060996092507</v>
      </c>
      <c r="AW39" s="40">
        <v>1.0138800649600936</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0.10799999999999961</v>
      </c>
      <c r="E42" s="135"/>
      <c r="F42" s="177">
        <f>10.8%+(1-10.8%)*(1-SUM(F26:G26)/SUM($B$26:$C$26))</f>
        <v>0.1080000000000008</v>
      </c>
      <c r="G42" s="135"/>
      <c r="H42" s="177">
        <f>10.8%+(1-10.8%)*(1-SUM(H26:I26)/SUM($B$26:$C$26))</f>
        <v>0.10799999999999922</v>
      </c>
      <c r="I42" s="135"/>
      <c r="J42" s="177">
        <f>10.8%+(1-10.8%)*(1-SUM(J26:K26)/SUM($B$26:$C$26))</f>
        <v>0.10799999999999942</v>
      </c>
      <c r="K42" s="135"/>
      <c r="L42" s="177">
        <f>10.8%+(1-10.8%)*(1-SUM(L26:M26)/SUM($B$26:$C$26))</f>
        <v>0.10799999999999961</v>
      </c>
      <c r="M42" s="135"/>
      <c r="N42" s="177">
        <f>10.8%+(1-10.8%)*(1-SUM(N26:O26)/SUM($B$26:$C$26))</f>
        <v>0.10800000000000001</v>
      </c>
      <c r="O42" s="135"/>
      <c r="P42" s="177">
        <f>10.8%+(1-10.8%)*(1-SUM(P26:Q26)/SUM($B$26:$C$26))</f>
        <v>0.10799999999999922</v>
      </c>
      <c r="Q42" s="135"/>
      <c r="R42" s="177">
        <f>10.8%+(1-10.8%)*(1-SUM(R26:S26)/SUM($B$26:$C$26))</f>
        <v>0.10799999999999942</v>
      </c>
      <c r="S42" s="135"/>
      <c r="T42" s="177">
        <f>10.8%+(1-10.8%)*(1-SUM(T26:U26)/SUM($B$26:$C$26))</f>
        <v>0.10800000000000021</v>
      </c>
      <c r="U42" s="135"/>
      <c r="V42" s="177">
        <f>10.8%+(1-10.8%)*(1-SUM(V26:W26)/SUM($B$26:$C$26))</f>
        <v>0.10799999999999961</v>
      </c>
      <c r="W42" s="135"/>
      <c r="X42" s="177">
        <f>10.8%+(1-10.8%)*(1-SUM(X26:Y26)/SUM($B$26:$C$26))</f>
        <v>0.10800000000000051</v>
      </c>
      <c r="Y42" s="162"/>
      <c r="Z42" s="177">
        <f>10.8%+(1-10.8%)*(1-SUM(Z26:AA26)/SUM($B$26:$C$26))</f>
        <v>0.10799999999999961</v>
      </c>
      <c r="AA42" s="135"/>
      <c r="AB42" s="177">
        <f>10.8%+(1-10.8%)*(1-SUM(AB26:AC26)/SUM($B$26:$C$26))</f>
        <v>0.10799999999999903</v>
      </c>
      <c r="AC42" s="135"/>
      <c r="AD42" s="177">
        <f>10.8%+(1-10.8%)*(1-SUM(AD26:AE26)/SUM($B$26:$C$26))</f>
        <v>0.1080000000000003</v>
      </c>
      <c r="AE42" s="135"/>
      <c r="AF42" s="177">
        <f>10.8%+(1-10.8%)*(1-SUM(AF26:AG26)/SUM($B$26:$C$26))</f>
        <v>0.10799999999999961</v>
      </c>
      <c r="AG42" s="135"/>
      <c r="AH42" s="177">
        <f>10.8%+(1-10.8%)*(1-SUM(AH26:AI26)/SUM($B$26:$C$26))</f>
        <v>0.10799999999999961</v>
      </c>
      <c r="AI42" s="135"/>
      <c r="AJ42" s="177">
        <f>10.8%+(1-10.8%)*(1-SUM(AJ26:AK26)/SUM($B$26:$C$26))</f>
        <v>0.1080000000000003</v>
      </c>
      <c r="AK42" s="135"/>
      <c r="AL42" s="177">
        <f>10.8%+(1-10.8%)*(1-SUM(AL26:AM26)/SUM($B$26:$C$26))</f>
        <v>0.10799999999999961</v>
      </c>
      <c r="AM42" s="135"/>
      <c r="AN42" s="177">
        <f>10.8%+(1-10.8%)*(1-SUM(AN26:AO26)/SUM($B$26:$C$26))</f>
        <v>0.10799999999999882</v>
      </c>
      <c r="AO42" s="135"/>
      <c r="AP42" s="177">
        <f>10.8%+(1-10.8%)*(1-SUM(AP26:AQ26)/SUM($B$26:$C$26))</f>
        <v>0.10799999999999982</v>
      </c>
      <c r="AQ42" s="135"/>
      <c r="AR42" s="177">
        <f>10.8%+(1-10.8%)*(1-SUM(AR26:AS26)/SUM($B$26:$C$26))</f>
        <v>0.10799999999999982</v>
      </c>
      <c r="AS42" s="135"/>
      <c r="AT42" s="177">
        <f>10.8%+(1-10.8%)*(1-SUM(AT26:AU26)/SUM($B$26:$C$26))</f>
        <v>0.10799999999999982</v>
      </c>
      <c r="AU42" s="135"/>
      <c r="AV42" s="177">
        <f>10.8%+(1-10.8%)*(1-SUM(AV26:AW26)/SUM($B$26:$C$26))</f>
        <v>0.10799999999999982</v>
      </c>
    </row>
    <row r="43" spans="1:49 16319:16321" x14ac:dyDescent="0.2">
      <c r="A43" t="s">
        <v>108</v>
      </c>
      <c r="B43" s="162">
        <f>SUM(B15:C15*B27:C27)/SUM(B15:C15*B27:C27,B13:C13*B26:C26)</f>
        <v>0.56058995943839207</v>
      </c>
      <c r="C43" s="135"/>
      <c r="D43" s="162">
        <f t="array" ref="D43">SUM(D15:E15*D27:E27)/SUM(D15:E15*D27:E27,D13:E13*D26:E26)</f>
        <v>0.56593279596525548</v>
      </c>
      <c r="E43" s="135"/>
      <c r="F43" s="162">
        <f t="array" ref="F43">SUM(F15:G15*F27:G27)/SUM(F15:G15*F27:G27,F13:G13*F26:G26)</f>
        <v>0.56467126215638108</v>
      </c>
      <c r="G43" s="135"/>
      <c r="H43" s="162">
        <f t="array" ref="H43">SUM(H15:I15*H27:I27)/SUM(H15:I15*H27:I27,H13:I13*H26:I26)</f>
        <v>0.56341623012312891</v>
      </c>
      <c r="I43" s="135"/>
      <c r="J43" s="162">
        <f t="array" ref="J43">SUM(J15:K15*J27:K27)/SUM(J15:K15*J27:K27,J13:K13*J26:K26)</f>
        <v>0.56216796786961398</v>
      </c>
      <c r="K43" s="135"/>
      <c r="L43" s="162">
        <f t="array" ref="L43">SUM(L15:M15*L27:M27)/SUM(L15:M15*L27:M27,L13:M13*L26:M26)</f>
        <v>0.56092671233944635</v>
      </c>
      <c r="M43" s="135"/>
      <c r="N43" s="162">
        <f t="array" ref="N43">SUM(N15:O15*N27:O27)/SUM(N15:O15*N27:O27,N13:O13*N26:O26)</f>
        <v>0.55969258257726096</v>
      </c>
      <c r="O43" s="135"/>
      <c r="P43" s="162">
        <f t="array" ref="P43">SUM(P15:Q15*P27:Q27)/SUM(P15:Q15*P27:Q27,P13:Q13*P26:Q26)</f>
        <v>0.55846566771080164</v>
      </c>
      <c r="Q43" s="135"/>
      <c r="R43" s="162">
        <f t="array" ref="R43">SUM(R15:S15*R27:S27)/SUM(R15:S15*R27:S27,R13:S13*R26:S26)</f>
        <v>0.55724596750693001</v>
      </c>
      <c r="S43" s="135"/>
      <c r="T43" s="162">
        <f t="array" ref="T43">SUM(T15:U15*T27:U27)/SUM(T15:U15*T27:U27,T13:U13*T26:U26)</f>
        <v>0.55603340473607721</v>
      </c>
      <c r="U43" s="135"/>
      <c r="V43" s="162">
        <f t="array" ref="V43">SUM(V15:W15*V27:W27)/SUM(V15:W15*V27:W27,V13:W13*V26:W26)</f>
        <v>0.55482787235222775</v>
      </c>
      <c r="W43" s="135"/>
      <c r="X43" s="162">
        <f t="array" ref="X43">SUM(X15:Y15*X27:Y27)/SUM(X15:Y15*X27:Y27,X13:Y13*X26:Y26)</f>
        <v>0.55362933170020978</v>
      </c>
      <c r="Y43" s="135"/>
      <c r="Z43" s="162">
        <f t="array" ref="Z43">SUM(Z15:AA15*Z27:AA27)/SUM(Z15:AA15*Z27:AA27,Z13:AA13*Z26:AA26)</f>
        <v>0.55243803883491305</v>
      </c>
      <c r="AA43" s="135"/>
      <c r="AB43" s="162">
        <f t="array" ref="AB43">SUM(AB15:AC15*AB27:AC27)/SUM(AB15:AC15*AB27:AC27,AB13:AC13*AB26:AC26)</f>
        <v>0.55125505586863977</v>
      </c>
      <c r="AC43" s="135"/>
      <c r="AD43" s="162">
        <f t="array" ref="AD43">SUM(AD15:AE15*AD27:AE27)/SUM(AD15:AE15*AD27:AE27,AD13:AE13*AD26:AE26)</f>
        <v>0.55008328134629481</v>
      </c>
      <c r="AE43" s="135"/>
      <c r="AF43" s="162">
        <f t="array" ref="AF43">SUM(AF15:AG15*AF27:AG27)/SUM(AF15:AG15*AF27:AG27,AF13:AG13*AF26:AG26)</f>
        <v>0.54892965948279537</v>
      </c>
      <c r="AG43" s="135"/>
      <c r="AH43" s="162">
        <f t="array" ref="AH43">SUM(AH15:AI15*AH27:AI27)/SUM(AH15:AI15*AH27:AI27,AH13:AI13*AH26:AI26)</f>
        <v>0.54780999647765449</v>
      </c>
      <c r="AI43" s="135"/>
      <c r="AJ43" s="162">
        <f t="array" ref="AJ43">SUM(AJ15:AK15*AJ27:AK27)/SUM(AJ15:AK15*AJ27:AK27,AJ13:AK13*AJ26:AK26)</f>
        <v>0.54675956074519216</v>
      </c>
      <c r="AK43" s="135"/>
      <c r="AL43" s="162">
        <f t="array" ref="AL43">SUM(AL15:AM15*AL27:AM27)/SUM(AL15:AM15*AL27:AM27,AL13:AM13*AL26:AM26)</f>
        <v>0.54585602082280271</v>
      </c>
      <c r="AM43" s="135"/>
      <c r="AN43" s="162">
        <f t="array" ref="AN43">SUM(AN15:AO15*AN27:AO27)/SUM(AN15:AO15*AN27:AO27,AN13:AO13*AN26:AO26)</f>
        <v>0.54525296889406627</v>
      </c>
      <c r="AO43" s="135"/>
      <c r="AP43" s="162">
        <f t="array" ref="AP43">SUM(AP15:AQ15*AP27:AQ27)/SUM(AP15:AQ15*AP27:AQ27,AP13:AQ13*AP26:AQ26)</f>
        <v>0.54518545372150073</v>
      </c>
      <c r="AQ43" s="135"/>
      <c r="AR43" s="162">
        <f t="array" ref="AR43">SUM(AR15:AS15*AR27:AS27)/SUM(AR15:AS15*AR27:AS27,AR13:AS13*AR26:AS26)</f>
        <v>0.54513721982933949</v>
      </c>
      <c r="AS43" s="135"/>
      <c r="AT43" s="162">
        <f t="array" ref="AT43">SUM(AT15:AU15*AT27:AU27)/SUM(AT15:AU15*AT27:AU27,AT13:AU13*AT26:AU26)</f>
        <v>0.54510683027529538</v>
      </c>
      <c r="AU43" s="135"/>
      <c r="AV43" s="162">
        <f t="array" ref="AV43">SUM(AV15:AW15*AV27:AW27)/SUM(AV15:AW15*AV27:AW27,AV13:AW13*AV26:AW26)</f>
        <v>0.54509119422727603</v>
      </c>
    </row>
    <row r="44" spans="1:49 16319:16321" x14ac:dyDescent="0.2">
      <c r="A44" t="s">
        <v>142</v>
      </c>
      <c r="B44" s="193">
        <f>(SUM(B11:C11*B24:C24)+B34)/B32</f>
        <v>0.29754226190682309</v>
      </c>
      <c r="D44" s="193">
        <f>(SUM(D11:E11*D24:E24)+D34)/D32</f>
        <v>0.30001563788273955</v>
      </c>
      <c r="F44" s="193">
        <f>(SUM(F11:G11*F24:G24)+F34)/F32</f>
        <v>0.3025626621333512</v>
      </c>
      <c r="H44" s="193">
        <f>(SUM(H11:I11*H24:I24)+H34)/H32</f>
        <v>0.30519644325567197</v>
      </c>
      <c r="J44" s="193">
        <f>(SUM(J11:K11*J24:K24)+J34)/J32</f>
        <v>0.30793283117245784</v>
      </c>
      <c r="L44" s="193">
        <f>(SUM(L11:M11*L24:M24)+L34)/L32</f>
        <v>0.31079146856383744</v>
      </c>
      <c r="N44" s="193">
        <f>(SUM(N11:O11*N24:O24)+N34)/N32</f>
        <v>0.3137965619323182</v>
      </c>
      <c r="P44" s="193">
        <f>(SUM(P11:Q11*P24:Q24)+P34)/P32</f>
        <v>0.31697878598713169</v>
      </c>
      <c r="R44" s="193">
        <f>(SUM(R11:S11*R24:S24)+R34)/R32</f>
        <v>0.32037745076980051</v>
      </c>
      <c r="T44" s="193">
        <f>(SUM(T11:U11*T24:U24)+T34)/T32</f>
        <v>0.32404396294458404</v>
      </c>
      <c r="V44" s="193">
        <f>(SUM(V11:W11*V24:W24)+V34)/V32</f>
        <v>0.3280471649869513</v>
      </c>
      <c r="X44" s="193">
        <f>(SUM(X11:Y11*X24:Y24)+X34)/X32</f>
        <v>0.33248185781970768</v>
      </c>
      <c r="Z44" s="193">
        <f>(SUM(Z11:AA11*Z24:AA24)+Z34)/Z32</f>
        <v>0.33748317563211183</v>
      </c>
      <c r="AB44" s="193">
        <f>(SUM(AB11:AC11*AB24:AC24)+AB34)/AB32</f>
        <v>0.34325221218070479</v>
      </c>
      <c r="AD44" s="193">
        <f>(SUM(AD11:AE11*AD24:AE24)+AD34)/AD32</f>
        <v>0.35010503732079079</v>
      </c>
      <c r="AF44" s="193">
        <f>(SUM(AF11:AG11*AF24:AG24)+AF34)/AF32</f>
        <v>0.35857511334661291</v>
      </c>
      <c r="AH44" s="193">
        <f>(SUM(AH11:AI11*AH24:AI24)+AH34)/AH32</f>
        <v>0.36965298992044893</v>
      </c>
      <c r="AJ44" s="193">
        <f>(SUM(AJ11:AK11*AJ24:AK24)+AJ34)/AJ32</f>
        <v>0.38543955337406322</v>
      </c>
      <c r="AL44" s="193">
        <f>(SUM(AL11:AM11*AL24:AM24)+AL34)/AL32</f>
        <v>0.4113633472845914</v>
      </c>
      <c r="AN44" s="193">
        <f>(SUM(AN11:AO11*AN24:AO24)+AN34)/AN32</f>
        <v>0.46709389296530651</v>
      </c>
      <c r="AP44" s="193">
        <f>(SUM(AP11:AQ11*AP24:AQ24)+AP34)/AP32</f>
        <v>0.48779054226251251</v>
      </c>
      <c r="AR44" s="193">
        <f>(SUM(AR11:AS11*AR24:AS24)+AR34)/AR32</f>
        <v>0.51584244426441273</v>
      </c>
      <c r="AT44" s="193">
        <f>(SUM(AT11:AU11*AT24:AU24)+AT34)/AT32</f>
        <v>0.5567328648392007</v>
      </c>
      <c r="AV44" s="193">
        <f>(SUM(AV11:AW11*AV24:AW24)+AV34)/AV32</f>
        <v>0.62446077506870101</v>
      </c>
    </row>
    <row r="45" spans="1:49 16319:16321" x14ac:dyDescent="0.2">
      <c r="A45" t="s">
        <v>82</v>
      </c>
      <c r="B45" s="193">
        <f>SUM(B11:C11*B24:C24)/B32</f>
        <v>0.22038438833194082</v>
      </c>
      <c r="D45" s="193">
        <f>SUM(D11:E11*D24:E24)/D32</f>
        <v>0.22285778670872686</v>
      </c>
      <c r="F45" s="193">
        <f>SUM(F11:G11*F24:G24)/F32</f>
        <v>0.22540481430505749</v>
      </c>
      <c r="H45" s="193">
        <f>SUM(H11:I11*H24:I24)/H32</f>
        <v>0.22803857108709083</v>
      </c>
      <c r="J45" s="193">
        <f>SUM(J11:K11*J24:K24)/J32</f>
        <v>0.23077500083433503</v>
      </c>
      <c r="L45" s="193">
        <f>SUM(L11:M11*L24:M24)/L32</f>
        <v>0.2336335969264853</v>
      </c>
      <c r="N45" s="193">
        <f>SUM(N11:O11*N24:O24)/N32</f>
        <v>0.23663869174561022</v>
      </c>
      <c r="P45" s="193">
        <f>SUM(P11:Q11*P24:Q24)/P32</f>
        <v>0.23982091667184569</v>
      </c>
      <c r="R45" s="193">
        <f>SUM(R11:S11*R24:S24)/R32</f>
        <v>0.24321958196805424</v>
      </c>
      <c r="T45" s="193">
        <f>SUM(T11:U11*T24:U24)/T32</f>
        <v>0.24688609166313308</v>
      </c>
      <c r="V45" s="193">
        <f>SUM(V11:W11*V24:W24)/V32</f>
        <v>0.25088929164461027</v>
      </c>
      <c r="X45" s="193">
        <f>SUM(X11:Y11*X24:Y24)/X32</f>
        <v>0.25532398770532561</v>
      </c>
      <c r="Z45" s="193">
        <f>SUM(Z11:AA11*Z24:AA24)/Z32</f>
        <v>0.26032530341116089</v>
      </c>
      <c r="AB45" s="193">
        <f>SUM(AB11:AC11*AB24:AC24)/AB32</f>
        <v>0.26609433901405583</v>
      </c>
      <c r="AD45" s="193">
        <f>SUM(AD11:AE11*AD24:AE24)/AD32</f>
        <v>0.2729471655866762</v>
      </c>
      <c r="AF45" s="193">
        <f>SUM(AF11:AG11*AF24:AG24)/AF32</f>
        <v>0.2814172408197716</v>
      </c>
      <c r="AH45" s="193">
        <f>SUM(AH11:AI11*AH24:AI24)/AH32</f>
        <v>0.2924951163491385</v>
      </c>
      <c r="AJ45" s="193">
        <f>SUM(AJ11:AK11*AJ24:AK24)/AJ32</f>
        <v>0.30828168019224983</v>
      </c>
      <c r="AL45" s="193">
        <f>SUM(AL11:AM11*AL24:AM24)/AL32</f>
        <v>0.3342054737589652</v>
      </c>
      <c r="AN45" s="193">
        <f>SUM(AN11:AO11*AN24:AO24)/AN32</f>
        <v>0.38993601939461253</v>
      </c>
      <c r="AP45" s="193">
        <f>SUM(AP11:AQ11*AP24:AQ24)/AP32</f>
        <v>0.41063266868871318</v>
      </c>
      <c r="AR45" s="193">
        <f>SUM(AR11:AS11*AR24:AS24)/AR32</f>
        <v>0.4386845706900645</v>
      </c>
      <c r="AT45" s="193">
        <f>SUM(AT11:AU11*AT24:AU24)/AT32</f>
        <v>0.47957499127450848</v>
      </c>
      <c r="AV45" s="193">
        <f>SUM(AV11:AW11*AV24:AW24)/AV32</f>
        <v>0.54730290150894656</v>
      </c>
      <c r="XCQ45" s="193"/>
    </row>
    <row r="46" spans="1:49 16319:16321" x14ac:dyDescent="0.2">
      <c r="A46" t="s">
        <v>139</v>
      </c>
      <c r="B46" s="193">
        <f>B34/B32</f>
        <v>7.715787357488231E-2</v>
      </c>
      <c r="D46" s="193">
        <f>D34/D32</f>
        <v>7.7157851174012734E-2</v>
      </c>
      <c r="F46" s="193">
        <f>F34/F32</f>
        <v>7.7157847828293685E-2</v>
      </c>
      <c r="H46" s="193">
        <f>H34/H32</f>
        <v>7.7157872168581138E-2</v>
      </c>
      <c r="J46" s="193">
        <f>J34/J32</f>
        <v>7.7157830338122846E-2</v>
      </c>
      <c r="L46" s="193">
        <f>L34/L32</f>
        <v>7.715787163735216E-2</v>
      </c>
      <c r="N46" s="193">
        <f>N34/N32</f>
        <v>7.7157870186707972E-2</v>
      </c>
      <c r="P46" s="193">
        <f>P34/P32</f>
        <v>7.715786931528601E-2</v>
      </c>
      <c r="R46" s="193">
        <f>R34/R32</f>
        <v>7.7157868801746257E-2</v>
      </c>
      <c r="T46" s="193">
        <f>T34/T32</f>
        <v>7.7157871281450977E-2</v>
      </c>
      <c r="V46" s="193">
        <f>V34/V32</f>
        <v>7.7157873342341032E-2</v>
      </c>
      <c r="X46" s="193">
        <f>X34/X32</f>
        <v>7.7157870114382091E-2</v>
      </c>
      <c r="Z46" s="193">
        <f>Z34/Z32</f>
        <v>7.7157872220950913E-2</v>
      </c>
      <c r="AB46" s="193">
        <f>AB34/AB32</f>
        <v>7.7157873166649002E-2</v>
      </c>
      <c r="AD46" s="193">
        <f>AD34/AD32</f>
        <v>7.7157871734114578E-2</v>
      </c>
      <c r="AF46" s="193">
        <f>AF34/AF32</f>
        <v>7.7157872526841281E-2</v>
      </c>
      <c r="AH46" s="193">
        <f>AH34/AH32</f>
        <v>7.7157873571310404E-2</v>
      </c>
      <c r="AJ46" s="193">
        <f>AJ34/AJ32</f>
        <v>7.7157873181813386E-2</v>
      </c>
      <c r="AL46" s="193">
        <f>AL34/AL32</f>
        <v>7.7157873525626225E-2</v>
      </c>
      <c r="AN46" s="193">
        <f>AN34/AN32</f>
        <v>7.715787357069398E-2</v>
      </c>
      <c r="AP46" s="193">
        <f>AP34/AP32</f>
        <v>7.7157873573799329E-2</v>
      </c>
      <c r="AR46" s="193">
        <f>AR34/AR32</f>
        <v>7.7157873574348265E-2</v>
      </c>
      <c r="AT46" s="193">
        <f>AT34/AT32</f>
        <v>7.7157873564692253E-2</v>
      </c>
      <c r="AV46" s="193">
        <f>AV34/AV32</f>
        <v>7.7157873559754467E-2</v>
      </c>
      <c r="XCS46" s="193"/>
    </row>
    <row r="48" spans="1:49 16319:16321" x14ac:dyDescent="0.2">
      <c r="A48" t="s">
        <v>159</v>
      </c>
      <c r="B48" s="191">
        <f>B24/$B$24</f>
        <v>1</v>
      </c>
      <c r="C48" s="191"/>
      <c r="D48" s="191">
        <f>D24/$B$24</f>
        <v>1.0129114059504136</v>
      </c>
      <c r="E48" s="191"/>
      <c r="F48" s="191">
        <f>F24/$B$24</f>
        <v>1.0260729756118829</v>
      </c>
      <c r="G48" s="191"/>
      <c r="H48" s="191">
        <f>H24/$B$24</f>
        <v>1.0395208885538805</v>
      </c>
      <c r="I48" s="191"/>
      <c r="J48" s="191">
        <f>J24/$B$24</f>
        <v>1.0532981613758068</v>
      </c>
      <c r="K48" s="191"/>
      <c r="L48" s="191">
        <f>L24/$B$24</f>
        <v>1.0674557528411612</v>
      </c>
      <c r="M48" s="191"/>
      <c r="N48" s="191">
        <f>N24/$B$24</f>
        <v>1.0820554336325436</v>
      </c>
      <c r="O48" s="191"/>
      <c r="P48" s="191">
        <f>P24/$B$24</f>
        <v>1.0971718764386449</v>
      </c>
      <c r="Q48" s="191"/>
      <c r="R48" s="191">
        <f>R24/$B$24</f>
        <v>1.1128967732585027</v>
      </c>
      <c r="S48" s="191"/>
      <c r="T48" s="191">
        <f>T24/$B$24</f>
        <v>1.1293439123781372</v>
      </c>
      <c r="U48" s="191"/>
      <c r="V48" s="191">
        <f>V24/$B$24</f>
        <v>1.1466566624951091</v>
      </c>
      <c r="W48" s="191"/>
      <c r="X48" s="191">
        <f>X24/$B$24</f>
        <v>1.1650186666892943</v>
      </c>
      <c r="Y48" s="191"/>
      <c r="Z48" s="191">
        <f>Z24/$B$24</f>
        <v>1.1846699834096077</v>
      </c>
      <c r="AA48" s="191"/>
      <c r="AB48" s="191">
        <f>AB24/$B$24</f>
        <v>1.2059323622839495</v>
      </c>
      <c r="AC48" s="191"/>
      <c r="AD48" s="191">
        <f>AD24/$B$24</f>
        <v>1.2292492823594432</v>
      </c>
      <c r="AE48" s="191"/>
      <c r="AF48" s="191">
        <f>AF24/$B$24</f>
        <v>1.255249289069188</v>
      </c>
      <c r="AG48" s="191"/>
      <c r="AH48" s="191">
        <f>AH24/$B$24</f>
        <v>1.2848289047218702</v>
      </c>
      <c r="AI48" s="191"/>
      <c r="AJ48" s="191">
        <f>AJ24/$B$24</f>
        <v>1.3191024179888984</v>
      </c>
      <c r="AK48" s="191"/>
      <c r="AL48" s="191">
        <f>AL24/$B$24</f>
        <v>1.3575447915061614</v>
      </c>
      <c r="AM48" s="191"/>
      <c r="AN48" s="191">
        <f>AN24/$B$24</f>
        <v>1.3709262832432814</v>
      </c>
      <c r="AO48" s="191"/>
      <c r="AP48" s="191">
        <f>AP24/$B$24</f>
        <v>1.3518958271011585</v>
      </c>
      <c r="AQ48" s="191"/>
      <c r="AR48" s="191">
        <f>AR24/$B$24</f>
        <v>1.3054173054433138</v>
      </c>
      <c r="AS48" s="191"/>
      <c r="AT48" s="191">
        <f>AT24/$B$24</f>
        <v>1.1965136009467399</v>
      </c>
      <c r="AU48" s="191"/>
      <c r="AV48" s="191">
        <f>AV24/$B$24</f>
        <v>0.91960610539150067</v>
      </c>
    </row>
    <row r="49" spans="1:48 16321:16384" x14ac:dyDescent="0.2">
      <c r="A49" t="s">
        <v>160</v>
      </c>
      <c r="B49" s="191">
        <f>B13/B35/$B$13*$B$35</f>
        <v>1</v>
      </c>
      <c r="C49" s="191"/>
      <c r="D49" s="191">
        <f>D13/D35/$B$13*$B$35</f>
        <v>0.99549986931459922</v>
      </c>
      <c r="E49" s="191"/>
      <c r="F49" s="191">
        <f>F13/F35/$B$13*$B$35</f>
        <v>0.99035021219860608</v>
      </c>
      <c r="G49" s="191"/>
      <c r="H49" s="191">
        <f>H13/H35/$B$13*$B$35</f>
        <v>0.98444971296346762</v>
      </c>
      <c r="I49" s="191"/>
      <c r="J49" s="191">
        <f>J13/J35/$B$13*$B$35</f>
        <v>0.97767405693129228</v>
      </c>
      <c r="K49" s="191"/>
      <c r="L49" s="191">
        <f>L13/L35/$B$13*$B$35</f>
        <v>0.96986995895799566</v>
      </c>
      <c r="M49" s="191"/>
      <c r="N49" s="191">
        <f>N13/N35/$B$13*$B$35</f>
        <v>0.96084463554286237</v>
      </c>
      <c r="O49" s="191"/>
      <c r="P49" s="191">
        <f>P13/P35/$B$13*$B$35</f>
        <v>0.95035368415974708</v>
      </c>
      <c r="Q49" s="191"/>
      <c r="R49" s="191">
        <f>R13/R35/$B$13*$B$35</f>
        <v>0.93808186977940189</v>
      </c>
      <c r="S49" s="191"/>
      <c r="T49" s="191">
        <f>T13/T35/$B$13*$B$35</f>
        <v>0.92361591689911104</v>
      </c>
      <c r="U49" s="191"/>
      <c r="V49" s="191">
        <f>V13/V35/$B$13*$B$35</f>
        <v>0.90640347893817752</v>
      </c>
      <c r="W49" s="191"/>
      <c r="X49" s="191">
        <f>X13/X35/$B$13*$B$35</f>
        <v>0.88569028601521527</v>
      </c>
      <c r="Y49" s="191"/>
      <c r="Z49" s="191">
        <f>Z13/Z35/$B$13*$B$35</f>
        <v>0.86042050368012291</v>
      </c>
      <c r="AA49" s="191"/>
      <c r="AB49" s="191">
        <f>AB13/AB35/$B$13*$B$35</f>
        <v>0.82907310288623037</v>
      </c>
      <c r="AC49" s="191"/>
      <c r="AD49" s="191">
        <f>AD13/AD35/$B$13*$B$35</f>
        <v>0.7893833072558053</v>
      </c>
      <c r="AE49" s="191"/>
      <c r="AF49" s="191">
        <f>AF13/AF35/$B$13*$B$35</f>
        <v>0.7378478168955811</v>
      </c>
      <c r="AG49" s="191"/>
      <c r="AH49" s="191">
        <f>AH13/AH35/$B$13*$B$35</f>
        <v>0.66881158015897391</v>
      </c>
      <c r="AI49" s="191"/>
      <c r="AJ49" s="191">
        <f>AJ13/AJ35/$B$13*$B$35</f>
        <v>0.5727559899321516</v>
      </c>
      <c r="AK49" s="191"/>
      <c r="AL49" s="191">
        <f>AL13/AL35/$B$13*$B$35</f>
        <v>0.43341068847285824</v>
      </c>
      <c r="AM49" s="191"/>
      <c r="AN49" s="191">
        <f>AN13/AN35/$B$13*$B$35</f>
        <v>0.22721903802770715</v>
      </c>
      <c r="AO49" s="191"/>
      <c r="AP49" s="191">
        <f>AP13/AP35/$B$13*$B$35</f>
        <v>0.17690809709602351</v>
      </c>
      <c r="AQ49" s="191"/>
      <c r="AR49" s="191">
        <f>AR13/AR35/$B$13*$B$35</f>
        <v>0.12468826276516054</v>
      </c>
      <c r="AS49" s="191"/>
      <c r="AT49" s="191">
        <f>AT13/AT35/$B$13*$B$35</f>
        <v>7.2615197726882005E-2</v>
      </c>
      <c r="AU49" s="191"/>
      <c r="AV49" s="191">
        <f>AV13/AV35/$B$13*$B$35</f>
        <v>2.5686890998435317E-2</v>
      </c>
    </row>
    <row r="51" spans="1:48 16321:16384" x14ac:dyDescent="0.2">
      <c r="A51" t="s">
        <v>166</v>
      </c>
      <c r="B51" s="29">
        <f>B30-B10*B23</f>
        <v>-405838.32800000021</v>
      </c>
      <c r="D51" s="29">
        <f>D30-D10*D23</f>
        <v>-344587.90226687165</v>
      </c>
      <c r="F51" s="29">
        <f>F30-F10*F23</f>
        <v>-281383.78476437088</v>
      </c>
      <c r="H51" s="29">
        <f>H30-H10*H23</f>
        <v>-215914.99946243828</v>
      </c>
      <c r="J51" s="29">
        <f>J30-J10*J23</f>
        <v>-147804.2582034627</v>
      </c>
      <c r="L51" s="29">
        <f>L30-L10*L23</f>
        <v>-76599.042795299552</v>
      </c>
      <c r="N51" s="29">
        <f>N30-N10*N23</f>
        <v>-1734.1532664890401</v>
      </c>
      <c r="P51" s="29">
        <f>P30-P10*P23</f>
        <v>77488.904573572334</v>
      </c>
      <c r="R51" s="29">
        <f>R30-R10*R23</f>
        <v>161954.58865610464</v>
      </c>
      <c r="T51" s="29">
        <f>T30-T10*T23</f>
        <v>252799.63666803436</v>
      </c>
      <c r="V51" s="29">
        <f>V30-V10*V23</f>
        <v>351515.93605624419</v>
      </c>
      <c r="X51" s="29">
        <f>X30-X10*X23</f>
        <v>460109.41766541684</v>
      </c>
      <c r="Z51" s="29">
        <f>Z30-Z10*Z23</f>
        <v>581359.39018285088</v>
      </c>
      <c r="AB51" s="29">
        <f>AB30-AB10*AB23</f>
        <v>719266.36526024621</v>
      </c>
      <c r="AD51" s="29">
        <f>AD30-AD10*AD23</f>
        <v>879869.74034698214</v>
      </c>
      <c r="AF51" s="29">
        <f>AF30-AF10*AF23</f>
        <v>1072866.1471132706</v>
      </c>
      <c r="AH51" s="29">
        <f>AH30-AH10*AH23</f>
        <v>1315116.3940074942</v>
      </c>
      <c r="AJ51" s="29">
        <f>AJ30-AJ10*AJ23</f>
        <v>1639063.1378122224</v>
      </c>
      <c r="AL51" s="29">
        <f>AL30-AL10*AL23</f>
        <v>2114488.3701192988</v>
      </c>
      <c r="AN51" s="29">
        <f>AN30-AN10*AN23</f>
        <v>2879781.1493727616</v>
      </c>
      <c r="AP51" s="29">
        <f>AP30-AP10*AP23</f>
        <v>3065714.8568565464</v>
      </c>
      <c r="AQ51" s="29"/>
      <c r="AR51" s="29">
        <f>AR30-AR10*AR23</f>
        <v>3225880.4237432634</v>
      </c>
      <c r="AT51" s="29">
        <f>AT30-AT10*AT23</f>
        <v>3264583.4291741196</v>
      </c>
      <c r="AV51" s="29">
        <f>AV30-AV10*AV23</f>
        <v>2828856.1533332178</v>
      </c>
      <c r="XFD51" s="29"/>
    </row>
    <row r="52" spans="1:48 16321:16384" x14ac:dyDescent="0.2">
      <c r="A52" t="s">
        <v>167</v>
      </c>
      <c r="B52" s="29">
        <f t="array" ref="B52">Calibration!sL*SUM(B13:C13*B26:C26)</f>
        <v>2049247.8195702801</v>
      </c>
      <c r="D52" s="29">
        <f t="array" ref="D52">Calibration!sL*SUM(D13:E13*D26:E26)</f>
        <v>2046137.6281398134</v>
      </c>
      <c r="F52" s="29">
        <f t="array" ref="F52">Calibration!sL*SUM(F13:G13*F26:G26)</f>
        <v>2042368.0362311557</v>
      </c>
      <c r="H52" s="29">
        <f t="array" ref="H52">Calibration!sL*SUM(H13:I13*H26:I26)</f>
        <v>2037835.243525092</v>
      </c>
      <c r="J52" s="29">
        <f t="array" ref="J52">Calibration!sL*SUM(J13:K13*J26:K26)</f>
        <v>2032411.7733083728</v>
      </c>
      <c r="L52" s="29">
        <f t="array" ref="L52">Calibration!sL*SUM(L13:M13*L26:M26)</f>
        <v>2025939.76282449</v>
      </c>
      <c r="N52" s="29">
        <f t="array" ref="N52">Calibration!sL*SUM(N13:O13*N26:O26)</f>
        <v>2018220.7948040552</v>
      </c>
      <c r="P52" s="29">
        <f t="array" ref="P52">Calibration!sL*SUM(P13:Q13*P26:Q26)</f>
        <v>2009002.3964018289</v>
      </c>
      <c r="R52" s="29">
        <f t="array" ref="R52">Calibration!sL*SUM(R13:S13*R26:S26)</f>
        <v>1997958.0132176825</v>
      </c>
      <c r="T52" s="29">
        <f t="array" ref="T52">Calibration!sL*SUM(T13:U13*T26:U26)</f>
        <v>1984657.644123354</v>
      </c>
      <c r="V52" s="29">
        <f t="array" ref="V52">Calibration!sL*SUM(V13:W13*V26:W26)</f>
        <v>1968522.7618093537</v>
      </c>
      <c r="X52" s="29">
        <f t="array" ref="X52">Calibration!sL*SUM(X13:Y13*X26:Y26)</f>
        <v>1948755.264460983</v>
      </c>
      <c r="Z52" s="29">
        <f t="array" ref="Z52">Calibration!sL*SUM(Z13:AA13*Z26:AA26)</f>
        <v>1924220.1835072669</v>
      </c>
      <c r="AB52" s="29">
        <f t="array" ref="AB52">Calibration!sL*SUM(AB13:AC13*AB26:AC26)</f>
        <v>1893241.6671286938</v>
      </c>
      <c r="AD52" s="29">
        <f t="array" ref="AD52">Calibration!sL*SUM(AD13:AE13*AD26:AE26)</f>
        <v>1853225.2968147853</v>
      </c>
      <c r="AF52" s="29">
        <f t="array" ref="AF52">Calibration!sL*SUM(AF13:AG13*AF26:AG26)</f>
        <v>1799898.5165594083</v>
      </c>
      <c r="AH52" s="29">
        <f t="array" ref="AH52">Calibration!sL*SUM(AH13:AI13*AH26:AI26)</f>
        <v>1725610.4789417433</v>
      </c>
      <c r="AJ52" s="29">
        <f t="array" ref="AJ52">Calibration!sL*SUM(AJ13:AK13*AJ26:AK26)</f>
        <v>1614928.1299029007</v>
      </c>
      <c r="AL52" s="29">
        <f t="array" ref="AL52">Calibration!sL*SUM(AL13:AM13*AL26:AM26)</f>
        <v>1430551.2965305985</v>
      </c>
      <c r="AN52" s="29">
        <f t="array" ref="AN52">Calibration!sL*SUM(AN13:AO13*AN26:AO26)</f>
        <v>1050857.4614273498</v>
      </c>
      <c r="AP52" s="29">
        <f t="array" ref="AP52">Calibration!sL*SUM(AP13:AQ13*AP26:AQ26)</f>
        <v>919307.98056627589</v>
      </c>
      <c r="AQ52" s="29"/>
      <c r="AR52" s="29">
        <f t="array" ref="AR52">Calibration!sL*SUM(AR13:AS13*AR26:AS26)</f>
        <v>751464.0399635667</v>
      </c>
      <c r="AT52" s="29">
        <f t="array" ref="AT52">Calibration!sL*SUM(AT13:AU13*AT26:AU26)</f>
        <v>532324.91803764296</v>
      </c>
      <c r="AV52" s="29">
        <f t="array" ref="AV52">Calibration!sL*SUM(AV13:AW13*AV26:AW26)</f>
        <v>248258.48051725116</v>
      </c>
    </row>
    <row r="53" spans="1:48 16321:16384" x14ac:dyDescent="0.2">
      <c r="A53" t="s">
        <v>168</v>
      </c>
      <c r="B53" s="29">
        <f t="array" ref="B53">Calibration!sK*SUM(B15:C15*B27:C27)</f>
        <v>2740714.444429745</v>
      </c>
      <c r="D53" s="29">
        <f t="array" ref="D53">Calibration!sK*SUM(D15:E15*D27:E27)</f>
        <v>2722463.8259806908</v>
      </c>
      <c r="F53" s="29">
        <f t="array" ref="F53">Calibration!sK*SUM(F15:G15*F27:G27)</f>
        <v>2703533.4085295238</v>
      </c>
      <c r="H53" s="29">
        <f t="array" ref="H53">Calibration!sK*SUM(H15:I15*H27:I27)</f>
        <v>2683800.4617766696</v>
      </c>
      <c r="J53" s="29">
        <f t="array" ref="J53">Calibration!sK*SUM(J15:K15*J27:K27)</f>
        <v>2663113.3639296209</v>
      </c>
      <c r="L53" s="29">
        <f t="array" ref="L53">Calibration!sK*SUM(L15:M15*L27:M27)</f>
        <v>2641283.5226435112</v>
      </c>
      <c r="N53" s="29">
        <f t="array" ref="N53">Calibration!sK*SUM(N15:O15*N27:O27)</f>
        <v>2618072.1688735955</v>
      </c>
      <c r="P53" s="29">
        <f t="array" ref="P53">Calibration!sK*SUM(P15:Q15*P27:Q27)</f>
        <v>2593175.1035523876</v>
      </c>
      <c r="R53" s="29">
        <f t="array" ref="R53">Calibration!sK*SUM(R15:S15*R27:S27)</f>
        <v>2566197.9521188745</v>
      </c>
      <c r="T53" s="29">
        <f t="array" ref="T53">Calibration!sK*SUM(T15:U15*T27:U27)</f>
        <v>2536620.9671758744</v>
      </c>
      <c r="V53" s="29">
        <f t="array" ref="V53">Calibration!sK*SUM(V15:W15*V27:W27)</f>
        <v>2503745.2216110327</v>
      </c>
      <c r="X53" s="29">
        <f t="array" ref="X53">Calibration!sK*SUM(X15:Y15*X27:Y27)</f>
        <v>2466607.9768698639</v>
      </c>
      <c r="Z53" s="29">
        <f t="array" ref="Z53">Calibration!sK*SUM(Z15:AA15*Z27:AA27)</f>
        <v>2423843.41425385</v>
      </c>
      <c r="AB53" s="29">
        <f t="array" ref="AB53">Calibration!sK*SUM(AB15:AC15*AB27:AC27)</f>
        <v>2373441.1006832458</v>
      </c>
      <c r="AD53" s="29">
        <f t="array" ref="AD53">Calibration!sK*SUM(AD15:AE15*AD27:AE27)</f>
        <v>2312298.6277323728</v>
      </c>
      <c r="AF53" s="29">
        <f t="array" ref="AF53">Calibration!sK*SUM(AF15:AG15*AF27:AG27)</f>
        <v>2235320.6595258676</v>
      </c>
      <c r="AH53" s="29">
        <f t="array" ref="AH53">Calibration!sK*SUM(AH15:AI15*AH27:AI27)</f>
        <v>2133394.4100309452</v>
      </c>
      <c r="AJ53" s="29">
        <f t="array" ref="AJ53">Calibration!sK*SUM(AJ15:AK15*AJ27:AK27)</f>
        <v>1988109.5946641997</v>
      </c>
      <c r="AL53" s="29">
        <f t="array" ref="AL53">Calibration!sK*SUM(AL15:AM15*AL27:AM27)</f>
        <v>1754718.1449339341</v>
      </c>
      <c r="AN53" s="29">
        <f t="array" ref="AN53">Calibration!sK*SUM(AN15:AO15*AN27:AO27)</f>
        <v>1285853.130271557</v>
      </c>
      <c r="AP53" s="29">
        <f t="array" ref="AP53">Calibration!sK*SUM(AP15:AQ15*AP27:AQ27)</f>
        <v>1124579.9375039719</v>
      </c>
      <c r="AQ53" s="29"/>
      <c r="AR53" s="29">
        <f t="array" ref="AR53">Calibration!sK*SUM(AR15:AS15*AR27:AS27)</f>
        <v>919079.383174569</v>
      </c>
      <c r="AT53" s="29">
        <f t="array" ref="AT53">Calibration!sK*SUM(AT15:AU15*AT27:AU27)</f>
        <v>650981.11744645098</v>
      </c>
      <c r="AV53" s="29">
        <f t="array" ref="AV53">Calibration!sK*SUM(AV15:AW15*AV27:AW27)</f>
        <v>303576.60731886129</v>
      </c>
      <c r="XFD53" s="29"/>
    </row>
    <row r="55" spans="1:48 16321:16384" x14ac:dyDescent="0.2">
      <c r="A55" t="s">
        <v>169</v>
      </c>
      <c r="B55" s="193">
        <f>B30/B32</f>
        <v>0.19850271905982084</v>
      </c>
      <c r="D55" s="193">
        <f>D30/D32</f>
        <v>0.20267788230895345</v>
      </c>
      <c r="F55" s="193">
        <f>F30/F32</f>
        <v>0.2069766773778717</v>
      </c>
      <c r="H55" s="193">
        <f>H30/H32</f>
        <v>0.21142113240451693</v>
      </c>
      <c r="J55" s="193">
        <f>J30/J32</f>
        <v>0.21603815906344126</v>
      </c>
      <c r="L55" s="193">
        <f>L30/L32</f>
        <v>0.22086034573164046</v>
      </c>
      <c r="N55" s="193">
        <f>N30/N32</f>
        <v>0.2259287885673254</v>
      </c>
      <c r="P55" s="193">
        <f>P30/P32</f>
        <v>0.23129494184598301</v>
      </c>
      <c r="R55" s="193">
        <f>R30/R32</f>
        <v>0.23702491515759447</v>
      </c>
      <c r="T55" s="193">
        <f>T30/T32</f>
        <v>0.24320516032257167</v>
      </c>
      <c r="V55" s="193">
        <f>V30/V32</f>
        <v>0.24995146408573252</v>
      </c>
      <c r="X55" s="193">
        <f>X30/X32</f>
        <v>0.25742327265902104</v>
      </c>
      <c r="Z55" s="193">
        <f>Z30/Z32</f>
        <v>0.26584782345844749</v>
      </c>
      <c r="AB55" s="193">
        <f>AB30/AB32</f>
        <v>0.27556331055924227</v>
      </c>
      <c r="AD55" s="193">
        <f>AD30/AD32</f>
        <v>0.2871012685748523</v>
      </c>
      <c r="AF55" s="193">
        <f>AF30/AF32</f>
        <v>0.30135878833102075</v>
      </c>
      <c r="AH55" s="193">
        <f>AH30/AH32</f>
        <v>0.32000161863764631</v>
      </c>
      <c r="AJ55" s="193">
        <f>AJ30/AJ32</f>
        <v>0.34656272702551583</v>
      </c>
      <c r="AL55" s="193">
        <f>AL30/AL32</f>
        <v>0.39017125408256709</v>
      </c>
      <c r="AN55" s="193">
        <f>AN30/AN32</f>
        <v>0.48390689979410956</v>
      </c>
      <c r="AP55" s="193">
        <f>AP30/AP32</f>
        <v>0.51871606149335903</v>
      </c>
      <c r="AR55" s="193">
        <f>AR30/AR32</f>
        <v>0.56589546914006295</v>
      </c>
      <c r="AT55" s="193">
        <f>AT30/AT32</f>
        <v>0.63466717021221264</v>
      </c>
      <c r="AV55" s="193">
        <f>AV30/AV32</f>
        <v>0.74857535253840657</v>
      </c>
      <c r="XCS55" s="193"/>
      <c r="XFD55" s="193"/>
    </row>
    <row r="56" spans="1:48 16321:16384" x14ac:dyDescent="0.2">
      <c r="A56" t="s">
        <v>170</v>
      </c>
      <c r="B56" s="193">
        <f>(Model!$C$52*B5*B20+B2*C5*C20)/B32</f>
        <v>2.9221206744340551E-2</v>
      </c>
      <c r="D56" s="193">
        <f>(Model!$C$52*D5*D20+D2*E5*E20)/D32</f>
        <v>3.3832566008376933E-2</v>
      </c>
      <c r="F56" s="193">
        <f>(Model!$C$52*F5*F20+F2*G5*G20)/F32</f>
        <v>3.8599171871548321E-2</v>
      </c>
      <c r="H56" s="193">
        <f>(Model!$C$52*H5*H20+H2*I5*I20)/H32</f>
        <v>4.3547808759750707E-2</v>
      </c>
      <c r="J56" s="193">
        <f>(Model!$C$52*J5*J20+J2*K5*K20)/J32</f>
        <v>4.8711154713796723E-2</v>
      </c>
      <c r="L56" s="193">
        <f>(Model!$C$52*L5*L20+L2*M5*M20)/L32</f>
        <v>5.4128822621321473E-2</v>
      </c>
      <c r="N56" s="193">
        <f>(Model!$C$52*N5*N20+N2*O5*O20)/N32</f>
        <v>5.9850656807785133E-2</v>
      </c>
      <c r="P56" s="193">
        <f>(Model!$C$52*P5*P20+P2*Q5*Q20)/P32</f>
        <v>6.5939103282150413E-2</v>
      </c>
      <c r="R56" s="193">
        <f>(Model!$C$52*R5*R20+R2*S5*S20)/R32</f>
        <v>7.2474363472363079E-2</v>
      </c>
      <c r="T56" s="193">
        <f>(Model!$C$52*T5*T20+T2*U5*U20)/T32</f>
        <v>7.956131990531666E-2</v>
      </c>
      <c r="V56" s="193">
        <f>(Model!$C$52*V5*V20+V2*W5*W20)/V32</f>
        <v>8.7340457511588518E-2</v>
      </c>
      <c r="X56" s="193">
        <f>(Model!$C$52*X5*X20+X2*Y5*Y20)/X32</f>
        <v>9.6005288308896833E-2</v>
      </c>
      <c r="Z56" s="193">
        <f>(Model!$C$52*Z5*Z20+Z2*AA5*AA20)/Z32</f>
        <v>0.10583171179944252</v>
      </c>
      <c r="AB56" s="193">
        <f>(Model!$C$52*AB5*AB20+AB2*AC5*AC20)/AB32</f>
        <v>0.11723051248320748</v>
      </c>
      <c r="AD56" s="193">
        <f>(Model!$C$52*AD5*AD20+AD2*AE5*AE20)/AD32</f>
        <v>0.13084756143592594</v>
      </c>
      <c r="AF56" s="193">
        <f>(Model!$C$52*AF5*AF20+AF2*AG5*AG20)/AF32</f>
        <v>0.14777313350728721</v>
      </c>
      <c r="AH56" s="193">
        <f>(Model!$C$52*AH5*AH20+AH2*AI5*AI20)/AH32</f>
        <v>0.170031341691284</v>
      </c>
      <c r="AJ56" s="193">
        <f>(Model!$C$52*AJ5*AJ20+AJ2*AK5*AK20)/AJ32</f>
        <v>0.20191207713372988</v>
      </c>
      <c r="AL56" s="193">
        <f>(Model!$C$52*AL5*AL20+AL2*AM5*AM20)/AL32</f>
        <v>0.25448367584565845</v>
      </c>
      <c r="AN56" s="193">
        <f>(Model!$C$52*AN5*AN20+AN2*AO5*AO20)/AN32</f>
        <v>0.36775807787871662</v>
      </c>
      <c r="AP56" s="193">
        <f>(Model!$C$52*AP5*AP20+AP2*AQ5*AQ20)/AP32</f>
        <v>0.40982961658861883</v>
      </c>
      <c r="AR56" s="193">
        <f>(Model!$C$52*AR5*AR20+AR2*AS5*AS20)/AR32</f>
        <v>0.46683817418344975</v>
      </c>
      <c r="AT56" s="193">
        <f>(Model!$C$52*AT5*AT20+AT2*AU5*AU20)/AT32</f>
        <v>0.54990447417889821</v>
      </c>
      <c r="AV56" s="193">
        <f>(Model!$C$52*AV5*AV20+AV2*AW5*AW20)/AV32</f>
        <v>0.68741192093122039</v>
      </c>
      <c r="XFD56" s="193"/>
    </row>
    <row r="57" spans="1:48 16321:16384" x14ac:dyDescent="0.2">
      <c r="A57" t="s">
        <v>171</v>
      </c>
      <c r="B57" s="193">
        <f t="array" ref="B57">SUM(Model!tauL*B13:C13*B26:C26)/B32</f>
        <v>0.15852881819439493</v>
      </c>
      <c r="D57" s="193">
        <f t="array" ref="D57">SUM(Model!tauL*D13:E13*D26:E26)/D32</f>
        <v>0.15816495127538693</v>
      </c>
      <c r="F57" s="193">
        <f t="array" ref="F57">SUM(Model!tauL*F13:G13*F26:G26)/F32</f>
        <v>0.15776939727097172</v>
      </c>
      <c r="H57" s="193">
        <f t="array" ref="H57">SUM(Model!tauL*H13:I13*H26:I26)/H32</f>
        <v>0.15733747492968933</v>
      </c>
      <c r="J57" s="193">
        <f t="array" ref="J57">SUM(Model!tauL*J13:K13*J26:K26)/J32</f>
        <v>0.15686351053072964</v>
      </c>
      <c r="L57" s="193">
        <f t="array" ref="L57">SUM(Model!tauL*L13:M13*L26:M26)/L32</f>
        <v>0.15634060175464093</v>
      </c>
      <c r="N57" s="193">
        <f t="array" ref="N57">SUM(Model!tauL*N13:O13*N26:O26)/N32</f>
        <v>0.15576015542553073</v>
      </c>
      <c r="P57" s="193">
        <f t="array" ref="P57">SUM(Model!tauL*P13:Q13*P26:Q26)/P32</f>
        <v>0.15511138353726564</v>
      </c>
      <c r="R57" s="193">
        <f t="array" ref="R57">SUM(Model!tauL*R13:S13*R26:S26)/R32</f>
        <v>0.15438046330108812</v>
      </c>
      <c r="T57" s="193">
        <f t="array" ref="T57">SUM(Model!tauL*T13:U13*T26:U26)/T32</f>
        <v>0.15354932559533199</v>
      </c>
      <c r="V57" s="193">
        <f t="array" ref="V57">SUM(Model!tauL*V13:W13*V26:W26)/V32</f>
        <v>0.15259376481002576</v>
      </c>
      <c r="X57" s="193">
        <f t="array" ref="X57">SUM(Model!tauL*X13:Y13*X26:Y26)/X32</f>
        <v>0.15148039958278828</v>
      </c>
      <c r="Y57" s="193"/>
      <c r="Z57" s="193">
        <f t="array" ref="Z57">SUM(Model!tauL*Z13:AA13*Z26:AA26)/Z32</f>
        <v>0.15016154017398434</v>
      </c>
      <c r="AB57" s="193">
        <f t="array" ref="AB57">SUM(Model!tauL*AB13:AC13*AB26:AC26)/AB32</f>
        <v>0.14856600994061483</v>
      </c>
      <c r="AD57" s="193">
        <f t="array" ref="AD57">SUM(Model!tauL*AD13:AE13*AD26:AE26)/AD32</f>
        <v>0.14658159112123118</v>
      </c>
      <c r="AF57" s="193">
        <f t="array" ref="AF57">SUM(Model!tauL*AF13:AG13*AF26:AG26)/AF32</f>
        <v>0.14401838199922018</v>
      </c>
      <c r="AH57" s="193">
        <f t="array" ref="AH57">SUM(Model!tauL*AH13:AI13*AH26:AI26)/AH32</f>
        <v>0.14052328434635789</v>
      </c>
      <c r="AJ57" s="193">
        <f t="array" ref="AJ57">SUM(Model!tauL*AJ13:AK13*AJ26:AK26)/AJ32</f>
        <v>0.13534805237346964</v>
      </c>
      <c r="AL57" s="193">
        <f t="array" ref="AL57">SUM(Model!tauL*AL13:AM13*AL26:AM26)/AL32</f>
        <v>0.12656712281931504</v>
      </c>
      <c r="AN57" s="193">
        <f t="array" ref="AN57">SUM(Model!tauL*AN13:AO13*AN26:AO26)/AN32</f>
        <v>0.10725495869078176</v>
      </c>
      <c r="AP57" s="193">
        <f t="array" ref="AP57">SUM(Model!tauL*AP13:AQ13*AP26:AQ26)/AP32</f>
        <v>0.10003573560684019</v>
      </c>
      <c r="AR57" s="193">
        <f t="array" ref="AR57">SUM(Model!tauL*AR13:AS13*AR26:AS26)/AR32</f>
        <v>9.0238979538724673E-2</v>
      </c>
      <c r="AT57" s="193">
        <f t="array" ref="AT57">SUM(Model!tauL*AT13:AU13*AT26:AU26)/AT32</f>
        <v>7.594821530042109E-2</v>
      </c>
      <c r="AV57" s="193">
        <f t="array" ref="AV57">SUM(Model!tauL*AV13:AW13*AV26:AW26)/AV32</f>
        <v>5.2269898072047918E-2</v>
      </c>
      <c r="XFD57" s="193"/>
    </row>
    <row r="58" spans="1:48 16321:16384" x14ac:dyDescent="0.2">
      <c r="A58" t="s">
        <v>172</v>
      </c>
      <c r="B58" s="193">
        <f t="array" ref="B58">SUM(Model!tauY/(1+Model!tauY)*B3:C3*B18:C18)/B32</f>
        <v>1.075269412108535E-2</v>
      </c>
      <c r="D58" s="193">
        <f t="array" ref="D58">SUM(Model!tauY/(1+Model!tauY)*D3:E3*D18:E18)/D32</f>
        <v>1.0680365025189627E-2</v>
      </c>
      <c r="F58" s="193">
        <f t="array" ref="F58">SUM(Model!tauY/(1+Model!tauY)*F3:G3*F18:G18)/F32</f>
        <v>1.0608108235351679E-2</v>
      </c>
      <c r="H58" s="193">
        <f t="array" ref="H58">SUM(Model!tauY/(1+Model!tauY)*H3:I3*H18:I18)/H32</f>
        <v>1.0535848715076864E-2</v>
      </c>
      <c r="J58" s="193">
        <f t="array" ref="J58">SUM(Model!tauY/(1+Model!tauY)*J3:K3*J18:K18)/J32</f>
        <v>1.04634938189149E-2</v>
      </c>
      <c r="L58" s="193">
        <f t="array" ref="L58">SUM(Model!tauY/(1+Model!tauY)*L3:M3*L18:M18)/L32</f>
        <v>1.0390921355678054E-2</v>
      </c>
      <c r="N58" s="193">
        <f t="array" ref="N58">SUM(Model!tauY/(1+Model!tauY)*N3:O3*N18:O18)/N32</f>
        <v>1.0317976334009533E-2</v>
      </c>
      <c r="P58" s="193">
        <f t="array" ref="P58">SUM(Model!tauY/(1+Model!tauY)*P3:Q3*P18:Q18)/P32</f>
        <v>1.024445502656692E-2</v>
      </c>
      <c r="R58" s="193">
        <f t="array" ref="R58">SUM(Model!tauY/(1+Model!tauY)*R3:S3*R18:S18)/R32</f>
        <v>1.0170088384143308E-2</v>
      </c>
      <c r="T58" s="193">
        <f t="array" ref="T58">SUM(Model!tauY/(1+Model!tauY)*T3:U3*T18:U18)/T32</f>
        <v>1.0094514821922996E-2</v>
      </c>
      <c r="V58" s="193">
        <f t="array" ref="V58">SUM(Model!tauY/(1+Model!tauY)*V3:W3*V18:W18)/V32</f>
        <v>1.0017241764118244E-2</v>
      </c>
      <c r="X58" s="193">
        <f t="array" ref="X58">SUM(Model!tauY/(1+Model!tauY)*X3:Y3*X18:Y18)/X32</f>
        <v>9.9375847673359389E-3</v>
      </c>
      <c r="Y58" s="193"/>
      <c r="Z58" s="193">
        <f t="array" ref="Z58">SUM(Model!tauY/(1+Model!tauY)*Z3:AA3*Z18:AA18)/Z32</f>
        <v>9.8545714850206464E-3</v>
      </c>
      <c r="AB58" s="193">
        <f t="array" ref="AB58">SUM(Model!tauY/(1+Model!tauY)*AB3:AC3*AB18:AC18)/AB32</f>
        <v>9.7667881354199168E-3</v>
      </c>
      <c r="AD58" s="193">
        <f t="array" ref="AD58">SUM(Model!tauY/(1+Model!tauY)*AD3:AE3*AD18:AE18)/AD32</f>
        <v>9.6721160176951818E-3</v>
      </c>
      <c r="AF58" s="193">
        <f t="array" ref="AF58">SUM(Model!tauY/(1+Model!tauY)*AF3:AG3*AF18:AG18)/AF32</f>
        <v>9.5672728245133655E-3</v>
      </c>
      <c r="AH58" s="193">
        <f t="array" ref="AH58">SUM(Model!tauY/(1+Model!tauY)*AH3:AI3*AH18:AI18)/AH32</f>
        <v>9.4469926000044484E-3</v>
      </c>
      <c r="AJ58" s="193">
        <f t="array" ref="AJ58">SUM(Model!tauY/(1+Model!tauY)*AJ3:AK3*AJ18:AK18)/AJ32</f>
        <v>9.302597518316285E-3</v>
      </c>
      <c r="AL58" s="193">
        <f t="array" ref="AL58">SUM(Model!tauY/(1+Model!tauY)*AL3:AM3*AL18:AM18)/AL32</f>
        <v>9.1204554175936051E-3</v>
      </c>
      <c r="AN58" s="193">
        <f t="array" ref="AN58">SUM(Model!tauY/(1+Model!tauY)*AN3:AO3*AN18:AO18)/AN32</f>
        <v>8.8938632246111718E-3</v>
      </c>
      <c r="AP58" s="193">
        <f t="array" ref="AP58">SUM(Model!tauY/(1+Model!tauY)*AP3:AQ3*AP18:AQ18)/AP32</f>
        <v>8.8507092979000553E-3</v>
      </c>
      <c r="AR58" s="193">
        <f t="array" ref="AR58">SUM(Model!tauY/(1+Model!tauY)*AR3:AS3*AR18:AS18)/AR32</f>
        <v>8.8183154178885833E-3</v>
      </c>
      <c r="AT58" s="193">
        <f t="array" ref="AT58">SUM(Model!tauY/(1+Model!tauY)*AT3:AU3*AT18:AU18)/AT32</f>
        <v>8.8144807328933462E-3</v>
      </c>
      <c r="AV58" s="193">
        <f t="array" ref="AV58">SUM(Model!tauY/(1+Model!tauY)*AV3:AW3*AV18:AW18)/AV32</f>
        <v>8.8935335351381598E-3</v>
      </c>
      <c r="XFD58" s="193"/>
    </row>
    <row r="59" spans="1:48 16321:16384" x14ac:dyDescent="0.2">
      <c r="A59" t="s">
        <v>173</v>
      </c>
      <c r="B59" s="193">
        <f>(B2*C5*C20)/B32</f>
        <v>5.5174232040962052E-4</v>
      </c>
      <c r="D59" s="193">
        <f>(D2*E5*E20)/D32</f>
        <v>5.2179665610148284E-3</v>
      </c>
      <c r="F59" s="193">
        <f>(F2*G5*G20)/F32</f>
        <v>1.0040551844541393E-2</v>
      </c>
      <c r="H59" s="193">
        <f>(H2*I5*I20)/H32</f>
        <v>1.5046463113331864E-2</v>
      </c>
      <c r="J59" s="193">
        <f>(J2*K5*K20)/J32</f>
        <v>2.0268592363368271E-2</v>
      </c>
      <c r="L59" s="193">
        <f>(L2*M5*M20)/L32</f>
        <v>2.5746804599513461E-2</v>
      </c>
      <c r="N59" s="193">
        <f>(N2*O5*O20)/N32</f>
        <v>3.1531251109365104E-2</v>
      </c>
      <c r="P59" s="193">
        <f>(P2*Q5*Q20)/P32</f>
        <v>3.7684748109823758E-2</v>
      </c>
      <c r="R59" s="193">
        <f>(R2*S5*S20)/R32</f>
        <v>4.4287952996163026E-2</v>
      </c>
      <c r="T59" s="193">
        <f>(T2*U5*U20)/T32</f>
        <v>5.1446317172931084E-2</v>
      </c>
      <c r="V59" s="193">
        <f>(V2*W5*W20)/V32</f>
        <v>5.9301047287176514E-2</v>
      </c>
      <c r="X59" s="193">
        <f>(X2*Y5*Y20)/X32</f>
        <v>6.8046590156261383E-2</v>
      </c>
      <c r="Z59" s="193">
        <f>(Z2*AA5*AA20)/Z32</f>
        <v>7.7960087461126801E-2</v>
      </c>
      <c r="AB59" s="193">
        <f>(AB2*AC5*AC20)/AB32</f>
        <v>8.9454028182514148E-2</v>
      </c>
      <c r="AD59" s="193">
        <f>(AD2*AE5*AE20)/AD32</f>
        <v>0.10317672059875649</v>
      </c>
      <c r="AF59" s="193">
        <f>(AF2*AG5*AG20)/AF32</f>
        <v>0.12022211216101795</v>
      </c>
      <c r="AH59" s="193">
        <f>(AH2*AI5*AI20)/AH32</f>
        <v>0.14262022022439616</v>
      </c>
      <c r="AJ59" s="193">
        <f>(AJ2*AK5*AK20)/AJ32</f>
        <v>0.17467109659007141</v>
      </c>
      <c r="AL59" s="193">
        <f>(AL2*AM5*AM20)/AL32</f>
        <v>0.22746041655156637</v>
      </c>
      <c r="AN59" s="193">
        <f>(AN2*AO5*AO20)/AN32</f>
        <v>0.3409995514974411</v>
      </c>
      <c r="AP59" s="193">
        <f>(AP2*AQ5*AQ20)/AP32</f>
        <v>0.38310824008300337</v>
      </c>
      <c r="AR59" s="193">
        <f>(AR2*AS5*AS20)/AR32</f>
        <v>0.44011908121838317</v>
      </c>
      <c r="AT59" s="193">
        <f>(AT2*AU5*AU20)/AT32</f>
        <v>0.52309752543740784</v>
      </c>
      <c r="AV59" s="193">
        <f>(AV2*AW5*AW20)/AV32</f>
        <v>0.66025424692565182</v>
      </c>
      <c r="XFD59" s="193"/>
    </row>
    <row r="60" spans="1:48 16321:16384" x14ac:dyDescent="0.2">
      <c r="A60" t="s">
        <v>174</v>
      </c>
      <c r="B60" s="193">
        <f>Model!$C$52*B5*B20/B32</f>
        <v>2.8669464423930927E-2</v>
      </c>
      <c r="D60" s="193">
        <f>Model!$C$52*D5*D20/D32</f>
        <v>2.8614599447362103E-2</v>
      </c>
      <c r="F60" s="193">
        <f>Model!$C$52*F5*F20/F32</f>
        <v>2.8558620027006931E-2</v>
      </c>
      <c r="H60" s="193">
        <f>Model!$C$52*H5*H20/H32</f>
        <v>2.8501345646418846E-2</v>
      </c>
      <c r="J60" s="193">
        <f>Model!$C$52*J5*J20/J32</f>
        <v>2.8442562350428448E-2</v>
      </c>
      <c r="L60" s="193">
        <f>Model!$C$52*L5*L20/L32</f>
        <v>2.8382018021808012E-2</v>
      </c>
      <c r="N60" s="193">
        <f>Model!$C$52*N5*N20/N32</f>
        <v>2.8319405698420029E-2</v>
      </c>
      <c r="P60" s="193">
        <f>Model!$C$52*P5*P20/P32</f>
        <v>2.8254355172326665E-2</v>
      </c>
      <c r="R60" s="193">
        <f>Model!$C$52*R5*R20/R32</f>
        <v>2.8186410476200047E-2</v>
      </c>
      <c r="T60" s="193">
        <f>Model!$C$52*T5*T20/T32</f>
        <v>2.8115002732385576E-2</v>
      </c>
      <c r="V60" s="193">
        <f>Model!$C$52*V5*V20/V32</f>
        <v>2.8039410224411997E-2</v>
      </c>
      <c r="X60" s="193">
        <f>Model!$C$52*X5*X20/X32</f>
        <v>2.7958698152635436E-2</v>
      </c>
      <c r="Z60" s="193">
        <f>Model!$C$52*Z5*Z20/Z32</f>
        <v>2.7871624338315713E-2</v>
      </c>
      <c r="AB60" s="193">
        <f>Model!$C$52*AB5*AB20/AB32</f>
        <v>2.7776484300693342E-2</v>
      </c>
      <c r="AD60" s="193">
        <f>Model!$C$52*AD5*AD20/AD32</f>
        <v>2.7670840837169444E-2</v>
      </c>
      <c r="AF60" s="193">
        <f>Model!$C$52*AF5*AF20/AF32</f>
        <v>2.7551021346269262E-2</v>
      </c>
      <c r="AH60" s="193">
        <f>Model!$C$52*AH5*AH20/AH32</f>
        <v>2.7411121466887827E-2</v>
      </c>
      <c r="AJ60" s="193">
        <f>Model!$C$52*AJ5*AJ20/AJ32</f>
        <v>2.724098054365846E-2</v>
      </c>
      <c r="AL60" s="193">
        <f>Model!$C$52*AL5*AL20/AL32</f>
        <v>2.7023259294092057E-2</v>
      </c>
      <c r="AN60" s="193">
        <f>Model!$C$52*AN5*AN20/AN32</f>
        <v>2.6758526381275471E-2</v>
      </c>
      <c r="AP60" s="193">
        <f>Model!$C$52*AP5*AP20/AP32</f>
        <v>2.6721376505615447E-2</v>
      </c>
      <c r="AR60" s="193">
        <f>Model!$C$52*AR5*AR20/AR32</f>
        <v>2.6719092965066558E-2</v>
      </c>
      <c r="AT60" s="193">
        <f>Model!$C$52*AT5*AT20/AT32</f>
        <v>2.6806948741490397E-2</v>
      </c>
      <c r="AV60" s="193">
        <f>Model!$C$52*AV5*AV20/AV32</f>
        <v>2.7157674005568649E-2</v>
      </c>
      <c r="XFD60" s="193"/>
    </row>
    <row r="62" spans="1:48 16321:16384" x14ac:dyDescent="0.2">
      <c r="A62" t="s">
        <v>175</v>
      </c>
      <c r="B62">
        <f>B13/B15</f>
        <v>1</v>
      </c>
      <c r="D62">
        <f>D13/D15</f>
        <v>1.00517581963085</v>
      </c>
      <c r="F62">
        <f>F13/F15</f>
        <v>1.0103493655689799</v>
      </c>
      <c r="H62">
        <f>H13/H15</f>
        <v>1.0155192323705606</v>
      </c>
      <c r="J62">
        <f>J13/J15</f>
        <v>1.0206841188697395</v>
      </c>
      <c r="L62">
        <f>L13/L15</f>
        <v>1.0258427968962536</v>
      </c>
      <c r="N62">
        <f>N13/N15</f>
        <v>1.0309945504002846</v>
      </c>
      <c r="P62">
        <f>P13/P15</f>
        <v>1.0361387559770334</v>
      </c>
      <c r="R62">
        <f>R13/R15</f>
        <v>1.0412751652191645</v>
      </c>
      <c r="T62">
        <f>T13/T15</f>
        <v>1.0464038535911246</v>
      </c>
      <c r="V62">
        <f>V13/V15</f>
        <v>1.0515250288508953</v>
      </c>
      <c r="X62">
        <f>X13/X15</f>
        <v>1.0566386126210121</v>
      </c>
      <c r="Z62">
        <f>Z13/Z15</f>
        <v>1.0617432599388192</v>
      </c>
      <c r="AB62">
        <f>AB13/AB15</f>
        <v>1.0668341325205386</v>
      </c>
      <c r="AD62">
        <f>AD13/AD15</f>
        <v>1.0718983575264434</v>
      </c>
      <c r="AF62">
        <f>AF13/AF15</f>
        <v>1.0769052495229199</v>
      </c>
      <c r="AH62">
        <f>AH13/AH15</f>
        <v>1.0817849213285928</v>
      </c>
      <c r="AJ62">
        <f>AJ13/AJ15</f>
        <v>1.0863810592908645</v>
      </c>
      <c r="AL62">
        <f>AL13/AL15</f>
        <v>1.0903486124375439</v>
      </c>
      <c r="AN62">
        <f>AN13/AN15</f>
        <v>1.0930040035164965</v>
      </c>
      <c r="AP62">
        <f>AP13/AP15</f>
        <v>1.0933016558790125</v>
      </c>
      <c r="AR62">
        <f>AR13/AR15</f>
        <v>1.0935143483710787</v>
      </c>
      <c r="AT62">
        <f>AT13/AT15</f>
        <v>1.0936483739855209</v>
      </c>
      <c r="AV62">
        <f>AV13/AV15</f>
        <v>1.0937173343187216</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0.99919151701077202</v>
      </c>
      <c r="E65" s="191"/>
      <c r="F65" s="191">
        <f t="array" ref="F65">SQRT((F9:G9*$B$22:$C$22+F10:G10*$B$23:$C$23+F11:G11*$B$24:$C$24+F4:G4*($B$25:$C$25-$B$19:$C$19))/($B$9:$C$9*$B$22:$C$22+$B$10:$C$10*$B$23:$C$23+$B$11:$C$11*$B$24:$C$24+$B$4:$C$4*($B$25:$C$25-$B$19:$C$19))*(F9:G9*F22:G22+F10:G10*F23:G23+F11:G11*F24:G24+F4:G4*(F25:G25-F19:G19))/($B$9:$C$9*F22:G22+$B$10:$C$10*F23:G23+$B$11:$C$11*F24:G24+$B$4:$C$4*(F25:G25-F19:G19)))</f>
        <v>0.99838698628453026</v>
      </c>
      <c r="G65" s="191"/>
      <c r="H65" s="191">
        <f t="array" ref="H65">SQRT((H9:I9*$B$22:$C$22+H10:I10*$B$23:$C$23+H11:I11*$B$24:$C$24+H4:I4*($B$25:$C$25-$B$19:$C$19))/($B$9:$C$9*$B$22:$C$22+$B$10:$C$10*$B$23:$C$23+$B$11:$C$11*$B$24:$C$24+$B$4:$C$4*($B$25:$C$25-$B$19:$C$19))*(H9:I9*H22:I22+H10:I10*H23:I23+H11:I11*H24:I24+H4:I4*(H25:I25-H19:I19))/($B$9:$C$9*H22:I22+$B$10:$C$10*H23:I23+$B$11:$C$11*H24:I24+$B$4:$C$4*(H25:I25-H19:I19)))</f>
        <v>0.99758470801308974</v>
      </c>
      <c r="I65" s="191"/>
      <c r="J65" s="191">
        <f t="array" ref="J65">SQRT((J9:K9*$B$22:$C$22+J10:K10*$B$23:$C$23+J11:K11*$B$24:$C$24+J4:K4*($B$25:$C$25-$B$19:$C$19))/($B$9:$C$9*$B$22:$C$22+$B$10:$C$10*$B$23:$C$23+$B$11:$C$11*$B$24:$C$24+$B$4:$C$4*($B$25:$C$25-$B$19:$C$19))*(J9:K9*J22:K22+J10:K10*J23:K23+J11:K11*J24:K24+J4:K4*(J25:K25-J19:K19))/($B$9:$C$9*J22:K22+$B$10:$C$10*J23:K23+$B$11:$C$11*J24:K24+$B$4:$C$4*(J25:K25-J19:K19)))</f>
        <v>0.99678227198163738</v>
      </c>
      <c r="K65" s="191"/>
      <c r="L65" s="191">
        <f t="array" ref="L65">SQRT((L9:M9*$B$22:$C$22+L10:M10*$B$23:$C$23+L11:M11*$B$24:$C$24+L4:M4*($B$25:$C$25-$B$19:$C$19))/($B$9:$C$9*$B$22:$C$22+$B$10:$C$10*$B$23:$C$23+$B$11:$C$11*$B$24:$C$24+$B$4:$C$4*($B$25:$C$25-$B$19:$C$19))*(L9:M9*L22:M22+L10:M10*L23:M23+L11:M11*L24:M24+L4:M4*(L25:M25-L19:M19))/($B$9:$C$9*L22:M22+$B$10:$C$10*L23:M23+$B$11:$C$11*L24:M24+$B$4:$C$4*(L25:M25-L19:M19)))</f>
        <v>0.99597617458874699</v>
      </c>
      <c r="M65" s="191"/>
      <c r="N65" s="191">
        <f t="array" ref="N65">SQRT((N9:O9*$B$22:$C$22+N10:O10*$B$23:$C$23+N11:O11*$B$24:$C$24+N4:O4*($B$25:$C$25-$B$19:$C$19))/($B$9:$C$9*$B$22:$C$22+$B$10:$C$10*$B$23:$C$23+$B$11:$C$11*$B$24:$C$24+$B$4:$C$4*($B$25:$C$25-$B$19:$C$19))*(N9:O9*N22:O22+N10:O10*N23:O23+N11:O11*N24:O24+N4:O4*(N25:O25-N19:O19))/($B$9:$C$9*N22:O22+$B$10:$C$10*N23:O23+$B$11:$C$11*N24:O24+$B$4:$C$4*(N25:O25-N19:O19)))</f>
        <v>0.99516165855902083</v>
      </c>
      <c r="O65" s="191"/>
      <c r="P65" s="191">
        <f t="array" ref="P65">SQRT((P9:Q9*$B$22:$C$22+P10:Q10*$B$23:$C$23+P11:Q11*$B$24:$C$24+P4:Q4*($B$25:$C$25-$B$19:$C$19))/($B$9:$C$9*$B$22:$C$22+$B$10:$C$10*$B$23:$C$23+$B$11:$C$11*$B$24:$C$24+$B$4:$C$4*($B$25:$C$25-$B$19:$C$19))*(P9:Q9*P22:Q22+P10:Q10*P23:Q23+P11:Q11*P24:Q24+P4:Q4*(P25:Q25-P19:Q19))/($B$9:$C$9*P22:Q22+$B$10:$C$10*P23:Q23+$B$11:$C$11*P24:Q24+$B$4:$C$4*(P25:Q25-P19:Q19)))</f>
        <v>0.99433213267162335</v>
      </c>
      <c r="Q65" s="191"/>
      <c r="R65" s="191">
        <f t="array" ref="R65">SQRT((R9:S9*$B$22:$C$22+R10:S10*$B$23:$C$23+R11:S11*$B$24:$C$24+R4:S4*($B$25:$C$25-$B$19:$C$19))/($B$9:$C$9*$B$22:$C$22+$B$10:$C$10*$B$23:$C$23+$B$11:$C$11*$B$24:$C$24+$B$4:$C$4*($B$25:$C$25-$B$19:$C$19))*(R9:S9*R22:S22+R10:S10*R23:S23+R11:S11*R24:S24+R4:S4*(R25:S25-R19:S19))/($B$9:$C$9*R22:S22+$B$10:$C$10*R23:S23+$B$11:$C$11*R24:S24+$B$4:$C$4*(R25:S25-R19:S19)))</f>
        <v>0.99347862399675324</v>
      </c>
      <c r="S65" s="191"/>
      <c r="T65" s="191">
        <f t="array" ref="T65">SQRT((T9:U9*$B$22:$C$22+T10:U10*$B$23:$C$23+T11:U11*$B$24:$C$24+T4:U4*($B$25:$C$25-$B$19:$C$19))/($B$9:$C$9*$B$22:$C$22+$B$10:$C$10*$B$23:$C$23+$B$11:$C$11*$B$24:$C$24+$B$4:$C$4*($B$25:$C$25-$B$19:$C$19))*(T9:U9*T22:U22+T10:U10*T23:U23+T11:U11*T24:U24+T4:U4*(T25:U25-T19:U19))/($B$9:$C$9*T22:U22+$B$10:$C$10*T23:U23+$B$11:$C$11*T24:U24+$B$4:$C$4*(T25:U25-T19:U19)))</f>
        <v>0.99258894976697154</v>
      </c>
      <c r="U65" s="191"/>
      <c r="V65" s="191">
        <f t="array" ref="V65">SQRT((V9:W9*$B$22:$C$22+V10:W10*$B$23:$C$23+V11:W11*$B$24:$C$24+V4:W4*($B$25:$C$25-$B$19:$C$19))/($B$9:$C$9*$B$22:$C$22+$B$10:$C$10*$B$23:$C$23+$B$11:$C$11*$B$24:$C$24+$B$4:$C$4*($B$25:$C$25-$B$19:$C$19))*(V9:W9*V22:W22+V10:W10*V23:W23+V11:W11*V24:W24+V4:W4*(V25:W25-V19:W19))/($B$9:$C$9*V22:W22+$B$10:$C$10*V23:W23+$B$11:$C$11*V24:W24+$B$4:$C$4*(V25:W25-V19:W19)))</f>
        <v>0.99164661516681696</v>
      </c>
      <c r="W65" s="191"/>
      <c r="X65" s="191">
        <f t="array" ref="X65">SQRT((X9:Y9*$B$22:$C$22+X10:Y10*$B$23:$C$23+X11:Y11*$B$24:$C$24+X4:Y4*($B$25:$C$25-$B$19:$C$19))/($B$9:$C$9*$B$22:$C$22+$B$10:$C$10*$B$23:$C$23+$B$11:$C$11*$B$24:$C$24+$B$4:$C$4*($B$25:$C$25-$B$19:$C$19))*(X9:Y9*X22:Y22+X10:Y10*X23:Y23+X11:Y11*X24:Y24+X4:Y4*(X25:Y25-X19:Y19))/($B$9:$C$9*X22:Y22+$B$10:$C$10*X23:Y23+$B$11:$C$11*X24:Y24+$B$4:$C$4*(X25:Y25-X19:Y19)))</f>
        <v>0.99062937138386642</v>
      </c>
      <c r="Y65" s="191"/>
      <c r="Z65" s="191">
        <f t="array" ref="Z65">SQRT((Z9:AA9*$B$22:$C$22+Z10:AA10*$B$23:$C$23+Z11:AA11*$B$24:$C$24+Z4:AA4*($B$25:$C$25-$B$19:$C$19))/($B$9:$C$9*$B$22:$C$22+$B$10:$C$10*$B$23:$C$23+$B$11:$C$11*$B$24:$C$24+$B$4:$C$4*($B$25:$C$25-$B$19:$C$19))*(Z9:AA9*Z22:AA22+Z10:AA10*Z23:AA23+Z11:AA11*Z24:AA24+Z4:AA4*(Z25:AA25-Z19:AA19))/($B$9:$C$9*Z22:AA22+$B$10:$C$10*Z23:AA23+$B$11:$C$11*Z24:AA24+$B$4:$C$4*(Z25:AA25-Z19:AA19)))</f>
        <v>0.98950740660528314</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0.9882414000021994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0.98678143703671595</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0.98507062296057157</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0.98306729789980507</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0.98083957046486159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0.97896171727640457</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0.98030148083330859</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0.98174036872143666</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0.98397795472806382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0.98741321205513166</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0.99293612898481842</v>
      </c>
    </row>
    <row r="66" spans="1:48 16384:16384" x14ac:dyDescent="0.2">
      <c r="A66" t="s">
        <v>182</v>
      </c>
      <c r="B66" s="191">
        <f t="array" ref="B66">SQRT((B9:C9*$B$22:$C$22)/($B$9:$C$9*$B$22:$C$22)*(B9:C9*B22:C22)/($B$9:$C$9*B22:C22))</f>
        <v>1</v>
      </c>
      <c r="C66" s="191"/>
      <c r="D66" s="191">
        <f t="array" ref="D66">SQRT((D9:E9*$B$22:$C$22)/($B$9:$C$9*$B$22:$C$22)*(D9:E9*D22:E22)/($B$9:$C$9*D22:E22))</f>
        <v>0.99911126451186461</v>
      </c>
      <c r="E66" s="191"/>
      <c r="F66" s="191">
        <f t="array" ref="F66">SQRT((F9:G9*$B$22:$C$22)/($B$9:$C$9*$B$22:$C$22)*(F9:G9*F22:G22)/($B$9:$C$9*F22:G22))</f>
        <v>0.99822649014599429</v>
      </c>
      <c r="G66" s="191"/>
      <c r="H66" s="191">
        <f t="array" ref="H66">SQRT((H9:I9*$B$22:$C$22)/($B$9:$C$9*$B$22:$C$22)*(H9:I9*H22:I22)/($B$9:$C$9*H22:I22))</f>
        <v>0.99734381119229398</v>
      </c>
      <c r="I66" s="191"/>
      <c r="J66" s="191">
        <f t="array" ref="J66">SQRT((J9:K9*$B$22:$C$22)/($B$9:$C$9*$B$22:$C$22)*(J9:K9*J22:K22)/($B$9:$C$9*J22:K22))</f>
        <v>0.9964605758548557</v>
      </c>
      <c r="K66" s="191"/>
      <c r="L66" s="191">
        <f t="array" ref="L66">SQRT((L9:M9*$B$22:$C$22)/($B$9:$C$9*$B$22:$C$22)*(L9:M9*L22:M22)/($B$9:$C$9*L22:M22))</f>
        <v>0.99557292226708305</v>
      </c>
      <c r="M66" s="191"/>
      <c r="N66" s="191">
        <f t="array" ref="N66">SQRT((N9:O9*$B$22:$C$22)/($B$9:$C$9*$B$22:$C$22)*(N9:O9*N22:O22)/($B$9:$C$9*N22:O22))</f>
        <v>0.99467559875715705</v>
      </c>
      <c r="O66" s="191"/>
      <c r="P66" s="191">
        <f t="array" ref="P66">SQRT((P9:Q9*$B$22:$C$22)/($B$9:$C$9*$B$22:$C$22)*(P9:Q9*P22:Q22)/($B$9:$C$9*P22:Q22))</f>
        <v>0.99376131996301009</v>
      </c>
      <c r="Q66" s="191"/>
      <c r="R66" s="191">
        <f t="array" ref="R66">SQRT((R9:S9*$B$22:$C$22)/($B$9:$C$9*$B$22:$C$22)*(R9:S9*R22:S22)/($B$9:$C$9*R22:S22))</f>
        <v>0.99282015646015509</v>
      </c>
      <c r="S66" s="191"/>
      <c r="T66" s="191">
        <f t="array" ref="T66">SQRT((T9:U9*$B$22:$C$22)/($B$9:$C$9*$B$22:$C$22)*(T9:U9*T22:U22)/($B$9:$C$9*T22:U22))</f>
        <v>0.99183861184312261</v>
      </c>
      <c r="U66" s="191"/>
      <c r="V66" s="191">
        <f t="array" ref="V66">SQRT((V9:W9*$B$22:$C$22)/($B$9:$C$9*$B$22:$C$22)*(V9:W9*V22:W22)/($B$9:$C$9*V22:W22))</f>
        <v>0.99079839199973696</v>
      </c>
      <c r="W66" s="191"/>
      <c r="X66" s="191">
        <f t="array" ref="X66">SQRT((X9:Y9*$B$22:$C$22)/($B$9:$C$9*$B$22:$C$22)*(X9:Y9*X22:Y22)/($B$9:$C$9*X22:Y22))</f>
        <v>0.98967479072681708</v>
      </c>
      <c r="Y66" s="191"/>
      <c r="Z66" s="191">
        <f t="array" ref="Z66">SQRT((Z9:AA9*$B$22:$C$22)/($B$9:$C$9*$B$22:$C$22)*(Z9:AA9*Z22:AA22)/($B$9:$C$9*Z22:AA22))</f>
        <v>0.98843465605219794</v>
      </c>
      <c r="AA66" s="191"/>
      <c r="AB66" s="191">
        <f t="array" ref="AB66">SQRT((AB9:AC9*$B$22:$C$22)/($B$9:$C$9*$B$22:$C$22)*(AB9:AC9*AB22:AC22)/($B$9:$C$9*AB22:AC22))</f>
        <v>0.98703418324250625</v>
      </c>
      <c r="AC66" s="191"/>
      <c r="AD66" s="191">
        <f t="array" ref="AD66">SQRT((AD9:AE9*$B$22:$C$22)/($B$9:$C$9*$B$22:$C$22)*(AD9:AE9*AD22:AE22)/($B$9:$C$9*AD22:AE22))</f>
        <v>0.98541762862748106</v>
      </c>
      <c r="AE66" s="191"/>
      <c r="AF66" s="191">
        <f t="array" ref="AF66">SQRT((AF9:AG9*$B$22:$C$22)/($B$9:$C$9*$B$22:$C$22)*(AF9:AG9*AF22:AG22)/($B$9:$C$9*AF22:AG22))</f>
        <v>0.98352119161680618</v>
      </c>
      <c r="AG66" s="191"/>
      <c r="AH66" s="191">
        <f t="array" ref="AH66">SQRT((AH9:AI9*$B$22:$C$22)/($B$9:$C$9*$B$22:$C$22)*(AH9:AI9*AH22:AI22)/($B$9:$C$9*AH22:AI22))</f>
        <v>0.98129754530212432</v>
      </c>
      <c r="AI66" s="191"/>
      <c r="AJ66" s="191">
        <f t="array" ref="AJ66">SQRT((AJ9:AK9*$B$22:$C$22)/($B$9:$C$9*$B$22:$C$22)*(AJ9:AK9*AJ22:AK22)/($B$9:$C$9*AJ22:AK22))</f>
        <v>0.97882105651818985</v>
      </c>
      <c r="AK66" s="191"/>
      <c r="AL66" s="191">
        <f t="array" ref="AL66">SQRT((AL9:AM9*$B$22:$C$22)/($B$9:$C$9*$B$22:$C$22)*(AL9:AM9*AL22:AM22)/($B$9:$C$9*AL22:AM22))</f>
        <v>0.97673068632479088</v>
      </c>
      <c r="AM66" s="191"/>
      <c r="AN66" s="191">
        <f t="array" ref="AN66">SQRT((AN9:AO9*$B$22:$C$22)/($B$9:$C$9*$B$22:$C$22)*(AN9:AO9*AN22:AO22)/($B$9:$C$9*AN22:AO22))</f>
        <v>0.97822463870650755</v>
      </c>
      <c r="AO66" s="191"/>
      <c r="AP66" s="191">
        <f t="array" ref="AP66">SQRT((AP9:AQ9*$B$22:$C$22)/($B$9:$C$9*$B$22:$C$22)*(AP9:AQ9*AP22:AQ22)/($B$9:$C$9*AP22:AQ22))</f>
        <v>0.97982619103941015</v>
      </c>
      <c r="AQ66" s="191"/>
      <c r="AR66" s="191">
        <f t="array" ref="AR66">SQRT((AR9:AS9*$B$22:$C$22)/($B$9:$C$9*$B$22:$C$22)*(AR9:AS9*AR22:AS22)/($B$9:$C$9*AR22:AS22))</f>
        <v>0.98231309919458476</v>
      </c>
      <c r="AS66" s="191"/>
      <c r="AT66" s="191">
        <f t="array" ref="AT66">SQRT((AT9:AU9*$B$22:$C$22)/($B$9:$C$9*$B$22:$C$22)*(AT9:AU9*AT22:AU22)/($B$9:$C$9*AT22:AU22))</f>
        <v>0.9861228557757088</v>
      </c>
      <c r="AU66" s="191"/>
      <c r="AV66" s="191">
        <f t="array" ref="AV66">SQRT((AV9:AW9*$B$22:$C$22)/($B$9:$C$9*$B$22:$C$22)*(AV9:AW9*AV22:AW22)/($B$9:$C$9*AV22:AW22))</f>
        <v>0.99222749684954814</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0.99911126451186461</v>
      </c>
      <c r="E68" s="191"/>
      <c r="F68" s="191">
        <f>F66/F67</f>
        <v>0.99822649014599429</v>
      </c>
      <c r="G68" s="191"/>
      <c r="H68" s="191">
        <f>H66/H67</f>
        <v>0.99734381119229398</v>
      </c>
      <c r="I68" s="191"/>
      <c r="J68" s="191">
        <f>J66/J67</f>
        <v>0.9964605758548557</v>
      </c>
      <c r="K68" s="191"/>
      <c r="L68" s="191">
        <f>L66/L67</f>
        <v>0.99557292226708305</v>
      </c>
      <c r="M68" s="191"/>
      <c r="N68" s="191">
        <f>N66/N67</f>
        <v>0.99467559875715705</v>
      </c>
      <c r="O68" s="191"/>
      <c r="P68" s="191">
        <f>P66/P67</f>
        <v>0.99376131996301009</v>
      </c>
      <c r="Q68" s="191"/>
      <c r="R68" s="191">
        <f>R66/R67</f>
        <v>0.99282015646015509</v>
      </c>
      <c r="S68" s="191"/>
      <c r="T68" s="191">
        <f>T66/T67</f>
        <v>0.99183861184312261</v>
      </c>
      <c r="U68" s="191"/>
      <c r="V68" s="191">
        <f>V66/V67</f>
        <v>0.99079839199973696</v>
      </c>
      <c r="W68" s="191"/>
      <c r="X68" s="191">
        <f>X66/X67</f>
        <v>0.98967479072681708</v>
      </c>
      <c r="Y68" s="191"/>
      <c r="Z68" s="191">
        <f>Z66/Z67</f>
        <v>0.98843465605219794</v>
      </c>
      <c r="AA68" s="191"/>
      <c r="AB68" s="191">
        <f>AB66/AB67</f>
        <v>0.98703418324250625</v>
      </c>
      <c r="AC68" s="191"/>
      <c r="AD68" s="191">
        <f>AD66/AD67</f>
        <v>0.98541762862748106</v>
      </c>
      <c r="AE68" s="191"/>
      <c r="AF68" s="191">
        <f>AF66/AF67</f>
        <v>0.98352119161680618</v>
      </c>
      <c r="AG68" s="191"/>
      <c r="AH68" s="191">
        <f>AH66/AH67</f>
        <v>0.98129754530212432</v>
      </c>
      <c r="AI68" s="191"/>
      <c r="AJ68" s="191">
        <f>AJ66/AJ67</f>
        <v>0.97882105651818985</v>
      </c>
      <c r="AK68" s="191"/>
      <c r="AL68" s="191">
        <f>AL66/AL67</f>
        <v>0.97673068632479088</v>
      </c>
      <c r="AM68" s="191"/>
      <c r="AN68" s="191">
        <f>AN66/AN67</f>
        <v>0.97822463870650755</v>
      </c>
      <c r="AO68" s="191"/>
      <c r="AP68" s="191">
        <f>AP66/AP67</f>
        <v>0.97982619103941015</v>
      </c>
      <c r="AQ68" s="191"/>
      <c r="AR68" s="191">
        <f>AR66/AR67</f>
        <v>0.98231309919458476</v>
      </c>
      <c r="AS68" s="191"/>
      <c r="AT68" s="191">
        <f>AT66/AT67</f>
        <v>0.9861228557757088</v>
      </c>
      <c r="AU68" s="191"/>
      <c r="AV68" s="191">
        <f>AV66/AV67</f>
        <v>0.99222749684954814</v>
      </c>
      <c r="XFD68" s="191"/>
    </row>
    <row r="69" spans="1:48 16384:16384" x14ac:dyDescent="0.2">
      <c r="A69" t="s">
        <v>177</v>
      </c>
      <c r="B69" s="191">
        <f>B32/B65/($B$32)</f>
        <v>1</v>
      </c>
      <c r="C69" s="191"/>
      <c r="D69" s="191">
        <f>D32/D65/($B$32)</f>
        <v>1.0015891061366593</v>
      </c>
      <c r="E69" s="191"/>
      <c r="F69" s="191">
        <f>F32/F65/($B$32)</f>
        <v>1.0030580496205304</v>
      </c>
      <c r="G69" s="191"/>
      <c r="H69" s="191">
        <f>H32/H65/($B$32)</f>
        <v>1.0043864615266496</v>
      </c>
      <c r="I69" s="191"/>
      <c r="J69" s="191">
        <f>J32/J65/($B$32)</f>
        <v>1.0055489271044582</v>
      </c>
      <c r="K69" s="191"/>
      <c r="L69" s="191">
        <f>L32/L65/($B$32)</f>
        <v>1.0065133510216171</v>
      </c>
      <c r="M69" s="191"/>
      <c r="N69" s="191">
        <f>N32/N65/($B$32)</f>
        <v>1.0072387140790668</v>
      </c>
      <c r="O69" s="191"/>
      <c r="P69" s="191">
        <f>P32/P65/($B$32)</f>
        <v>1.0076716711321783</v>
      </c>
      <c r="Q69" s="191"/>
      <c r="R69" s="191">
        <f>R32/R65/($B$32)</f>
        <v>1.007741701834596</v>
      </c>
      <c r="S69" s="191"/>
      <c r="T69" s="191">
        <f>T32/T65/($B$32)</f>
        <v>1.0073537147487779</v>
      </c>
      <c r="U69" s="191"/>
      <c r="V69" s="191">
        <f>V32/V65/($B$32)</f>
        <v>1.0063764358881533</v>
      </c>
      <c r="W69" s="191"/>
      <c r="X69" s="191">
        <f>X32/X65/($B$32)</f>
        <v>1.0046236538935072</v>
      </c>
      <c r="Y69" s="191"/>
      <c r="Z69" s="191">
        <f>Z32/Z65/($B$32)</f>
        <v>1.0018224109348535</v>
      </c>
      <c r="AA69" s="191"/>
      <c r="AB69" s="191">
        <f>AB32/AB65/($B$32)</f>
        <v>0.99755601379885328</v>
      </c>
      <c r="AC69" s="191"/>
      <c r="AD69" s="191">
        <f>AD32/AD65/($B$32)</f>
        <v>0.99115495728807979</v>
      </c>
      <c r="AE69" s="191"/>
      <c r="AF69" s="191">
        <f>AF32/AF65/($B$32)</f>
        <v>0.98146872318063016</v>
      </c>
      <c r="AG69" s="191"/>
      <c r="AH69" s="191">
        <f>AH32/AH65/($B$32)</f>
        <v>0.96632890121217574</v>
      </c>
      <c r="AI69" s="191"/>
      <c r="AJ69" s="191">
        <f>AJ32/AJ65/($B$32)</f>
        <v>0.94105921251060809</v>
      </c>
      <c r="AK69" s="191"/>
      <c r="AL69" s="191">
        <f>AL32/AL65/($B$32)</f>
        <v>0.89316266150632539</v>
      </c>
      <c r="AM69" s="191"/>
      <c r="AN69" s="191">
        <f>AN32/AN65/($B$32)</f>
        <v>0.77317982632100535</v>
      </c>
      <c r="AO69" s="191"/>
      <c r="AP69" s="191">
        <f>AP32/AP65/($B$32)</f>
        <v>0.72414068959273648</v>
      </c>
      <c r="AQ69" s="191"/>
      <c r="AR69" s="191">
        <f>AR32/AR65/($B$32)</f>
        <v>0.6547000881438042</v>
      </c>
      <c r="AS69" s="191"/>
      <c r="AT69" s="191">
        <f>AT32/AT65/($B$32)</f>
        <v>0.54912855696823692</v>
      </c>
      <c r="AU69" s="191"/>
      <c r="AV69" s="191">
        <f>AV32/AV65/($B$32)</f>
        <v>0.37003675762206484</v>
      </c>
    </row>
    <row r="70" spans="1:48 16384:16384" x14ac:dyDescent="0.2">
      <c r="A70" t="s">
        <v>178</v>
      </c>
      <c r="B70" s="138">
        <f>B18/$B$18</f>
        <v>1</v>
      </c>
      <c r="C70" s="138"/>
      <c r="D70" s="138">
        <f>D18/$B$18</f>
        <v>1.0000411510833498</v>
      </c>
      <c r="E70" s="138"/>
      <c r="F70" s="138">
        <f>F18/$B$18</f>
        <v>0.99991695078968335</v>
      </c>
      <c r="G70" s="138"/>
      <c r="H70" s="138">
        <f>H18/$B$18</f>
        <v>0.99960191495270612</v>
      </c>
      <c r="I70" s="138"/>
      <c r="J70" s="138">
        <f>J18/$B$18</f>
        <v>0.99906483709873184</v>
      </c>
      <c r="K70" s="138"/>
      <c r="L70" s="138">
        <f>L18/$B$18</f>
        <v>0.99826724010869516</v>
      </c>
      <c r="M70" s="138"/>
      <c r="N70" s="138">
        <f>N18/$B$18</f>
        <v>0.99716072565181424</v>
      </c>
      <c r="O70" s="138"/>
      <c r="P70" s="138">
        <f>P18/$B$18</f>
        <v>0.99568370931872241</v>
      </c>
      <c r="Q70" s="138"/>
      <c r="R70" s="138">
        <f>R18/$B$18</f>
        <v>0.9937562784253664</v>
      </c>
      <c r="S70" s="138"/>
      <c r="T70" s="138">
        <f>T18/$B$18</f>
        <v>0.99127261070060324</v>
      </c>
      <c r="U70" s="138"/>
      <c r="V70" s="138">
        <f>V18/$B$18</f>
        <v>0.98808909261159528</v>
      </c>
      <c r="W70" s="138"/>
      <c r="X70" s="138">
        <f>X18/$B$18</f>
        <v>0.98400515666807331</v>
      </c>
      <c r="Y70" s="138"/>
      <c r="Z70" s="138">
        <f>Z18/$B$18</f>
        <v>0.97873081922316907</v>
      </c>
      <c r="AA70" s="138"/>
      <c r="AB70" s="138">
        <f>AB18/$B$18</f>
        <v>0.97182852093630356</v>
      </c>
      <c r="AC70" s="138"/>
      <c r="AD70" s="138">
        <f>AD18/$B$18</f>
        <v>0.96260174128389797</v>
      </c>
      <c r="AE70" s="138"/>
      <c r="AF70" s="138">
        <f>AF18/$B$18</f>
        <v>0.94986203870429575</v>
      </c>
      <c r="AG70" s="138"/>
      <c r="AH70" s="138">
        <f>AH18/$B$18</f>
        <v>0.93138295097699431</v>
      </c>
      <c r="AI70" s="138"/>
      <c r="AJ70" s="138">
        <f>AJ18/$B$18</f>
        <v>0.90240207284365948</v>
      </c>
      <c r="AK70" s="138"/>
      <c r="AL70" s="138">
        <f>AL18/$B$18</f>
        <v>0.85043478578543852</v>
      </c>
      <c r="AM70" s="138"/>
      <c r="AN70" s="138">
        <f>AN18/$B$18</f>
        <v>0.72848307824382796</v>
      </c>
      <c r="AO70" s="138"/>
      <c r="AP70" s="138">
        <f>AP18/$B$18</f>
        <v>0.68083811778785763</v>
      </c>
      <c r="AQ70" s="138"/>
      <c r="AR70" s="138">
        <f>AR18/$B$18</f>
        <v>0.61481143221158685</v>
      </c>
      <c r="AS70" s="138"/>
      <c r="AT70" s="138">
        <f>AT18/$B$18</f>
        <v>0.51649662415075426</v>
      </c>
      <c r="AU70" s="138"/>
      <c r="AV70" s="138">
        <f>AV18/$B$18</f>
        <v>0.35167046059317592</v>
      </c>
    </row>
    <row r="71" spans="1:48 16384:16384" x14ac:dyDescent="0.2">
      <c r="A71" t="s">
        <v>179</v>
      </c>
      <c r="B71" s="138">
        <f>C18/$C$18</f>
        <v>1</v>
      </c>
      <c r="D71" s="138">
        <f>E18/$C$18</f>
        <v>0.93768272064382152</v>
      </c>
      <c r="E71" s="138"/>
      <c r="F71" s="138">
        <f>G18/$C$18</f>
        <v>0.87576170865265035</v>
      </c>
      <c r="G71" s="138"/>
      <c r="H71" s="138">
        <f>I18/$C$18</f>
        <v>0.81427284280579026</v>
      </c>
      <c r="I71" s="138"/>
      <c r="J71" s="138">
        <f>K18/$C$18</f>
        <v>0.75325535036168412</v>
      </c>
      <c r="K71" s="138"/>
      <c r="L71" s="138">
        <f>M18/$C$18</f>
        <v>0.69275267299092758</v>
      </c>
      <c r="M71" s="138"/>
      <c r="N71" s="138">
        <f>O18/$C$18</f>
        <v>0.63281175221209562</v>
      </c>
      <c r="O71" s="138"/>
      <c r="P71" s="138">
        <f>Q18/$C$18</f>
        <v>0.57348746210690527</v>
      </c>
      <c r="Q71" s="138"/>
      <c r="R71" s="138">
        <f>S18/$C$18</f>
        <v>0.51484410651755441</v>
      </c>
      <c r="S71" s="138"/>
      <c r="T71" s="138">
        <f>U18/$C$18</f>
        <v>0.45696021192463693</v>
      </c>
      <c r="U71" s="138"/>
      <c r="V71" s="138">
        <f>W18/$C$18</f>
        <v>0.39993640274665165</v>
      </c>
      <c r="W71" s="138"/>
      <c r="X71" s="138">
        <f>Y18/$C$18</f>
        <v>0.3439078668353362</v>
      </c>
      <c r="Y71" s="138"/>
      <c r="Z71" s="138">
        <f>AA18/$C$18</f>
        <v>0.28906526553231099</v>
      </c>
      <c r="AA71" s="138"/>
      <c r="AB71" s="138">
        <f>AC18/$C$18</f>
        <v>0.23569088579548203</v>
      </c>
      <c r="AC71" s="138"/>
      <c r="AD71" s="138">
        <f>AE18/$C$18</f>
        <v>0.18422021452232071</v>
      </c>
      <c r="AE71" s="138"/>
      <c r="AF71" s="138">
        <f>AG18/$C$18</f>
        <v>0.13535124335360105</v>
      </c>
      <c r="AG71" s="138"/>
      <c r="AH71" s="138">
        <f>AI18/$C$18</f>
        <v>9.0240434187710813E-2</v>
      </c>
      <c r="AI71" s="138"/>
      <c r="AJ71" s="138">
        <f>AK18/$C$18</f>
        <v>5.0845031325086429E-2</v>
      </c>
      <c r="AK71" s="138"/>
      <c r="AL71" s="138">
        <f>AM18/$C$18</f>
        <v>2.0422348972305999E-2</v>
      </c>
      <c r="AM71" s="138"/>
      <c r="AN71" s="138">
        <f>AO18/$C$18</f>
        <v>3.4060187462694623E-3</v>
      </c>
      <c r="AO71" s="138"/>
      <c r="AP71" s="138">
        <f>AQ18/$C$18</f>
        <v>1.8548080251277943E-3</v>
      </c>
      <c r="AQ71" s="138"/>
      <c r="AR71" s="138">
        <f>AS18/$C$18</f>
        <v>8.5013573322723849E-4</v>
      </c>
      <c r="AS71" s="138"/>
      <c r="AT71" s="138">
        <f>AU18/$C$18</f>
        <v>2.9438629413237844E-4</v>
      </c>
      <c r="AU71" s="138"/>
      <c r="AV71" s="138">
        <f>AW18/$C$18</f>
        <v>5.8159378811908867E-5</v>
      </c>
      <c r="XFD71" s="138"/>
    </row>
    <row r="72" spans="1:48 16384:16384" x14ac:dyDescent="0.2">
      <c r="A72" t="s">
        <v>180</v>
      </c>
      <c r="B72" s="138">
        <f>C19/$C$19</f>
        <v>1</v>
      </c>
      <c r="D72" s="138">
        <f>E19/$C$19</f>
        <v>0.98956506032107872</v>
      </c>
      <c r="E72" s="138"/>
      <c r="F72" s="138">
        <f>G19/$C$19</f>
        <v>0.9801421270959505</v>
      </c>
      <c r="G72" s="138"/>
      <c r="H72" s="138">
        <f>I19/$C$19</f>
        <v>0.97186544589264934</v>
      </c>
      <c r="I72" s="138"/>
      <c r="J72" s="138">
        <f>K19/$C$19</f>
        <v>0.96489946411074601</v>
      </c>
      <c r="K72" s="138"/>
      <c r="L72" s="138">
        <f>M19/$C$19</f>
        <v>0.95943527100971771</v>
      </c>
      <c r="M72" s="138"/>
      <c r="N72" s="138">
        <f>O19/$C$19</f>
        <v>0.95571493846324451</v>
      </c>
      <c r="O72" s="138"/>
      <c r="P72" s="138">
        <f>Q19/$C$19</f>
        <v>0.95402825707446259</v>
      </c>
      <c r="Q72" s="138"/>
      <c r="R72" s="138">
        <f>S19/$C$19</f>
        <v>0.95473277688170044</v>
      </c>
      <c r="S72" s="138"/>
      <c r="T72" s="138">
        <f>U19/$C$19</f>
        <v>0.95826796701247607</v>
      </c>
      <c r="U72" s="138"/>
      <c r="V72" s="138">
        <f>W19/$C$19</f>
        <v>0.96517314798966869</v>
      </c>
      <c r="W72" s="138"/>
      <c r="X72" s="138">
        <f>Y19/$C$19</f>
        <v>0.9761017307473514</v>
      </c>
      <c r="Y72" s="138"/>
      <c r="Z72" s="138">
        <f>AA19/$C$19</f>
        <v>0.9918196588443452</v>
      </c>
      <c r="AA72" s="138"/>
      <c r="AB72" s="138">
        <f>AC19/$C$19</f>
        <v>1.0131551575826898</v>
      </c>
      <c r="AC72" s="138"/>
      <c r="AD72" s="138">
        <f>AE19/$C$19</f>
        <v>1.0407948455997467</v>
      </c>
      <c r="AE72" s="138"/>
      <c r="AF72" s="138">
        <f>AG19/$C$19</f>
        <v>1.074635550486867</v>
      </c>
      <c r="AG72" s="138"/>
      <c r="AH72" s="138">
        <f>AI19/$C$19</f>
        <v>1.1117711010131091</v>
      </c>
      <c r="AI72" s="138"/>
      <c r="AJ72" s="138">
        <f>AK19/$C$19</f>
        <v>1.1399645616515379</v>
      </c>
      <c r="AK72" s="138"/>
      <c r="AL72" s="138">
        <f>AM19/$C$19</f>
        <v>1.1148720729248494</v>
      </c>
      <c r="AM72" s="138"/>
      <c r="AN72" s="138">
        <f>AO19/$C$19</f>
        <v>0.87893447448327389</v>
      </c>
      <c r="AO72" s="138"/>
      <c r="AP72" s="138">
        <f>AQ19/$C$19</f>
        <v>0.77331335683360758</v>
      </c>
      <c r="AQ72" s="138"/>
      <c r="AR72" s="138">
        <f>AS19/$C$19</f>
        <v>0.63676485147367801</v>
      </c>
      <c r="AS72" s="138"/>
      <c r="AT72" s="138">
        <f>AU19/$C$19</f>
        <v>0.46414495562961411</v>
      </c>
      <c r="AU72" s="138"/>
      <c r="AV72" s="138">
        <f>AW19/$C$19</f>
        <v>0.25189618307359174</v>
      </c>
      <c r="XFD72" s="138"/>
    </row>
    <row r="73" spans="1:48 16384:16384" x14ac:dyDescent="0.2">
      <c r="A73" t="s">
        <v>184</v>
      </c>
      <c r="B73" s="193">
        <f t="array" ref="B73">SUM(B9:C9*B22:C22)/B32</f>
        <v>0.47641153352875221</v>
      </c>
      <c r="D73" s="193">
        <f t="array" ref="D73">SUM(D9:E9*D22:E22)/D32</f>
        <v>0.47393815755283569</v>
      </c>
      <c r="E73" s="138"/>
      <c r="F73" s="193">
        <f t="array" ref="F73">SUM(F9:G9*F22:G22)/F32</f>
        <v>0.47139113330222415</v>
      </c>
      <c r="G73" s="138"/>
      <c r="H73" s="193">
        <f t="array" ref="H73">SUM(H9:I9*H22:I22)/H32</f>
        <v>0.46875735217990322</v>
      </c>
      <c r="I73" s="138"/>
      <c r="J73" s="193">
        <f t="array" ref="J73">SUM(J9:K9*J22:K22)/J32</f>
        <v>0.46602096426311745</v>
      </c>
      <c r="K73" s="138"/>
      <c r="L73" s="193">
        <f t="array" ref="L73">SUM(L9:M9*L22:M22)/L32</f>
        <v>0.46316232687173792</v>
      </c>
      <c r="M73" s="138"/>
      <c r="N73" s="193">
        <f t="array" ref="N73">SUM(N9:O9*N22:O22)/N32</f>
        <v>0.4601572335032571</v>
      </c>
      <c r="O73" s="138"/>
      <c r="P73" s="193">
        <f t="array" ref="P73">SUM(P9:Q9*P22:Q22)/P32</f>
        <v>0.4569750094484436</v>
      </c>
      <c r="Q73" s="138"/>
      <c r="R73" s="193">
        <f t="array" ref="R73">SUM(R9:S9*R22:S22)/R32</f>
        <v>0.45357634466577479</v>
      </c>
      <c r="S73" s="138"/>
      <c r="T73" s="193">
        <f t="array" ref="T73">SUM(T9:U9*T22:U22)/T32</f>
        <v>0.44990983249099092</v>
      </c>
      <c r="U73" s="138"/>
      <c r="V73" s="193">
        <f t="array" ref="V73">SUM(V9:W9*V22:W22)/V32</f>
        <v>0.44590663044862383</v>
      </c>
      <c r="W73" s="138"/>
      <c r="X73" s="193">
        <f t="array" ref="X73">SUM(X9:Y9*X22:Y22)/X32</f>
        <v>0.44147193761586767</v>
      </c>
      <c r="Y73" s="138"/>
      <c r="Z73" s="193">
        <f t="array" ref="Z73">SUM(Z9:AA9*Z22:AA22)/Z32</f>
        <v>0.43647061980346347</v>
      </c>
      <c r="AA73" s="138"/>
      <c r="AB73" s="193">
        <f t="array" ref="AB73">SUM(AB9:AC9*AB22:AC22)/AB32</f>
        <v>0.43070158325487051</v>
      </c>
      <c r="AC73" s="138"/>
      <c r="AD73" s="193">
        <f t="array" ref="AD73">SUM(AD9:AE9*AD22:AE22)/AD32</f>
        <v>0.42384875811478462</v>
      </c>
      <c r="AE73" s="138"/>
      <c r="AF73" s="193">
        <f t="array" ref="AF73">SUM(AF9:AG9*AF22:AG22)/AF32</f>
        <v>0.41537868208896228</v>
      </c>
      <c r="AG73" s="138"/>
      <c r="AH73" s="193">
        <f t="array" ref="AH73">SUM(AH9:AI9*AH22:AI22)/AH32</f>
        <v>0.40430080551512626</v>
      </c>
      <c r="AI73" s="138"/>
      <c r="AJ73" s="193">
        <f t="array" ref="AJ73">SUM(AJ9:AK9*AJ22:AK22)/AJ32</f>
        <v>0.38851424206151192</v>
      </c>
      <c r="AK73" s="138"/>
      <c r="AL73" s="193">
        <f t="array" ref="AL73">SUM(AL9:AM9*AL22:AM22)/AL32</f>
        <v>0.36259044815098379</v>
      </c>
      <c r="AM73" s="138"/>
      <c r="AN73" s="193">
        <f t="array" ref="AN73">SUM(AN9:AO9*AN22:AO22)/AN32</f>
        <v>0.30685990247026862</v>
      </c>
      <c r="AO73" s="138"/>
      <c r="AP73" s="193">
        <f t="array" ref="AP73">SUM(AP9:AQ9*AP22:AQ22)/AP32</f>
        <v>0.28616325317306274</v>
      </c>
      <c r="AQ73" s="138"/>
      <c r="AR73" s="193">
        <f t="array" ref="AR73">SUM(AR9:AS9*AR22:AS22)/AR32</f>
        <v>0.25811135117116246</v>
      </c>
      <c r="AS73" s="138"/>
      <c r="AT73" s="193">
        <f t="array" ref="AT73">SUM(AT9:AU9*AT22:AU22)/AT32</f>
        <v>0.21722093059637454</v>
      </c>
      <c r="AU73" s="138"/>
      <c r="AV73" s="193">
        <f t="array" ref="AV73">SUM(AV9:AW9*AV22:AW22)/AV32</f>
        <v>0.14949302036687415</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0.22604620456442481</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0.22604620456442487</v>
      </c>
      <c r="AK74" s="138"/>
      <c r="AL74" s="193">
        <f t="array" ref="AL74">SUM(AL10:AM10*AL23:AM23)/AL32</f>
        <v>0.22604620456442487</v>
      </c>
      <c r="AM74" s="138"/>
      <c r="AN74" s="193">
        <f t="array" ref="AN74">SUM(AN10:AO10*AN23:AO23)/AN32</f>
        <v>0.22604620456442484</v>
      </c>
      <c r="AO74" s="138"/>
      <c r="AP74" s="193">
        <f t="array" ref="AP74">SUM(AP10:AQ10*AP23:AQ23)/AP32</f>
        <v>0.22604620456442484</v>
      </c>
      <c r="AQ74" s="138"/>
      <c r="AR74" s="193">
        <f t="array" ref="AR74">SUM(AR10:AS10*AR23:AS23)/AR32</f>
        <v>0.22604620456442487</v>
      </c>
      <c r="AS74" s="138"/>
      <c r="AT74" s="193">
        <f t="array" ref="AT74">SUM(AT10:AU10*AT23:AU23)/AT32</f>
        <v>0.22604620456442481</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0.22285778670872686</v>
      </c>
      <c r="E75" s="138"/>
      <c r="F75" s="193">
        <f t="array" ref="F75">SUM(F11:G11*F24:G24)/F32</f>
        <v>0.22540481430505749</v>
      </c>
      <c r="G75" s="138"/>
      <c r="H75" s="193">
        <f t="array" ref="H75">SUM(H11:I11*H24:I24)/H32</f>
        <v>0.22803857108709083</v>
      </c>
      <c r="I75" s="138"/>
      <c r="J75" s="193">
        <f t="array" ref="J75">SUM(J11:K11*J24:K24)/J32</f>
        <v>0.23077500083433503</v>
      </c>
      <c r="K75" s="138"/>
      <c r="L75" s="193">
        <f t="array" ref="L75">SUM(L11:M11*L24:M24)/L32</f>
        <v>0.2336335969264853</v>
      </c>
      <c r="M75" s="138"/>
      <c r="N75" s="193">
        <f t="array" ref="N75">SUM(N11:O11*N24:O24)/N32</f>
        <v>0.23663869174561022</v>
      </c>
      <c r="O75" s="138"/>
      <c r="P75" s="193">
        <f t="array" ref="P75">SUM(P11:Q11*P24:Q24)/P32</f>
        <v>0.23982091667184569</v>
      </c>
      <c r="Q75" s="138"/>
      <c r="R75" s="193">
        <f t="array" ref="R75">SUM(R11:S11*R24:S24)/R32</f>
        <v>0.24321958196805424</v>
      </c>
      <c r="S75" s="138"/>
      <c r="T75" s="193">
        <f t="array" ref="T75">SUM(T11:U11*T24:U24)/T32</f>
        <v>0.24688609166313308</v>
      </c>
      <c r="U75" s="138"/>
      <c r="V75" s="193">
        <f t="array" ref="V75">SUM(V11:W11*V24:W24)/V32</f>
        <v>0.25088929164461027</v>
      </c>
      <c r="W75" s="138"/>
      <c r="X75" s="193">
        <f t="array" ref="X75">SUM(X11:Y11*X24:Y24)/X32</f>
        <v>0.25532398770532561</v>
      </c>
      <c r="Y75" s="138"/>
      <c r="Z75" s="193">
        <f t="array" ref="Z75">SUM(Z11:AA11*Z24:AA24)/Z32</f>
        <v>0.26032530341116089</v>
      </c>
      <c r="AA75" s="138"/>
      <c r="AB75" s="193">
        <f t="array" ref="AB75">SUM(AB11:AC11*AB24:AC24)/AB32</f>
        <v>0.26609433901405583</v>
      </c>
      <c r="AC75" s="138"/>
      <c r="AD75" s="193">
        <f t="array" ref="AD75">SUM(AD11:AE11*AD24:AE24)/AD32</f>
        <v>0.2729471655866762</v>
      </c>
      <c r="AE75" s="138"/>
      <c r="AF75" s="193">
        <f t="array" ref="AF75">SUM(AF11:AG11*AF24:AG24)/AF32</f>
        <v>0.2814172408197716</v>
      </c>
      <c r="AG75" s="138"/>
      <c r="AH75" s="193">
        <f t="array" ref="AH75">SUM(AH11:AI11*AH24:AI24)/AH32</f>
        <v>0.2924951163491385</v>
      </c>
      <c r="AI75" s="138"/>
      <c r="AJ75" s="193">
        <f t="array" ref="AJ75">SUM(AJ11:AK11*AJ24:AK24)/AJ32</f>
        <v>0.30828168019224983</v>
      </c>
      <c r="AK75" s="138"/>
      <c r="AL75" s="193">
        <f t="array" ref="AL75">SUM(AL11:AM11*AL24:AM24)/AL32</f>
        <v>0.3342054737589652</v>
      </c>
      <c r="AM75" s="138"/>
      <c r="AN75" s="193">
        <f t="array" ref="AN75">SUM(AN11:AO11*AN24:AO24)/AN32</f>
        <v>0.38993601939461253</v>
      </c>
      <c r="AO75" s="138"/>
      <c r="AP75" s="193">
        <f t="array" ref="AP75">SUM(AP11:AQ11*AP24:AQ24)/AP32</f>
        <v>0.41063266868871318</v>
      </c>
      <c r="AQ75" s="138"/>
      <c r="AR75" s="193">
        <f t="array" ref="AR75">SUM(AR11:AS11*AR24:AS24)/AR32</f>
        <v>0.4386845706900645</v>
      </c>
      <c r="AS75" s="138"/>
      <c r="AT75" s="193">
        <f t="array" ref="AT75">SUM(AT11:AU11*AT24:AU24)/AT32</f>
        <v>0.47957499127450848</v>
      </c>
      <c r="AU75" s="138"/>
      <c r="AV75" s="193">
        <f t="array" ref="AV75">SUM(AV11:AW11*AV24:AW24)/AV32</f>
        <v>0.54730290150894656</v>
      </c>
      <c r="XFD75" s="193"/>
    </row>
    <row r="76" spans="1:48 16384:16384" x14ac:dyDescent="0.2">
      <c r="A76" t="s">
        <v>187</v>
      </c>
      <c r="B76" s="193">
        <f t="array" ref="B76">SUM(B12:C12*B25:C25)/B32</f>
        <v>0.22301874374724867</v>
      </c>
      <c r="D76" s="193">
        <f t="array" ref="D76">SUM(D12:E12*D25:E25)/D32</f>
        <v>0.22257273143221465</v>
      </c>
      <c r="E76" s="138"/>
      <c r="F76" s="193">
        <f t="array" ref="F76">SUM(F12:G12*F25:G25)/F32</f>
        <v>0.22214216851470081</v>
      </c>
      <c r="G76" s="138"/>
      <c r="H76" s="193">
        <f t="array" ref="H76">SUM(H12:I12*H25:I25)/H32</f>
        <v>0.22172891571294445</v>
      </c>
      <c r="I76" s="138"/>
      <c r="J76" s="193">
        <f t="array" ref="J76">SUM(J12:K12*J25:K25)/J32</f>
        <v>0.22133521448412194</v>
      </c>
      <c r="K76" s="138"/>
      <c r="L76" s="193">
        <f t="array" ref="L76">SUM(L12:M12*L25:M25)/L32</f>
        <v>0.22096398761049857</v>
      </c>
      <c r="M76" s="138"/>
      <c r="N76" s="193">
        <f t="array" ref="N76">SUM(N12:O12*N25:O25)/N32</f>
        <v>0.22061873070568683</v>
      </c>
      <c r="O76" s="138"/>
      <c r="P76" s="193">
        <f t="array" ref="P76">SUM(P12:Q12*P25:Q25)/P32</f>
        <v>0.22030394737954045</v>
      </c>
      <c r="Q76" s="138"/>
      <c r="R76" s="193">
        <f t="array" ref="R76">SUM(R12:S12*R25:S25)/R32</f>
        <v>0.22002531868624708</v>
      </c>
      <c r="S76" s="138"/>
      <c r="T76" s="193">
        <f t="array" ref="T76">SUM(T12:U12*T25:U25)/T32</f>
        <v>0.21979008223174706</v>
      </c>
      <c r="U76" s="138"/>
      <c r="V76" s="193">
        <f t="array" ref="V76">SUM(V12:W12*V25:W25)/V32</f>
        <v>0.21960749334299801</v>
      </c>
      <c r="W76" s="138"/>
      <c r="X76" s="193">
        <f t="array" ref="X76">SUM(X12:Y12*X25:Y25)/X32</f>
        <v>0.21948936531005622</v>
      </c>
      <c r="Y76" s="138"/>
      <c r="Z76" s="193">
        <f t="array" ref="Z76">SUM(Z12:AA12*Z25:AA25)/Z32</f>
        <v>0.21945059689375251</v>
      </c>
      <c r="AA76" s="138"/>
      <c r="AB76" s="193">
        <f t="array" ref="AB76">SUM(AB12:AC12*AB25:AC25)/AB32</f>
        <v>0.21950929276827746</v>
      </c>
      <c r="AC76" s="138"/>
      <c r="AD76" s="193">
        <f t="array" ref="AD76">SUM(AD12:AE12*AD25:AE25)/AD32</f>
        <v>0.21968524669627967</v>
      </c>
      <c r="AE76" s="138"/>
      <c r="AF76" s="193">
        <f t="array" ref="AF76">SUM(AF12:AG12*AF25:AG25)/AF32</f>
        <v>0.21999274453414994</v>
      </c>
      <c r="AG76" s="138"/>
      <c r="AH76" s="193">
        <f t="array" ref="AH76">SUM(AH12:AI12*AH25:AI25)/AH32</f>
        <v>0.22041415209429321</v>
      </c>
      <c r="AI76" s="138"/>
      <c r="AJ76" s="193">
        <f t="array" ref="AJ76">SUM(AJ12:AK12*AJ25:AK25)/AJ32</f>
        <v>0.2208053600722637</v>
      </c>
      <c r="AK76" s="138"/>
      <c r="AL76" s="193">
        <f t="array" ref="AL76">SUM(AL12:AM12*AL25:AM25)/AL32</f>
        <v>0.22054462372544997</v>
      </c>
      <c r="AM76" s="138"/>
      <c r="AN76" s="193">
        <f t="array" ref="AN76">SUM(AN12:AO12*AN25:AO25)/AN32</f>
        <v>0.21730580980055444</v>
      </c>
      <c r="AO76" s="138"/>
      <c r="AP76" s="193">
        <f t="array" ref="AP76">SUM(AP12:AQ12*AP25:AQ25)/AP32</f>
        <v>0.2158603845679915</v>
      </c>
      <c r="AQ76" s="138"/>
      <c r="AR76" s="193">
        <f t="array" ref="AR76">SUM(AR12:AS12*AR25:AS25)/AR32</f>
        <v>0.21408176863044778</v>
      </c>
      <c r="AS76" s="138"/>
      <c r="AT76" s="193">
        <f t="array" ref="AT76">SUM(AT12:AU12*AT25:AU25)/AT32</f>
        <v>0.21211681143734309</v>
      </c>
      <c r="AU76" s="138"/>
      <c r="AV76" s="193">
        <f t="array" ref="AV76">SUM(AV12:AW12*AV25:AW25)/AV32</f>
        <v>0.21065053261071487</v>
      </c>
      <c r="XFD76" s="193"/>
    </row>
    <row r="77" spans="1:48 16384:16384" x14ac:dyDescent="0.2">
      <c r="A77" t="s">
        <v>188</v>
      </c>
      <c r="B77" s="193">
        <f t="array" ref="B77">SUM(B4:C4*B19:C19)/B32</f>
        <v>0.14586087017236635</v>
      </c>
      <c r="D77" s="193">
        <f t="array" ref="D77">SUM(D4:E4*D19:E19)/D32</f>
        <v>0.1454148802582019</v>
      </c>
      <c r="E77" s="138"/>
      <c r="F77" s="193">
        <f t="array" ref="F77">SUM(F4:G4*F19:G19)/F32</f>
        <v>0.14498432068640713</v>
      </c>
      <c r="G77" s="138"/>
      <c r="H77" s="193">
        <f t="array" ref="H77">SUM(H4:I4*H19:I19)/H32</f>
        <v>0.14457104354436331</v>
      </c>
      <c r="I77" s="138"/>
      <c r="J77" s="193">
        <f t="array" ref="J77">SUM(J4:K4*J19:K19)/J32</f>
        <v>0.14417738414599909</v>
      </c>
      <c r="K77" s="138"/>
      <c r="L77" s="193">
        <f t="array" ref="L77">SUM(L4:M4*L19:M19)/L32</f>
        <v>0.14380611597314641</v>
      </c>
      <c r="M77" s="138"/>
      <c r="N77" s="193">
        <f t="array" ref="N77">SUM(N4:O4*N19:O19)/N32</f>
        <v>0.14346086051897886</v>
      </c>
      <c r="O77" s="138"/>
      <c r="P77" s="193">
        <f t="array" ref="P77">SUM(P4:Q4*P19:Q19)/P32</f>
        <v>0.14314607806425445</v>
      </c>
      <c r="Q77" s="138"/>
      <c r="R77" s="193">
        <f t="array" ref="R77">SUM(R4:S4*R19:S19)/R32</f>
        <v>0.14286744988450081</v>
      </c>
      <c r="S77" s="138"/>
      <c r="T77" s="193">
        <f t="array" ref="T77">SUM(T4:U4*T19:U19)/T32</f>
        <v>0.14263221095029607</v>
      </c>
      <c r="U77" s="138"/>
      <c r="V77" s="193">
        <f t="array" ref="V77">SUM(V4:W4*V19:W19)/V32</f>
        <v>0.14244962000065697</v>
      </c>
      <c r="W77" s="138"/>
      <c r="X77" s="193">
        <f t="array" ref="X77">SUM(X4:Y4*X19:Y19)/X32</f>
        <v>0.14233149519567412</v>
      </c>
      <c r="Y77" s="138"/>
      <c r="Z77" s="193">
        <f t="array" ref="Z77">SUM(Z4:AA4*Z19:AA19)/Z32</f>
        <v>0.1422927246728016</v>
      </c>
      <c r="AA77" s="138"/>
      <c r="AB77" s="193">
        <f t="array" ref="AB77">SUM(AB4:AC4*AB19:AC19)/AB32</f>
        <v>0.14235141960162842</v>
      </c>
      <c r="AC77" s="138"/>
      <c r="AD77" s="193">
        <f t="array" ref="AD77">SUM(AD4:AE4*AD19:AE19)/AD32</f>
        <v>0.14252737496216511</v>
      </c>
      <c r="AE77" s="138"/>
      <c r="AF77" s="193">
        <f t="array" ref="AF77">SUM(AF4:AG4*AF19:AG19)/AF32</f>
        <v>0.14283487200730868</v>
      </c>
      <c r="AG77" s="138"/>
      <c r="AH77" s="193">
        <f t="array" ref="AH77">SUM(AH4:AI4*AH19:AI19)/AH32</f>
        <v>0.14325627852298281</v>
      </c>
      <c r="AI77" s="138"/>
      <c r="AJ77" s="193">
        <f t="array" ref="AJ77">SUM(AJ4:AK4*AJ19:AK19)/AJ32</f>
        <v>0.14364748689045034</v>
      </c>
      <c r="AK77" s="138"/>
      <c r="AL77" s="193">
        <f t="array" ref="AL77">SUM(AL4:AM4*AL19:AM19)/AL32</f>
        <v>0.14338675019982372</v>
      </c>
      <c r="AM77" s="138"/>
      <c r="AN77" s="193">
        <f t="array" ref="AN77">SUM(AN4:AO4*AN19:AO19)/AN32</f>
        <v>0.14014793622986049</v>
      </c>
      <c r="AO77" s="138"/>
      <c r="AP77" s="193">
        <f t="array" ref="AP77">SUM(AP4:AQ4*AP19:AQ19)/AP32</f>
        <v>0.13870251099419217</v>
      </c>
      <c r="AQ77" s="138"/>
      <c r="AR77" s="193">
        <f t="array" ref="AR77">SUM(AR4:AS4*AR19:AS19)/AR32</f>
        <v>0.13692389505609953</v>
      </c>
      <c r="AS77" s="138"/>
      <c r="AT77" s="193">
        <f t="array" ref="AT77">SUM(AT4:AU4*AT19:AU19)/AT32</f>
        <v>0.13495893787265087</v>
      </c>
      <c r="AU77" s="138"/>
      <c r="AV77" s="193">
        <f t="array" ref="AV77">SUM(AV4:AW4*AV19:AW19)/AV32</f>
        <v>0.13349265905096039</v>
      </c>
      <c r="XFD77" s="193"/>
    </row>
    <row r="78" spans="1:48 16384:16384" x14ac:dyDescent="0.2">
      <c r="A78" t="s">
        <v>189</v>
      </c>
      <c r="B78" s="193">
        <f t="array" ref="B78">SUM(B13:C13*B26:C26)/B32</f>
        <v>0.346887593115773</v>
      </c>
      <c r="D78" s="193">
        <f t="array" ref="D78">SUM(D13:E13*D26:E26)/D32</f>
        <v>0.34609139138294764</v>
      </c>
      <c r="E78" s="138"/>
      <c r="F78" s="193">
        <f t="array" ref="F78">SUM(F13:G13*F26:G26)/F32</f>
        <v>0.34522585300259684</v>
      </c>
      <c r="G78" s="138"/>
      <c r="H78" s="193">
        <f t="array" ref="H78">SUM(H13:I13*H26:I26)/H32</f>
        <v>0.34428073461284986</v>
      </c>
      <c r="I78" s="138"/>
      <c r="J78" s="193">
        <f t="array" ref="J78">SUM(J13:K13*J26:K26)/J32</f>
        <v>0.34324362116275092</v>
      </c>
      <c r="K78" s="138"/>
      <c r="L78" s="193">
        <f t="array" ref="L78">SUM(L13:M13*L26:M26)/L32</f>
        <v>0.34209940922184001</v>
      </c>
      <c r="M78" s="138"/>
      <c r="N78" s="193">
        <f t="array" ref="N78">SUM(N13:O13*N26:O26)/N32</f>
        <v>0.34082929548270263</v>
      </c>
      <c r="O78" s="138"/>
      <c r="P78" s="193">
        <f t="array" ref="P78">SUM(P13:Q13*P26:Q26)/P32</f>
        <v>0.33940967398192612</v>
      </c>
      <c r="Q78" s="138"/>
      <c r="R78" s="193">
        <f t="array" ref="R78">SUM(R13:S13*R26:S26)/R32</f>
        <v>0.33781029814367114</v>
      </c>
      <c r="S78" s="138"/>
      <c r="T78" s="193">
        <f t="array" ref="T78">SUM(T13:U13*T26:U26)/T32</f>
        <v>0.33599162970482638</v>
      </c>
      <c r="U78" s="138"/>
      <c r="V78" s="193">
        <f t="array" ref="V78">SUM(V13:W13*V26:W26)/V32</f>
        <v>0.33390070273857447</v>
      </c>
      <c r="W78" s="138"/>
      <c r="X78" s="193">
        <f t="array" ref="X78">SUM(X13:Y13*X26:Y26)/X32</f>
        <v>0.33146447323573652</v>
      </c>
      <c r="Y78" s="138"/>
      <c r="Z78" s="193">
        <f t="array" ref="Z78">SUM(Z13:AA13*Z26:AA26)/Z32</f>
        <v>0.32857858806237283</v>
      </c>
      <c r="AA78" s="138"/>
      <c r="AB78" s="193">
        <f t="array" ref="AB78">SUM(AB13:AC13*AB26:AC26)/AB32</f>
        <v>0.32508730080810022</v>
      </c>
      <c r="AC78" s="138"/>
      <c r="AD78" s="193">
        <f t="array" ref="AD78">SUM(AD13:AE13*AD26:AE26)/AD32</f>
        <v>0.320745060224779</v>
      </c>
      <c r="AE78" s="138"/>
      <c r="AF78" s="193">
        <f t="array" ref="AF78">SUM(AF13:AG13*AF26:AG26)/AF32</f>
        <v>0.3151363295654962</v>
      </c>
      <c r="AG78" s="138"/>
      <c r="AH78" s="193">
        <f t="array" ref="AH78">SUM(AH13:AI13*AH26:AI26)/AH32</f>
        <v>0.30748847079562069</v>
      </c>
      <c r="AI78" s="138"/>
      <c r="AJ78" s="193">
        <f t="array" ref="AJ78">SUM(AJ13:AK13*AJ26:AK26)/AJ32</f>
        <v>0.29616419686651335</v>
      </c>
      <c r="AK78" s="138"/>
      <c r="AL78" s="193">
        <f t="array" ref="AL78">SUM(AL13:AM13*AL26:AM26)/AL32</f>
        <v>0.2769500530089295</v>
      </c>
      <c r="AM78" s="138"/>
      <c r="AN78" s="193">
        <f t="array" ref="AN78">SUM(AN13:AO13*AN26:AO26)/AN32</f>
        <v>0.23469180489539795</v>
      </c>
      <c r="AO78" s="138"/>
      <c r="AP78" s="193">
        <f t="array" ref="AP78">SUM(AP13:AQ13*AP26:AQ26)/AP32</f>
        <v>0.21889493623595022</v>
      </c>
      <c r="AQ78" s="138"/>
      <c r="AR78" s="193">
        <f t="array" ref="AR78">SUM(AR13:AS13*AR26:AS26)/AR32</f>
        <v>0.19745799390888574</v>
      </c>
      <c r="AS78" s="138"/>
      <c r="AT78" s="193">
        <f t="array" ref="AT78">SUM(AT13:AU13*AT26:AU26)/AT32</f>
        <v>0.16618740937496684</v>
      </c>
      <c r="AU78" s="138"/>
      <c r="AV78" s="193">
        <f t="array" ref="AV78">SUM(AV13:AW13*AV26:AW26)/AV32</f>
        <v>0.11437528735239491</v>
      </c>
      <c r="XFD78" s="193"/>
    </row>
    <row r="79" spans="1:48 16384:16384" x14ac:dyDescent="0.2">
      <c r="A79" t="s">
        <v>190</v>
      </c>
      <c r="B79" s="193">
        <f t="array" ref="B79">SUM(B15:C15*B27:C27)/B32</f>
        <v>0.45460968782440875</v>
      </c>
      <c r="D79" s="193">
        <f t="array" ref="D79">SUM(D15:E15*D27:E27)/D32</f>
        <v>0.45123074713836098</v>
      </c>
      <c r="F79" s="193">
        <f t="array" ref="F79">SUM(F15:G15*F27:G27)/F32</f>
        <v>0.4477974946235152</v>
      </c>
      <c r="H79" s="193">
        <f t="array" ref="H79">SUM(H15:I15*H27:I27)/H32</f>
        <v>0.44429813241637278</v>
      </c>
      <c r="J79" s="193">
        <f t="array" ref="J79">SUM(J15:K15*J27:K27)/J32</f>
        <v>0.44071825456527558</v>
      </c>
      <c r="L79" s="193">
        <f t="array" ref="L79">SUM(L15:M15*L27:M27)/L32</f>
        <v>0.43704024430751831</v>
      </c>
      <c r="N79" s="193">
        <f t="array" ref="N79">SUM(N15:O15*N27:O27)/N32</f>
        <v>0.43324191475873752</v>
      </c>
      <c r="P79" s="193">
        <f t="array" ref="P79">SUM(P15:Q15*P27:Q27)/P32</f>
        <v>0.4292953828189976</v>
      </c>
      <c r="R79" s="193">
        <f t="array" ref="R79">SUM(R15:S15*R27:S27)/R32</f>
        <v>0.42516479265679163</v>
      </c>
      <c r="T79" s="193">
        <f t="array" ref="T79">SUM(T15:U15*T27:U27)/T32</f>
        <v>0.42080321317088809</v>
      </c>
      <c r="V79" s="193">
        <f t="array" ref="V79">SUM(V15:W15*V27:W27)/V32</f>
        <v>0.41614783354975832</v>
      </c>
      <c r="X79" s="193">
        <f t="array" ref="X79">SUM(X15:Y15*X27:Y27)/X32</f>
        <v>0.41111226124879569</v>
      </c>
      <c r="Z79" s="193">
        <f t="array" ref="Z79">SUM(Z15:AA15*Z27:AA27)/Z32</f>
        <v>0.40557358878264266</v>
      </c>
      <c r="AB79" s="193">
        <f t="array" ref="AB79">SUM(AB15:AC15*AB27:AC27)/AB32</f>
        <v>0.39934938657870656</v>
      </c>
      <c r="AD79" s="193">
        <f t="array" ref="AD79">SUM(AD15:AE15*AD27:AE27)/AD32</f>
        <v>0.39215367620037739</v>
      </c>
      <c r="AF79" s="193">
        <f t="array" ref="AF79">SUM(AF15:AG15*AF27:AG27)/AF32</f>
        <v>0.3835048828098413</v>
      </c>
      <c r="AH79" s="193">
        <f t="array" ref="AH79">SUM(AH15:AI15*AH27:AI27)/AH32</f>
        <v>0.37250991130135513</v>
      </c>
      <c r="AJ79" s="193">
        <f t="array" ref="AJ79">SUM(AJ15:AK15*AJ27:AK27)/AJ32</f>
        <v>0.35727307663328667</v>
      </c>
      <c r="AL79" s="193">
        <f t="array" ref="AL79">SUM(AL15:AM15*AL27:AM27)/AL32</f>
        <v>0.33287869229492389</v>
      </c>
      <c r="AN79" s="193">
        <f t="array" ref="AN79">SUM(AN15:AO15*AN27:AO27)/AN32</f>
        <v>0.28140129487621163</v>
      </c>
      <c r="AP79" s="193">
        <f t="array" ref="AP79">SUM(AP15:AQ15*AP27:AQ27)/AP32</f>
        <v>0.26238900251897473</v>
      </c>
      <c r="AR79" s="193">
        <f t="array" ref="AR79">SUM(AR15:AS15*AR27:AS27)/AR32</f>
        <v>0.23664653720883116</v>
      </c>
      <c r="AT79" s="193">
        <f t="array" ref="AT79">SUM(AT15:AU15*AT27:AU27)/AT32</f>
        <v>0.19914542135436963</v>
      </c>
      <c r="AV79" s="193">
        <f t="array" ref="AV79">SUM(AV15:AW15*AV27:AW27)/AV32</f>
        <v>0.13704936282141966</v>
      </c>
      <c r="XFD79" s="193"/>
    </row>
    <row r="80" spans="1:48 16384:16384" x14ac:dyDescent="0.2">
      <c r="A80" t="s">
        <v>169</v>
      </c>
      <c r="B80" s="236">
        <f>B55</f>
        <v>0.19850271905982084</v>
      </c>
      <c r="D80" s="236">
        <f>D55</f>
        <v>0.20267788230895345</v>
      </c>
      <c r="F80" s="236">
        <f>F55</f>
        <v>0.2069766773778717</v>
      </c>
      <c r="H80" s="236">
        <f>H55</f>
        <v>0.21142113240451693</v>
      </c>
      <c r="J80" s="236">
        <f>J55</f>
        <v>0.21603815906344126</v>
      </c>
      <c r="L80" s="236">
        <f>L55</f>
        <v>0.22086034573164046</v>
      </c>
      <c r="N80" s="236">
        <f>N55</f>
        <v>0.2259287885673254</v>
      </c>
      <c r="P80" s="236">
        <f>P55</f>
        <v>0.23129494184598301</v>
      </c>
      <c r="R80" s="236">
        <f>R55</f>
        <v>0.23702491515759447</v>
      </c>
      <c r="T80" s="236">
        <f>T55</f>
        <v>0.24320516032257167</v>
      </c>
      <c r="V80" s="236">
        <f>V55</f>
        <v>0.24995146408573252</v>
      </c>
      <c r="X80" s="236">
        <f>X55</f>
        <v>0.25742327265902104</v>
      </c>
      <c r="Z80" s="236">
        <f>Z55</f>
        <v>0.26584782345844749</v>
      </c>
      <c r="AB80" s="236">
        <f>AB55</f>
        <v>0.27556331055924227</v>
      </c>
      <c r="AD80" s="236">
        <f>AD55</f>
        <v>0.2871012685748523</v>
      </c>
      <c r="AF80" s="236">
        <f>AF55</f>
        <v>0.30135878833102075</v>
      </c>
      <c r="AH80" s="236">
        <f>AH55</f>
        <v>0.32000161863764631</v>
      </c>
      <c r="AJ80" s="236">
        <f>AJ55</f>
        <v>0.34656272702551583</v>
      </c>
      <c r="AL80" s="236">
        <f>AL55</f>
        <v>0.39017125408256709</v>
      </c>
      <c r="AN80" s="236">
        <f>AN55</f>
        <v>0.48390689979410956</v>
      </c>
      <c r="AP80" s="236">
        <f>AP55</f>
        <v>0.51871606149335903</v>
      </c>
      <c r="AR80" s="236">
        <f>AR55</f>
        <v>0.56589546914006295</v>
      </c>
      <c r="AT80" s="236">
        <f>AT55</f>
        <v>0.63466717021221264</v>
      </c>
      <c r="AV80" s="236">
        <f>AV55</f>
        <v>0.74857535253840657</v>
      </c>
      <c r="XFD80" s="236"/>
    </row>
    <row r="81" spans="1:48 16384:16384" x14ac:dyDescent="0.2">
      <c r="A81" t="s">
        <v>191</v>
      </c>
      <c r="B81" s="236">
        <f>B51/B$32</f>
        <v>-2.7543485504603994E-2</v>
      </c>
      <c r="D81" s="236">
        <f>D51/D$32</f>
        <v>-2.3368322255471377E-2</v>
      </c>
      <c r="F81" s="236">
        <f>F51/F$32</f>
        <v>-1.906952718655314E-2</v>
      </c>
      <c r="H81" s="236">
        <f>H51/H$32</f>
        <v>-1.4625072159907894E-2</v>
      </c>
      <c r="J81" s="236">
        <f>J51/J$32</f>
        <v>-1.0008045500983576E-2</v>
      </c>
      <c r="L81" s="236">
        <f>L51/L$32</f>
        <v>-5.1858588327843855E-3</v>
      </c>
      <c r="N81" s="236">
        <f>N51/N$32</f>
        <v>-1.174159970994144E-4</v>
      </c>
      <c r="P81" s="236">
        <f>P51/P$32</f>
        <v>5.2487372815581655E-3</v>
      </c>
      <c r="R81" s="236">
        <f>R51/R$32</f>
        <v>1.0978710593169612E-2</v>
      </c>
      <c r="T81" s="236">
        <f>T51/T$32</f>
        <v>1.715895575814682E-2</v>
      </c>
      <c r="V81" s="236">
        <f>V51/V$32</f>
        <v>2.3905259521307683E-2</v>
      </c>
      <c r="X81" s="236">
        <f>X51/X$32</f>
        <v>3.1377068094596172E-2</v>
      </c>
      <c r="Z81" s="236">
        <f>Z51/Z$32</f>
        <v>3.9801618894022645E-2</v>
      </c>
      <c r="AB81" s="236">
        <f>AB51/AB$32</f>
        <v>4.9517105994817415E-2</v>
      </c>
      <c r="AD81" s="236">
        <f>AD51/AD$32</f>
        <v>6.1055064010427457E-2</v>
      </c>
      <c r="AF81" s="236">
        <f>AF51/AF$32</f>
        <v>7.5312583766595914E-2</v>
      </c>
      <c r="AH81" s="236">
        <f>AH51/AH$32</f>
        <v>9.3955414073221458E-2</v>
      </c>
      <c r="AJ81" s="236">
        <f>AJ51/AJ$32</f>
        <v>0.12051652246109096</v>
      </c>
      <c r="AL81" s="236">
        <f>AL51/AL$32</f>
        <v>0.16412504951814225</v>
      </c>
      <c r="AN81" s="236">
        <f>AN51/AN$32</f>
        <v>0.25786069522968469</v>
      </c>
      <c r="AP81" s="236">
        <f>AP51/AP$32</f>
        <v>0.29266985692893421</v>
      </c>
      <c r="AR81" s="236">
        <f>AR51/AR$32</f>
        <v>0.33984926457563808</v>
      </c>
      <c r="AT81" s="236">
        <f>AT51/AT$32</f>
        <v>0.40862096564778783</v>
      </c>
      <c r="AV81" s="236">
        <f>AV51/AV$32</f>
        <v>0.52252914797398176</v>
      </c>
      <c r="XFD81" s="236"/>
    </row>
    <row r="82" spans="1:48 16384:16384" x14ac:dyDescent="0.2">
      <c r="A82" t="s">
        <v>192</v>
      </c>
      <c r="B82" s="236">
        <f>B52/B$32</f>
        <v>0.13907860278212886</v>
      </c>
      <c r="D82" s="236">
        <f>D52/D$32</f>
        <v>0.13875937941775471</v>
      </c>
      <c r="F82" s="236">
        <f>F52/F$32</f>
        <v>0.13841235671938648</v>
      </c>
      <c r="H82" s="236">
        <f>H52/H$32</f>
        <v>0.13803342778759897</v>
      </c>
      <c r="J82" s="236">
        <f>J52/J$32</f>
        <v>0.13761761502165154</v>
      </c>
      <c r="L82" s="236">
        <f>L52/L$32</f>
        <v>0.13715886296136839</v>
      </c>
      <c r="N82" s="236">
        <f>N52/N$32</f>
        <v>0.13664963274466632</v>
      </c>
      <c r="P82" s="236">
        <f>P52/P$32</f>
        <v>0.13608045996730045</v>
      </c>
      <c r="R82" s="236">
        <f>R52/R$32</f>
        <v>0.13543921778590665</v>
      </c>
      <c r="T82" s="236">
        <f>T52/T$32</f>
        <v>0.13471005401522643</v>
      </c>
      <c r="V82" s="236">
        <f>V52/V$32</f>
        <v>0.13387173287962809</v>
      </c>
      <c r="X82" s="236">
        <f>X52/X$32</f>
        <v>0.13289496864234904</v>
      </c>
      <c r="Z82" s="236">
        <f>Z52/Z$32</f>
        <v>0.13173792271258258</v>
      </c>
      <c r="AB82" s="236">
        <f>AB52/AB$32</f>
        <v>0.13033815125095743</v>
      </c>
      <c r="AD82" s="236">
        <f>AD52/AD$32</f>
        <v>0.12859720471594943</v>
      </c>
      <c r="AF82" s="236">
        <f>AF52/AF$32</f>
        <v>0.12634848080954555</v>
      </c>
      <c r="AH82" s="236">
        <f>AH52/AH$32</f>
        <v>0.12328220362610548</v>
      </c>
      <c r="AJ82" s="236">
        <f>AJ52/AJ$32</f>
        <v>0.11874193113772999</v>
      </c>
      <c r="AL82" s="236">
        <f>AL52/AL$32</f>
        <v>0.11103835126228684</v>
      </c>
      <c r="AN82" s="236">
        <f>AN52/AN$32</f>
        <v>9.4095634888775634E-2</v>
      </c>
      <c r="AP82" s="236">
        <f>AP52/AP$32</f>
        <v>8.7762152616449027E-2</v>
      </c>
      <c r="AR82" s="236">
        <f>AR52/AR$32</f>
        <v>7.9167379998639778E-2</v>
      </c>
      <c r="AT82" s="236">
        <f>AT52/AT$32</f>
        <v>6.6629977994451056E-2</v>
      </c>
      <c r="AV82" s="236">
        <f>AV52/AV$32</f>
        <v>4.5856800512512411E-2</v>
      </c>
    </row>
    <row r="83" spans="1:48 16384:16384" x14ac:dyDescent="0.2">
      <c r="A83" t="s">
        <v>193</v>
      </c>
      <c r="B83" s="236">
        <f>B53/B$32</f>
        <v>0.18600714462930035</v>
      </c>
      <c r="D83" s="236">
        <f>D53/D$32</f>
        <v>0.18462462435813912</v>
      </c>
      <c r="F83" s="236">
        <f>F53/F$32</f>
        <v>0.18321988197322872</v>
      </c>
      <c r="H83" s="236">
        <f>H53/H$32</f>
        <v>0.18178809028553011</v>
      </c>
      <c r="J83" s="236">
        <f>J53/J$32</f>
        <v>0.18032335498613308</v>
      </c>
      <c r="L83" s="236">
        <f>L53/L$32</f>
        <v>0.17881846803742613</v>
      </c>
      <c r="N83" s="236">
        <f>N53/N$32</f>
        <v>0.17726435150042286</v>
      </c>
      <c r="P83" s="236">
        <f>P53/P$32</f>
        <v>0.17564959678454251</v>
      </c>
      <c r="R83" s="236">
        <f>R53/R$32</f>
        <v>0.17395953319310717</v>
      </c>
      <c r="T83" s="236">
        <f>T53/T$32</f>
        <v>0.17217495849535019</v>
      </c>
      <c r="V83" s="236">
        <f>V53/V$32</f>
        <v>0.17027017315160656</v>
      </c>
      <c r="X83" s="236">
        <f>X53/X$32</f>
        <v>0.16820982896985603</v>
      </c>
      <c r="Z83" s="236">
        <f>Z53/Z$32</f>
        <v>0.16594363738164691</v>
      </c>
      <c r="AB83" s="236">
        <f>AB53/AB$32</f>
        <v>0.16339695588638425</v>
      </c>
      <c r="AD83" s="236">
        <f>AD53/AD$32</f>
        <v>0.16045277414785208</v>
      </c>
      <c r="AF83" s="236">
        <f>AF53/AF$32</f>
        <v>0.15691405201731151</v>
      </c>
      <c r="AH83" s="236">
        <f>AH53/AH$32</f>
        <v>0.15241537257789764</v>
      </c>
      <c r="AJ83" s="236">
        <f>AJ53/AJ$32</f>
        <v>0.14618110132125245</v>
      </c>
      <c r="AL83" s="236">
        <f>AL53/AL$32</f>
        <v>0.13619994628365639</v>
      </c>
      <c r="AN83" s="236">
        <f>AN53/AN$32</f>
        <v>0.11513756252182869</v>
      </c>
      <c r="AP83" s="236">
        <f>AP53/AP$32</f>
        <v>0.1073585329302001</v>
      </c>
      <c r="AR83" s="236">
        <f>AR53/AR$32</f>
        <v>9.6825799914822583E-2</v>
      </c>
      <c r="AT83" s="236">
        <f>AT53/AT$32</f>
        <v>8.1481922150397942E-2</v>
      </c>
      <c r="AV83" s="236">
        <f>AV53/AV$32</f>
        <v>5.6074829319351219E-2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row>
    <row r="2" spans="1:49" x14ac:dyDescent="0.2">
      <c r="A2" s="229" t="s">
        <v>155</v>
      </c>
      <c r="B2" s="226">
        <v>5.7716594496607888E-3</v>
      </c>
      <c r="C2" s="227"/>
      <c r="D2" s="226">
        <v>5.8412025453687441E-2</v>
      </c>
      <c r="E2" s="227"/>
      <c r="F2" s="226">
        <v>0.11637870080457262</v>
      </c>
      <c r="G2" s="227"/>
      <c r="H2" s="226">
        <v>0.18050787855361791</v>
      </c>
      <c r="I2" s="227"/>
      <c r="J2" s="226">
        <v>0.25181953585328715</v>
      </c>
      <c r="K2" s="227"/>
      <c r="L2" s="226">
        <v>0.33157043427921851</v>
      </c>
      <c r="M2" s="227"/>
      <c r="N2" s="226">
        <v>0.42133984630661542</v>
      </c>
      <c r="O2" s="227"/>
      <c r="P2" s="226">
        <v>0.52313301293239589</v>
      </c>
      <c r="Q2" s="227"/>
      <c r="R2" s="226">
        <v>0.63955138167549797</v>
      </c>
      <c r="S2" s="227"/>
      <c r="T2" s="226">
        <v>0.77404644731365402</v>
      </c>
      <c r="U2" s="227"/>
      <c r="V2" s="226">
        <v>0.93132800298127927</v>
      </c>
      <c r="W2" s="227"/>
      <c r="X2" s="226">
        <v>1.1180484679368559</v>
      </c>
      <c r="Y2" s="227"/>
      <c r="Z2" s="226">
        <v>1.3440191582309693</v>
      </c>
      <c r="AA2" s="227"/>
      <c r="AB2" s="226">
        <v>1.6245231589209606</v>
      </c>
      <c r="AC2" s="227"/>
      <c r="AD2" s="226">
        <v>1.9850972803820952</v>
      </c>
      <c r="AE2" s="227"/>
      <c r="AF2" s="226">
        <v>2.4725055493984049</v>
      </c>
      <c r="AG2" s="227"/>
      <c r="AH2" s="226">
        <v>3.1836406307482599</v>
      </c>
      <c r="AI2" s="227"/>
      <c r="AJ2" s="226">
        <v>4.357552957467651</v>
      </c>
      <c r="AK2" s="227"/>
      <c r="AL2" s="226">
        <v>6.7649474448554772</v>
      </c>
      <c r="AM2" s="227"/>
      <c r="AN2" s="226">
        <v>14.403363316437671</v>
      </c>
      <c r="AO2" s="227"/>
      <c r="AP2" s="226">
        <v>18.192260809379686</v>
      </c>
      <c r="AQ2" s="227"/>
      <c r="AR2" s="226">
        <v>24.166557549921777</v>
      </c>
      <c r="AS2" s="227"/>
      <c r="AT2" s="226">
        <v>34.505812749837283</v>
      </c>
      <c r="AU2" s="227"/>
      <c r="AV2" s="226">
        <v>55.103806057564896</v>
      </c>
      <c r="AW2" s="227"/>
    </row>
    <row r="3" spans="1:49" x14ac:dyDescent="0.2">
      <c r="A3" t="s">
        <v>12</v>
      </c>
      <c r="B3" s="84">
        <v>1000</v>
      </c>
      <c r="C3" s="85">
        <v>1000</v>
      </c>
      <c r="D3" s="84">
        <v>999.0770553676897</v>
      </c>
      <c r="E3" s="85">
        <v>1024.5876039231789</v>
      </c>
      <c r="F3" s="84">
        <v>998.15592622432109</v>
      </c>
      <c r="G3" s="85">
        <v>1052.3977914031861</v>
      </c>
      <c r="H3" s="84">
        <v>997.23413864425322</v>
      </c>
      <c r="I3" s="85">
        <v>1084.057131343528</v>
      </c>
      <c r="J3" s="84">
        <v>996.30816831553852</v>
      </c>
      <c r="K3" s="85">
        <v>1120.3597703847608</v>
      </c>
      <c r="L3" s="84">
        <v>995.3731353671692</v>
      </c>
      <c r="M3" s="85">
        <v>1162.3245050263765</v>
      </c>
      <c r="N3" s="84">
        <v>994.42243852710305</v>
      </c>
      <c r="O3" s="85">
        <v>1211.2888596242792</v>
      </c>
      <c r="P3" s="84">
        <v>993.44706813395624</v>
      </c>
      <c r="Q3" s="85">
        <v>1269.0289160154275</v>
      </c>
      <c r="R3" s="84">
        <v>992.43483854970486</v>
      </c>
      <c r="S3" s="85">
        <v>1337.9591922678048</v>
      </c>
      <c r="T3" s="84">
        <v>991.36927426184786</v>
      </c>
      <c r="U3" s="85">
        <v>1421.4399727881848</v>
      </c>
      <c r="V3" s="84">
        <v>990.22808859015424</v>
      </c>
      <c r="W3" s="85">
        <v>1524.2820878869593</v>
      </c>
      <c r="X3" s="84">
        <v>988.98113827129509</v>
      </c>
      <c r="Y3" s="85">
        <v>1653.6081225874159</v>
      </c>
      <c r="Z3" s="84">
        <v>987.58772256774057</v>
      </c>
      <c r="AA3" s="85">
        <v>1820.4025942873297</v>
      </c>
      <c r="AB3" s="84">
        <v>985.99327932941219</v>
      </c>
      <c r="AC3" s="85">
        <v>2042.4845666938713</v>
      </c>
      <c r="AD3" s="84">
        <v>984.12623825617266</v>
      </c>
      <c r="AE3" s="85">
        <v>2350.6798363938083</v>
      </c>
      <c r="AF3" s="84">
        <v>981.89840552084343</v>
      </c>
      <c r="AG3" s="85">
        <v>2802.9978072194003</v>
      </c>
      <c r="AH3" s="84">
        <v>979.22200204557623</v>
      </c>
      <c r="AI3" s="85">
        <v>3521.9092146708676</v>
      </c>
      <c r="AJ3" s="84">
        <v>976.09433235123947</v>
      </c>
      <c r="AK3" s="85">
        <v>4812.5788795655344</v>
      </c>
      <c r="AL3" s="84">
        <v>972.95254629722797</v>
      </c>
      <c r="AM3" s="85">
        <v>7660.1087659517507</v>
      </c>
      <c r="AN3" s="84">
        <v>971.94858388157593</v>
      </c>
      <c r="AO3" s="85">
        <v>17138.091648108973</v>
      </c>
      <c r="AP3" s="84">
        <v>972.43597143288366</v>
      </c>
      <c r="AQ3" s="85">
        <v>21888.938125671557</v>
      </c>
      <c r="AR3" s="84">
        <v>973.23860216440085</v>
      </c>
      <c r="AS3" s="85">
        <v>29388.650492000372</v>
      </c>
      <c r="AT3" s="84">
        <v>974.29755633903687</v>
      </c>
      <c r="AU3" s="85">
        <v>42366.650360908934</v>
      </c>
      <c r="AV3" s="84">
        <v>975.35840959075222</v>
      </c>
      <c r="AW3" s="85">
        <v>68198.113782834029</v>
      </c>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row>
    <row r="5" spans="1:49" x14ac:dyDescent="0.2">
      <c r="A5" t="s">
        <v>128</v>
      </c>
      <c r="B5" s="41">
        <v>1000</v>
      </c>
      <c r="C5" s="42">
        <v>1000</v>
      </c>
      <c r="D5" s="41">
        <v>999.03140829231438</v>
      </c>
      <c r="E5" s="42">
        <v>1021.4422845648305</v>
      </c>
      <c r="F5" s="41">
        <v>998.06441749756277</v>
      </c>
      <c r="G5" s="42">
        <v>1045.3532320700594</v>
      </c>
      <c r="H5" s="41">
        <v>997.09643009078093</v>
      </c>
      <c r="I5" s="42">
        <v>1072.1534479393019</v>
      </c>
      <c r="J5" s="41">
        <v>996.1237415051163</v>
      </c>
      <c r="K5" s="42">
        <v>1102.362119672872</v>
      </c>
      <c r="L5" s="41">
        <v>995.1412178860088</v>
      </c>
      <c r="M5" s="42">
        <v>1136.6261823097877</v>
      </c>
      <c r="N5" s="41">
        <v>994.14190880527485</v>
      </c>
      <c r="O5" s="42">
        <v>1175.7657895223724</v>
      </c>
      <c r="P5" s="41">
        <v>993.11632161122986</v>
      </c>
      <c r="Q5" s="42">
        <v>1220.829363744416</v>
      </c>
      <c r="R5" s="41">
        <v>992.05160881164932</v>
      </c>
      <c r="S5" s="42">
        <v>1273.1799642164497</v>
      </c>
      <c r="T5" s="41">
        <v>990.93038853394478</v>
      </c>
      <c r="U5" s="42">
        <v>1334.6180950732728</v>
      </c>
      <c r="V5" s="41">
        <v>989.72913159608618</v>
      </c>
      <c r="W5" s="42">
        <v>1407.5673683424957</v>
      </c>
      <c r="X5" s="41">
        <v>988.41598962838043</v>
      </c>
      <c r="Y5" s="42">
        <v>1495.3589849094187</v>
      </c>
      <c r="Z5" s="41">
        <v>986.94792072182781</v>
      </c>
      <c r="AA5" s="42">
        <v>1602.6829207804071</v>
      </c>
      <c r="AB5" s="41">
        <v>985.2671596629682</v>
      </c>
      <c r="AC5" s="42">
        <v>1736.3263288820388</v>
      </c>
      <c r="AD5" s="41">
        <v>983.29782175165394</v>
      </c>
      <c r="AE5" s="42">
        <v>1906.4231807486055</v>
      </c>
      <c r="AF5" s="41">
        <v>980.94618628363651</v>
      </c>
      <c r="AG5" s="42">
        <v>2128.6418660756271</v>
      </c>
      <c r="AH5" s="41">
        <v>978.11852869886752</v>
      </c>
      <c r="AI5" s="42">
        <v>2428.0883592077921</v>
      </c>
      <c r="AJ5" s="41">
        <v>974.81057224363929</v>
      </c>
      <c r="AK5" s="42">
        <v>2845.9766869988525</v>
      </c>
      <c r="AL5" s="41">
        <v>971.48380744972758</v>
      </c>
      <c r="AM5" s="42">
        <v>3447.1849975766877</v>
      </c>
      <c r="AN5" s="41">
        <v>970.41990688073327</v>
      </c>
      <c r="AO5" s="42">
        <v>4294.8609140232438</v>
      </c>
      <c r="AP5" s="41">
        <v>970.93644258428878</v>
      </c>
      <c r="AQ5" s="42">
        <v>4488.4551185999489</v>
      </c>
      <c r="AR5" s="41">
        <v>971.78686760825917</v>
      </c>
      <c r="AS5" s="42">
        <v>4682.7667695733235</v>
      </c>
      <c r="AT5" s="41">
        <v>972.90848668868034</v>
      </c>
      <c r="AU5" s="42">
        <v>4871.309476771683</v>
      </c>
      <c r="AV5" s="41">
        <v>974.0316711027308</v>
      </c>
      <c r="AW5" s="42">
        <v>5045.5559591934143</v>
      </c>
    </row>
    <row r="6" spans="1:49" x14ac:dyDescent="0.2">
      <c r="A6" t="s">
        <v>77</v>
      </c>
      <c r="B6" s="41">
        <v>999.99999999999943</v>
      </c>
      <c r="C6" s="42">
        <v>999.99999999999909</v>
      </c>
      <c r="D6" s="41">
        <v>998.95735967605879</v>
      </c>
      <c r="E6" s="42">
        <v>1026.4906810492832</v>
      </c>
      <c r="F6" s="41">
        <v>997.91652064692948</v>
      </c>
      <c r="G6" s="42">
        <v>1056.3414057447419</v>
      </c>
      <c r="H6" s="41">
        <v>996.87468687177136</v>
      </c>
      <c r="I6" s="42">
        <v>1090.1950136374314</v>
      </c>
      <c r="J6" s="41">
        <v>995.82787199272877</v>
      </c>
      <c r="K6" s="42">
        <v>1128.8654493251672</v>
      </c>
      <c r="L6" s="41">
        <v>994.77055270337189</v>
      </c>
      <c r="M6" s="42">
        <v>1173.3959971644433</v>
      </c>
      <c r="N6" s="41">
        <v>993.69525287494582</v>
      </c>
      <c r="O6" s="42">
        <v>1225.1557705073465</v>
      </c>
      <c r="P6" s="41">
        <v>992.59176348057997</v>
      </c>
      <c r="Q6" s="42">
        <v>1285.9619417586193</v>
      </c>
      <c r="R6" s="41">
        <v>991.44626969919727</v>
      </c>
      <c r="S6" s="42">
        <v>1358.2844639531077</v>
      </c>
      <c r="T6" s="41">
        <v>990.24008379542943</v>
      </c>
      <c r="U6" s="42">
        <v>1445.5607203863738</v>
      </c>
      <c r="V6" s="41">
        <v>988.94791306490254</v>
      </c>
      <c r="W6" s="42">
        <v>1552.7126546033658</v>
      </c>
      <c r="X6" s="41">
        <v>987.53552819633353</v>
      </c>
      <c r="Y6" s="42">
        <v>1687.029404070285</v>
      </c>
      <c r="Z6" s="41">
        <v>985.95667912814326</v>
      </c>
      <c r="AA6" s="42">
        <v>1859.7566083124293</v>
      </c>
      <c r="AB6" s="41">
        <v>984.14931094292319</v>
      </c>
      <c r="AC6" s="42">
        <v>2089.1448443109107</v>
      </c>
      <c r="AD6" s="41">
        <v>982.03193120482604</v>
      </c>
      <c r="AE6" s="42">
        <v>2406.7803260204846</v>
      </c>
      <c r="AF6" s="41">
        <v>979.50394442404775</v>
      </c>
      <c r="AG6" s="42">
        <v>2872.1272041710499</v>
      </c>
      <c r="AH6" s="41">
        <v>976.4648580399014</v>
      </c>
      <c r="AI6" s="42">
        <v>3610.7677012200888</v>
      </c>
      <c r="AJ6" s="41">
        <v>972.91042131306676</v>
      </c>
      <c r="AK6" s="42">
        <v>4935.6881645703988</v>
      </c>
      <c r="AL6" s="41">
        <v>969.33671423033172</v>
      </c>
      <c r="AM6" s="42">
        <v>7857.3607274984206</v>
      </c>
      <c r="AN6" s="41">
        <v>968.19404072090879</v>
      </c>
      <c r="AO6" s="42">
        <v>17580.280633654653</v>
      </c>
      <c r="AP6" s="41">
        <v>968.74880949683234</v>
      </c>
      <c r="AQ6" s="42">
        <v>22453.763121082084</v>
      </c>
      <c r="AR6" s="41">
        <v>969.6622311504168</v>
      </c>
      <c r="AS6" s="42">
        <v>30147.040415330819</v>
      </c>
      <c r="AT6" s="41">
        <v>970.86703040414227</v>
      </c>
      <c r="AU6" s="42">
        <v>43459.972527655569</v>
      </c>
      <c r="AV6" s="41">
        <v>972.07361857916362</v>
      </c>
      <c r="AW6" s="42">
        <v>69958.064964616075</v>
      </c>
    </row>
    <row r="7" spans="1:49" x14ac:dyDescent="0.2">
      <c r="A7" t="s">
        <v>13</v>
      </c>
      <c r="B7" s="33">
        <v>1015.9116825427475</v>
      </c>
      <c r="C7" s="34">
        <v>1015.9116825427475</v>
      </c>
      <c r="D7" s="33">
        <v>1014.9276789112956</v>
      </c>
      <c r="E7" s="34">
        <v>1014.9276789112956</v>
      </c>
      <c r="F7" s="33">
        <v>1013.9453016659961</v>
      </c>
      <c r="G7" s="34">
        <v>1013.9453016659961</v>
      </c>
      <c r="H7" s="33">
        <v>1012.9619119508922</v>
      </c>
      <c r="I7" s="34">
        <v>1012.9619119508922</v>
      </c>
      <c r="J7" s="33">
        <v>1011.9737462532395</v>
      </c>
      <c r="K7" s="34">
        <v>1011.9737462532395</v>
      </c>
      <c r="L7" s="33">
        <v>1010.975589030214</v>
      </c>
      <c r="M7" s="34">
        <v>1010.975589030214</v>
      </c>
      <c r="N7" s="33">
        <v>1009.9603792606254</v>
      </c>
      <c r="O7" s="34">
        <v>1009.9603792606254</v>
      </c>
      <c r="P7" s="33">
        <v>1008.9184732487288</v>
      </c>
      <c r="Q7" s="34">
        <v>1008.9184732487288</v>
      </c>
      <c r="R7" s="33">
        <v>1007.8368190770822</v>
      </c>
      <c r="S7" s="34">
        <v>1007.8368190770822</v>
      </c>
      <c r="T7" s="33">
        <v>1006.6977582982582</v>
      </c>
      <c r="U7" s="34">
        <v>1006.6977582982582</v>
      </c>
      <c r="V7" s="33">
        <v>1005.4773873413523</v>
      </c>
      <c r="W7" s="34">
        <v>1005.4773873413523</v>
      </c>
      <c r="X7" s="33">
        <v>1004.1433510755228</v>
      </c>
      <c r="Y7" s="34">
        <v>1004.1433510755228</v>
      </c>
      <c r="Z7" s="33">
        <v>1002.6519227225782</v>
      </c>
      <c r="AA7" s="34">
        <v>1002.6519227225782</v>
      </c>
      <c r="AB7" s="33">
        <v>1000.9444179273198</v>
      </c>
      <c r="AC7" s="34">
        <v>1000.9444179273198</v>
      </c>
      <c r="AD7" s="33">
        <v>998.94374453634134</v>
      </c>
      <c r="AE7" s="34">
        <v>998.94374453634134</v>
      </c>
      <c r="AF7" s="33">
        <v>996.55469059130053</v>
      </c>
      <c r="AG7" s="34">
        <v>996.55469059130053</v>
      </c>
      <c r="AH7" s="33">
        <v>993.68204021670306</v>
      </c>
      <c r="AI7" s="34">
        <v>993.68204021670306</v>
      </c>
      <c r="AJ7" s="33">
        <v>990.32144860849405</v>
      </c>
      <c r="AK7" s="34">
        <v>990.32144860849405</v>
      </c>
      <c r="AL7" s="33">
        <v>986.94174938928722</v>
      </c>
      <c r="AM7" s="34">
        <v>986.94174938928722</v>
      </c>
      <c r="AN7" s="33">
        <v>985.86092037218202</v>
      </c>
      <c r="AO7" s="34">
        <v>985.86092037218202</v>
      </c>
      <c r="AP7" s="33">
        <v>986.38567502787453</v>
      </c>
      <c r="AQ7" s="34">
        <v>986.38567502787453</v>
      </c>
      <c r="AR7" s="33">
        <v>987.24963174485276</v>
      </c>
      <c r="AS7" s="34">
        <v>987.24963174485276</v>
      </c>
      <c r="AT7" s="33">
        <v>988.3890976720154</v>
      </c>
      <c r="AU7" s="34">
        <v>988.3890976720154</v>
      </c>
      <c r="AV7" s="33">
        <v>989.53015383989919</v>
      </c>
      <c r="AW7" s="34">
        <v>989.53015383989919</v>
      </c>
    </row>
    <row r="8" spans="1:49" x14ac:dyDescent="0.2">
      <c r="B8" s="35">
        <v>1005.7716594496609</v>
      </c>
      <c r="C8" s="36">
        <v>1005.7716594496609</v>
      </c>
      <c r="D8" s="35">
        <v>1081.106797290304</v>
      </c>
      <c r="E8" s="36">
        <v>1081.106797290304</v>
      </c>
      <c r="F8" s="35">
        <v>1167.0100831002339</v>
      </c>
      <c r="G8" s="36">
        <v>1167.0100831002339</v>
      </c>
      <c r="H8" s="35">
        <v>1265.6855923107721</v>
      </c>
      <c r="I8" s="36">
        <v>1265.6855923107721</v>
      </c>
      <c r="J8" s="35">
        <v>1379.9584369911404</v>
      </c>
      <c r="K8" s="36">
        <v>1379.9584369911404</v>
      </c>
      <c r="L8" s="35">
        <v>1513.4978191913742</v>
      </c>
      <c r="M8" s="36">
        <v>1513.4978191913742</v>
      </c>
      <c r="N8" s="35">
        <v>1671.1627665723051</v>
      </c>
      <c r="O8" s="36">
        <v>1671.1627665723051</v>
      </c>
      <c r="P8" s="35">
        <v>1859.4855070763722</v>
      </c>
      <c r="Q8" s="36">
        <v>1859.4855070763722</v>
      </c>
      <c r="R8" s="35">
        <v>2087.4439694526409</v>
      </c>
      <c r="S8" s="36">
        <v>2087.4439694526409</v>
      </c>
      <c r="T8" s="35">
        <v>2367.6744900852559</v>
      </c>
      <c r="U8" s="36">
        <v>2367.6744900852559</v>
      </c>
      <c r="V8" s="35">
        <v>2718.4742745625272</v>
      </c>
      <c r="W8" s="36">
        <v>2718.4742745625272</v>
      </c>
      <c r="X8" s="35">
        <v>3167.2428070030064</v>
      </c>
      <c r="Y8" s="36">
        <v>3167.2428070030064</v>
      </c>
      <c r="Z8" s="35">
        <v>3756.7194708788406</v>
      </c>
      <c r="AA8" s="36">
        <v>3756.7194708788406</v>
      </c>
      <c r="AB8" s="35">
        <v>4557.0286615951236</v>
      </c>
      <c r="AC8" s="36">
        <v>4557.0286615951236</v>
      </c>
      <c r="AD8" s="35">
        <v>5690.8586521100451</v>
      </c>
      <c r="AE8" s="36">
        <v>5690.8586521100451</v>
      </c>
      <c r="AF8" s="35">
        <v>7391.7206926293911</v>
      </c>
      <c r="AG8" s="36">
        <v>7391.7206926293911</v>
      </c>
      <c r="AH8" s="35">
        <v>10158.249114628594</v>
      </c>
      <c r="AI8" s="36">
        <v>10158.249114628594</v>
      </c>
      <c r="AJ8" s="35">
        <v>15247.47081631469</v>
      </c>
      <c r="AK8" s="36">
        <v>15247.47081631469</v>
      </c>
      <c r="AL8" s="35">
        <v>26767.210338877234</v>
      </c>
      <c r="AM8" s="36">
        <v>26767.210338877234</v>
      </c>
      <c r="AN8" s="35">
        <v>66155.303052267598</v>
      </c>
      <c r="AO8" s="36">
        <v>66155.303052267598</v>
      </c>
      <c r="AP8" s="35">
        <v>86143.601267365448</v>
      </c>
      <c r="AQ8" s="36">
        <v>86143.601267365448</v>
      </c>
      <c r="AR8" s="35">
        <v>117849.11939932834</v>
      </c>
      <c r="AS8" s="36">
        <v>117849.11939932834</v>
      </c>
      <c r="AT8" s="35">
        <v>172959.8021287632</v>
      </c>
      <c r="AU8" s="36">
        <v>172959.8021287632</v>
      </c>
      <c r="AV8" s="35">
        <v>283074.89298717811</v>
      </c>
      <c r="AW8" s="36">
        <v>283074.89298717811</v>
      </c>
    </row>
    <row r="9" spans="1:49" x14ac:dyDescent="0.2">
      <c r="A9" t="s">
        <v>14</v>
      </c>
      <c r="B9" s="41">
        <v>1015.9116825427475</v>
      </c>
      <c r="C9" s="42">
        <v>1005.7716594496609</v>
      </c>
      <c r="D9" s="41">
        <v>1014.9276789112956</v>
      </c>
      <c r="E9" s="42">
        <v>1081.106797290304</v>
      </c>
      <c r="F9" s="41">
        <v>1013.9453016659961</v>
      </c>
      <c r="G9" s="42">
        <v>1167.0100831002339</v>
      </c>
      <c r="H9" s="41">
        <v>1012.9619119508922</v>
      </c>
      <c r="I9" s="42">
        <v>1265.6855923107721</v>
      </c>
      <c r="J9" s="41">
        <v>1011.9737462532395</v>
      </c>
      <c r="K9" s="42">
        <v>1379.9584369911404</v>
      </c>
      <c r="L9" s="41">
        <v>1010.975589030214</v>
      </c>
      <c r="M9" s="42">
        <v>1513.4978191913742</v>
      </c>
      <c r="N9" s="41">
        <v>1009.9603792606254</v>
      </c>
      <c r="O9" s="42">
        <v>1671.1627665723051</v>
      </c>
      <c r="P9" s="41">
        <v>1008.9184732487288</v>
      </c>
      <c r="Q9" s="42">
        <v>1859.4855070763722</v>
      </c>
      <c r="R9" s="41">
        <v>1007.8368190770822</v>
      </c>
      <c r="S9" s="42">
        <v>2087.4439694526409</v>
      </c>
      <c r="T9" s="41">
        <v>1006.6977582982582</v>
      </c>
      <c r="U9" s="42">
        <v>2367.6744900852559</v>
      </c>
      <c r="V9" s="41">
        <v>1005.4773873413523</v>
      </c>
      <c r="W9" s="42">
        <v>2718.4742745625272</v>
      </c>
      <c r="X9" s="41">
        <v>1004.1433510755228</v>
      </c>
      <c r="Y9" s="42">
        <v>3167.2428070030064</v>
      </c>
      <c r="Z9" s="41">
        <v>1002.6519227225782</v>
      </c>
      <c r="AA9" s="42">
        <v>3756.7194708788406</v>
      </c>
      <c r="AB9" s="41">
        <v>1000.9444179273198</v>
      </c>
      <c r="AC9" s="42">
        <v>4557.0286615951236</v>
      </c>
      <c r="AD9" s="41">
        <v>998.94374453634134</v>
      </c>
      <c r="AE9" s="42">
        <v>5690.8586521100451</v>
      </c>
      <c r="AF9" s="41">
        <v>996.55469059130053</v>
      </c>
      <c r="AG9" s="42">
        <v>7391.7206926293911</v>
      </c>
      <c r="AH9" s="41">
        <v>993.68204021670306</v>
      </c>
      <c r="AI9" s="42">
        <v>10158.249114628594</v>
      </c>
      <c r="AJ9" s="41">
        <v>990.32144860849405</v>
      </c>
      <c r="AK9" s="42">
        <v>15247.47081631469</v>
      </c>
      <c r="AL9" s="41">
        <v>986.94174938928722</v>
      </c>
      <c r="AM9" s="42">
        <v>26767.210338877234</v>
      </c>
      <c r="AN9" s="41">
        <v>985.86092037218202</v>
      </c>
      <c r="AO9" s="42">
        <v>66155.303052267598</v>
      </c>
      <c r="AP9" s="41">
        <v>986.38567502787453</v>
      </c>
      <c r="AQ9" s="42">
        <v>86143.601267365448</v>
      </c>
      <c r="AR9" s="41">
        <v>987.24963174485276</v>
      </c>
      <c r="AS9" s="42">
        <v>117849.11939932834</v>
      </c>
      <c r="AT9" s="41">
        <v>988.3890976720154</v>
      </c>
      <c r="AU9" s="42">
        <v>172959.8021287632</v>
      </c>
      <c r="AV9" s="41">
        <v>989.53015383989919</v>
      </c>
      <c r="AW9" s="42">
        <v>283074.89298717811</v>
      </c>
    </row>
    <row r="10" spans="1:49" x14ac:dyDescent="0.2">
      <c r="A10" t="s">
        <v>15</v>
      </c>
      <c r="B10" s="41">
        <v>1015.9116825427475</v>
      </c>
      <c r="C10" s="42">
        <v>1005.7716594496609</v>
      </c>
      <c r="D10" s="41">
        <v>1014.9276789112956</v>
      </c>
      <c r="E10" s="42">
        <v>1081.106797290304</v>
      </c>
      <c r="F10" s="41">
        <v>1013.9453016659961</v>
      </c>
      <c r="G10" s="42">
        <v>1167.0100831002339</v>
      </c>
      <c r="H10" s="41">
        <v>1012.9619119508922</v>
      </c>
      <c r="I10" s="42">
        <v>1265.6855923107721</v>
      </c>
      <c r="J10" s="41">
        <v>1011.9737462532395</v>
      </c>
      <c r="K10" s="42">
        <v>1379.9584369911404</v>
      </c>
      <c r="L10" s="41">
        <v>1010.975589030214</v>
      </c>
      <c r="M10" s="42">
        <v>1513.4978191913742</v>
      </c>
      <c r="N10" s="41">
        <v>1009.9603792606254</v>
      </c>
      <c r="O10" s="42">
        <v>1671.1627665723051</v>
      </c>
      <c r="P10" s="41">
        <v>1008.9184732487288</v>
      </c>
      <c r="Q10" s="42">
        <v>1859.4855070763722</v>
      </c>
      <c r="R10" s="41">
        <v>1007.8368190770822</v>
      </c>
      <c r="S10" s="42">
        <v>2087.4439694526409</v>
      </c>
      <c r="T10" s="41">
        <v>1006.6977582982582</v>
      </c>
      <c r="U10" s="42">
        <v>2367.6744900852559</v>
      </c>
      <c r="V10" s="41">
        <v>1005.4773873413523</v>
      </c>
      <c r="W10" s="42">
        <v>2718.4742745625272</v>
      </c>
      <c r="X10" s="41">
        <v>1004.1433510755228</v>
      </c>
      <c r="Y10" s="42">
        <v>3167.2428070030064</v>
      </c>
      <c r="Z10" s="41">
        <v>1002.6519227225782</v>
      </c>
      <c r="AA10" s="42">
        <v>3756.7194708788406</v>
      </c>
      <c r="AB10" s="41">
        <v>1000.9444179273198</v>
      </c>
      <c r="AC10" s="42">
        <v>4557.0286615951236</v>
      </c>
      <c r="AD10" s="41">
        <v>998.94374453634134</v>
      </c>
      <c r="AE10" s="42">
        <v>5690.8586521100451</v>
      </c>
      <c r="AF10" s="41">
        <v>996.55469059130053</v>
      </c>
      <c r="AG10" s="42">
        <v>7391.7206926293911</v>
      </c>
      <c r="AH10" s="41">
        <v>993.68204021670306</v>
      </c>
      <c r="AI10" s="42">
        <v>10158.249114628594</v>
      </c>
      <c r="AJ10" s="41">
        <v>990.32144860849405</v>
      </c>
      <c r="AK10" s="42">
        <v>15247.47081631469</v>
      </c>
      <c r="AL10" s="41">
        <v>986.94174938928722</v>
      </c>
      <c r="AM10" s="42">
        <v>26767.210338877234</v>
      </c>
      <c r="AN10" s="41">
        <v>985.86092037218202</v>
      </c>
      <c r="AO10" s="42">
        <v>66155.303052267598</v>
      </c>
      <c r="AP10" s="41">
        <v>986.38567502787453</v>
      </c>
      <c r="AQ10" s="42">
        <v>86143.601267365448</v>
      </c>
      <c r="AR10" s="41">
        <v>987.24963174485276</v>
      </c>
      <c r="AS10" s="42">
        <v>117849.11939932834</v>
      </c>
      <c r="AT10" s="41">
        <v>988.3890976720154</v>
      </c>
      <c r="AU10" s="42">
        <v>172959.8021287632</v>
      </c>
      <c r="AV10" s="41">
        <v>989.53015383989919</v>
      </c>
      <c r="AW10" s="42">
        <v>283074.89298717811</v>
      </c>
    </row>
    <row r="11" spans="1:49" x14ac:dyDescent="0.2">
      <c r="A11" t="s">
        <v>29</v>
      </c>
      <c r="B11" s="41">
        <v>1015.9116825427475</v>
      </c>
      <c r="C11" s="42">
        <v>1005.7716594496609</v>
      </c>
      <c r="D11" s="41">
        <v>1014.9276789112956</v>
      </c>
      <c r="E11" s="42">
        <v>1081.106797290304</v>
      </c>
      <c r="F11" s="41">
        <v>1013.9453016659961</v>
      </c>
      <c r="G11" s="42">
        <v>1167.0100831002339</v>
      </c>
      <c r="H11" s="41">
        <v>1012.9619119508922</v>
      </c>
      <c r="I11" s="42">
        <v>1265.6855923107721</v>
      </c>
      <c r="J11" s="41">
        <v>1011.9737462532395</v>
      </c>
      <c r="K11" s="42">
        <v>1379.9584369911404</v>
      </c>
      <c r="L11" s="41">
        <v>1010.975589030214</v>
      </c>
      <c r="M11" s="42">
        <v>1513.4978191913742</v>
      </c>
      <c r="N11" s="41">
        <v>1009.9603792606254</v>
      </c>
      <c r="O11" s="42">
        <v>1671.1627665723051</v>
      </c>
      <c r="P11" s="41">
        <v>1008.9184732487288</v>
      </c>
      <c r="Q11" s="42">
        <v>1859.4855070763722</v>
      </c>
      <c r="R11" s="41">
        <v>1007.8368190770822</v>
      </c>
      <c r="S11" s="42">
        <v>2087.4439694526409</v>
      </c>
      <c r="T11" s="41">
        <v>1006.6977582982582</v>
      </c>
      <c r="U11" s="42">
        <v>2367.6744900852559</v>
      </c>
      <c r="V11" s="41">
        <v>1005.4773873413523</v>
      </c>
      <c r="W11" s="42">
        <v>2718.4742745625272</v>
      </c>
      <c r="X11" s="41">
        <v>1004.1433510755228</v>
      </c>
      <c r="Y11" s="42">
        <v>3167.2428070030064</v>
      </c>
      <c r="Z11" s="41">
        <v>1002.6519227225782</v>
      </c>
      <c r="AA11" s="42">
        <v>3756.7194708788406</v>
      </c>
      <c r="AB11" s="41">
        <v>1000.9444179273198</v>
      </c>
      <c r="AC11" s="42">
        <v>4557.0286615951236</v>
      </c>
      <c r="AD11" s="41">
        <v>998.94374453634134</v>
      </c>
      <c r="AE11" s="42">
        <v>5690.8586521100451</v>
      </c>
      <c r="AF11" s="41">
        <v>996.55469059130053</v>
      </c>
      <c r="AG11" s="42">
        <v>7391.7206926293911</v>
      </c>
      <c r="AH11" s="41">
        <v>993.68204021670306</v>
      </c>
      <c r="AI11" s="42">
        <v>10158.249114628594</v>
      </c>
      <c r="AJ11" s="41">
        <v>990.32144860849405</v>
      </c>
      <c r="AK11" s="42">
        <v>15247.47081631469</v>
      </c>
      <c r="AL11" s="41">
        <v>986.94174938928722</v>
      </c>
      <c r="AM11" s="42">
        <v>26767.210338877234</v>
      </c>
      <c r="AN11" s="41">
        <v>985.86092037218202</v>
      </c>
      <c r="AO11" s="42">
        <v>66155.303052267598</v>
      </c>
      <c r="AP11" s="41">
        <v>986.38567502787453</v>
      </c>
      <c r="AQ11" s="42">
        <v>86143.601267365448</v>
      </c>
      <c r="AR11" s="41">
        <v>987.24963174485276</v>
      </c>
      <c r="AS11" s="42">
        <v>117849.11939932834</v>
      </c>
      <c r="AT11" s="41">
        <v>988.3890976720154</v>
      </c>
      <c r="AU11" s="42">
        <v>172959.8021287632</v>
      </c>
      <c r="AV11" s="41">
        <v>989.53015383989919</v>
      </c>
      <c r="AW11" s="42">
        <v>283074.89298717811</v>
      </c>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row>
    <row r="13" spans="1:49" x14ac:dyDescent="0.2">
      <c r="A13" t="s">
        <v>17</v>
      </c>
      <c r="B13" s="97">
        <v>1000</v>
      </c>
      <c r="C13" s="98">
        <v>1000</v>
      </c>
      <c r="D13" s="97">
        <v>998.29254911961755</v>
      </c>
      <c r="E13" s="98">
        <v>998.29254911961755</v>
      </c>
      <c r="F13" s="97">
        <v>996.24631186248246</v>
      </c>
      <c r="G13" s="98">
        <v>996.24631186248246</v>
      </c>
      <c r="H13" s="97">
        <v>993.8073874245498</v>
      </c>
      <c r="I13" s="98">
        <v>993.8073874245498</v>
      </c>
      <c r="J13" s="97">
        <v>990.90963955106383</v>
      </c>
      <c r="K13" s="98">
        <v>990.90963955106383</v>
      </c>
      <c r="L13" s="97">
        <v>987.47099523929126</v>
      </c>
      <c r="M13" s="98">
        <v>987.47099523929126</v>
      </c>
      <c r="N13" s="97">
        <v>983.38820140280234</v>
      </c>
      <c r="O13" s="98">
        <v>983.38820140280234</v>
      </c>
      <c r="P13" s="97">
        <v>978.52973624071274</v>
      </c>
      <c r="Q13" s="98">
        <v>978.52973624071274</v>
      </c>
      <c r="R13" s="97">
        <v>972.7252919385686</v>
      </c>
      <c r="S13" s="98">
        <v>972.7252919385686</v>
      </c>
      <c r="T13" s="97">
        <v>965.75034817527353</v>
      </c>
      <c r="U13" s="98">
        <v>965.75034817527353</v>
      </c>
      <c r="V13" s="97">
        <v>957.30245508038718</v>
      </c>
      <c r="W13" s="98">
        <v>957.30245508038718</v>
      </c>
      <c r="X13" s="97">
        <v>946.96380975835507</v>
      </c>
      <c r="Y13" s="98">
        <v>946.96380975835507</v>
      </c>
      <c r="Z13" s="97">
        <v>934.13933087125156</v>
      </c>
      <c r="AA13" s="98">
        <v>934.13933087125156</v>
      </c>
      <c r="AB13" s="97">
        <v>917.94882588293922</v>
      </c>
      <c r="AC13" s="98">
        <v>917.94882588293922</v>
      </c>
      <c r="AD13" s="97">
        <v>897.02672961674591</v>
      </c>
      <c r="AE13" s="98">
        <v>897.02672961674591</v>
      </c>
      <c r="AF13" s="97">
        <v>869.1184660734516</v>
      </c>
      <c r="AG13" s="98">
        <v>869.1184660734516</v>
      </c>
      <c r="AH13" s="97">
        <v>830.17501938682494</v>
      </c>
      <c r="AI13" s="98">
        <v>830.17501938682494</v>
      </c>
      <c r="AJ13" s="97">
        <v>772.00919397299106</v>
      </c>
      <c r="AK13" s="98">
        <v>772.00919397299106</v>
      </c>
      <c r="AL13" s="97">
        <v>674.88037493717172</v>
      </c>
      <c r="AM13" s="98">
        <v>674.88037493717172</v>
      </c>
      <c r="AN13" s="97">
        <v>476.33843313699668</v>
      </c>
      <c r="AO13" s="98">
        <v>476.33843313699668</v>
      </c>
      <c r="AP13" s="97">
        <v>409.03827087889584</v>
      </c>
      <c r="AQ13" s="98">
        <v>409.03827087889584</v>
      </c>
      <c r="AR13" s="97">
        <v>325.09564692564811</v>
      </c>
      <c r="AS13" s="98">
        <v>325.09564692564811</v>
      </c>
      <c r="AT13" s="97">
        <v>219.88658404678878</v>
      </c>
      <c r="AU13" s="98">
        <v>219.88658404678878</v>
      </c>
      <c r="AV13" s="97">
        <v>93.977435913766428</v>
      </c>
      <c r="AW13" s="98">
        <v>93.977435913766428</v>
      </c>
    </row>
    <row r="14" spans="1:49" x14ac:dyDescent="0.2">
      <c r="A14" t="s">
        <v>36</v>
      </c>
      <c r="B14" s="41">
        <v>1457.0034251455234</v>
      </c>
      <c r="C14" s="42">
        <v>1457.0034251455236</v>
      </c>
      <c r="D14" s="41">
        <v>1454.5156633645383</v>
      </c>
      <c r="E14" s="42">
        <v>1454.5156633645386</v>
      </c>
      <c r="F14" s="41">
        <v>1451.5342886722322</v>
      </c>
      <c r="G14" s="42">
        <v>1451.5342886722324</v>
      </c>
      <c r="H14" s="41">
        <v>1447.9807674124932</v>
      </c>
      <c r="I14" s="42">
        <v>1447.9807674124934</v>
      </c>
      <c r="J14" s="41">
        <v>1443.758738835616</v>
      </c>
      <c r="K14" s="42">
        <v>1443.7587388356162</v>
      </c>
      <c r="L14" s="41">
        <v>1438.748622295506</v>
      </c>
      <c r="M14" s="42">
        <v>1438.7486222955063</v>
      </c>
      <c r="N14" s="41">
        <v>1432.7999776915788</v>
      </c>
      <c r="O14" s="42">
        <v>1432.799977691579</v>
      </c>
      <c r="P14" s="41">
        <v>1425.7211773094639</v>
      </c>
      <c r="Q14" s="42">
        <v>1425.7211773094641</v>
      </c>
      <c r="R14" s="41">
        <v>1417.2640820801735</v>
      </c>
      <c r="S14" s="42">
        <v>1417.2640820801737</v>
      </c>
      <c r="T14" s="41">
        <v>1407.1015651268551</v>
      </c>
      <c r="U14" s="42">
        <v>1407.1015651268553</v>
      </c>
      <c r="V14" s="41">
        <v>1394.7929559523425</v>
      </c>
      <c r="W14" s="42">
        <v>1394.7929559523427</v>
      </c>
      <c r="X14" s="41">
        <v>1379.729514306777</v>
      </c>
      <c r="Y14" s="42">
        <v>1379.7295143067772</v>
      </c>
      <c r="Z14" s="41">
        <v>1361.0442046425608</v>
      </c>
      <c r="AA14" s="42">
        <v>1361.044204642561</v>
      </c>
      <c r="AB14" s="41">
        <v>1337.454583419754</v>
      </c>
      <c r="AC14" s="42">
        <v>1337.4545834197543</v>
      </c>
      <c r="AD14" s="41">
        <v>1306.971017498686</v>
      </c>
      <c r="AE14" s="42">
        <v>1306.9710174986863</v>
      </c>
      <c r="AF14" s="41">
        <v>1266.3085819262421</v>
      </c>
      <c r="AG14" s="42">
        <v>1266.3085819262424</v>
      </c>
      <c r="AH14" s="41">
        <v>1209.5678467168552</v>
      </c>
      <c r="AI14" s="42">
        <v>1209.5678467168552</v>
      </c>
      <c r="AJ14" s="41">
        <v>1124.8200398624826</v>
      </c>
      <c r="AK14" s="42">
        <v>1124.8200398624829</v>
      </c>
      <c r="AL14" s="41">
        <v>983.30301784695416</v>
      </c>
      <c r="AM14" s="42">
        <v>983.30301784695428</v>
      </c>
      <c r="AN14" s="41">
        <v>694.02672860905602</v>
      </c>
      <c r="AO14" s="42">
        <v>694.02672860905614</v>
      </c>
      <c r="AP14" s="41">
        <v>595.97016168615357</v>
      </c>
      <c r="AQ14" s="42">
        <v>595.97016168615369</v>
      </c>
      <c r="AR14" s="41">
        <v>473.66547107056903</v>
      </c>
      <c r="AS14" s="42">
        <v>473.66547107056908</v>
      </c>
      <c r="AT14" s="41">
        <v>320.37550609972021</v>
      </c>
      <c r="AU14" s="42">
        <v>320.37550609972027</v>
      </c>
      <c r="AV14" s="41">
        <v>136.92544601275159</v>
      </c>
      <c r="AW14" s="42">
        <v>136.92544601275162</v>
      </c>
    </row>
    <row r="15" spans="1:49" x14ac:dyDescent="0.2">
      <c r="A15" t="s">
        <v>18</v>
      </c>
      <c r="B15" s="154">
        <v>1000</v>
      </c>
      <c r="C15" s="155">
        <v>1000</v>
      </c>
      <c r="D15" s="154">
        <v>993.12803689671387</v>
      </c>
      <c r="E15" s="155">
        <v>993.12803689671387</v>
      </c>
      <c r="F15" s="154">
        <v>985.99465766170613</v>
      </c>
      <c r="G15" s="155">
        <v>985.99465766170613</v>
      </c>
      <c r="H15" s="154">
        <v>978.55209573749607</v>
      </c>
      <c r="I15" s="155">
        <v>978.55209573749607</v>
      </c>
      <c r="J15" s="154">
        <v>970.74122484100542</v>
      </c>
      <c r="K15" s="155">
        <v>970.74122484100542</v>
      </c>
      <c r="L15" s="154">
        <v>962.48848523918457</v>
      </c>
      <c r="M15" s="155">
        <v>962.48848523918457</v>
      </c>
      <c r="N15" s="154">
        <v>953.70068133519283</v>
      </c>
      <c r="O15" s="155">
        <v>953.70068133519283</v>
      </c>
      <c r="P15" s="154">
        <v>944.25898118417183</v>
      </c>
      <c r="Q15" s="155">
        <v>944.25898118417183</v>
      </c>
      <c r="R15" s="154">
        <v>934.00922986769945</v>
      </c>
      <c r="S15" s="155">
        <v>934.00922986769945</v>
      </c>
      <c r="T15" s="154">
        <v>922.74813458157246</v>
      </c>
      <c r="U15" s="155">
        <v>922.74813458157246</v>
      </c>
      <c r="V15" s="154">
        <v>910.20213510853932</v>
      </c>
      <c r="W15" s="155">
        <v>910.20213510853932</v>
      </c>
      <c r="X15" s="154">
        <v>895.99412205505485</v>
      </c>
      <c r="Y15" s="155">
        <v>895.99412205505485</v>
      </c>
      <c r="Z15" s="154">
        <v>879.58858289226373</v>
      </c>
      <c r="AA15" s="155">
        <v>879.58858289226373</v>
      </c>
      <c r="AB15" s="154">
        <v>860.19625589511736</v>
      </c>
      <c r="AC15" s="155">
        <v>860.19625589511736</v>
      </c>
      <c r="AD15" s="154">
        <v>836.59703332229219</v>
      </c>
      <c r="AE15" s="155">
        <v>836.59703332229219</v>
      </c>
      <c r="AF15" s="154">
        <v>806.78222771944786</v>
      </c>
      <c r="AG15" s="155">
        <v>806.78222771944786</v>
      </c>
      <c r="AH15" s="154">
        <v>767.14847176545084</v>
      </c>
      <c r="AI15" s="155">
        <v>767.14847176545084</v>
      </c>
      <c r="AJ15" s="154">
        <v>710.39529211433455</v>
      </c>
      <c r="AK15" s="155">
        <v>710.39529211433455</v>
      </c>
      <c r="AL15" s="154">
        <v>618.80900910229946</v>
      </c>
      <c r="AM15" s="155">
        <v>618.80900910229946</v>
      </c>
      <c r="AN15" s="154">
        <v>435.76908316464079</v>
      </c>
      <c r="AO15" s="155">
        <v>435.76908316464079</v>
      </c>
      <c r="AP15" s="154">
        <v>374.11054844893437</v>
      </c>
      <c r="AQ15" s="155">
        <v>374.11054844893437</v>
      </c>
      <c r="AR15" s="154">
        <v>297.28561390134877</v>
      </c>
      <c r="AS15" s="155">
        <v>297.28561390134877</v>
      </c>
      <c r="AT15" s="154">
        <v>201.05558605583784</v>
      </c>
      <c r="AU15" s="155">
        <v>201.05558605583784</v>
      </c>
      <c r="AV15" s="154">
        <v>85.924642903895702</v>
      </c>
      <c r="AW15" s="155">
        <v>85.924642903895702</v>
      </c>
    </row>
    <row r="16" spans="1:49" s="29" customFormat="1" x14ac:dyDescent="0.2">
      <c r="A16" t="s">
        <v>61</v>
      </c>
      <c r="B16" s="41">
        <v>1000</v>
      </c>
      <c r="C16" s="42">
        <v>1000</v>
      </c>
      <c r="D16" s="41">
        <v>995.88053530285583</v>
      </c>
      <c r="E16" s="42">
        <v>994.60171285927208</v>
      </c>
      <c r="F16" s="41">
        <v>991.45644579020711</v>
      </c>
      <c r="G16" s="42">
        <v>988.91912316409423</v>
      </c>
      <c r="H16" s="41">
        <v>986.67675973343808</v>
      </c>
      <c r="I16" s="42">
        <v>982.90273957081808</v>
      </c>
      <c r="J16" s="41">
        <v>981.47868520753366</v>
      </c>
      <c r="K16" s="42">
        <v>976.49146380376305</v>
      </c>
      <c r="L16" s="41">
        <v>975.78420127707614</v>
      </c>
      <c r="M16" s="42">
        <v>969.60933744521958</v>
      </c>
      <c r="N16" s="41">
        <v>969.49483589675435</v>
      </c>
      <c r="O16" s="42">
        <v>962.16032891943416</v>
      </c>
      <c r="P16" s="41">
        <v>962.48508682780243</v>
      </c>
      <c r="Q16" s="42">
        <v>954.02202287613352</v>
      </c>
      <c r="R16" s="41">
        <v>954.59229579109467</v>
      </c>
      <c r="S16" s="42">
        <v>945.03569810319004</v>
      </c>
      <c r="T16" s="41">
        <v>945.60197985009177</v>
      </c>
      <c r="U16" s="42">
        <v>934.99205476476823</v>
      </c>
      <c r="V16" s="41">
        <v>935.22533161107071</v>
      </c>
      <c r="W16" s="42">
        <v>923.60935026670165</v>
      </c>
      <c r="X16" s="41">
        <v>923.06374551316151</v>
      </c>
      <c r="Y16" s="42">
        <v>910.49894208890385</v>
      </c>
      <c r="Z16" s="41">
        <v>908.55022242197947</v>
      </c>
      <c r="AA16" s="42">
        <v>895.10842713162299</v>
      </c>
      <c r="AB16" s="41">
        <v>890.84741894163051</v>
      </c>
      <c r="AC16" s="42">
        <v>876.6227534272507</v>
      </c>
      <c r="AD16" s="41">
        <v>868.65830050999546</v>
      </c>
      <c r="AE16" s="42">
        <v>853.78055282215746</v>
      </c>
      <c r="AF16" s="41">
        <v>839.84413372878123</v>
      </c>
      <c r="AG16" s="42">
        <v>824.50338794477523</v>
      </c>
      <c r="AH16" s="41">
        <v>800.5658555774794</v>
      </c>
      <c r="AI16" s="42">
        <v>785.0614762829149</v>
      </c>
      <c r="AJ16" s="41">
        <v>743.05398276922506</v>
      </c>
      <c r="AK16" s="42">
        <v>727.90279734139858</v>
      </c>
      <c r="AL16" s="41">
        <v>648.52240593937086</v>
      </c>
      <c r="AM16" s="42">
        <v>634.73852951772346</v>
      </c>
      <c r="AN16" s="41">
        <v>457.26419094418515</v>
      </c>
      <c r="AO16" s="42">
        <v>447.29315415524525</v>
      </c>
      <c r="AP16" s="41">
        <v>392.61620389737197</v>
      </c>
      <c r="AQ16" s="42">
        <v>384.03193689733268</v>
      </c>
      <c r="AR16" s="41">
        <v>312.01994937261992</v>
      </c>
      <c r="AS16" s="42">
        <v>305.18511589456051</v>
      </c>
      <c r="AT16" s="41">
        <v>211.03256823490145</v>
      </c>
      <c r="AU16" s="42">
        <v>206.40454274681633</v>
      </c>
      <c r="AV16" s="41">
        <v>90.191133162010175</v>
      </c>
      <c r="AW16" s="42">
        <v>88.212037127892785</v>
      </c>
    </row>
    <row r="17" spans="1:49" x14ac:dyDescent="0.2">
      <c r="A17" t="s">
        <v>62</v>
      </c>
      <c r="B17" s="35">
        <v>1000.0000000000002</v>
      </c>
      <c r="C17" s="36">
        <v>999.99999999999977</v>
      </c>
      <c r="D17" s="35">
        <v>999.11950944007981</v>
      </c>
      <c r="E17" s="36">
        <v>1037.1392102313523</v>
      </c>
      <c r="F17" s="35">
        <v>998.24102935836231</v>
      </c>
      <c r="G17" s="36">
        <v>1079.273519835401</v>
      </c>
      <c r="H17" s="35">
        <v>997.36221161356684</v>
      </c>
      <c r="I17" s="36">
        <v>1127.4054326377254</v>
      </c>
      <c r="J17" s="35">
        <v>996.47970542942608</v>
      </c>
      <c r="K17" s="36">
        <v>1182.8132676883463</v>
      </c>
      <c r="L17" s="35">
        <v>995.58883914860689</v>
      </c>
      <c r="M17" s="36">
        <v>1247.1486844857614</v>
      </c>
      <c r="N17" s="35">
        <v>994.68336481769654</v>
      </c>
      <c r="O17" s="36">
        <v>1322.5884481367409</v>
      </c>
      <c r="P17" s="35">
        <v>993.75471271244987</v>
      </c>
      <c r="Q17" s="36">
        <v>1412.0441485215338</v>
      </c>
      <c r="R17" s="35">
        <v>992.79131388049564</v>
      </c>
      <c r="S17" s="36">
        <v>1519.498268375823</v>
      </c>
      <c r="T17" s="35">
        <v>991.77753490278849</v>
      </c>
      <c r="U17" s="36">
        <v>1650.5296779190319</v>
      </c>
      <c r="V17" s="35">
        <v>990.6922472244778</v>
      </c>
      <c r="W17" s="36">
        <v>1813.1796294751452</v>
      </c>
      <c r="X17" s="35">
        <v>989.50689605795105</v>
      </c>
      <c r="Y17" s="36">
        <v>2019.4366782885304</v>
      </c>
      <c r="Z17" s="35">
        <v>988.18296137788479</v>
      </c>
      <c r="AA17" s="36">
        <v>2287.9227229955204</v>
      </c>
      <c r="AB17" s="35">
        <v>986.66886388713795</v>
      </c>
      <c r="AC17" s="36">
        <v>2649.0698714704213</v>
      </c>
      <c r="AD17" s="35">
        <v>984.89705627776834</v>
      </c>
      <c r="AE17" s="36">
        <v>3155.9222593901532</v>
      </c>
      <c r="AF17" s="35">
        <v>982.78449438872155</v>
      </c>
      <c r="AG17" s="36">
        <v>3909.0856031119688</v>
      </c>
      <c r="AH17" s="35">
        <v>980.24894892602276</v>
      </c>
      <c r="AI17" s="36">
        <v>5122.6956779678239</v>
      </c>
      <c r="AJ17" s="35">
        <v>977.28921502823619</v>
      </c>
      <c r="AK17" s="36">
        <v>7334.9687180950341</v>
      </c>
      <c r="AL17" s="35">
        <v>974.31978098468767</v>
      </c>
      <c r="AM17" s="36">
        <v>12300.043577920274</v>
      </c>
      <c r="AN17" s="35">
        <v>973.37167561917329</v>
      </c>
      <c r="AO17" s="36">
        <v>29154.030933472219</v>
      </c>
      <c r="AP17" s="35">
        <v>973.83189939261024</v>
      </c>
      <c r="AQ17" s="36">
        <v>37685.967286569197</v>
      </c>
      <c r="AR17" s="35">
        <v>974.58999129615142</v>
      </c>
      <c r="AS17" s="36">
        <v>51211.568386582643</v>
      </c>
      <c r="AT17" s="35">
        <v>975.59055452002326</v>
      </c>
      <c r="AU17" s="36">
        <v>74717.180941571467</v>
      </c>
      <c r="AV17" s="35">
        <v>976.59333259096263</v>
      </c>
      <c r="AW17" s="36">
        <v>121702.90469963377</v>
      </c>
    </row>
    <row r="18" spans="1:49" x14ac:dyDescent="0.2">
      <c r="A18" t="s">
        <v>19</v>
      </c>
      <c r="B18" s="33">
        <v>27857.010133999996</v>
      </c>
      <c r="C18" s="34">
        <v>1236.7674480000003</v>
      </c>
      <c r="D18" s="33">
        <v>27856.638280679599</v>
      </c>
      <c r="E18" s="34">
        <v>1159.0915828486895</v>
      </c>
      <c r="F18" s="33">
        <v>27851.443931232774</v>
      </c>
      <c r="G18" s="34">
        <v>1081.9304292207842</v>
      </c>
      <c r="H18" s="33">
        <v>27840.678185522465</v>
      </c>
      <c r="I18" s="34">
        <v>1005.3295496738647</v>
      </c>
      <c r="J18" s="33">
        <v>27823.426279913445</v>
      </c>
      <c r="K18" s="34">
        <v>929.33685301799903</v>
      </c>
      <c r="L18" s="33">
        <v>27798.556538514153</v>
      </c>
      <c r="M18" s="34">
        <v>854.0061763015899</v>
      </c>
      <c r="N18" s="33">
        <v>27764.644606399666</v>
      </c>
      <c r="O18" s="34">
        <v>779.39561103987762</v>
      </c>
      <c r="P18" s="33">
        <v>27719.875024270779</v>
      </c>
      <c r="Q18" s="34">
        <v>705.57298413145895</v>
      </c>
      <c r="R18" s="33">
        <v>27661.888013749114</v>
      </c>
      <c r="S18" s="34">
        <v>632.61829673532668</v>
      </c>
      <c r="T18" s="33">
        <v>27587.552434070923</v>
      </c>
      <c r="U18" s="34">
        <v>560.63019199773782</v>
      </c>
      <c r="V18" s="33">
        <v>27492.609071129766</v>
      </c>
      <c r="W18" s="34">
        <v>489.73682303511839</v>
      </c>
      <c r="X18" s="33">
        <v>27371.093452101999</v>
      </c>
      <c r="Y18" s="34">
        <v>420.11295507609384</v>
      </c>
      <c r="Z18" s="33">
        <v>27214.353892102379</v>
      </c>
      <c r="AA18" s="34">
        <v>352.00896765067426</v>
      </c>
      <c r="AB18" s="33">
        <v>27009.286295123093</v>
      </c>
      <c r="AC18" s="34">
        <v>285.79992924025072</v>
      </c>
      <c r="AD18" s="33">
        <v>26734.934197576906</v>
      </c>
      <c r="AE18" s="34">
        <v>222.06967216754961</v>
      </c>
      <c r="AF18" s="33">
        <v>26355.341016039245</v>
      </c>
      <c r="AG18" s="34">
        <v>161.75737878542435</v>
      </c>
      <c r="AH18" s="33">
        <v>25802.694713578527</v>
      </c>
      <c r="AI18" s="34">
        <v>106.41556845491465</v>
      </c>
      <c r="AJ18" s="33">
        <v>24930.863074983463</v>
      </c>
      <c r="AK18" s="34">
        <v>58.641739788828211</v>
      </c>
      <c r="AL18" s="33">
        <v>23354.485243890598</v>
      </c>
      <c r="AM18" s="34">
        <v>22.624569457237946</v>
      </c>
      <c r="AN18" s="33">
        <v>19634.399440310968</v>
      </c>
      <c r="AO18" s="34">
        <v>3.507341178337267</v>
      </c>
      <c r="AP18" s="33">
        <v>18190.231958410117</v>
      </c>
      <c r="AQ18" s="34">
        <v>1.8786016458600872</v>
      </c>
      <c r="AR18" s="33">
        <v>16210.039470986903</v>
      </c>
      <c r="AS18" s="34">
        <v>0.85073621677551625</v>
      </c>
      <c r="AT18" s="33">
        <v>13324.157721385736</v>
      </c>
      <c r="AU18" s="34">
        <v>0.29532482989081399</v>
      </c>
      <c r="AV18" s="33">
        <v>8705.8730015988731</v>
      </c>
      <c r="AW18" s="34">
        <v>6.1136371229591556E-2</v>
      </c>
    </row>
    <row r="19" spans="1:49" x14ac:dyDescent="0.2">
      <c r="A19" t="s">
        <v>3</v>
      </c>
      <c r="B19" s="41">
        <v>1886.3937400000138</v>
      </c>
      <c r="C19" s="42">
        <v>262.7871129999973</v>
      </c>
      <c r="D19" s="41">
        <v>1883.930603437012</v>
      </c>
      <c r="E19" s="42">
        <v>260.46864675370909</v>
      </c>
      <c r="F19" s="41">
        <v>1881.1453806845343</v>
      </c>
      <c r="G19" s="42">
        <v>258.44772618575922</v>
      </c>
      <c r="H19" s="41">
        <v>1877.9822814483409</v>
      </c>
      <c r="I19" s="42">
        <v>256.76563453356783</v>
      </c>
      <c r="J19" s="41">
        <v>1874.3718246672115</v>
      </c>
      <c r="K19" s="42">
        <v>255.47173941925428</v>
      </c>
      <c r="L19" s="41">
        <v>1870.22669184402</v>
      </c>
      <c r="M19" s="42">
        <v>254.62477895428117</v>
      </c>
      <c r="N19" s="41">
        <v>1865.4358119488986</v>
      </c>
      <c r="O19" s="42">
        <v>254.29849849678419</v>
      </c>
      <c r="P19" s="41">
        <v>1859.8561513366481</v>
      </c>
      <c r="Q19" s="42">
        <v>254.58184561913808</v>
      </c>
      <c r="R19" s="41">
        <v>1853.3007499145906</v>
      </c>
      <c r="S19" s="42">
        <v>255.58476435528112</v>
      </c>
      <c r="T19" s="41">
        <v>1845.521113763705</v>
      </c>
      <c r="U19" s="42">
        <v>257.44283317601412</v>
      </c>
      <c r="V19" s="41">
        <v>1836.1802326282339</v>
      </c>
      <c r="W19" s="42">
        <v>260.32294866439258</v>
      </c>
      <c r="X19" s="41">
        <v>1824.8101523229177</v>
      </c>
      <c r="Y19" s="42">
        <v>264.42804055650595</v>
      </c>
      <c r="Z19" s="41">
        <v>1810.7420465553232</v>
      </c>
      <c r="AA19" s="42">
        <v>269.99724097991225</v>
      </c>
      <c r="AB19" s="41">
        <v>1792.984897186835</v>
      </c>
      <c r="AC19" s="42">
        <v>277.2904004973953</v>
      </c>
      <c r="AD19" s="41">
        <v>1770.0006509195966</v>
      </c>
      <c r="AE19" s="42">
        <v>286.52599213282826</v>
      </c>
      <c r="AF19" s="41">
        <v>1739.2499692059091</v>
      </c>
      <c r="AG19" s="42">
        <v>297.67978995615908</v>
      </c>
      <c r="AH19" s="41">
        <v>1696.1607249941396</v>
      </c>
      <c r="AI19" s="42">
        <v>309.8582238067861</v>
      </c>
      <c r="AJ19" s="41">
        <v>1631.3639850558086</v>
      </c>
      <c r="AK19" s="42">
        <v>319.26992118958589</v>
      </c>
      <c r="AL19" s="41">
        <v>1521.1553146375693</v>
      </c>
      <c r="AM19" s="42">
        <v>312.27214922716456</v>
      </c>
      <c r="AN19" s="41">
        <v>1276.9553834265173</v>
      </c>
      <c r="AO19" s="42">
        <v>242.36632091233361</v>
      </c>
      <c r="AP19" s="41">
        <v>1183.8855172956933</v>
      </c>
      <c r="AQ19" s="42">
        <v>211.76677569525461</v>
      </c>
      <c r="AR19" s="41">
        <v>1056.2601827840074</v>
      </c>
      <c r="AS19" s="42">
        <v>172.87427560161214</v>
      </c>
      <c r="AT19" s="41">
        <v>869.57138449423451</v>
      </c>
      <c r="AU19" s="42">
        <v>124.71695584168806</v>
      </c>
      <c r="AV19" s="41">
        <v>569.05752188947588</v>
      </c>
      <c r="AW19" s="42">
        <v>66.899383958562893</v>
      </c>
    </row>
    <row r="20" spans="1:49" x14ac:dyDescent="0.2">
      <c r="A20" t="s">
        <v>127</v>
      </c>
      <c r="B20" s="82">
        <v>26548.356269999993</v>
      </c>
      <c r="C20" s="83">
        <v>1408.5418709999938</v>
      </c>
      <c r="D20" s="82">
        <v>26539.654089542386</v>
      </c>
      <c r="E20" s="83">
        <v>1338.1147774499941</v>
      </c>
      <c r="F20" s="82">
        <v>26526.349821402342</v>
      </c>
      <c r="G20" s="83">
        <v>1267.6876838999945</v>
      </c>
      <c r="H20" s="82">
        <v>26507.712279363346</v>
      </c>
      <c r="I20" s="83">
        <v>1197.2605903499946</v>
      </c>
      <c r="J20" s="82">
        <v>26482.843486573747</v>
      </c>
      <c r="K20" s="83">
        <v>1126.8334967999951</v>
      </c>
      <c r="L20" s="82">
        <v>26450.627511286537</v>
      </c>
      <c r="M20" s="83">
        <v>1056.4064032499953</v>
      </c>
      <c r="N20" s="82">
        <v>26409.655400562922</v>
      </c>
      <c r="O20" s="83">
        <v>985.97930969999561</v>
      </c>
      <c r="P20" s="82">
        <v>26358.125734855097</v>
      </c>
      <c r="Q20" s="83">
        <v>915.55221614999596</v>
      </c>
      <c r="R20" s="82">
        <v>26293.692741461975</v>
      </c>
      <c r="S20" s="83">
        <v>845.12512259999642</v>
      </c>
      <c r="T20" s="82">
        <v>26213.241595771455</v>
      </c>
      <c r="U20" s="83">
        <v>774.69802904999653</v>
      </c>
      <c r="V20" s="82">
        <v>26112.537776048066</v>
      </c>
      <c r="W20" s="83">
        <v>704.27093549999688</v>
      </c>
      <c r="X20" s="82">
        <v>25985.664022964087</v>
      </c>
      <c r="Y20" s="83">
        <v>633.84384194999734</v>
      </c>
      <c r="Z20" s="82">
        <v>25824.070463685977</v>
      </c>
      <c r="AA20" s="83">
        <v>563.41674839999757</v>
      </c>
      <c r="AB20" s="82">
        <v>25614.88288043821</v>
      </c>
      <c r="AC20" s="83">
        <v>492.98965484999775</v>
      </c>
      <c r="AD20" s="82">
        <v>25337.676604408953</v>
      </c>
      <c r="AE20" s="83">
        <v>422.56256129999804</v>
      </c>
      <c r="AF20" s="82">
        <v>24957.763210418729</v>
      </c>
      <c r="AG20" s="83">
        <v>352.13546774999827</v>
      </c>
      <c r="AH20" s="82">
        <v>24410.512220366938</v>
      </c>
      <c r="AI20" s="83">
        <v>281.70837419999856</v>
      </c>
      <c r="AJ20" s="82">
        <v>23558.450800656821</v>
      </c>
      <c r="AK20" s="83">
        <v>211.28128064999879</v>
      </c>
      <c r="AL20" s="82">
        <v>22042.910015868398</v>
      </c>
      <c r="AM20" s="83">
        <v>140.85418709999902</v>
      </c>
      <c r="AN20" s="82">
        <v>18524.722885552266</v>
      </c>
      <c r="AO20" s="83">
        <v>70.427093549999285</v>
      </c>
      <c r="AP20" s="82">
        <v>17165.335189075387</v>
      </c>
      <c r="AQ20" s="83">
        <v>56.341674839999328</v>
      </c>
      <c r="AR20" s="82">
        <v>15301.339921908137</v>
      </c>
      <c r="AS20" s="83">
        <v>42.256256129999379</v>
      </c>
      <c r="AT20" s="82">
        <v>12582.23576178759</v>
      </c>
      <c r="AU20" s="83">
        <v>28.170837419999433</v>
      </c>
      <c r="AV20" s="82">
        <v>8224.3701782539865</v>
      </c>
      <c r="AW20" s="83">
        <v>14.08541870999948</v>
      </c>
    </row>
    <row r="21" spans="1:49" x14ac:dyDescent="0.2">
      <c r="A21" t="s">
        <v>76</v>
      </c>
      <c r="B21" s="82">
        <v>24661.962530000252</v>
      </c>
      <c r="C21" s="83">
        <v>1145.7547579999959</v>
      </c>
      <c r="D21" s="82">
        <v>24655.724448518104</v>
      </c>
      <c r="E21" s="83">
        <v>1077.7872393300586</v>
      </c>
      <c r="F21" s="82">
        <v>24645.208284630226</v>
      </c>
      <c r="G21" s="83">
        <v>1009.8380130564731</v>
      </c>
      <c r="H21" s="82">
        <v>24629.738647556147</v>
      </c>
      <c r="I21" s="83">
        <v>941.92455891158852</v>
      </c>
      <c r="J21" s="82">
        <v>24608.487073290227</v>
      </c>
      <c r="K21" s="83">
        <v>874.0697869092935</v>
      </c>
      <c r="L21" s="82">
        <v>24580.425020584702</v>
      </c>
      <c r="M21" s="83">
        <v>806.30446720023224</v>
      </c>
      <c r="N21" s="82">
        <v>24544.254738082789</v>
      </c>
      <c r="O21" s="83">
        <v>738.66714365057533</v>
      </c>
      <c r="P21" s="82">
        <v>24498.318057233566</v>
      </c>
      <c r="Q21" s="83">
        <v>671.21059747799688</v>
      </c>
      <c r="R21" s="82">
        <v>24440.456509346212</v>
      </c>
      <c r="S21" s="83">
        <v>604.00578851038335</v>
      </c>
      <c r="T21" s="82">
        <v>24367.804293519301</v>
      </c>
      <c r="U21" s="83">
        <v>537.15019073724193</v>
      </c>
      <c r="V21" s="82">
        <v>24276.464702610989</v>
      </c>
      <c r="W21" s="83">
        <v>470.77986009062823</v>
      </c>
      <c r="X21" s="82">
        <v>24160.989643243076</v>
      </c>
      <c r="Y21" s="83">
        <v>405.08840104636772</v>
      </c>
      <c r="Z21" s="82">
        <v>24013.499886299378</v>
      </c>
      <c r="AA21" s="83">
        <v>340.35701864326091</v>
      </c>
      <c r="AB21" s="82">
        <v>23822.114940124069</v>
      </c>
      <c r="AC21" s="83">
        <v>277.00355182658063</v>
      </c>
      <c r="AD21" s="82">
        <v>23567.952148007</v>
      </c>
      <c r="AE21" s="83">
        <v>215.66453097028679</v>
      </c>
      <c r="AF21" s="82">
        <v>23218.867876634518</v>
      </c>
      <c r="AG21" s="83">
        <v>157.33654718542425</v>
      </c>
      <c r="AH21" s="82">
        <v>22714.809847113054</v>
      </c>
      <c r="AI21" s="83">
        <v>103.62189607838889</v>
      </c>
      <c r="AJ21" s="82">
        <v>21927.674381689292</v>
      </c>
      <c r="AK21" s="83">
        <v>57.141308886004687</v>
      </c>
      <c r="AL21" s="82">
        <v>20522.460918695338</v>
      </c>
      <c r="AM21" s="83">
        <v>22.052989683868283</v>
      </c>
      <c r="AN21" s="82">
        <v>17248.406591852454</v>
      </c>
      <c r="AO21" s="83">
        <v>3.4190721793685417</v>
      </c>
      <c r="AP21" s="82">
        <v>15982.021154682767</v>
      </c>
      <c r="AQ21" s="83">
        <v>1.831332305096905</v>
      </c>
      <c r="AR21" s="82">
        <v>14245.55950142343</v>
      </c>
      <c r="AS21" s="83">
        <v>0.82933236200366056</v>
      </c>
      <c r="AT21" s="82">
        <v>11713.027854013078</v>
      </c>
      <c r="AU21" s="83">
        <v>0.28789505981647878</v>
      </c>
      <c r="AV21" s="82">
        <v>7655.5307791193418</v>
      </c>
      <c r="AW21" s="83">
        <v>5.9598337803736197E-2</v>
      </c>
    </row>
    <row r="22" spans="1:49" x14ac:dyDescent="0.2">
      <c r="A22" t="s">
        <v>28</v>
      </c>
      <c r="B22" s="41">
        <v>6533.6044688320853</v>
      </c>
      <c r="C22" s="42">
        <v>379.90788307663502</v>
      </c>
      <c r="D22" s="41">
        <v>6534.7254377175332</v>
      </c>
      <c r="E22" s="42">
        <v>363.37987644614691</v>
      </c>
      <c r="F22" s="41">
        <v>6534.1888540087321</v>
      </c>
      <c r="G22" s="42">
        <v>346.58758072004139</v>
      </c>
      <c r="H22" s="41">
        <v>6531.7414709279146</v>
      </c>
      <c r="I22" s="42">
        <v>329.52623091786307</v>
      </c>
      <c r="J22" s="41">
        <v>6527.0728282431583</v>
      </c>
      <c r="K22" s="42">
        <v>312.19173286514325</v>
      </c>
      <c r="L22" s="41">
        <v>6519.7973521446556</v>
      </c>
      <c r="M22" s="42">
        <v>294.58116232389597</v>
      </c>
      <c r="N22" s="41">
        <v>6509.4343856418063</v>
      </c>
      <c r="O22" s="42">
        <v>276.69124955308462</v>
      </c>
      <c r="P22" s="41">
        <v>6495.3707278583051</v>
      </c>
      <c r="Q22" s="42">
        <v>258.52021350478799</v>
      </c>
      <c r="R22" s="41">
        <v>6476.8140698125753</v>
      </c>
      <c r="S22" s="42">
        <v>240.06695471461032</v>
      </c>
      <c r="T22" s="41">
        <v>6452.7205581970584</v>
      </c>
      <c r="U22" s="42">
        <v>221.33131106213699</v>
      </c>
      <c r="V22" s="41">
        <v>6421.6836686316046</v>
      </c>
      <c r="W22" s="42">
        <v>202.31383903519477</v>
      </c>
      <c r="X22" s="41">
        <v>6381.7580536234063</v>
      </c>
      <c r="Y22" s="42">
        <v>183.01557784398935</v>
      </c>
      <c r="Z22" s="41">
        <v>6330.1666478201987</v>
      </c>
      <c r="AA22" s="42">
        <v>163.43737425206669</v>
      </c>
      <c r="AB22" s="41">
        <v>6262.7879559916382</v>
      </c>
      <c r="AC22" s="42">
        <v>143.57865294852894</v>
      </c>
      <c r="AD22" s="41">
        <v>6173.1987065422818</v>
      </c>
      <c r="AE22" s="42">
        <v>123.43541802561916</v>
      </c>
      <c r="AF22" s="41">
        <v>6050.7303663927169</v>
      </c>
      <c r="AG22" s="42">
        <v>102.99749765358077</v>
      </c>
      <c r="AH22" s="41">
        <v>5876.0694552793229</v>
      </c>
      <c r="AI22" s="42">
        <v>82.246290404656676</v>
      </c>
      <c r="AJ22" s="41">
        <v>5609.6776263596557</v>
      </c>
      <c r="AK22" s="42">
        <v>61.161577201126278</v>
      </c>
      <c r="AL22" s="41">
        <v>5153.7256021367775</v>
      </c>
      <c r="AM22" s="42">
        <v>39.780403603515119</v>
      </c>
      <c r="AN22" s="41">
        <v>4171.1724521410706</v>
      </c>
      <c r="AO22" s="42">
        <v>18.527175357135807</v>
      </c>
      <c r="AP22" s="41">
        <v>3814.3315031054722</v>
      </c>
      <c r="AQ22" s="42">
        <v>14.426762274846485</v>
      </c>
      <c r="AR22" s="41">
        <v>3341.9087129369223</v>
      </c>
      <c r="AS22" s="42">
        <v>10.446094151632186</v>
      </c>
      <c r="AT22" s="41">
        <v>2683.4194917211989</v>
      </c>
      <c r="AU22" s="42">
        <v>6.6422622939938902</v>
      </c>
      <c r="AV22" s="41">
        <v>1692.8877012257476</v>
      </c>
      <c r="AW22" s="42">
        <v>3.104902728620095</v>
      </c>
    </row>
    <row r="23" spans="1:49" x14ac:dyDescent="0.2">
      <c r="A23" t="s">
        <v>7</v>
      </c>
      <c r="B23" s="116">
        <v>3278.5018080150408</v>
      </c>
      <c r="C23" s="8">
        <v>0</v>
      </c>
      <c r="D23" s="116">
        <v>3284.2330180407016</v>
      </c>
      <c r="E23" s="8">
        <v>0</v>
      </c>
      <c r="F23" s="116">
        <v>3289.5935223458659</v>
      </c>
      <c r="G23" s="8">
        <v>0</v>
      </c>
      <c r="H23" s="116">
        <v>3294.5204774580802</v>
      </c>
      <c r="I23" s="8">
        <v>0</v>
      </c>
      <c r="J23" s="116">
        <v>3298.9356638105514</v>
      </c>
      <c r="K23" s="8">
        <v>0</v>
      </c>
      <c r="L23" s="116">
        <v>3302.7402328762955</v>
      </c>
      <c r="M23" s="8">
        <v>0</v>
      </c>
      <c r="N23" s="116">
        <v>3305.8078557826993</v>
      </c>
      <c r="O23" s="8">
        <v>0</v>
      </c>
      <c r="P23" s="116">
        <v>3307.9741646312036</v>
      </c>
      <c r="Q23" s="8">
        <v>0</v>
      </c>
      <c r="R23" s="116">
        <v>3309.0216732312297</v>
      </c>
      <c r="S23" s="8">
        <v>0</v>
      </c>
      <c r="T23" s="116">
        <v>3308.65673289298</v>
      </c>
      <c r="U23" s="8">
        <v>0</v>
      </c>
      <c r="V23" s="116">
        <v>3306.4732314369967</v>
      </c>
      <c r="W23" s="8">
        <v>0</v>
      </c>
      <c r="X23" s="116">
        <v>3301.8938018228287</v>
      </c>
      <c r="Y23" s="8">
        <v>0</v>
      </c>
      <c r="Z23" s="116">
        <v>3294.0696914842506</v>
      </c>
      <c r="AA23" s="8">
        <v>0</v>
      </c>
      <c r="AB23" s="116">
        <v>3281.7008400608079</v>
      </c>
      <c r="AC23" s="8">
        <v>0</v>
      </c>
      <c r="AD23" s="116">
        <v>3262.6896408678094</v>
      </c>
      <c r="AE23" s="8">
        <v>0</v>
      </c>
      <c r="AF23" s="116">
        <v>3233.4126337551988</v>
      </c>
      <c r="AG23" s="8">
        <v>0</v>
      </c>
      <c r="AH23" s="116">
        <v>3186.9939474299795</v>
      </c>
      <c r="AI23" s="8">
        <v>0</v>
      </c>
      <c r="AJ23" s="116">
        <v>3108.463857863364</v>
      </c>
      <c r="AK23" s="8">
        <v>0</v>
      </c>
      <c r="AL23" s="116">
        <v>2957.2355581646943</v>
      </c>
      <c r="AM23" s="8">
        <v>0</v>
      </c>
      <c r="AN23" s="116">
        <v>2569.0173330486105</v>
      </c>
      <c r="AO23" s="8">
        <v>0</v>
      </c>
      <c r="AP23" s="116">
        <v>2407.6174427907581</v>
      </c>
      <c r="AQ23" s="8">
        <v>0</v>
      </c>
      <c r="AR23" s="116">
        <v>2177.3126501762904</v>
      </c>
      <c r="AS23" s="8">
        <v>0</v>
      </c>
      <c r="AT23" s="116">
        <v>1824.7236236757387</v>
      </c>
      <c r="AU23" s="8">
        <v>0</v>
      </c>
      <c r="AV23" s="116">
        <v>1224.6754161280596</v>
      </c>
      <c r="AW23" s="8">
        <v>0</v>
      </c>
    </row>
    <row r="24" spans="1:49" x14ac:dyDescent="0.2">
      <c r="A24" t="s">
        <v>8</v>
      </c>
      <c r="B24" s="97">
        <v>3196.3846373657216</v>
      </c>
      <c r="C24" s="8">
        <v>0</v>
      </c>
      <c r="D24" s="97">
        <v>3201.9722965431783</v>
      </c>
      <c r="E24" s="8">
        <v>0</v>
      </c>
      <c r="F24" s="97">
        <v>3207.1985356069981</v>
      </c>
      <c r="G24" s="8">
        <v>0</v>
      </c>
      <c r="H24" s="97">
        <v>3212.002084448161</v>
      </c>
      <c r="I24" s="8">
        <v>0</v>
      </c>
      <c r="J24" s="97">
        <v>3216.3066815986363</v>
      </c>
      <c r="K24" s="8">
        <v>0</v>
      </c>
      <c r="L24" s="97">
        <v>3220.0159583043323</v>
      </c>
      <c r="M24" s="8">
        <v>0</v>
      </c>
      <c r="N24" s="97">
        <v>3223.0067458925519</v>
      </c>
      <c r="O24" s="8">
        <v>0</v>
      </c>
      <c r="P24" s="97">
        <v>3225.1187948346851</v>
      </c>
      <c r="Q24" s="8">
        <v>0</v>
      </c>
      <c r="R24" s="97">
        <v>3226.140066291006</v>
      </c>
      <c r="S24" s="8">
        <v>0</v>
      </c>
      <c r="T24" s="97">
        <v>3225.7842667626041</v>
      </c>
      <c r="U24" s="8">
        <v>0</v>
      </c>
      <c r="V24" s="97">
        <v>3223.6554559448623</v>
      </c>
      <c r="W24" s="8">
        <v>0</v>
      </c>
      <c r="X24" s="97">
        <v>3219.1907280801224</v>
      </c>
      <c r="Y24" s="8">
        <v>0</v>
      </c>
      <c r="Z24" s="97">
        <v>3211.5625894589739</v>
      </c>
      <c r="AA24" s="8">
        <v>0</v>
      </c>
      <c r="AB24" s="97">
        <v>3199.5035426572808</v>
      </c>
      <c r="AC24" s="8">
        <v>0</v>
      </c>
      <c r="AD24" s="97">
        <v>3180.9685201115522</v>
      </c>
      <c r="AE24" s="8">
        <v>0</v>
      </c>
      <c r="AF24" s="97">
        <v>3152.4248189497089</v>
      </c>
      <c r="AG24" s="8">
        <v>0</v>
      </c>
      <c r="AH24" s="97">
        <v>3107.1687891714805</v>
      </c>
      <c r="AI24" s="8">
        <v>0</v>
      </c>
      <c r="AJ24" s="97">
        <v>3030.6056555426067</v>
      </c>
      <c r="AK24" s="8">
        <v>0</v>
      </c>
      <c r="AL24" s="97">
        <v>2883.1651957919835</v>
      </c>
      <c r="AM24" s="8">
        <v>0</v>
      </c>
      <c r="AN24" s="97">
        <v>2504.6707360149107</v>
      </c>
      <c r="AO24" s="8">
        <v>0</v>
      </c>
      <c r="AP24" s="97">
        <v>2347.3134551889452</v>
      </c>
      <c r="AQ24" s="8">
        <v>0</v>
      </c>
      <c r="AR24" s="97">
        <v>2122.7771443512129</v>
      </c>
      <c r="AS24" s="8">
        <v>0</v>
      </c>
      <c r="AT24" s="97">
        <v>1779.0194728324691</v>
      </c>
      <c r="AU24" s="8">
        <v>0</v>
      </c>
      <c r="AV24" s="97">
        <v>1194.0007708095484</v>
      </c>
      <c r="AW24" s="8">
        <v>0</v>
      </c>
    </row>
    <row r="25" spans="1:49" x14ac:dyDescent="0.2">
      <c r="A25" t="s">
        <v>0</v>
      </c>
      <c r="B25" s="41">
        <v>3195.0476040000012</v>
      </c>
      <c r="C25" s="42">
        <v>91.012690000004397</v>
      </c>
      <c r="D25" s="41">
        <v>3200.9107546233399</v>
      </c>
      <c r="E25" s="42">
        <v>81.251888211898802</v>
      </c>
      <c r="F25" s="41">
        <v>3206.2233123556466</v>
      </c>
      <c r="G25" s="42">
        <v>71.887500594321352</v>
      </c>
      <c r="H25" s="41">
        <v>3210.911728198269</v>
      </c>
      <c r="I25" s="42">
        <v>62.953229048086691</v>
      </c>
      <c r="J25" s="41">
        <v>3214.8895631067999</v>
      </c>
      <c r="K25" s="42">
        <v>54.484384918096318</v>
      </c>
      <c r="L25" s="41">
        <v>3218.0533976244674</v>
      </c>
      <c r="M25" s="42">
        <v>46.517902943185845</v>
      </c>
      <c r="N25" s="41">
        <v>3220.276176655153</v>
      </c>
      <c r="O25" s="42">
        <v>39.090967073428658</v>
      </c>
      <c r="P25" s="41">
        <v>3221.3998501184155</v>
      </c>
      <c r="Q25" s="42">
        <v>32.241319869924808</v>
      </c>
      <c r="R25" s="41">
        <v>3221.2219297125534</v>
      </c>
      <c r="S25" s="42">
        <v>26.005782016299197</v>
      </c>
      <c r="T25" s="41">
        <v>3219.4752701451812</v>
      </c>
      <c r="U25" s="42">
        <v>20.41894685000878</v>
      </c>
      <c r="V25" s="41">
        <v>3215.7946267023935</v>
      </c>
      <c r="W25" s="42">
        <v>15.511220511676854</v>
      </c>
      <c r="X25" s="41">
        <v>3209.6594889068738</v>
      </c>
      <c r="Y25" s="42">
        <v>11.306151094872696</v>
      </c>
      <c r="Z25" s="41">
        <v>3200.2911794589268</v>
      </c>
      <c r="AA25" s="42">
        <v>7.8168673243558082</v>
      </c>
      <c r="AB25" s="41">
        <v>3186.4567630749975</v>
      </c>
      <c r="AC25" s="42">
        <v>5.041484710044954</v>
      </c>
      <c r="AD25" s="41">
        <v>3166.0686596427763</v>
      </c>
      <c r="AE25" s="42">
        <v>2.9574416992163042</v>
      </c>
      <c r="AF25" s="41">
        <v>3135.2946505501804</v>
      </c>
      <c r="AG25" s="42">
        <v>1.5150692695932324</v>
      </c>
      <c r="AH25" s="41">
        <v>3086.3528027423663</v>
      </c>
      <c r="AI25" s="42">
        <v>0.63133920688362832</v>
      </c>
      <c r="AJ25" s="41">
        <v>3001.2112270150969</v>
      </c>
      <c r="AK25" s="42">
        <v>0.18632238283112898</v>
      </c>
      <c r="AL25" s="41">
        <v>2829.6310506398354</v>
      </c>
      <c r="AM25" s="42">
        <v>2.8374247696176812E-2</v>
      </c>
      <c r="AN25" s="41">
        <v>2383.8222571912729</v>
      </c>
      <c r="AO25" s="42">
        <v>8.7875335668828678E-4</v>
      </c>
      <c r="AP25" s="41">
        <v>2206.2719180929976</v>
      </c>
      <c r="AQ25" s="42">
        <v>2.8853547455542179E-4</v>
      </c>
      <c r="AR25" s="41">
        <v>1962.8551456344042</v>
      </c>
      <c r="AS25" s="42">
        <v>7.2485232837117853E-5</v>
      </c>
      <c r="AT25" s="41">
        <v>1609.9017385400966</v>
      </c>
      <c r="AU25" s="42">
        <v>1.2107810350637336E-5</v>
      </c>
      <c r="AV25" s="41">
        <v>1049.6069383363688</v>
      </c>
      <c r="AW25" s="42">
        <v>9.6731703468883684E-7</v>
      </c>
    </row>
    <row r="26" spans="1:49" x14ac:dyDescent="0.2">
      <c r="A26" t="s">
        <v>27</v>
      </c>
      <c r="B26" s="33">
        <v>5036.2953101960647</v>
      </c>
      <c r="C26" s="34">
        <v>74.905331803938267</v>
      </c>
      <c r="D26" s="33">
        <v>5040.6018541501498</v>
      </c>
      <c r="E26" s="34">
        <v>70.598787849855867</v>
      </c>
      <c r="F26" s="33">
        <v>5044.8870183636473</v>
      </c>
      <c r="G26" s="34">
        <v>66.313623636360091</v>
      </c>
      <c r="H26" s="33">
        <v>5049.1498973587759</v>
      </c>
      <c r="I26" s="34">
        <v>62.050744641228853</v>
      </c>
      <c r="J26" s="33">
        <v>5053.3897883433738</v>
      </c>
      <c r="K26" s="34">
        <v>57.810853656627394</v>
      </c>
      <c r="L26" s="33">
        <v>5057.6061525205341</v>
      </c>
      <c r="M26" s="34">
        <v>53.594489479469047</v>
      </c>
      <c r="N26" s="33">
        <v>5061.7987714020446</v>
      </c>
      <c r="O26" s="34">
        <v>49.401870597958286</v>
      </c>
      <c r="P26" s="33">
        <v>5065.9676920428428</v>
      </c>
      <c r="Q26" s="34">
        <v>45.232949957167875</v>
      </c>
      <c r="R26" s="33">
        <v>5070.1132986782777</v>
      </c>
      <c r="S26" s="34">
        <v>41.087343321727424</v>
      </c>
      <c r="T26" s="33">
        <v>5074.2362733156242</v>
      </c>
      <c r="U26" s="34">
        <v>36.964368684380169</v>
      </c>
      <c r="V26" s="33">
        <v>5078.3374287184952</v>
      </c>
      <c r="W26" s="34">
        <v>32.86321328151157</v>
      </c>
      <c r="X26" s="33">
        <v>5082.4173016302575</v>
      </c>
      <c r="Y26" s="34">
        <v>28.783340369746551</v>
      </c>
      <c r="Z26" s="33">
        <v>5086.4752269521041</v>
      </c>
      <c r="AA26" s="34">
        <v>24.725415047900182</v>
      </c>
      <c r="AB26" s="33">
        <v>5090.5073761201393</v>
      </c>
      <c r="AC26" s="34">
        <v>20.693265879867962</v>
      </c>
      <c r="AD26" s="33">
        <v>5094.5026773613918</v>
      </c>
      <c r="AE26" s="34">
        <v>16.697964638614067</v>
      </c>
      <c r="AF26" s="33">
        <v>5098.4342495918345</v>
      </c>
      <c r="AG26" s="34">
        <v>12.766392408166187</v>
      </c>
      <c r="AH26" s="33">
        <v>5102.2410856906936</v>
      </c>
      <c r="AI26" s="34">
        <v>8.9595563093103294</v>
      </c>
      <c r="AJ26" s="33">
        <v>5105.788449263202</v>
      </c>
      <c r="AK26" s="34">
        <v>5.4121927368038332</v>
      </c>
      <c r="AL26" s="33">
        <v>5108.7871099092818</v>
      </c>
      <c r="AM26" s="34">
        <v>2.4135320907207287</v>
      </c>
      <c r="AN26" s="33">
        <v>5110.7041947787875</v>
      </c>
      <c r="AO26" s="34">
        <v>0.49644722121786555</v>
      </c>
      <c r="AP26" s="33">
        <v>5110.9073375184234</v>
      </c>
      <c r="AQ26" s="34">
        <v>0.29330448157790079</v>
      </c>
      <c r="AR26" s="33">
        <v>5111.0493946898241</v>
      </c>
      <c r="AS26" s="34">
        <v>0.15124731018070142</v>
      </c>
      <c r="AT26" s="33">
        <v>5111.1372784787618</v>
      </c>
      <c r="AU26" s="34">
        <v>6.336352124871987E-2</v>
      </c>
      <c r="AV26" s="33">
        <v>5111.1823900921563</v>
      </c>
      <c r="AW26" s="34">
        <v>1.8251907844086094E-2</v>
      </c>
    </row>
    <row r="27" spans="1:49" x14ac:dyDescent="0.2">
      <c r="A27" t="s">
        <v>2</v>
      </c>
      <c r="B27" s="35">
        <v>6425.1981590000414</v>
      </c>
      <c r="C27" s="36">
        <v>273.22915400000028</v>
      </c>
      <c r="D27" s="35">
        <v>6440.7065128601453</v>
      </c>
      <c r="E27" s="36">
        <v>257.72082545026205</v>
      </c>
      <c r="F27" s="35">
        <v>6456.1621973819865</v>
      </c>
      <c r="G27" s="36">
        <v>242.26511629786646</v>
      </c>
      <c r="H27" s="35">
        <v>6471.5615117802236</v>
      </c>
      <c r="I27" s="36">
        <v>226.86580203784675</v>
      </c>
      <c r="J27" s="35">
        <v>6486.9016023753129</v>
      </c>
      <c r="K27" s="36">
        <v>211.52574230217857</v>
      </c>
      <c r="L27" s="35">
        <v>6502.1799873742784</v>
      </c>
      <c r="M27" s="36">
        <v>196.24732642477207</v>
      </c>
      <c r="N27" s="35">
        <v>6517.395625654116</v>
      </c>
      <c r="O27" s="36">
        <v>181.03168844281228</v>
      </c>
      <c r="P27" s="35">
        <v>6532.5482389764675</v>
      </c>
      <c r="Q27" s="36">
        <v>165.87907496567962</v>
      </c>
      <c r="R27" s="35">
        <v>6547.6388181220345</v>
      </c>
      <c r="S27" s="36">
        <v>150.78849675703412</v>
      </c>
      <c r="T27" s="35">
        <v>6562.6694964475937</v>
      </c>
      <c r="U27" s="36">
        <v>135.75781706456328</v>
      </c>
      <c r="V27" s="35">
        <v>6577.6428624983864</v>
      </c>
      <c r="W27" s="36">
        <v>120.78445049228144</v>
      </c>
      <c r="X27" s="35">
        <v>6592.5605262148511</v>
      </c>
      <c r="Y27" s="36">
        <v>105.86678678104907</v>
      </c>
      <c r="Z27" s="35">
        <v>6607.4197107125956</v>
      </c>
      <c r="AA27" s="36">
        <v>91.007601859198274</v>
      </c>
      <c r="AB27" s="35">
        <v>6622.2060003290944</v>
      </c>
      <c r="AC27" s="36">
        <v>76.221310762288013</v>
      </c>
      <c r="AD27" s="35">
        <v>6636.8782792925704</v>
      </c>
      <c r="AE27" s="36">
        <v>61.54903707723193</v>
      </c>
      <c r="AF27" s="35">
        <v>6651.3370818775165</v>
      </c>
      <c r="AG27" s="36">
        <v>47.090230486341561</v>
      </c>
      <c r="AH27" s="35">
        <v>6665.3565378349949</v>
      </c>
      <c r="AI27" s="36">
        <v>33.070776706410626</v>
      </c>
      <c r="AJ27" s="35">
        <v>6678.437629896217</v>
      </c>
      <c r="AK27" s="36">
        <v>19.98968310120004</v>
      </c>
      <c r="AL27" s="35">
        <v>6689.5082775775691</v>
      </c>
      <c r="AM27" s="36">
        <v>8.9190354847584814</v>
      </c>
      <c r="AN27" s="35">
        <v>6696.592102495174</v>
      </c>
      <c r="AO27" s="36">
        <v>1.835212418860668</v>
      </c>
      <c r="AP27" s="35">
        <v>6697.3430195902383</v>
      </c>
      <c r="AQ27" s="36">
        <v>1.0842954977640671</v>
      </c>
      <c r="AR27" s="35">
        <v>6697.8681643817035</v>
      </c>
      <c r="AS27" s="36">
        <v>0.55914901628352764</v>
      </c>
      <c r="AT27" s="35">
        <v>6698.1930601457916</v>
      </c>
      <c r="AU27" s="36">
        <v>0.23425345632934338</v>
      </c>
      <c r="AV27" s="35">
        <v>6698.3598355112081</v>
      </c>
      <c r="AW27" s="36">
        <v>6.7477413885182719E-2</v>
      </c>
    </row>
    <row r="28" spans="1:49" x14ac:dyDescent="0.2">
      <c r="A28" t="s">
        <v>35</v>
      </c>
      <c r="B28" s="41">
        <v>13763.097676000029</v>
      </c>
      <c r="C28" s="42">
        <v>382.36647899999997</v>
      </c>
      <c r="D28" s="41">
        <v>13784.866834093016</v>
      </c>
      <c r="E28" s="42">
        <v>360.58335262571853</v>
      </c>
      <c r="F28" s="41">
        <v>13806.52471779153</v>
      </c>
      <c r="G28" s="42">
        <v>338.8837378847291</v>
      </c>
      <c r="H28" s="41">
        <v>13828.066678200725</v>
      </c>
      <c r="I28" s="42">
        <v>317.27278633672557</v>
      </c>
      <c r="J28" s="41">
        <v>13849.489226092295</v>
      </c>
      <c r="K28" s="42">
        <v>295.75443724922695</v>
      </c>
      <c r="L28" s="41">
        <v>13870.7894977417</v>
      </c>
      <c r="M28" s="42">
        <v>274.33191861311713</v>
      </c>
      <c r="N28" s="41">
        <v>13891.966534800042</v>
      </c>
      <c r="O28" s="42">
        <v>253.00673535278241</v>
      </c>
      <c r="P28" s="41">
        <v>13913.020524295651</v>
      </c>
      <c r="Q28" s="42">
        <v>231.77911588555895</v>
      </c>
      <c r="R28" s="41">
        <v>13933.953394593942</v>
      </c>
      <c r="S28" s="42">
        <v>210.64755972158932</v>
      </c>
      <c r="T28" s="41">
        <v>13954.768622505961</v>
      </c>
      <c r="U28" s="42">
        <v>189.60898393382607</v>
      </c>
      <c r="V28" s="41">
        <v>13975.470305583447</v>
      </c>
      <c r="W28" s="42">
        <v>168.65966447641603</v>
      </c>
      <c r="X28" s="41">
        <v>13996.061159006129</v>
      </c>
      <c r="Y28" s="42">
        <v>147.79725344491092</v>
      </c>
      <c r="Z28" s="41">
        <v>14016.537837372543</v>
      </c>
      <c r="AA28" s="42">
        <v>127.02553898980774</v>
      </c>
      <c r="AB28" s="41">
        <v>14036.881023231021</v>
      </c>
      <c r="AC28" s="42">
        <v>106.36455541462797</v>
      </c>
      <c r="AD28" s="41">
        <v>14057.034877329821</v>
      </c>
      <c r="AE28" s="42">
        <v>85.871594763528009</v>
      </c>
      <c r="AF28" s="41">
        <v>14076.863930029474</v>
      </c>
      <c r="AG28" s="42">
        <v>65.685301133533386</v>
      </c>
      <c r="AH28" s="41">
        <v>14096.060638335568</v>
      </c>
      <c r="AI28" s="42">
        <v>46.120448062761881</v>
      </c>
      <c r="AJ28" s="41">
        <v>14113.946040506631</v>
      </c>
      <c r="AK28" s="42">
        <v>27.872292413232994</v>
      </c>
      <c r="AL28" s="41">
        <v>14129.062754692037</v>
      </c>
      <c r="AM28" s="42">
        <v>12.434116619700259</v>
      </c>
      <c r="AN28" s="41">
        <v>14138.726018919535</v>
      </c>
      <c r="AO28" s="42">
        <v>2.5582248765005455</v>
      </c>
      <c r="AP28" s="41">
        <v>14139.749932390547</v>
      </c>
      <c r="AQ28" s="42">
        <v>1.5114552902732621</v>
      </c>
      <c r="AR28" s="41">
        <v>14140.465945048258</v>
      </c>
      <c r="AS28" s="42">
        <v>0.7794206683237308</v>
      </c>
      <c r="AT28" s="41">
        <v>14140.908905724054</v>
      </c>
      <c r="AU28" s="42">
        <v>0.3265339281210321</v>
      </c>
      <c r="AV28" s="41">
        <v>14141.136280375547</v>
      </c>
      <c r="AW28" s="42">
        <v>9.4058856189064982E-2</v>
      </c>
    </row>
    <row r="29" spans="1:49" x14ac:dyDescent="0.2">
      <c r="A29" t="s">
        <v>53</v>
      </c>
      <c r="B29" s="35">
        <v>14362.768558000025</v>
      </c>
      <c r="C29" s="36">
        <v>817.26650999999993</v>
      </c>
      <c r="D29" s="35">
        <v>14362.149649914532</v>
      </c>
      <c r="E29" s="36">
        <v>762.68042612569832</v>
      </c>
      <c r="F29" s="35">
        <v>14359.041716793407</v>
      </c>
      <c r="G29" s="36">
        <v>708.66654828296271</v>
      </c>
      <c r="H29" s="35">
        <v>14353.057674632793</v>
      </c>
      <c r="I29" s="36">
        <v>655.27608631362114</v>
      </c>
      <c r="J29" s="35">
        <v>14343.724467613116</v>
      </c>
      <c r="K29" s="36">
        <v>602.56406188545509</v>
      </c>
      <c r="L29" s="35">
        <v>14330.456746396112</v>
      </c>
      <c r="M29" s="36">
        <v>550.59196686883536</v>
      </c>
      <c r="N29" s="35">
        <v>14312.517191414472</v>
      </c>
      <c r="O29" s="36">
        <v>499.42658198244851</v>
      </c>
      <c r="P29" s="35">
        <v>14288.965905170327</v>
      </c>
      <c r="Q29" s="36">
        <v>449.14412568775896</v>
      </c>
      <c r="R29" s="35">
        <v>14258.580830821937</v>
      </c>
      <c r="S29" s="36">
        <v>399.83179284223775</v>
      </c>
      <c r="T29" s="35">
        <v>14219.740253023152</v>
      </c>
      <c r="U29" s="36">
        <v>351.59196983915723</v>
      </c>
      <c r="V29" s="35">
        <v>14170.238197214561</v>
      </c>
      <c r="W29" s="36">
        <v>304.54887200152581</v>
      </c>
      <c r="X29" s="35">
        <v>14106.986025133989</v>
      </c>
      <c r="Y29" s="36">
        <v>258.85857481536203</v>
      </c>
      <c r="Z29" s="35">
        <v>14025.505176883242</v>
      </c>
      <c r="AA29" s="36">
        <v>214.7254446673968</v>
      </c>
      <c r="AB29" s="35">
        <v>13919.016202400982</v>
      </c>
      <c r="AC29" s="36">
        <v>172.42913573696524</v>
      </c>
      <c r="AD29" s="35">
        <v>13776.685995638465</v>
      </c>
      <c r="AE29" s="36">
        <v>132.36964671311389</v>
      </c>
      <c r="AF29" s="35">
        <v>13579.947202779365</v>
      </c>
      <c r="AG29" s="36">
        <v>95.143999154529823</v>
      </c>
      <c r="AH29" s="35">
        <v>13293.828402870691</v>
      </c>
      <c r="AI29" s="36">
        <v>61.677773273293482</v>
      </c>
      <c r="AJ29" s="35">
        <v>12843.076016810372</v>
      </c>
      <c r="AK29" s="36">
        <v>33.436850317708398</v>
      </c>
      <c r="AL29" s="35">
        <v>12029.485610742913</v>
      </c>
      <c r="AM29" s="36">
        <v>12.66691569126569</v>
      </c>
      <c r="AN29" s="35">
        <v>10112.918168113709</v>
      </c>
      <c r="AO29" s="36">
        <v>1.9244029716653301</v>
      </c>
      <c r="AP29" s="35">
        <v>9369.271213274038</v>
      </c>
      <c r="AQ29" s="36">
        <v>1.0264223848790179</v>
      </c>
      <c r="AR29" s="35">
        <v>8349.6043741914018</v>
      </c>
      <c r="AS29" s="36">
        <v>0.46286530327495329</v>
      </c>
      <c r="AT29" s="35">
        <v>6863.4147471289334</v>
      </c>
      <c r="AU29" s="36">
        <v>0.16000623162590374</v>
      </c>
      <c r="AV29" s="35">
        <v>4484.6785783668047</v>
      </c>
      <c r="AW29" s="36">
        <v>3.2986809391632482E-2</v>
      </c>
    </row>
    <row r="30" spans="1:49" x14ac:dyDescent="0.2">
      <c r="A30" t="s">
        <v>48</v>
      </c>
      <c r="B30" s="119">
        <v>2924829.9599999995</v>
      </c>
      <c r="D30" s="119">
        <v>2991049.6913542645</v>
      </c>
      <c r="F30" s="119">
        <v>3059062.4383206051</v>
      </c>
      <c r="H30" s="119">
        <v>3129149.4565199185</v>
      </c>
      <c r="J30" s="119">
        <v>3201645.4468171014</v>
      </c>
      <c r="L30" s="119">
        <v>3276949.4739717031</v>
      </c>
      <c r="N30" s="119">
        <v>3355554.7244941001</v>
      </c>
      <c r="P30" s="119">
        <v>3438063.4720886331</v>
      </c>
      <c r="R30" s="119">
        <v>3525229.8414604906</v>
      </c>
      <c r="T30" s="119">
        <v>3618012.1444550254</v>
      </c>
      <c r="V30" s="119">
        <v>3717654.3273774441</v>
      </c>
      <c r="X30" s="119">
        <v>3825812.2784371893</v>
      </c>
      <c r="Z30" s="119">
        <v>3944761.8745772419</v>
      </c>
      <c r="AB30" s="119">
        <v>4077760.2321021315</v>
      </c>
      <c r="AD30" s="119">
        <v>4229715.3337817006</v>
      </c>
      <c r="AF30" s="119">
        <v>4408517.73917</v>
      </c>
      <c r="AH30" s="119">
        <v>4627905.3036419675</v>
      </c>
      <c r="AJ30" s="119">
        <v>4913934.1799921887</v>
      </c>
      <c r="AL30" s="119">
        <v>5317108.5208540484</v>
      </c>
      <c r="AN30" s="119">
        <v>5850690.2094111228</v>
      </c>
      <c r="AP30" s="119">
        <v>5909361.8706790954</v>
      </c>
      <c r="AR30" s="119">
        <v>5856368.8153461795</v>
      </c>
      <c r="AT30" s="119">
        <v>5507980.0646524597</v>
      </c>
      <c r="AV30" s="119">
        <v>4305188.9816739503</v>
      </c>
    </row>
    <row r="31" spans="1:49" x14ac:dyDescent="0.2">
      <c r="A31" t="s">
        <v>47</v>
      </c>
      <c r="B31" s="80">
        <v>1.0000000000000027</v>
      </c>
      <c r="D31" s="80">
        <v>0.99771058140676561</v>
      </c>
      <c r="F31" s="80">
        <v>0.99495938675537765</v>
      </c>
      <c r="H31" s="80">
        <v>0.99168001128654959</v>
      </c>
      <c r="J31" s="80">
        <v>0.98779209192748985</v>
      </c>
      <c r="L31" s="80">
        <v>0.98319735055674051</v>
      </c>
      <c r="N31" s="80">
        <v>0.97777442220827981</v>
      </c>
      <c r="P31" s="80">
        <v>0.97137113501580952</v>
      </c>
      <c r="R31" s="80">
        <v>0.96379394340262636</v>
      </c>
      <c r="T31" s="80">
        <v>0.95479235086661129</v>
      </c>
      <c r="V31" s="80">
        <v>0.9440353631196281</v>
      </c>
      <c r="X31" s="80">
        <v>0.93107497258765259</v>
      </c>
      <c r="Z31" s="80">
        <v>0.91528684461609233</v>
      </c>
      <c r="AB31" s="80">
        <v>0.89576923600357872</v>
      </c>
      <c r="AD31" s="80">
        <v>0.87116009541790684</v>
      </c>
      <c r="AF31" s="80">
        <v>0.83927999865846215</v>
      </c>
      <c r="AH31" s="80">
        <v>0.79636402134475015</v>
      </c>
      <c r="AJ31" s="80">
        <v>0.73518254803739536</v>
      </c>
      <c r="AL31" s="80">
        <v>0.63954620796199613</v>
      </c>
      <c r="AN31" s="80">
        <v>0.46336326939401401</v>
      </c>
      <c r="AP31" s="80">
        <v>0.40776346796132767</v>
      </c>
      <c r="AR31" s="80">
        <v>0.33999054666096584</v>
      </c>
      <c r="AT31" s="80">
        <v>0.25532667425417083</v>
      </c>
      <c r="AV31" s="80">
        <v>0.1462129790014825</v>
      </c>
    </row>
    <row r="32" spans="1:49" x14ac:dyDescent="0.2">
      <c r="A32" t="s">
        <v>64</v>
      </c>
      <c r="B32" s="86">
        <v>14734457.915000005</v>
      </c>
      <c r="D32" s="86">
        <v>14745918.87276694</v>
      </c>
      <c r="F32" s="86">
        <v>14755690.779240014</v>
      </c>
      <c r="H32" s="86">
        <v>14763458.507245891</v>
      </c>
      <c r="J32" s="86">
        <v>14768822.545761002</v>
      </c>
      <c r="L32" s="86">
        <v>14771271.027442809</v>
      </c>
      <c r="N32" s="86">
        <v>14770143.839497581</v>
      </c>
      <c r="P32" s="86">
        <v>14764575.455522625</v>
      </c>
      <c r="R32" s="86">
        <v>14753416.823930789</v>
      </c>
      <c r="T32" s="86">
        <v>14735117.196061987</v>
      </c>
      <c r="V32" s="86">
        <v>14707542.081786463</v>
      </c>
      <c r="X32" s="86">
        <v>14667685.809840307</v>
      </c>
      <c r="Z32" s="86">
        <v>14611195.600975154</v>
      </c>
      <c r="AB32" s="86">
        <v>14531542.98032051</v>
      </c>
      <c r="AD32" s="86">
        <v>14418483.218458604</v>
      </c>
      <c r="AF32" s="86">
        <v>14254928.690331284</v>
      </c>
      <c r="AH32" s="86">
        <v>14009784.654172009</v>
      </c>
      <c r="AJ32" s="86">
        <v>13618359.293394081</v>
      </c>
      <c r="AL32" s="86">
        <v>12911604.690533262</v>
      </c>
      <c r="AN32" s="86">
        <v>11204319.034206811</v>
      </c>
      <c r="AP32" s="86">
        <v>10505990.848606354</v>
      </c>
      <c r="AR32" s="86">
        <v>9509343.9689553119</v>
      </c>
      <c r="AT32" s="86">
        <v>7978620.7398658274</v>
      </c>
      <c r="AV32" s="86">
        <v>5361086.4878722364</v>
      </c>
    </row>
    <row r="33" spans="1:49 16319:16321" x14ac:dyDescent="0.2">
      <c r="A33" t="s">
        <v>54</v>
      </c>
      <c r="B33" s="117">
        <v>7019665.6910000108</v>
      </c>
      <c r="D33" s="117">
        <v>7025126.1752496958</v>
      </c>
      <c r="F33" s="117">
        <v>7029781.2900980758</v>
      </c>
      <c r="H33" s="117">
        <v>7033481.9315212816</v>
      </c>
      <c r="J33" s="117">
        <v>7036037.9577910937</v>
      </c>
      <c r="L33" s="117">
        <v>7037203.9151941463</v>
      </c>
      <c r="N33" s="117">
        <v>7036666.9349844363</v>
      </c>
      <c r="P33" s="117">
        <v>7034014.1082337275</v>
      </c>
      <c r="R33" s="117">
        <v>7028698.006757468</v>
      </c>
      <c r="T33" s="117">
        <v>7019979.8199210102</v>
      </c>
      <c r="V33" s="117">
        <v>7006842.6842734944</v>
      </c>
      <c r="X33" s="117">
        <v>6987854.6902144849</v>
      </c>
      <c r="Z33" s="117">
        <v>6960942.1267133104</v>
      </c>
      <c r="AB33" s="117">
        <v>6922994.6818919461</v>
      </c>
      <c r="AD33" s="117">
        <v>6869131.7483281586</v>
      </c>
      <c r="AF33" s="117">
        <v>6791212.4628269002</v>
      </c>
      <c r="AH33" s="117">
        <v>6674422.9914615992</v>
      </c>
      <c r="AJ33" s="117">
        <v>6487943.4366171034</v>
      </c>
      <c r="AL33" s="117">
        <v>6151237.3922659475</v>
      </c>
      <c r="AN33" s="117">
        <v>5337866.81315271</v>
      </c>
      <c r="AP33" s="117">
        <v>5005175.211454222</v>
      </c>
      <c r="AR33" s="117">
        <v>4530361.143104217</v>
      </c>
      <c r="AT33" s="117">
        <v>3801106.9421543409</v>
      </c>
      <c r="AV33" s="117">
        <v>2554083.435067317</v>
      </c>
    </row>
    <row r="34" spans="1:49 16319:16321" x14ac:dyDescent="0.2">
      <c r="A34" t="s">
        <v>75</v>
      </c>
      <c r="B34" s="117">
        <v>1136879.4409999943</v>
      </c>
      <c r="D34" s="117">
        <v>1137763.3926445176</v>
      </c>
      <c r="F34" s="117">
        <v>1138517.7060796742</v>
      </c>
      <c r="H34" s="117">
        <v>1139117.0412644469</v>
      </c>
      <c r="J34" s="117">
        <v>1139530.3839384303</v>
      </c>
      <c r="L34" s="117">
        <v>1139719.8297693522</v>
      </c>
      <c r="N34" s="117">
        <v>1139632.8332828986</v>
      </c>
      <c r="P34" s="117">
        <v>1139203.1730325541</v>
      </c>
      <c r="R34" s="117">
        <v>1138342.1974589811</v>
      </c>
      <c r="T34" s="117">
        <v>1136930.2700554708</v>
      </c>
      <c r="V34" s="117">
        <v>1134802.6659214436</v>
      </c>
      <c r="X34" s="117">
        <v>1131727.4471223229</v>
      </c>
      <c r="Z34" s="117">
        <v>1127368.7592480471</v>
      </c>
      <c r="AB34" s="117">
        <v>1121222.9501008119</v>
      </c>
      <c r="AD34" s="117">
        <v>1112499.4582895678</v>
      </c>
      <c r="AF34" s="117">
        <v>1099879.9606577056</v>
      </c>
      <c r="AH34" s="117">
        <v>1080965.1931483243</v>
      </c>
      <c r="AJ34" s="117">
        <v>1050763.6431525338</v>
      </c>
      <c r="AL34" s="117">
        <v>996231.96102279751</v>
      </c>
      <c r="AN34" s="117">
        <v>864501.43160577875</v>
      </c>
      <c r="AP34" s="117">
        <v>810619.91363752447</v>
      </c>
      <c r="AR34" s="117">
        <v>733720.75973401743</v>
      </c>
      <c r="AT34" s="117">
        <v>615613.41031198448</v>
      </c>
      <c r="AV34" s="117">
        <v>413650.03345564718</v>
      </c>
    </row>
    <row r="35" spans="1:49 16319:16321" x14ac:dyDescent="0.2">
      <c r="A35" t="s">
        <v>78</v>
      </c>
      <c r="B35" s="233">
        <v>1</v>
      </c>
      <c r="D35" s="233">
        <v>1.0030758341744512</v>
      </c>
      <c r="F35" s="233">
        <v>1.0065276998229828</v>
      </c>
      <c r="H35" s="233">
        <v>1.0104240920555729</v>
      </c>
      <c r="J35" s="233">
        <v>1.0148512932653431</v>
      </c>
      <c r="L35" s="233">
        <v>1.0199194914922964</v>
      </c>
      <c r="N35" s="233">
        <v>1.0257725613606432</v>
      </c>
      <c r="P35" s="233">
        <v>1.0326008032064105</v>
      </c>
      <c r="R35" s="233">
        <v>1.0406618202721503</v>
      </c>
      <c r="T35" s="233">
        <v>1.0503125544461205</v>
      </c>
      <c r="V35" s="233">
        <v>1.0620614874814542</v>
      </c>
      <c r="X35" s="233">
        <v>1.0766567517050438</v>
      </c>
      <c r="Z35" s="233">
        <v>1.0952424296883871</v>
      </c>
      <c r="AB35" s="233">
        <v>1.1196523286335287</v>
      </c>
      <c r="AD35" s="233">
        <v>1.1530032451160921</v>
      </c>
      <c r="AF35" s="233">
        <v>1.2010068477090476</v>
      </c>
      <c r="AH35" s="233">
        <v>1.2752372438106787</v>
      </c>
      <c r="AJ35" s="233">
        <v>1.4027021523417624</v>
      </c>
      <c r="AL35" s="233">
        <v>1.6613547037286049</v>
      </c>
      <c r="AN35" s="233">
        <v>2.3750984961382695</v>
      </c>
      <c r="AP35" s="233">
        <v>2.6797023949186003</v>
      </c>
      <c r="AR35" s="233">
        <v>3.1155929255888233</v>
      </c>
      <c r="AT35" s="233">
        <v>3.7814730353762998</v>
      </c>
      <c r="AV35" s="233">
        <v>4.9067079178663624</v>
      </c>
    </row>
    <row r="36" spans="1:49 16319:16321" x14ac:dyDescent="0.2">
      <c r="A36" t="s">
        <v>21</v>
      </c>
      <c r="B36" s="37">
        <v>0.47195767671988198</v>
      </c>
      <c r="C36" s="38">
        <v>0.31738834428178964</v>
      </c>
      <c r="D36" s="37">
        <v>0.471972772309246</v>
      </c>
      <c r="E36" s="38">
        <v>0.32020671449389698</v>
      </c>
      <c r="F36" s="37">
        <v>0.47198796673192883</v>
      </c>
      <c r="G36" s="38">
        <v>0.32333181983408282</v>
      </c>
      <c r="H36" s="37">
        <v>0.47200330311856131</v>
      </c>
      <c r="I36" s="38">
        <v>0.32681443065375199</v>
      </c>
      <c r="J36" s="37">
        <v>0.47201884292679874</v>
      </c>
      <c r="K36" s="38">
        <v>0.33071690662101361</v>
      </c>
      <c r="L36" s="37">
        <v>0.47203466683311252</v>
      </c>
      <c r="M36" s="38">
        <v>0.33511657408688239</v>
      </c>
      <c r="N36" s="37">
        <v>0.47205089769037495</v>
      </c>
      <c r="O36" s="38">
        <v>0.34011104453531454</v>
      </c>
      <c r="P36" s="37">
        <v>0.4720676975779507</v>
      </c>
      <c r="Q36" s="38">
        <v>0.34582465466617474</v>
      </c>
      <c r="R36" s="37">
        <v>0.47208529169985947</v>
      </c>
      <c r="S36" s="38">
        <v>0.3524187229461922</v>
      </c>
      <c r="T36" s="37">
        <v>0.47210398905793632</v>
      </c>
      <c r="U36" s="38">
        <v>0.36010640736825844</v>
      </c>
      <c r="V36" s="37">
        <v>0.47212421538580462</v>
      </c>
      <c r="W36" s="38">
        <v>0.36917571096718477</v>
      </c>
      <c r="X36" s="37">
        <v>0.47214655707181719</v>
      </c>
      <c r="Y36" s="38">
        <v>0.38002613589340623</v>
      </c>
      <c r="Z36" s="37">
        <v>0.47217182287202691</v>
      </c>
      <c r="AA36" s="38">
        <v>0.39322995226461288</v>
      </c>
      <c r="AB36" s="37">
        <v>0.47220112534369224</v>
      </c>
      <c r="AC36" s="38">
        <v>0.4096402698534265</v>
      </c>
      <c r="AD36" s="37">
        <v>0.47223597482957819</v>
      </c>
      <c r="AE36" s="38">
        <v>0.43059492027713925</v>
      </c>
      <c r="AF36" s="37">
        <v>0.47227832568127232</v>
      </c>
      <c r="AG36" s="38">
        <v>0.45833510009757839</v>
      </c>
      <c r="AH36" s="37">
        <v>0.47233032406152797</v>
      </c>
      <c r="AI36" s="38">
        <v>0.49696557799672914</v>
      </c>
      <c r="AJ36" s="37">
        <v>0.47239266645431671</v>
      </c>
      <c r="AK36" s="38">
        <v>0.55501042907047227</v>
      </c>
      <c r="AL36" s="37">
        <v>0.47245703436529096</v>
      </c>
      <c r="AM36" s="38">
        <v>0.65383889651361049</v>
      </c>
      <c r="AN36" s="37">
        <v>0.4724779777059071</v>
      </c>
      <c r="AO36" s="38">
        <v>0.86704560546127052</v>
      </c>
      <c r="AP36" s="37">
        <v>0.4724677876972902</v>
      </c>
      <c r="AQ36" s="38">
        <v>0.94439316679294094</v>
      </c>
      <c r="AR36" s="37">
        <v>0.47245110045604694</v>
      </c>
      <c r="AS36" s="38">
        <v>1.0466560548001265</v>
      </c>
      <c r="AT36" s="37">
        <v>0.47242926196236945</v>
      </c>
      <c r="AU36" s="38">
        <v>1.189115997132886</v>
      </c>
      <c r="AV36" s="37">
        <v>0.4724075856768114</v>
      </c>
      <c r="AW36" s="38">
        <v>1.4041410088842881</v>
      </c>
    </row>
    <row r="37" spans="1:49 16319:16321" x14ac:dyDescent="0.2">
      <c r="B37" s="39">
        <v>2.1403217525954466E-2</v>
      </c>
      <c r="C37" s="40">
        <v>0.3496246130199252</v>
      </c>
      <c r="D37" s="39">
        <v>2.0634324956282177E-2</v>
      </c>
      <c r="E37" s="40">
        <v>0.34503897328283889</v>
      </c>
      <c r="F37" s="39">
        <v>1.985103923004633E-2</v>
      </c>
      <c r="G37" s="40">
        <v>0.34033609870148113</v>
      </c>
      <c r="H37" s="39">
        <v>1.9052556510909768E-2</v>
      </c>
      <c r="I37" s="40">
        <v>0.33551012687391379</v>
      </c>
      <c r="J37" s="39">
        <v>1.82380185385662E-2</v>
      </c>
      <c r="K37" s="40">
        <v>0.330555054383178</v>
      </c>
      <c r="L37" s="39">
        <v>1.7406521840149635E-2</v>
      </c>
      <c r="M37" s="40">
        <v>0.32546489949908769</v>
      </c>
      <c r="N37" s="39">
        <v>1.6557015549639949E-2</v>
      </c>
      <c r="O37" s="40">
        <v>0.32023321984003128</v>
      </c>
      <c r="P37" s="39">
        <v>1.568837045642189E-2</v>
      </c>
      <c r="Q37" s="40">
        <v>0.31485372819922042</v>
      </c>
      <c r="R37" s="39">
        <v>1.4799299394802661E-2</v>
      </c>
      <c r="S37" s="40">
        <v>0.30932007856437876</v>
      </c>
      <c r="T37" s="39">
        <v>1.388832048983049E-2</v>
      </c>
      <c r="U37" s="40">
        <v>0.30362602307447722</v>
      </c>
      <c r="V37" s="39">
        <v>1.2953677025684287E-2</v>
      </c>
      <c r="W37" s="40">
        <v>0.29776546528060777</v>
      </c>
      <c r="X37" s="39">
        <v>1.1993223421607946E-2</v>
      </c>
      <c r="Y37" s="40">
        <v>0.29173255286956273</v>
      </c>
      <c r="Z37" s="39">
        <v>1.1004235720823244E-2</v>
      </c>
      <c r="AA37" s="40">
        <v>0.28552169958561702</v>
      </c>
      <c r="AB37" s="39">
        <v>9.9830987236445932E-3</v>
      </c>
      <c r="AC37" s="40">
        <v>0.27912750794362062</v>
      </c>
      <c r="AD37" s="39">
        <v>8.9247747287028341E-3</v>
      </c>
      <c r="AE37" s="40">
        <v>0.27254453192431982</v>
      </c>
      <c r="AF37" s="39">
        <v>7.8218758340059258E-3</v>
      </c>
      <c r="AG37" s="40">
        <v>0.2657669056699386</v>
      </c>
      <c r="AH37" s="39">
        <v>6.6629855269151597E-3</v>
      </c>
      <c r="AI37" s="40">
        <v>0.25878829644474266</v>
      </c>
      <c r="AJ37" s="39">
        <v>5.4296206695894677E-3</v>
      </c>
      <c r="AK37" s="40">
        <v>0.25160531946663911</v>
      </c>
      <c r="AL37" s="39">
        <v>4.0912033268952885E-3</v>
      </c>
      <c r="AM37" s="40">
        <v>0.24424047259167581</v>
      </c>
      <c r="AN37" s="39">
        <v>2.6010038427693029E-3</v>
      </c>
      <c r="AO37" s="40">
        <v>0.23686597589430158</v>
      </c>
      <c r="AP37" s="39">
        <v>2.2799386565981036E-3</v>
      </c>
      <c r="AQ37" s="40">
        <v>0.23544082319795859</v>
      </c>
      <c r="AR37" s="39">
        <v>1.9500903377815584E-3</v>
      </c>
      <c r="AS37" s="40">
        <v>0.23405683579383013</v>
      </c>
      <c r="AT37" s="39">
        <v>1.6105966238975141E-3</v>
      </c>
      <c r="AU37" s="40">
        <v>0.23273245435052289</v>
      </c>
      <c r="AV37" s="39">
        <v>1.2596511816206787E-3</v>
      </c>
      <c r="AW37" s="40">
        <v>0.23149506752923865</v>
      </c>
    </row>
    <row r="38" spans="1:49 16319:16321" x14ac:dyDescent="0.2">
      <c r="A38" t="s">
        <v>22</v>
      </c>
      <c r="B38" s="37">
        <v>0.18079094942242827</v>
      </c>
      <c r="C38" s="38">
        <v>6.0565413429233668E-2</v>
      </c>
      <c r="D38" s="37">
        <v>0.18094795945446643</v>
      </c>
      <c r="E38" s="38">
        <v>6.090872273987688E-2</v>
      </c>
      <c r="F38" s="37">
        <v>0.18113556449065396</v>
      </c>
      <c r="G38" s="38">
        <v>6.1291948026750434E-2</v>
      </c>
      <c r="H38" s="37">
        <v>0.18135872494601812</v>
      </c>
      <c r="I38" s="38">
        <v>6.1721795267391188E-2</v>
      </c>
      <c r="J38" s="37">
        <v>0.1816235620122589</v>
      </c>
      <c r="K38" s="38">
        <v>6.2206565325466263E-2</v>
      </c>
      <c r="L38" s="37">
        <v>0.18193772563382407</v>
      </c>
      <c r="M38" s="38">
        <v>6.2756559573806062E-2</v>
      </c>
      <c r="N38" s="37">
        <v>0.18231095132531663</v>
      </c>
      <c r="O38" s="38">
        <v>6.3384845767922401E-2</v>
      </c>
      <c r="P38" s="37">
        <v>0.18275579120061752</v>
      </c>
      <c r="Q38" s="38">
        <v>6.4108109259382151E-2</v>
      </c>
      <c r="R38" s="37">
        <v>0.18328876525558269</v>
      </c>
      <c r="S38" s="38">
        <v>6.4948079329607888E-2</v>
      </c>
      <c r="T38" s="37">
        <v>0.18393209348462852</v>
      </c>
      <c r="U38" s="38">
        <v>6.5933603312839997E-2</v>
      </c>
      <c r="V38" s="37">
        <v>0.18471646017952159</v>
      </c>
      <c r="W38" s="38">
        <v>6.7103823392007822E-2</v>
      </c>
      <c r="X38" s="37">
        <v>0.18568557776196357</v>
      </c>
      <c r="Y38" s="38">
        <v>6.8513336763283361E-2</v>
      </c>
      <c r="Z38" s="37">
        <v>0.18690413327902677</v>
      </c>
      <c r="AA38" s="38">
        <v>7.0240866910064412E-2</v>
      </c>
      <c r="AB38" s="37">
        <v>0.18847248759176957</v>
      </c>
      <c r="AC38" s="38">
        <v>7.2404727093101112E-2</v>
      </c>
      <c r="AD38" s="37">
        <v>0.19055602081201781</v>
      </c>
      <c r="AE38" s="38">
        <v>7.5192458635304327E-2</v>
      </c>
      <c r="AF38" s="37">
        <v>0.19344975451044427</v>
      </c>
      <c r="AG38" s="38">
        <v>7.892309150917412E-2</v>
      </c>
      <c r="AH38" s="37">
        <v>0.19774062912140983</v>
      </c>
      <c r="AI38" s="38">
        <v>8.4194037013543249E-2</v>
      </c>
      <c r="AJ38" s="37">
        <v>0.20479790185789984</v>
      </c>
      <c r="AK38" s="38">
        <v>9.229249944311689E-2</v>
      </c>
      <c r="AL38" s="37">
        <v>0.21874972008838053</v>
      </c>
      <c r="AM38" s="38">
        <v>0.10667748154423344</v>
      </c>
      <c r="AN38" s="37">
        <v>0.26029338000968388</v>
      </c>
      <c r="AO38" s="38">
        <v>0.14154517509848227</v>
      </c>
      <c r="AP38" s="37">
        <v>0.28096988258335176</v>
      </c>
      <c r="AQ38" s="38">
        <v>0.15612915182112283</v>
      </c>
      <c r="AR38" s="37">
        <v>0.31530147744783077</v>
      </c>
      <c r="AS38" s="38">
        <v>0.17778402658577663</v>
      </c>
      <c r="AT38" s="37">
        <v>0.38359927774460434</v>
      </c>
      <c r="AU38" s="38">
        <v>0.21455534664032927</v>
      </c>
      <c r="AV38" s="37">
        <v>0.58709590516120147</v>
      </c>
      <c r="AW38" s="38">
        <v>0.29854418044445052</v>
      </c>
    </row>
    <row r="39" spans="1:49 16319:16321" x14ac:dyDescent="0.2">
      <c r="A39" t="s">
        <v>23</v>
      </c>
      <c r="B39" s="39">
        <v>0.23064923795098771</v>
      </c>
      <c r="C39" s="40">
        <v>0.22092201281804777</v>
      </c>
      <c r="D39" s="39">
        <v>0.23120903706917129</v>
      </c>
      <c r="E39" s="40">
        <v>0.22234724957355292</v>
      </c>
      <c r="F39" s="39">
        <v>0.2318070909832437</v>
      </c>
      <c r="G39" s="40">
        <v>0.2239193110340264</v>
      </c>
      <c r="H39" s="39">
        <v>0.23244985156811029</v>
      </c>
      <c r="I39" s="40">
        <v>0.22566311923432814</v>
      </c>
      <c r="J39" s="39">
        <v>0.23314531923979467</v>
      </c>
      <c r="K39" s="40">
        <v>0.22760933413460774</v>
      </c>
      <c r="L39" s="39">
        <v>0.23390351144188667</v>
      </c>
      <c r="M39" s="40">
        <v>0.2297961441855754</v>
      </c>
      <c r="N39" s="39">
        <v>0.23473722491487883</v>
      </c>
      <c r="O39" s="40">
        <v>0.2322718859056416</v>
      </c>
      <c r="P39" s="39">
        <v>0.23566297587044471</v>
      </c>
      <c r="Q39" s="40">
        <v>0.23509839335738206</v>
      </c>
      <c r="R39" s="39">
        <v>0.23670252785592888</v>
      </c>
      <c r="S39" s="40">
        <v>0.2383562055273919</v>
      </c>
      <c r="T39" s="39">
        <v>0.23788516622238029</v>
      </c>
      <c r="U39" s="40">
        <v>0.24215216911669837</v>
      </c>
      <c r="V39" s="39">
        <v>0.23925131461624818</v>
      </c>
      <c r="W39" s="40">
        <v>0.24663134322578831</v>
      </c>
      <c r="X39" s="39">
        <v>0.24085850051082144</v>
      </c>
      <c r="Y39" s="40">
        <v>0.25199600607858841</v>
      </c>
      <c r="Z39" s="39">
        <v>0.24279171708096559</v>
      </c>
      <c r="AA39" s="40">
        <v>0.25853773688377213</v>
      </c>
      <c r="AB39" s="39">
        <v>0.24518256158160043</v>
      </c>
      <c r="AC39" s="40">
        <v>0.26669464532377274</v>
      </c>
      <c r="AD39" s="39">
        <v>0.24824741404802475</v>
      </c>
      <c r="AE39" s="40">
        <v>0.27716093096581745</v>
      </c>
      <c r="AF39" s="39">
        <v>0.25237150518483781</v>
      </c>
      <c r="AG39" s="40">
        <v>0.29111642906137875</v>
      </c>
      <c r="AH39" s="39">
        <v>0.25832017205270374</v>
      </c>
      <c r="AI39" s="40">
        <v>0.31077009864794175</v>
      </c>
      <c r="AJ39" s="39">
        <v>0.26787831651915833</v>
      </c>
      <c r="AK39" s="40">
        <v>0.34087807035029777</v>
      </c>
      <c r="AL39" s="39">
        <v>0.28643355688293354</v>
      </c>
      <c r="AM39" s="40">
        <v>0.39421901493489614</v>
      </c>
      <c r="AN39" s="39">
        <v>0.34106426951600788</v>
      </c>
      <c r="AO39" s="40">
        <v>0.52324890153135639</v>
      </c>
      <c r="AP39" s="39">
        <v>0.36818348632952819</v>
      </c>
      <c r="AQ39" s="40">
        <v>0.57718223560250315</v>
      </c>
      <c r="AR39" s="39">
        <v>0.41319258823334143</v>
      </c>
      <c r="AS39" s="40">
        <v>0.65725310061775621</v>
      </c>
      <c r="AT39" s="39">
        <v>0.50271043019814743</v>
      </c>
      <c r="AU39" s="40">
        <v>0.79320609924993568</v>
      </c>
      <c r="AV39" s="39">
        <v>0.76940702377360937</v>
      </c>
      <c r="AW39" s="40">
        <v>1.1037196439379433</v>
      </c>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0.10799999999999961</v>
      </c>
      <c r="E42" s="135"/>
      <c r="F42" s="177">
        <f>10.8%+(1-10.8%)*(1-SUM(F26:G26)/SUM($B$26:$C$26))</f>
        <v>0.10799999999999942</v>
      </c>
      <c r="G42" s="135"/>
      <c r="H42" s="177">
        <f>10.8%+(1-10.8%)*(1-SUM(H26:I26)/SUM($B$26:$C$26))</f>
        <v>0.10799999999999982</v>
      </c>
      <c r="I42" s="135"/>
      <c r="J42" s="177">
        <f>10.8%+(1-10.8%)*(1-SUM(J26:K26)/SUM($B$26:$C$26))</f>
        <v>0.1080000000000003</v>
      </c>
      <c r="K42" s="135"/>
      <c r="L42" s="177">
        <f>10.8%+(1-10.8%)*(1-SUM(L26:M26)/SUM($B$26:$C$26))</f>
        <v>0.10800000000000001</v>
      </c>
      <c r="M42" s="135"/>
      <c r="N42" s="177">
        <f>10.8%+(1-10.8%)*(1-SUM(N26:O26)/SUM($B$26:$C$26))</f>
        <v>0.10800000000000021</v>
      </c>
      <c r="O42" s="135"/>
      <c r="P42" s="177">
        <f>10.8%+(1-10.8%)*(1-SUM(P26:Q26)/SUM($B$26:$C$26))</f>
        <v>0.10799999999999882</v>
      </c>
      <c r="Q42" s="135"/>
      <c r="R42" s="177">
        <f>10.8%+(1-10.8%)*(1-SUM(R26:S26)/SUM($B$26:$C$26))</f>
        <v>0.10799999999999961</v>
      </c>
      <c r="S42" s="135"/>
      <c r="T42" s="177">
        <f>10.8%+(1-10.8%)*(1-SUM(T26:U26)/SUM($B$26:$C$26))</f>
        <v>0.10799999999999982</v>
      </c>
      <c r="U42" s="135"/>
      <c r="V42" s="177">
        <f>10.8%+(1-10.8%)*(1-SUM(V26:W26)/SUM($B$26:$C$26))</f>
        <v>0.10799999999999942</v>
      </c>
      <c r="W42" s="135"/>
      <c r="X42" s="177">
        <f>10.8%+(1-10.8%)*(1-SUM(X26:Y26)/SUM($B$26:$C$26))</f>
        <v>0.10799999999999982</v>
      </c>
      <c r="Y42" s="162"/>
      <c r="Z42" s="177">
        <f>10.8%+(1-10.8%)*(1-SUM(Z26:AA26)/SUM($B$26:$C$26))</f>
        <v>0.10799999999999982</v>
      </c>
      <c r="AA42" s="135"/>
      <c r="AB42" s="177">
        <f>10.8%+(1-10.8%)*(1-SUM(AB26:AC26)/SUM($B$26:$C$26))</f>
        <v>0.10799999999999942</v>
      </c>
      <c r="AC42" s="135"/>
      <c r="AD42" s="177">
        <f>10.8%+(1-10.8%)*(1-SUM(AD26:AE26)/SUM($B$26:$C$26))</f>
        <v>0.10799999999999961</v>
      </c>
      <c r="AE42" s="135"/>
      <c r="AF42" s="177">
        <f>10.8%+(1-10.8%)*(1-SUM(AF26:AG26)/SUM($B$26:$C$26))</f>
        <v>0.10800000000000051</v>
      </c>
      <c r="AG42" s="135"/>
      <c r="AH42" s="177">
        <f>10.8%+(1-10.8%)*(1-SUM(AH26:AI26)/SUM($B$26:$C$26))</f>
        <v>0.10799999999999982</v>
      </c>
      <c r="AI42" s="135"/>
      <c r="AJ42" s="177">
        <f>10.8%+(1-10.8%)*(1-SUM(AJ26:AK26)/SUM($B$26:$C$26))</f>
        <v>0.10799999999999961</v>
      </c>
      <c r="AK42" s="135"/>
      <c r="AL42" s="177">
        <f>10.8%+(1-10.8%)*(1-SUM(AL26:AM26)/SUM($B$26:$C$26))</f>
        <v>0.10800000000000021</v>
      </c>
      <c r="AM42" s="135"/>
      <c r="AN42" s="177">
        <f>10.8%+(1-10.8%)*(1-SUM(AN26:AO26)/SUM($B$26:$C$26))</f>
        <v>0.10799999999999961</v>
      </c>
      <c r="AO42" s="135"/>
      <c r="AP42" s="177">
        <f>10.8%+(1-10.8%)*(1-SUM(AP26:AQ26)/SUM($B$26:$C$26))</f>
        <v>0.1080000000000003</v>
      </c>
      <c r="AQ42" s="135"/>
      <c r="AR42" s="177">
        <f>10.8%+(1-10.8%)*(1-SUM(AR26:AS26)/SUM($B$26:$C$26))</f>
        <v>0.10799999999999961</v>
      </c>
      <c r="AS42" s="135"/>
      <c r="AT42" s="177">
        <f>10.8%+(1-10.8%)*(1-SUM(AT26:AU26)/SUM($B$26:$C$26))</f>
        <v>0.10799999999999882</v>
      </c>
      <c r="AU42" s="135"/>
      <c r="AV42" s="177">
        <f>10.8%+(1-10.8%)*(1-SUM(AV26:AW26)/SUM($B$26:$C$26))</f>
        <v>0.10800000000000051</v>
      </c>
    </row>
    <row r="43" spans="1:49 16319:16321" x14ac:dyDescent="0.2">
      <c r="A43" t="s">
        <v>108</v>
      </c>
      <c r="B43" s="162">
        <f>SUM(B15:C15*B27:C27)/SUM(B15:C15*B27:C27,B13:C13*B26:C26)</f>
        <v>0.56058995943839207</v>
      </c>
      <c r="C43" s="135"/>
      <c r="D43" s="162">
        <f t="array" ref="D43">SUM(D15:E15*D27:E27)/SUM(D15:E15*D27:E27,D13:E13*D26:E26)</f>
        <v>0.56592682604470146</v>
      </c>
      <c r="E43" s="135"/>
      <c r="F43" s="162">
        <f t="array" ref="F43">SUM(F15:G15*F27:G27)/SUM(F15:G15*F27:G27,F13:G13*F26:G26)</f>
        <v>0.56465960591142927</v>
      </c>
      <c r="G43" s="135"/>
      <c r="H43" s="162">
        <f t="array" ref="H43">SUM(H15:I15*H27:I27)/SUM(H15:I15*H27:I27,H13:I13*H26:I26)</f>
        <v>0.56339917239767356</v>
      </c>
      <c r="I43" s="135"/>
      <c r="J43" s="162">
        <f t="array" ref="J43">SUM(J15:K15*J27:K27)/SUM(J15:K15*J27:K27,J13:K13*J26:K26)</f>
        <v>0.5621457383581534</v>
      </c>
      <c r="K43" s="135"/>
      <c r="L43" s="162">
        <f t="array" ref="L43">SUM(L15:M15*L27:M27)/SUM(L15:M15*L27:M27,L13:M13*L26:M26)</f>
        <v>0.56089949583424314</v>
      </c>
      <c r="M43" s="135"/>
      <c r="N43" s="162">
        <f t="array" ref="N43">SUM(N15:O15*N27:O27)/SUM(N15:O15*N27:O27,N13:O13*N26:O26)</f>
        <v>0.55966050442508719</v>
      </c>
      <c r="O43" s="135"/>
      <c r="P43" s="162">
        <f t="array" ref="P43">SUM(P15:Q15*P27:Q27)/SUM(P15:Q15*P27:Q27,P13:Q13*P26:Q26)</f>
        <v>0.5584287704262143</v>
      </c>
      <c r="Q43" s="135"/>
      <c r="R43" s="162">
        <f t="array" ref="R43">SUM(R15:S15*R27:S27)/SUM(R15:S15*R27:S27,R13:S13*R26:S26)</f>
        <v>0.55720419478868988</v>
      </c>
      <c r="S43" s="135"/>
      <c r="T43" s="162">
        <f t="array" ref="T43">SUM(T15:U15*T27:U27)/SUM(T15:U15*T27:U27,T13:U13*T26:U26)</f>
        <v>0.55598658537902079</v>
      </c>
      <c r="U43" s="135"/>
      <c r="V43" s="162">
        <f t="array" ref="V43">SUM(V15:W15*V27:W27)/SUM(V15:W15*V27:W27,V13:W13*V26:W26)</f>
        <v>0.55477571495208688</v>
      </c>
      <c r="W43" s="135"/>
      <c r="X43" s="162">
        <f t="array" ref="X43">SUM(X15:Y15*X27:Y27)/SUM(X15:Y15*X27:Y27,X13:Y13*X26:Y26)</f>
        <v>0.55357143595420666</v>
      </c>
      <c r="Y43" s="135"/>
      <c r="Z43" s="162">
        <f t="array" ref="Z43">SUM(Z15:AA15*Z27:AA27)/SUM(Z15:AA15*Z27:AA27,Z13:AA13*Z26:AA26)</f>
        <v>0.5523739549482497</v>
      </c>
      <c r="AA43" s="135"/>
      <c r="AB43" s="162">
        <f t="array" ref="AB43">SUM(AB15:AC15*AB27:AC27)/SUM(AB15:AC15*AB27:AC27,AB13:AC13*AB26:AC26)</f>
        <v>0.55118441303563026</v>
      </c>
      <c r="AC43" s="135"/>
      <c r="AD43" s="162">
        <f t="array" ref="AD43">SUM(AD15:AE15*AD27:AE27)/SUM(AD15:AE15*AD27:AE27,AD13:AE13*AD26:AE26)</f>
        <v>0.55000608625010738</v>
      </c>
      <c r="AE43" s="135"/>
      <c r="AF43" s="162">
        <f t="array" ref="AF43">SUM(AF15:AG15*AF27:AG27)/SUM(AF15:AG15*AF27:AG27,AF13:AG13*AF26:AG26)</f>
        <v>0.54884689712550261</v>
      </c>
      <c r="AG43" s="135"/>
      <c r="AH43" s="162">
        <f t="array" ref="AH43">SUM(AH15:AI15*AH27:AI27)/SUM(AH15:AI15*AH27:AI27,AH13:AI13*AH26:AI26)</f>
        <v>0.54772482944182221</v>
      </c>
      <c r="AI43" s="135"/>
      <c r="AJ43" s="162">
        <f t="array" ref="AJ43">SUM(AJ15:AK15*AJ27:AK27)/SUM(AJ15:AK15*AJ27:AK27,AJ13:AK13*AJ26:AK26)</f>
        <v>0.54667955258776879</v>
      </c>
      <c r="AK43" s="135"/>
      <c r="AL43" s="162">
        <f t="array" ref="AL43">SUM(AL15:AM15*AL27:AM27)/SUM(AL15:AM15*AL27:AM27,AL13:AM13*AL26:AM26)</f>
        <v>0.54579620205012813</v>
      </c>
      <c r="AM43" s="135"/>
      <c r="AN43" s="162">
        <f t="array" ref="AN43">SUM(AN15:AO15*AN27:AO27)/SUM(AN15:AO15*AN27:AO27,AN13:AO13*AN26:AO26)</f>
        <v>0.54523158397222382</v>
      </c>
      <c r="AO43" s="135"/>
      <c r="AP43" s="162">
        <f t="array" ref="AP43">SUM(AP15:AQ15*AP27:AQ27)/SUM(AP15:AQ15*AP27:AQ27,AP13:AQ13*AP26:AQ26)</f>
        <v>0.5451717600919862</v>
      </c>
      <c r="AQ43" s="135"/>
      <c r="AR43" s="162">
        <f t="array" ref="AR43">SUM(AR15:AS15*AR27:AS27)/SUM(AR15:AS15*AR27:AS27,AR13:AS13*AR26:AS26)</f>
        <v>0.54512992598369914</v>
      </c>
      <c r="AS43" s="135"/>
      <c r="AT43" s="162">
        <f t="array" ref="AT43">SUM(AT15:AU15*AT27:AU27)/SUM(AT15:AU15*AT27:AU27,AT13:AU13*AT26:AU26)</f>
        <v>0.54510404559428016</v>
      </c>
      <c r="AU43" s="135"/>
      <c r="AV43" s="162">
        <f t="array" ref="AV43">SUM(AV15:AW15*AV27:AW27)/SUM(AV15:AW15*AV27:AW27,AV13:AW13*AV26:AW26)</f>
        <v>0.54509076098518061</v>
      </c>
    </row>
    <row r="44" spans="1:49 16319:16321" x14ac:dyDescent="0.2">
      <c r="A44" t="s">
        <v>142</v>
      </c>
      <c r="B44" s="193">
        <f>(SUM(B11:C11*B24:C24)+B34)/B32</f>
        <v>0.29754226190682309</v>
      </c>
      <c r="D44" s="193">
        <f>(SUM(D11:E11*D24:E24)+D34)/D32</f>
        <v>0.297542238050444</v>
      </c>
      <c r="F44" s="193">
        <f>(SUM(F11:G11*F24:G24)+F34)/F32</f>
        <v>0.29754226070835166</v>
      </c>
      <c r="H44" s="193">
        <f>(SUM(H11:I11*H24:I24)+H34)/H32</f>
        <v>0.29754226028822101</v>
      </c>
      <c r="J44" s="193">
        <f>(SUM(J11:K11*J24:K24)+J34)/J32</f>
        <v>0.29754222396533619</v>
      </c>
      <c r="L44" s="193">
        <f>(SUM(L11:M11*L24:M24)+L34)/L32</f>
        <v>0.29754225968350106</v>
      </c>
      <c r="N44" s="193">
        <f>(SUM(N11:O11*N24:O24)+N34)/N32</f>
        <v>0.29754225798207162</v>
      </c>
      <c r="P44" s="193">
        <f>(SUM(P11:Q11*P24:Q24)+P34)/P32</f>
        <v>0.29754225692413866</v>
      </c>
      <c r="R44" s="193">
        <f>(SUM(R11:S11*R24:S24)+R34)/R32</f>
        <v>0.29754225696697018</v>
      </c>
      <c r="T44" s="193">
        <f>(SUM(T11:U11*T24:U24)+T34)/T32</f>
        <v>0.29754225920448735</v>
      </c>
      <c r="V44" s="193">
        <f>(SUM(V11:W11*V24:W24)+V34)/V32</f>
        <v>0.29754226145460949</v>
      </c>
      <c r="X44" s="193">
        <f>(SUM(X11:Y11*X24:Y24)+X34)/X32</f>
        <v>0.297542261891105</v>
      </c>
      <c r="Z44" s="193">
        <f>(SUM(Z11:AA11*Z24:AA24)+Z34)/Z32</f>
        <v>0.29754226028038666</v>
      </c>
      <c r="AB44" s="193">
        <f>(SUM(AB11:AC11*AB24:AC24)+AB34)/AB32</f>
        <v>0.29754226148715124</v>
      </c>
      <c r="AD44" s="193">
        <f>(SUM(AD11:AE11*AD24:AE24)+AD34)/AD32</f>
        <v>0.29754225864269906</v>
      </c>
      <c r="AF44" s="193">
        <f>(SUM(AF11:AG11*AF24:AG24)+AF34)/AF32</f>
        <v>0.29754226014440338</v>
      </c>
      <c r="AH44" s="193">
        <f>(SUM(AH11:AI11*AH24:AI24)+AH34)/AH32</f>
        <v>0.29754226190968286</v>
      </c>
      <c r="AJ44" s="193">
        <f>(SUM(AJ11:AK11*AJ24:AK24)+AJ34)/AJ32</f>
        <v>0.29754226179625931</v>
      </c>
      <c r="AL44" s="193">
        <f>(SUM(AL11:AM11*AL24:AM24)+AL34)/AL32</f>
        <v>0.2975422618036625</v>
      </c>
      <c r="AN44" s="193">
        <f>(SUM(AN11:AO11*AN24:AO24)+AN34)/AN32</f>
        <v>0.29754226191388672</v>
      </c>
      <c r="AP44" s="193">
        <f>(SUM(AP11:AQ11*AP24:AQ24)+AP34)/AP32</f>
        <v>0.29754226190390726</v>
      </c>
      <c r="AR44" s="193">
        <f>(SUM(AR11:AS11*AR24:AS24)+AR34)/AR32</f>
        <v>0.29754226190663091</v>
      </c>
      <c r="AT44" s="193">
        <f>(SUM(AT11:AU11*AT24:AU24)+AT34)/AT32</f>
        <v>0.29754226190299338</v>
      </c>
      <c r="AV44" s="193">
        <f>(SUM(AV11:AW11*AV24:AW24)+AV34)/AV32</f>
        <v>0.29754226190685412</v>
      </c>
    </row>
    <row r="45" spans="1:49 16319:16321" x14ac:dyDescent="0.2">
      <c r="A45" t="s">
        <v>82</v>
      </c>
      <c r="B45" s="193">
        <f>SUM(B11:C11*B24:C24)/B32</f>
        <v>0.22038438833194082</v>
      </c>
      <c r="D45" s="193">
        <f>SUM(D11:E11*D24:E24)/D32</f>
        <v>0.22038438831170976</v>
      </c>
      <c r="F45" s="193">
        <f>SUM(F11:G11*F24:G24)/F32</f>
        <v>0.22038438832453411</v>
      </c>
      <c r="H45" s="193">
        <f>SUM(H11:I11*H24:I24)/H32</f>
        <v>0.22038438832310051</v>
      </c>
      <c r="J45" s="193">
        <f>SUM(J11:K11*J24:K24)/J32</f>
        <v>0.22038438823350248</v>
      </c>
      <c r="L45" s="193">
        <f>SUM(L11:M11*L24:M24)/L32</f>
        <v>0.22038438832280882</v>
      </c>
      <c r="N45" s="193">
        <f>SUM(N11:O11*N24:O24)/N32</f>
        <v>0.2203843883183145</v>
      </c>
      <c r="P45" s="193">
        <f>SUM(P11:Q11*P24:Q24)/P32</f>
        <v>0.22038438831732818</v>
      </c>
      <c r="R45" s="193">
        <f>SUM(R11:S11*R24:S24)/R32</f>
        <v>0.22038438831565324</v>
      </c>
      <c r="T45" s="193">
        <f>SUM(T11:U11*T24:U24)/T32</f>
        <v>0.22038438832176921</v>
      </c>
      <c r="V45" s="193">
        <f>SUM(V11:W11*V24:W24)/V32</f>
        <v>0.2203843883299926</v>
      </c>
      <c r="X45" s="193">
        <f>SUM(X11:Y11*X24:Y24)/X32</f>
        <v>0.22038438833186461</v>
      </c>
      <c r="Z45" s="193">
        <f>SUM(Z11:AA11*Z24:AA24)/Z32</f>
        <v>0.22038438832822371</v>
      </c>
      <c r="AB45" s="193">
        <f>SUM(AB11:AC11*AB24:AC24)/AB32</f>
        <v>0.22038438832672774</v>
      </c>
      <c r="AD45" s="193">
        <f>SUM(AD11:AE11*AD24:AE24)/AD32</f>
        <v>0.22038438832903517</v>
      </c>
      <c r="AF45" s="193">
        <f>SUM(AF11:AG11*AF24:AG24)/AF32</f>
        <v>0.2203843883267966</v>
      </c>
      <c r="AH45" s="193">
        <f>SUM(AH11:AI11*AH24:AI24)/AH32</f>
        <v>0.22038438833548621</v>
      </c>
      <c r="AJ45" s="193">
        <f>SUM(AJ11:AK11*AJ24:AK24)/AJ32</f>
        <v>0.22038438833185214</v>
      </c>
      <c r="AL45" s="193">
        <f>SUM(AL11:AM11*AL24:AM24)/AL32</f>
        <v>0.22038438833242535</v>
      </c>
      <c r="AN45" s="193">
        <f>SUM(AN11:AO11*AN24:AO24)/AN32</f>
        <v>0.22038438833259597</v>
      </c>
      <c r="AP45" s="193">
        <f>SUM(AP11:AQ11*AP24:AQ24)/AP32</f>
        <v>0.22038438833265289</v>
      </c>
      <c r="AR45" s="193">
        <f>SUM(AR11:AS11*AR24:AS24)/AR32</f>
        <v>0.22038438833203317</v>
      </c>
      <c r="AT45" s="193">
        <f>SUM(AT11:AU11*AT24:AU24)/AT32</f>
        <v>0.22038438833268795</v>
      </c>
      <c r="AV45" s="193">
        <f>SUM(AV11:AW11*AV24:AW24)/AV32</f>
        <v>0.22038438833189886</v>
      </c>
      <c r="XCQ45" s="193"/>
    </row>
    <row r="46" spans="1:49 16319:16321" x14ac:dyDescent="0.2">
      <c r="A46" t="s">
        <v>139</v>
      </c>
      <c r="B46" s="193">
        <f>B34/B32</f>
        <v>7.715787357488231E-2</v>
      </c>
      <c r="D46" s="193">
        <f>D34/D32</f>
        <v>7.7157849738734283E-2</v>
      </c>
      <c r="F46" s="193">
        <f>F34/F32</f>
        <v>7.7157872383817536E-2</v>
      </c>
      <c r="H46" s="193">
        <f>H34/H32</f>
        <v>7.7157871965120459E-2</v>
      </c>
      <c r="J46" s="193">
        <f>J34/J32</f>
        <v>7.7157835731833768E-2</v>
      </c>
      <c r="L46" s="193">
        <f>L34/L32</f>
        <v>7.7157871360692215E-2</v>
      </c>
      <c r="N46" s="193">
        <f>N34/N32</f>
        <v>7.7157869663757067E-2</v>
      </c>
      <c r="P46" s="193">
        <f>P34/P32</f>
        <v>7.7157868606810509E-2</v>
      </c>
      <c r="R46" s="193">
        <f>R34/R32</f>
        <v>7.7157868651316922E-2</v>
      </c>
      <c r="T46" s="193">
        <f>T34/T32</f>
        <v>7.7157870882718152E-2</v>
      </c>
      <c r="V46" s="193">
        <f>V34/V32</f>
        <v>7.7157873124616888E-2</v>
      </c>
      <c r="X46" s="193">
        <f>X34/X32</f>
        <v>7.7157873559240392E-2</v>
      </c>
      <c r="Z46" s="193">
        <f>Z34/Z32</f>
        <v>7.7157871952162921E-2</v>
      </c>
      <c r="AB46" s="193">
        <f>AB34/AB32</f>
        <v>7.7157873160423468E-2</v>
      </c>
      <c r="AD46" s="193">
        <f>AD34/AD32</f>
        <v>7.7157870313663876E-2</v>
      </c>
      <c r="AF46" s="193">
        <f>AF34/AF32</f>
        <v>7.7157871817606707E-2</v>
      </c>
      <c r="AH46" s="193">
        <f>AH34/AH32</f>
        <v>7.715787357419665E-2</v>
      </c>
      <c r="AJ46" s="193">
        <f>AJ34/AJ32</f>
        <v>7.7157873464407153E-2</v>
      </c>
      <c r="AL46" s="193">
        <f>AL34/AL32</f>
        <v>7.7157873471237148E-2</v>
      </c>
      <c r="AN46" s="193">
        <f>AN34/AN32</f>
        <v>7.715787358129074E-2</v>
      </c>
      <c r="AP46" s="193">
        <f>AP34/AP32</f>
        <v>7.7157873571254379E-2</v>
      </c>
      <c r="AR46" s="193">
        <f>AR34/AR32</f>
        <v>7.7157873574597732E-2</v>
      </c>
      <c r="AT46" s="193">
        <f>AT34/AT32</f>
        <v>7.7157873570305457E-2</v>
      </c>
      <c r="AV46" s="193">
        <f>AV34/AV32</f>
        <v>7.7157873574955307E-2</v>
      </c>
      <c r="XCS46" s="193"/>
    </row>
    <row r="48" spans="1:49 16319:16321" x14ac:dyDescent="0.2">
      <c r="A48" t="s">
        <v>159</v>
      </c>
      <c r="B48" s="191">
        <f>B24/$B$24</f>
        <v>1</v>
      </c>
      <c r="C48" s="191"/>
      <c r="D48" s="191">
        <f>D24/$B$24</f>
        <v>1.0017481185186967</v>
      </c>
      <c r="E48" s="191"/>
      <c r="F48" s="191">
        <f>F24/$B$24</f>
        <v>1.0033831655035699</v>
      </c>
      <c r="G48" s="191"/>
      <c r="H48" s="191">
        <f>H24/$B$24</f>
        <v>1.0048859723888894</v>
      </c>
      <c r="I48" s="191"/>
      <c r="J48" s="191">
        <f>J24/$B$24</f>
        <v>1.0062326805103572</v>
      </c>
      <c r="K48" s="191"/>
      <c r="L48" s="191">
        <f>L24/$B$24</f>
        <v>1.0073931405696175</v>
      </c>
      <c r="M48" s="191"/>
      <c r="N48" s="191">
        <f>N24/$B$24</f>
        <v>1.0083288188209949</v>
      </c>
      <c r="O48" s="191"/>
      <c r="P48" s="191">
        <f>P24/$B$24</f>
        <v>1.0089895806446638</v>
      </c>
      <c r="Q48" s="191"/>
      <c r="R48" s="191">
        <f>R24/$B$24</f>
        <v>1.0093090889555167</v>
      </c>
      <c r="S48" s="191"/>
      <c r="T48" s="191">
        <f>T24/$B$24</f>
        <v>1.0091977758412429</v>
      </c>
      <c r="U48" s="191"/>
      <c r="V48" s="191">
        <f>V24/$B$24</f>
        <v>1.0085317700067586</v>
      </c>
      <c r="W48" s="191"/>
      <c r="X48" s="191">
        <f>X24/$B$24</f>
        <v>1.0071349644369447</v>
      </c>
      <c r="Y48" s="191"/>
      <c r="Z48" s="191">
        <f>Z24/$B$24</f>
        <v>1.0047484748599471</v>
      </c>
      <c r="AA48" s="191"/>
      <c r="AB48" s="191">
        <f>AB24/$B$24</f>
        <v>1.0009757603184233</v>
      </c>
      <c r="AC48" s="191"/>
      <c r="AD48" s="191">
        <f>AD24/$B$24</f>
        <v>0.99517701434490857</v>
      </c>
      <c r="AE48" s="191"/>
      <c r="AF48" s="191">
        <f>AF24/$B$24</f>
        <v>0.98624701861530595</v>
      </c>
      <c r="AG48" s="191"/>
      <c r="AH48" s="191">
        <f>AH24/$B$24</f>
        <v>0.97208851301833066</v>
      </c>
      <c r="AI48" s="191"/>
      <c r="AJ48" s="191">
        <f>AJ24/$B$24</f>
        <v>0.94813547159338729</v>
      </c>
      <c r="AK48" s="191"/>
      <c r="AL48" s="191">
        <f>AL24/$B$24</f>
        <v>0.90200821330693304</v>
      </c>
      <c r="AM48" s="191"/>
      <c r="AN48" s="191">
        <f>AN24/$B$24</f>
        <v>0.78359491118037594</v>
      </c>
      <c r="AO48" s="191"/>
      <c r="AP48" s="191">
        <f>AP24/$B$24</f>
        <v>0.73436514108748419</v>
      </c>
      <c r="AQ48" s="191"/>
      <c r="AR48" s="191">
        <f>AR24/$B$24</f>
        <v>0.66411817887495705</v>
      </c>
      <c r="AS48" s="191"/>
      <c r="AT48" s="191">
        <f>AT24/$B$24</f>
        <v>0.55657240121721885</v>
      </c>
      <c r="AU48" s="191"/>
      <c r="AV48" s="191">
        <f>AV24/$B$24</f>
        <v>0.37354727489667072</v>
      </c>
    </row>
    <row r="49" spans="1:48 16321:16384" x14ac:dyDescent="0.2">
      <c r="A49" t="s">
        <v>160</v>
      </c>
      <c r="B49" s="191">
        <f>B13/B35/$B$13*$B$35</f>
        <v>1</v>
      </c>
      <c r="C49" s="191"/>
      <c r="D49" s="191">
        <f>D13/D35/$B$13*$B$35</f>
        <v>0.99523138242207732</v>
      </c>
      <c r="E49" s="191"/>
      <c r="F49" s="191">
        <f>F13/F35/$B$13*$B$35</f>
        <v>0.98978529059626619</v>
      </c>
      <c r="G49" s="191"/>
      <c r="H49" s="191">
        <f>H13/H35/$B$13*$B$35</f>
        <v>0.98355472245597531</v>
      </c>
      <c r="I49" s="191"/>
      <c r="J49" s="191">
        <f>J13/J35/$B$13*$B$35</f>
        <v>0.97640870748930564</v>
      </c>
      <c r="K49" s="191"/>
      <c r="L49" s="191">
        <f>L13/L35/$B$13*$B$35</f>
        <v>0.96818523763524889</v>
      </c>
      <c r="M49" s="191"/>
      <c r="N49" s="191">
        <f>N13/N35/$B$13*$B$35</f>
        <v>0.95868054815034254</v>
      </c>
      <c r="O49" s="191"/>
      <c r="P49" s="191">
        <f>P13/P35/$B$13*$B$35</f>
        <v>0.94763604018339187</v>
      </c>
      <c r="Q49" s="191"/>
      <c r="R49" s="191">
        <f>R13/R35/$B$13*$B$35</f>
        <v>0.93471795831251392</v>
      </c>
      <c r="S49" s="191"/>
      <c r="T49" s="191">
        <f>T13/T35/$B$13*$B$35</f>
        <v>0.91948853137774722</v>
      </c>
      <c r="U49" s="191"/>
      <c r="V49" s="191">
        <f>V13/V35/$B$13*$B$35</f>
        <v>0.90136255420626354</v>
      </c>
      <c r="W49" s="191"/>
      <c r="X49" s="191">
        <f>X13/X35/$B$13*$B$35</f>
        <v>0.87954104988307458</v>
      </c>
      <c r="Y49" s="191"/>
      <c r="Z49" s="191">
        <f>Z13/Z35/$B$13*$B$35</f>
        <v>0.85290644842624308</v>
      </c>
      <c r="AA49" s="191"/>
      <c r="AB49" s="191">
        <f>AB13/AB35/$B$13*$B$35</f>
        <v>0.81985166502823514</v>
      </c>
      <c r="AC49" s="191"/>
      <c r="AD49" s="191">
        <f>AD13/AD35/$B$13*$B$35</f>
        <v>0.77799150472159107</v>
      </c>
      <c r="AE49" s="191"/>
      <c r="AF49" s="191">
        <f>AF13/AF35/$B$13*$B$35</f>
        <v>0.72365821038515976</v>
      </c>
      <c r="AG49" s="191"/>
      <c r="AH49" s="191">
        <f>AH13/AH35/$B$13*$B$35</f>
        <v>0.65099652901140681</v>
      </c>
      <c r="AI49" s="191"/>
      <c r="AJ49" s="191">
        <f>AJ13/AJ35/$B$13*$B$35</f>
        <v>0.55037285904505706</v>
      </c>
      <c r="AK49" s="191"/>
      <c r="AL49" s="191">
        <f>AL13/AL35/$B$13*$B$35</f>
        <v>0.40622292965043943</v>
      </c>
      <c r="AM49" s="191"/>
      <c r="AN49" s="191">
        <f>AN13/AN35/$B$13*$B$35</f>
        <v>0.20055523335621109</v>
      </c>
      <c r="AO49" s="191"/>
      <c r="AP49" s="191">
        <f>AP13/AP35/$B$13*$B$35</f>
        <v>0.15264317099336733</v>
      </c>
      <c r="AQ49" s="191"/>
      <c r="AR49" s="191">
        <f>AR13/AR35/$B$13*$B$35</f>
        <v>0.10434471212705283</v>
      </c>
      <c r="AS49" s="191"/>
      <c r="AT49" s="191">
        <f>AT13/AT35/$B$13*$B$35</f>
        <v>5.8148394022571041E-2</v>
      </c>
      <c r="AU49" s="191"/>
      <c r="AV49" s="191">
        <f>AV13/AV35/$B$13*$B$35</f>
        <v>1.9152849015441634E-2</v>
      </c>
    </row>
    <row r="51" spans="1:48 16321:16384" x14ac:dyDescent="0.2">
      <c r="A51" t="s">
        <v>166</v>
      </c>
      <c r="B51" s="29">
        <f>B30-B10*B23</f>
        <v>-405838.32800000021</v>
      </c>
      <c r="D51" s="29">
        <f>D30-D10*D23</f>
        <v>-342209.30264962418</v>
      </c>
      <c r="F51" s="29">
        <f>F30-F10*F23</f>
        <v>-276405.4580528806</v>
      </c>
      <c r="H51" s="29">
        <f>H30-H10*H23</f>
        <v>-208074.30528738443</v>
      </c>
      <c r="J51" s="29">
        <f>J30-J10*J23</f>
        <v>-136790.83553767949</v>
      </c>
      <c r="L51" s="29">
        <f>L30-L10*L23</f>
        <v>-62040.27837419603</v>
      </c>
      <c r="N51" s="29">
        <f>N30-N10*N23</f>
        <v>16819.768705050461</v>
      </c>
      <c r="P51" s="29">
        <f>P30-P10*P23</f>
        <v>100587.22836267995</v>
      </c>
      <c r="R51" s="29">
        <f>R30-R10*R23</f>
        <v>190275.96405400429</v>
      </c>
      <c r="T51" s="29">
        <f>T30-T10*T23</f>
        <v>287194.82847322337</v>
      </c>
      <c r="V51" s="29">
        <f>V30-V10*V23</f>
        <v>393070.26131805452</v>
      </c>
      <c r="X51" s="29">
        <f>X30-X10*X23</f>
        <v>510237.57137931604</v>
      </c>
      <c r="Z51" s="29">
        <f>Z30-Z10*Z23</f>
        <v>641956.56482838793</v>
      </c>
      <c r="AB51" s="29">
        <f>AB30-AB10*AB23</f>
        <v>792960.0949358698</v>
      </c>
      <c r="AD51" s="29">
        <f>AD30-AD10*AD23</f>
        <v>970471.92667328008</v>
      </c>
      <c r="AF51" s="29">
        <f>AF30-AF10*AF23</f>
        <v>1186245.2123840856</v>
      </c>
      <c r="AH51" s="29">
        <f>AH30-AH10*AH23</f>
        <v>1461046.6558014615</v>
      </c>
      <c r="AJ51" s="29">
        <f>AJ30-AJ10*AJ23</f>
        <v>1835555.7493257942</v>
      </c>
      <c r="AL51" s="29">
        <f>AL30-AL10*AL23</f>
        <v>2398489.2857227796</v>
      </c>
      <c r="AN51" s="29">
        <f>AN30-AN10*AN23</f>
        <v>3317996.4169997312</v>
      </c>
      <c r="AP51" s="29">
        <f>AP30-AP10*AP23</f>
        <v>3534522.5141630485</v>
      </c>
      <c r="AQ51" s="29"/>
      <c r="AR51" s="29">
        <f>AR30-AR10*AR23</f>
        <v>3706817.7032662276</v>
      </c>
      <c r="AT51" s="29">
        <f>AT30-AT10*AT23</f>
        <v>3704443.1287467862</v>
      </c>
      <c r="AV51" s="29">
        <f>AV30-AV10*AV23</f>
        <v>3093335.7287488086</v>
      </c>
      <c r="XFD51" s="29"/>
    </row>
    <row r="52" spans="1:48 16321:16384" x14ac:dyDescent="0.2">
      <c r="A52" t="s">
        <v>167</v>
      </c>
      <c r="B52" s="29">
        <f t="array" ref="B52">Calibration!sL*SUM(B13:C13*B26:C26)</f>
        <v>2049247.8195702801</v>
      </c>
      <c r="D52" s="29">
        <f t="array" ref="D52">Calibration!sL*SUM(D13:E13*D26:E26)</f>
        <v>2045748.8295766343</v>
      </c>
      <c r="F52" s="29">
        <f t="array" ref="F52">Calibration!sL*SUM(F13:G13*F26:G26)</f>
        <v>2041555.5823391275</v>
      </c>
      <c r="H52" s="29">
        <f t="array" ref="H52">Calibration!sL*SUM(H13:I13*H26:I26)</f>
        <v>2036557.621752596</v>
      </c>
      <c r="J52" s="29">
        <f t="array" ref="J52">Calibration!sL*SUM(J13:K13*J26:K26)</f>
        <v>2030619.4182411893</v>
      </c>
      <c r="L52" s="29">
        <f t="array" ref="L52">Calibration!sL*SUM(L13:M13*L26:M26)</f>
        <v>2023572.7838830124</v>
      </c>
      <c r="N52" s="29">
        <f t="array" ref="N52">Calibration!sL*SUM(N13:O13*N26:O26)</f>
        <v>2015206.1275158322</v>
      </c>
      <c r="P52" s="29">
        <f t="array" ref="P52">Calibration!sL*SUM(P13:Q13*P26:Q26)</f>
        <v>2005249.928375965</v>
      </c>
      <c r="R52" s="29">
        <f t="array" ref="R52">Calibration!sL*SUM(R13:S13*R26:S26)</f>
        <v>1993355.1835459766</v>
      </c>
      <c r="T52" s="29">
        <f t="array" ref="T52">Calibration!sL*SUM(T13:U13*T26:U26)</f>
        <v>1979061.7952474188</v>
      </c>
      <c r="V52" s="29">
        <f t="array" ref="V52">Calibration!sL*SUM(V13:W13*V26:W26)</f>
        <v>1961749.9687427611</v>
      </c>
      <c r="X52" s="29">
        <f t="array" ref="X52">Calibration!sL*SUM(X13:Y13*X26:Y26)</f>
        <v>1940563.522359275</v>
      </c>
      <c r="Z52" s="29">
        <f t="array" ref="Z52">Calibration!sL*SUM(Z13:AA13*Z26:AA26)</f>
        <v>1914282.9869627533</v>
      </c>
      <c r="AB52" s="29">
        <f t="array" ref="AB52">Calibration!sL*SUM(AB13:AC13*AB26:AC26)</f>
        <v>1881104.6299177138</v>
      </c>
      <c r="AD52" s="29">
        <f t="array" ref="AD52">Calibration!sL*SUM(AD13:AE13*AD26:AE26)</f>
        <v>1838230.0697633766</v>
      </c>
      <c r="AF52" s="29">
        <f t="array" ref="AF52">Calibration!sL*SUM(AF13:AG13*AF26:AG26)</f>
        <v>1781039.1215492864</v>
      </c>
      <c r="AH52" s="29">
        <f t="array" ref="AH52">Calibration!sL*SUM(AH13:AI13*AH26:AI26)</f>
        <v>1701234.3483401665</v>
      </c>
      <c r="AJ52" s="29">
        <f t="array" ref="AJ52">Calibration!sL*SUM(AJ13:AK13*AJ26:AK26)</f>
        <v>1582038.1574373625</v>
      </c>
      <c r="AL52" s="29">
        <f t="array" ref="AL52">Calibration!sL*SUM(AL13:AM13*AL26:AM26)</f>
        <v>1382997.1368107724</v>
      </c>
      <c r="AN52" s="29">
        <f t="array" ref="AN52">Calibration!sL*SUM(AN13:AO13*AN26:AO26)</f>
        <v>976135.49548351462</v>
      </c>
      <c r="AP52" s="29">
        <f t="array" ref="AP52">Calibration!sL*SUM(AP13:AQ13*AP26:AQ26)</f>
        <v>838220.78471937473</v>
      </c>
      <c r="AQ52" s="29"/>
      <c r="AR52" s="29">
        <f t="array" ref="AR52">Calibration!sL*SUM(AR13:AS13*AR26:AS26)</f>
        <v>666201.54561417422</v>
      </c>
      <c r="AT52" s="29">
        <f t="array" ref="AT52">Calibration!sL*SUM(AT13:AU13*AT26:AU26)</f>
        <v>450602.10291063966</v>
      </c>
      <c r="AV52" s="29">
        <f t="array" ref="AV52">Calibration!sL*SUM(AV13:AW13*AV26:AW26)</f>
        <v>192583.0556350915</v>
      </c>
    </row>
    <row r="53" spans="1:48 16321:16384" x14ac:dyDescent="0.2">
      <c r="A53" t="s">
        <v>168</v>
      </c>
      <c r="B53" s="29">
        <f t="array" ref="B53">Calibration!sK*SUM(B15:C15*B27:C27)</f>
        <v>2740714.444429745</v>
      </c>
      <c r="D53" s="29">
        <f t="array" ref="D53">Calibration!sK*SUM(D15:E15*D27:E27)</f>
        <v>2721880.3661757512</v>
      </c>
      <c r="F53" s="29">
        <f t="array" ref="F53">Calibration!sK*SUM(F15:G15*F27:G27)</f>
        <v>2702329.8006582544</v>
      </c>
      <c r="H53" s="29">
        <f t="array" ref="H53">Calibration!sK*SUM(H15:I15*H27:I27)</f>
        <v>2681931.8637422784</v>
      </c>
      <c r="J53" s="29">
        <f t="array" ref="J53">Calibration!sK*SUM(J15:K15*J27:K27)</f>
        <v>2660524.5093070199</v>
      </c>
      <c r="L53" s="29">
        <f t="array" ref="L53">Calibration!sK*SUM(L15:M15*L27:M27)</f>
        <v>2637906.0944069964</v>
      </c>
      <c r="N53" s="29">
        <f t="array" ref="N53">Calibration!sK*SUM(N15:O15*N27:O27)</f>
        <v>2613821.2334258729</v>
      </c>
      <c r="P53" s="29">
        <f t="array" ref="P53">Calibration!sK*SUM(P15:Q15*P27:Q27)</f>
        <v>2587944.229377958</v>
      </c>
      <c r="R53" s="29">
        <f t="array" ref="R53">Calibration!sK*SUM(R15:S15*R27:S27)</f>
        <v>2559852.5882471898</v>
      </c>
      <c r="T53" s="29">
        <f t="array" ref="T53">Calibration!sK*SUM(T15:U15*T27:U27)</f>
        <v>2528989.1412116671</v>
      </c>
      <c r="V53" s="29">
        <f t="array" ref="V53">Calibration!sK*SUM(V15:W15*V27:W27)</f>
        <v>2494604.1390392771</v>
      </c>
      <c r="X53" s="29">
        <f t="array" ref="X53">Calibration!sK*SUM(X15:Y15*X27:Y27)</f>
        <v>2455664.0324389189</v>
      </c>
      <c r="Z53" s="29">
        <f t="array" ref="Z53">Calibration!sK*SUM(Z15:AA15*Z27:AA27)</f>
        <v>2410701.1341341953</v>
      </c>
      <c r="AB53" s="29">
        <f t="array" ref="AB53">Calibration!sK*SUM(AB15:AC15*AB27:AC27)</f>
        <v>2357552.3029043693</v>
      </c>
      <c r="AD53" s="29">
        <f t="array" ref="AD53">Calibration!sK*SUM(AD15:AE15*AD27:AE27)</f>
        <v>2292873.574546949</v>
      </c>
      <c r="AF53" s="29">
        <f t="array" ref="AF53">Calibration!sK*SUM(AF15:AG15*AF27:AG27)</f>
        <v>2211159.7048098939</v>
      </c>
      <c r="AH53" s="29">
        <f t="array" ref="AH53">Calibration!sK*SUM(AH15:AI15*AH27:AI27)</f>
        <v>2102534.8980735862</v>
      </c>
      <c r="AJ53" s="29">
        <f t="array" ref="AJ53">Calibration!sK*SUM(AJ15:AK15*AJ27:AK27)</f>
        <v>1946990.6383518821</v>
      </c>
      <c r="AL53" s="29">
        <f t="array" ref="AL53">Calibration!sK*SUM(AL15:AM15*AL27:AM27)</f>
        <v>1695978.7896056997</v>
      </c>
      <c r="AN53" s="29">
        <f t="array" ref="AN53">Calibration!sK*SUM(AN15:AO15*AN27:AO27)</f>
        <v>1194318.6210064997</v>
      </c>
      <c r="AP53" s="29">
        <f t="array" ref="AP53">Calibration!sK*SUM(AP15:AQ15*AP27:AQ27)</f>
        <v>1025330.1842671331</v>
      </c>
      <c r="AQ53" s="29"/>
      <c r="AR53" s="29">
        <f t="array" ref="AR53">Calibration!sK*SUM(AR15:AS15*AR27:AS27)</f>
        <v>814774.97618899553</v>
      </c>
      <c r="AT53" s="29">
        <f t="array" ref="AT53">Calibration!sK*SUM(AT15:AU15*AT27:AU27)</f>
        <v>551035.94888605154</v>
      </c>
      <c r="AV53" s="29">
        <f t="array" ref="AV53">Calibration!sK*SUM(AV15:AW15*AV27:AW27)</f>
        <v>235494.90993653983</v>
      </c>
      <c r="XFD53" s="29"/>
    </row>
    <row r="55" spans="1:48 16321:16384" x14ac:dyDescent="0.2">
      <c r="A55" t="s">
        <v>169</v>
      </c>
      <c r="B55" s="193">
        <f>B30/B32</f>
        <v>0.19850271905982084</v>
      </c>
      <c r="D55" s="193">
        <f>D30/D32</f>
        <v>0.20283915279624895</v>
      </c>
      <c r="F55" s="193">
        <f>F30/F32</f>
        <v>0.20731407862141177</v>
      </c>
      <c r="H55" s="193">
        <f>H30/H32</f>
        <v>0.21195233183228274</v>
      </c>
      <c r="J55" s="193">
        <f>J30/J32</f>
        <v>0.21678406906825817</v>
      </c>
      <c r="L55" s="193">
        <f>L30/L32</f>
        <v>0.22184614092339255</v>
      </c>
      <c r="N55" s="193">
        <f>N30/N32</f>
        <v>0.22718497266904356</v>
      </c>
      <c r="P55" s="193">
        <f>P30/P32</f>
        <v>0.23285894555150521</v>
      </c>
      <c r="R55" s="193">
        <f>R30/R32</f>
        <v>0.23894328232781908</v>
      </c>
      <c r="T55" s="193">
        <f>T30/T32</f>
        <v>0.24553670638072372</v>
      </c>
      <c r="V55" s="193">
        <f>V30/V32</f>
        <v>0.2527719660228826</v>
      </c>
      <c r="X55" s="193">
        <f>X30/X32</f>
        <v>0.26083271267445035</v>
      </c>
      <c r="Z55" s="193">
        <f>Z30/Z32</f>
        <v>0.26998214125023196</v>
      </c>
      <c r="AB55" s="193">
        <f>AB30/AB32</f>
        <v>0.2806144012115217</v>
      </c>
      <c r="AD55" s="193">
        <f>AD30/AD32</f>
        <v>0.29335369537114703</v>
      </c>
      <c r="AF55" s="193">
        <f>AF30/AF32</f>
        <v>0.30926270028696623</v>
      </c>
      <c r="AH55" s="193">
        <f>AH30/AH32</f>
        <v>0.33033379297973803</v>
      </c>
      <c r="AJ55" s="193">
        <f>AJ30/AJ32</f>
        <v>0.3608315858119423</v>
      </c>
      <c r="AL55" s="193">
        <f>AL30/AL32</f>
        <v>0.411808496952554</v>
      </c>
      <c r="AN55" s="193">
        <f>AN30/AN32</f>
        <v>0.52218168650401264</v>
      </c>
      <c r="AP55" s="193">
        <f>AP30/AP32</f>
        <v>0.56247544432831742</v>
      </c>
      <c r="AR55" s="193">
        <f>AR30/AR32</f>
        <v>0.61585413614915807</v>
      </c>
      <c r="AT55" s="193">
        <f>AT30/AT32</f>
        <v>0.69034238425839556</v>
      </c>
      <c r="AV55" s="193">
        <f>AV30/AV32</f>
        <v>0.80304412014487725</v>
      </c>
      <c r="XCS55" s="193"/>
      <c r="XFD55" s="193"/>
    </row>
    <row r="56" spans="1:48 16321:16384" x14ac:dyDescent="0.2">
      <c r="A56" t="s">
        <v>170</v>
      </c>
      <c r="B56" s="193">
        <f>(Model!$C$52*B5*B20+B2*C5*C20)/B32</f>
        <v>2.9221206744340551E-2</v>
      </c>
      <c r="D56" s="193">
        <f>(Model!$C$52*D5*D20+D2*E5*E20)/D32</f>
        <v>3.4024294724380573E-2</v>
      </c>
      <c r="F56" s="193">
        <f>(Model!$C$52*F5*F20+F2*G5*G20)/F32</f>
        <v>3.9000870189534013E-2</v>
      </c>
      <c r="H56" s="193">
        <f>(Model!$C$52*H5*H20+H2*I5*I20)/H32</f>
        <v>4.4181113620703774E-2</v>
      </c>
      <c r="J56" s="193">
        <f>(Model!$C$52*J5*J20+J2*K5*K20)/J32</f>
        <v>4.9601653867715173E-2</v>
      </c>
      <c r="L56" s="193">
        <f>(Model!$C$52*L5*L20+L2*M5*M20)/L32</f>
        <v>5.5307269218611357E-2</v>
      </c>
      <c r="N56" s="193">
        <f>(Model!$C$52*N5*N20+N2*O5*O20)/N32</f>
        <v>6.1354278807062526E-2</v>
      </c>
      <c r="P56" s="193">
        <f>(Model!$C$52*P5*P20+P2*Q5*Q20)/P32</f>
        <v>6.7813541279530584E-2</v>
      </c>
      <c r="R56" s="193">
        <f>(Model!$C$52*R5*R20+R2*S5*S20)/R32</f>
        <v>7.4776334797455712E-2</v>
      </c>
      <c r="T56" s="193">
        <f>(Model!$C$52*T5*T20+T2*U5*U20)/T32</f>
        <v>8.236246851157969E-2</v>
      </c>
      <c r="V56" s="193">
        <f>(Model!$C$52*V5*V20+V2*W5*W20)/V32</f>
        <v>9.0733077548333874E-2</v>
      </c>
      <c r="X56" s="193">
        <f>(Model!$C$52*X5*X20+X2*Y5*Y20)/X32</f>
        <v>0.10011117054592766</v>
      </c>
      <c r="Z56" s="193">
        <f>(Model!$C$52*Z5*Z20+Z2*AA5*AA20)/Z32</f>
        <v>0.11081649766651473</v>
      </c>
      <c r="AB56" s="193">
        <f>(Model!$C$52*AB5*AB20+AB2*AC5*AC20)/AB32</f>
        <v>0.1233281425237218</v>
      </c>
      <c r="AD56" s="193">
        <f>(Model!$C$52*AD5*AD20+AD2*AE5*AE20)/AD32</f>
        <v>0.13840513230921916</v>
      </c>
      <c r="AF56" s="193">
        <f>(Model!$C$52*AF5*AF20+AF2*AG5*AG20)/AF32</f>
        <v>0.15733997185790047</v>
      </c>
      <c r="AH56" s="193">
        <f>(Model!$C$52*AH5*AH20+AH2*AI5*AI20)/AH32</f>
        <v>0.18255557597386424</v>
      </c>
      <c r="AJ56" s="193">
        <f>(Model!$C$52*AJ5*AJ20+AJ2*AK5*AK20)/AJ32</f>
        <v>0.21923461666781263</v>
      </c>
      <c r="AL56" s="193">
        <f>(Model!$C$52*AL5*AL20+AL2*AM5*AM20)/AL32</f>
        <v>0.28079091040191723</v>
      </c>
      <c r="AN56" s="193">
        <f>(Model!$C$52*AN5*AN20+AN2*AO5*AO20)/AN32</f>
        <v>0.41436624817103729</v>
      </c>
      <c r="AP56" s="193">
        <f>(Model!$C$52*AP5*AP20+AP2*AQ5*AQ20)/AP32</f>
        <v>0.4631432690882189</v>
      </c>
      <c r="AR56" s="193">
        <f>(Model!$C$52*AR5*AR20+AR2*AS5*AS20)/AR32</f>
        <v>0.52775327179151388</v>
      </c>
      <c r="AT56" s="193">
        <f>(Model!$C$52*AT5*AT20+AT2*AU5*AU20)/AT32</f>
        <v>0.61789806240166878</v>
      </c>
      <c r="AV56" s="193">
        <f>(Model!$C$52*AV5*AV20+AV2*AW5*AW20)/AV32</f>
        <v>0.75425473811733934</v>
      </c>
      <c r="XFD56" s="193"/>
    </row>
    <row r="57" spans="1:48 16321:16384" x14ac:dyDescent="0.2">
      <c r="A57" t="s">
        <v>171</v>
      </c>
      <c r="B57" s="193">
        <f t="array" ref="B57">SUM(Model!tauL*B13:C13*B26:C26)/B32</f>
        <v>0.15852881819439493</v>
      </c>
      <c r="D57" s="193">
        <f t="array" ref="D57">SUM(Model!tauL*D13:E13*D26:E26)/D32</f>
        <v>0.15813513518851544</v>
      </c>
      <c r="F57" s="193">
        <f t="array" ref="F57">SUM(Model!tauL*F13:G13*F26:G26)/F32</f>
        <v>0.15770648993531783</v>
      </c>
      <c r="H57" s="193">
        <f t="array" ref="H57">SUM(Model!tauL*H13:I13*H26:I26)/H32</f>
        <v>0.15723763305423055</v>
      </c>
      <c r="J57" s="193">
        <f t="array" ref="J57">SUM(Model!tauL*J13:K13*J26:K26)/J32</f>
        <v>0.15672221667100134</v>
      </c>
      <c r="L57" s="193">
        <f t="array" ref="L57">SUM(Model!tauL*L13:M13*L26:M26)/L32</f>
        <v>0.15615247278617397</v>
      </c>
      <c r="N57" s="193">
        <f t="array" ref="N57">SUM(Model!tauL*N13:O13*N26:O26)/N32</f>
        <v>0.15551871291509989</v>
      </c>
      <c r="P57" s="193">
        <f t="array" ref="P57">SUM(Model!tauL*P13:Q13*P26:Q26)/P32</f>
        <v>0.15480873036769646</v>
      </c>
      <c r="R57" s="193">
        <f t="array" ref="R57">SUM(Model!tauL*R13:S13*R26:S26)/R32</f>
        <v>0.15400682951492106</v>
      </c>
      <c r="T57" s="193">
        <f t="array" ref="T57">SUM(Model!tauL*T13:U13*T26:U26)/T32</f>
        <v>0.15309241137446042</v>
      </c>
      <c r="V57" s="193">
        <f t="array" ref="V57">SUM(Model!tauL*V13:W13*V26:W26)/V32</f>
        <v>0.15203775834813271</v>
      </c>
      <c r="X57" s="193">
        <f t="array" ref="X57">SUM(Model!tauL*X13:Y13*X26:Y26)/X32</f>
        <v>0.15080445379048932</v>
      </c>
      <c r="Y57" s="193"/>
      <c r="Z57" s="193">
        <f t="array" ref="Z57">SUM(Model!tauL*Z13:AA13*Z26:AA26)/Z32</f>
        <v>0.14933729754101846</v>
      </c>
      <c r="AB57" s="193">
        <f t="array" ref="AB57">SUM(Model!tauL*AB13:AC13*AB26:AC26)/AB32</f>
        <v>0.14755336719222747</v>
      </c>
      <c r="AD57" s="193">
        <f t="array" ref="AD57">SUM(Model!tauL*AD13:AE13*AD26:AE26)/AD32</f>
        <v>0.14532093810838478</v>
      </c>
      <c r="AF57" s="193">
        <f t="array" ref="AF57">SUM(Model!tauL*AF13:AG13*AF26:AG26)/AF32</f>
        <v>0.14241518980868775</v>
      </c>
      <c r="AH57" s="193">
        <f t="array" ref="AH57">SUM(Model!tauL*AH13:AI13*AH26:AI26)/AH32</f>
        <v>0.13841418055216015</v>
      </c>
      <c r="AJ57" s="193">
        <f t="array" ref="AJ57">SUM(Model!tauL*AJ13:AK13*AJ26:AK26)/AJ32</f>
        <v>0.13241587941431854</v>
      </c>
      <c r="AL57" s="193">
        <f t="array" ref="AL57">SUM(Model!tauL*AL13:AM13*AL26:AM26)/AL32</f>
        <v>0.12209249339887517</v>
      </c>
      <c r="AN57" s="193">
        <f t="array" ref="AN57">SUM(Model!tauL*AN13:AO13*AN26:AO26)/AN32</f>
        <v>9.9305326113595827E-2</v>
      </c>
      <c r="AP57" s="193">
        <f t="array" ref="AP57">SUM(Model!tauL*AP13:AQ13*AP26:AQ26)/AP32</f>
        <v>9.0943007096857736E-2</v>
      </c>
      <c r="AR57" s="193">
        <f t="array" ref="AR57">SUM(Model!tauL*AR13:AS13*AR26:AS26)/AR32</f>
        <v>7.9855159623042987E-2</v>
      </c>
      <c r="AT57" s="193">
        <f t="array" ref="AT57">SUM(Model!tauL*AT13:AU13*AT26:AU26)/AT32</f>
        <v>6.4374415034479951E-2</v>
      </c>
      <c r="AV57" s="193">
        <f t="array" ref="AV57">SUM(Model!tauL*AV13:AW13*AV26:AW26)/AV32</f>
        <v>4.0946158448878008E-2</v>
      </c>
      <c r="XFD57" s="193"/>
    </row>
    <row r="58" spans="1:48 16321:16384" x14ac:dyDescent="0.2">
      <c r="A58" t="s">
        <v>172</v>
      </c>
      <c r="B58" s="193">
        <f t="array" ref="B58">SUM(Model!tauY/(1+Model!tauY)*B3:C3*B18:C18)/B32</f>
        <v>1.075269412108535E-2</v>
      </c>
      <c r="D58" s="193">
        <f t="array" ref="D58">SUM(Model!tauY/(1+Model!tauY)*D3:E3*D18:E18)/D32</f>
        <v>1.0679722883352928E-2</v>
      </c>
      <c r="F58" s="193">
        <f t="array" ref="F58">SUM(Model!tauY/(1+Model!tauY)*F3:G3*F18:G18)/F32</f>
        <v>1.0606718496559977E-2</v>
      </c>
      <c r="H58" s="193">
        <f t="array" ref="H58">SUM(Model!tauY/(1+Model!tauY)*H3:I3*H18:I18)/H32</f>
        <v>1.0533585157348386E-2</v>
      </c>
      <c r="J58" s="193">
        <f t="array" ref="J58">SUM(Model!tauY/(1+Model!tauY)*J3:K3*J18:K18)/J32</f>
        <v>1.0460198529541673E-2</v>
      </c>
      <c r="L58" s="193">
        <f t="array" ref="L58">SUM(Model!tauY/(1+Model!tauY)*L3:M3*L18:M18)/L32</f>
        <v>1.0386398918607235E-2</v>
      </c>
      <c r="N58" s="193">
        <f t="array" ref="N58">SUM(Model!tauY/(1+Model!tauY)*N3:O3*N18:O18)/N32</f>
        <v>1.0311980946881134E-2</v>
      </c>
      <c r="P58" s="193">
        <f t="array" ref="P58">SUM(Model!tauY/(1+Model!tauY)*P3:Q3*P18:Q18)/P32</f>
        <v>1.0236673904278133E-2</v>
      </c>
      <c r="R58" s="193">
        <f t="array" ref="R58">SUM(Model!tauY/(1+Model!tauY)*R3:S3*R18:S18)/R32</f>
        <v>1.016011801544236E-2</v>
      </c>
      <c r="T58" s="193">
        <f t="array" ref="T58">SUM(Model!tauY/(1+Model!tauY)*T3:U3*T18:U18)/T32</f>
        <v>1.0081826494683633E-2</v>
      </c>
      <c r="V58" s="193">
        <f t="array" ref="V58">SUM(Model!tauY/(1+Model!tauY)*V3:W3*V18:W18)/V32</f>
        <v>1.0001130126416019E-2</v>
      </c>
      <c r="X58" s="193">
        <f t="array" ref="X58">SUM(Model!tauY/(1+Model!tauY)*X3:Y3*X18:Y18)/X32</f>
        <v>9.917088338033354E-3</v>
      </c>
      <c r="Y58" s="193"/>
      <c r="Z58" s="193">
        <f t="array" ref="Z58">SUM(Model!tauY/(1+Model!tauY)*Z3:AA3*Z18:AA18)/Z32</f>
        <v>9.8283460426987525E-3</v>
      </c>
      <c r="AB58" s="193">
        <f t="array" ref="AB58">SUM(Model!tauY/(1+Model!tauY)*AB3:AC3*AB18:AC18)/AB32</f>
        <v>9.7328914955724585E-3</v>
      </c>
      <c r="AD58" s="193">
        <f t="array" ref="AD58">SUM(Model!tauY/(1+Model!tauY)*AD3:AE3*AD18:AE18)/AD32</f>
        <v>9.6276249535430097E-3</v>
      </c>
      <c r="AF58" s="193">
        <f t="array" ref="AF58">SUM(Model!tauY/(1+Model!tauY)*AF3:AG3*AF18:AG18)/AF32</f>
        <v>9.5075386203779481E-3</v>
      </c>
      <c r="AH58" s="193">
        <f t="array" ref="AH58">SUM(Model!tauY/(1+Model!tauY)*AH3:AI3*AH18:AI18)/AH32</f>
        <v>9.3640364537136336E-3</v>
      </c>
      <c r="AJ58" s="193">
        <f t="array" ref="AJ58">SUM(Model!tauY/(1+Model!tauY)*AJ3:AK3*AJ18:AK18)/AJ32</f>
        <v>9.1810897298111663E-3</v>
      </c>
      <c r="AL58" s="193">
        <f t="array" ref="AL58">SUM(Model!tauY/(1+Model!tauY)*AL3:AM3*AL18:AM18)/AL32</f>
        <v>8.9250931517616105E-3</v>
      </c>
      <c r="AN58" s="193">
        <f t="array" ref="AN58">SUM(Model!tauY/(1+Model!tauY)*AN3:AO3*AN18:AO18)/AN32</f>
        <v>8.5101122193795096E-3</v>
      </c>
      <c r="AP58" s="193">
        <f t="array" ref="AP58">SUM(Model!tauY/(1+Model!tauY)*AP3:AQ3*AP18:AQ18)/AP32</f>
        <v>8.3891681432407966E-3</v>
      </c>
      <c r="AR58" s="193">
        <f t="array" ref="AR58">SUM(Model!tauY/(1+Model!tauY)*AR3:AS3*AR18:AS18)/AR32</f>
        <v>8.2457047346012197E-3</v>
      </c>
      <c r="AT58" s="193">
        <f t="array" ref="AT58">SUM(Model!tauY/(1+Model!tauY)*AT3:AU3*AT18:AU18)/AT32</f>
        <v>8.0699068222469198E-3</v>
      </c>
      <c r="AV58" s="193">
        <f t="array" ref="AV58">SUM(Model!tauY/(1+Model!tauY)*AV3:AW3*AV18:AW18)/AV32</f>
        <v>7.8432235786599757E-3</v>
      </c>
      <c r="XFD58" s="193"/>
    </row>
    <row r="59" spans="1:48 16321:16384" x14ac:dyDescent="0.2">
      <c r="A59" t="s">
        <v>173</v>
      </c>
      <c r="B59" s="193">
        <f>(B2*C5*C20)/B32</f>
        <v>5.5174232040962052E-4</v>
      </c>
      <c r="D59" s="193">
        <f>(D2*E5*E20)/D32</f>
        <v>5.4142415170041194E-3</v>
      </c>
      <c r="F59" s="193">
        <f>(F2*G5*G20)/F32</f>
        <v>1.0451756818459952E-2</v>
      </c>
      <c r="H59" s="193">
        <f>(H2*I5*I20)/H32</f>
        <v>1.5694724194074482E-2</v>
      </c>
      <c r="J59" s="193">
        <f>(J2*K5*K20)/J32</f>
        <v>2.118007904647265E-2</v>
      </c>
      <c r="L59" s="193">
        <f>(L2*M5*M20)/L32</f>
        <v>2.6952969021105215E-2</v>
      </c>
      <c r="N59" s="193">
        <f>(N2*O5*O20)/N32</f>
        <v>3.3070170119329882E-2</v>
      </c>
      <c r="P59" s="193">
        <f>(P2*Q5*Q20)/P32</f>
        <v>3.9603106038966322E-2</v>
      </c>
      <c r="R59" s="193">
        <f>(R2*S5*S20)/R32</f>
        <v>4.6643769064924553E-2</v>
      </c>
      <c r="T59" s="193">
        <f>(T2*U5*U20)/T32</f>
        <v>5.4312886858284573E-2</v>
      </c>
      <c r="V59" s="193">
        <f>(V2*W5*W20)/V32</f>
        <v>6.2772802420895529E-2</v>
      </c>
      <c r="X59" s="193">
        <f>(X2*Y5*Y20)/X32</f>
        <v>7.2248156855043988E-2</v>
      </c>
      <c r="Z59" s="193">
        <f>(Z2*AA5*AA20)/Z32</f>
        <v>8.3060982970497702E-2</v>
      </c>
      <c r="AB59" s="193">
        <f>(AB2*AC5*AC20)/AB32</f>
        <v>9.5693696899359568E-2</v>
      </c>
      <c r="AD59" s="193">
        <f>(AD2*AE5*AE20)/AD32</f>
        <v>0.11091046968142967</v>
      </c>
      <c r="AF59" s="193">
        <f>(AF2*AG5*AG20)/AF32</f>
        <v>0.1300123462315651</v>
      </c>
      <c r="AH59" s="193">
        <f>(AH2*AI5*AI20)/AH32</f>
        <v>0.15543786521127853</v>
      </c>
      <c r="AJ59" s="193">
        <f>(AJ2*AK5*AK20)/AJ32</f>
        <v>0.19240229348966331</v>
      </c>
      <c r="AL59" s="193">
        <f>(AL2*AM5*AM20)/AL32</f>
        <v>0.2544008503457833</v>
      </c>
      <c r="AN59" s="193">
        <f>(AN2*AO5*AO20)/AN32</f>
        <v>0.38883676305660231</v>
      </c>
      <c r="AP59" s="193">
        <f>(AP2*AQ5*AQ20)/AP32</f>
        <v>0.43790136119684975</v>
      </c>
      <c r="AR59" s="193">
        <f>(AR2*AS5*AS20)/AR32</f>
        <v>0.50287237454363543</v>
      </c>
      <c r="AT59" s="193">
        <f>(AT2*AU5*AU20)/AT32</f>
        <v>0.5934852342350655</v>
      </c>
      <c r="AV59" s="193">
        <f>(AV2*AW5*AW20)/AV32</f>
        <v>0.73047872563925254</v>
      </c>
      <c r="XFD59" s="193"/>
    </row>
    <row r="60" spans="1:48 16321:16384" x14ac:dyDescent="0.2">
      <c r="A60" t="s">
        <v>174</v>
      </c>
      <c r="B60" s="193">
        <f>Model!$C$52*B5*B20/B32</f>
        <v>2.8669464423930927E-2</v>
      </c>
      <c r="D60" s="193">
        <f>Model!$C$52*D5*D20/D32</f>
        <v>2.8610053207376453E-2</v>
      </c>
      <c r="F60" s="193">
        <f>Model!$C$52*F5*F20/F32</f>
        <v>2.8549113371074058E-2</v>
      </c>
      <c r="H60" s="193">
        <f>Model!$C$52*H5*H20/H32</f>
        <v>2.8486389426629295E-2</v>
      </c>
      <c r="J60" s="193">
        <f>Model!$C$52*J5*J20/J32</f>
        <v>2.842157482124252E-2</v>
      </c>
      <c r="L60" s="193">
        <f>Model!$C$52*L5*L20/L32</f>
        <v>2.8354300197506135E-2</v>
      </c>
      <c r="N60" s="193">
        <f>Model!$C$52*N5*N20/N32</f>
        <v>2.8284108687732644E-2</v>
      </c>
      <c r="P60" s="193">
        <f>Model!$C$52*P5*P20/P32</f>
        <v>2.8210435240564262E-2</v>
      </c>
      <c r="R60" s="193">
        <f>Model!$C$52*R5*R20/R32</f>
        <v>2.8132565732531159E-2</v>
      </c>
      <c r="T60" s="193">
        <f>Model!$C$52*T5*T20/T32</f>
        <v>2.8049581653295113E-2</v>
      </c>
      <c r="V60" s="193">
        <f>Model!$C$52*V5*V20/V32</f>
        <v>2.7960275127438344E-2</v>
      </c>
      <c r="X60" s="193">
        <f>Model!$C$52*X5*X20/X32</f>
        <v>2.7863013690883672E-2</v>
      </c>
      <c r="Z60" s="193">
        <f>Model!$C$52*Z5*Z20/Z32</f>
        <v>2.7755514696017031E-2</v>
      </c>
      <c r="AB60" s="193">
        <f>Model!$C$52*AB5*AB20/AB32</f>
        <v>2.7634445624362243E-2</v>
      </c>
      <c r="AD60" s="193">
        <f>Model!$C$52*AD5*AD20/AD32</f>
        <v>2.7494662627789501E-2</v>
      </c>
      <c r="AF60" s="193">
        <f>Model!$C$52*AF5*AF20/AF32</f>
        <v>2.7327625626335394E-2</v>
      </c>
      <c r="AH60" s="193">
        <f>Model!$C$52*AH5*AH20/AH32</f>
        <v>2.711771076258572E-2</v>
      </c>
      <c r="AJ60" s="193">
        <f>Model!$C$52*AJ5*AJ20/AJ32</f>
        <v>2.6832323178149306E-2</v>
      </c>
      <c r="AL60" s="193">
        <f>Model!$C$52*AL5*AL20/AL32</f>
        <v>2.6390060056133889E-2</v>
      </c>
      <c r="AN60" s="193">
        <f>Model!$C$52*AN5*AN20/AN32</f>
        <v>2.5529485114434976E-2</v>
      </c>
      <c r="AP60" s="193">
        <f>Model!$C$52*AP5*AP20/AP32</f>
        <v>2.5241907891369101E-2</v>
      </c>
      <c r="AR60" s="193">
        <f>Model!$C$52*AR5*AR20/AR32</f>
        <v>2.4880897247878404E-2</v>
      </c>
      <c r="AT60" s="193">
        <f>Model!$C$52*AT5*AT20/AT32</f>
        <v>2.4412828166603267E-2</v>
      </c>
      <c r="AV60" s="193">
        <f>Model!$C$52*AV5*AV20/AV32</f>
        <v>2.3776012478086802E-2</v>
      </c>
      <c r="XFD60" s="193"/>
    </row>
    <row r="62" spans="1:48 16321:16384" x14ac:dyDescent="0.2">
      <c r="A62" t="s">
        <v>175</v>
      </c>
      <c r="B62">
        <f>B13/B15</f>
        <v>1</v>
      </c>
      <c r="D62">
        <f>D13/D15</f>
        <v>1.0052002481362237</v>
      </c>
      <c r="F62">
        <f>F13/F15</f>
        <v>1.010397271548193</v>
      </c>
      <c r="H62">
        <f>H13/H15</f>
        <v>1.0155896571613352</v>
      </c>
      <c r="J62">
        <f>J13/J15</f>
        <v>1.0207763039149407</v>
      </c>
      <c r="L62">
        <f>L13/L15</f>
        <v>1.0259561650692355</v>
      </c>
      <c r="N62">
        <f>N13/N15</f>
        <v>1.0311287604681656</v>
      </c>
      <c r="P62">
        <f>P13/P15</f>
        <v>1.0362938089437739</v>
      </c>
      <c r="R62">
        <f>R13/R15</f>
        <v>1.0414514769584806</v>
      </c>
      <c r="T62">
        <f>T13/T15</f>
        <v>1.0466023305625005</v>
      </c>
      <c r="V62">
        <f>V13/V15</f>
        <v>1.0517470989740441</v>
      </c>
      <c r="X62">
        <f>X13/X15</f>
        <v>1.0568861853539797</v>
      </c>
      <c r="Z62">
        <f>Z13/Z15</f>
        <v>1.0620184811853901</v>
      </c>
      <c r="AB62">
        <f>AB13/AB15</f>
        <v>1.0671388297635924</v>
      </c>
      <c r="AD62">
        <f>AD13/AD15</f>
        <v>1.0722327403606435</v>
      </c>
      <c r="AF62">
        <f>AF13/AF15</f>
        <v>1.0772652597098118</v>
      </c>
      <c r="AH62">
        <f>AH13/AH15</f>
        <v>1.0821569095697083</v>
      </c>
      <c r="AJ62">
        <f>AJ13/AJ15</f>
        <v>1.0867318555494312</v>
      </c>
      <c r="AL62">
        <f>AL13/AL15</f>
        <v>1.0906117477446142</v>
      </c>
      <c r="AN62">
        <f>AN13/AN15</f>
        <v>1.0930982750720479</v>
      </c>
      <c r="AP62">
        <f>AP13/AP15</f>
        <v>1.0933620358334513</v>
      </c>
      <c r="AR62">
        <f>AR13/AR15</f>
        <v>1.0935465146104508</v>
      </c>
      <c r="AT62">
        <f>AT13/AT15</f>
        <v>1.0936606555448858</v>
      </c>
      <c r="AV62">
        <f>AV13/AV15</f>
        <v>1.0937192490736045</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0.9991188947187688</v>
      </c>
      <c r="E65" s="191"/>
      <c r="F65" s="191">
        <f t="array" ref="F65">SQRT((F9:G9*$B$22:$C$22+F10:G10*$B$23:$C$23+F11:G11*$B$24:$C$24+F4:G4*($B$25:$C$25-$B$19:$C$19))/($B$9:$C$9*$B$22:$C$22+$B$10:$C$10*$B$23:$C$23+$B$11:$C$11*$B$24:$C$24+$B$4:$C$4*($B$25:$C$25-$B$19:$C$19))*(F9:G9*F22:G22+F10:G10*F23:G23+F11:G11*F24:G24+F4:G4*(F25:G25-F19:G19))/($B$9:$C$9*F22:G22+$B$10:$C$10*F23:G23+$B$11:$C$11*F24:G24+$B$4:$C$4*(F25:G25-F19:G19)))</f>
        <v>0.99823967371866396</v>
      </c>
      <c r="G65" s="191"/>
      <c r="H65" s="191">
        <f t="array" ref="H65">SQRT((H9:I9*$B$22:$C$22+H10:I10*$B$23:$C$23+H11:I11*$B$24:$C$24+H4:I4*($B$25:$C$25-$B$19:$C$19))/($B$9:$C$9*$B$22:$C$22+$B$10:$C$10*$B$23:$C$23+$B$11:$C$11*$B$24:$C$24+$B$4:$C$4*($B$25:$C$25-$B$19:$C$19))*(H9:I9*H22:I22+H10:I10*H23:I23+H11:I11*H24:I24+H4:I4*(H25:I25-H19:I19))/($B$9:$C$9*H22:I22+$B$10:$C$10*H23:I23+$B$11:$C$11*H24:I24+$B$4:$C$4*(H25:I25-H19:I19)))</f>
        <v>0.99735997587778003</v>
      </c>
      <c r="I65" s="191"/>
      <c r="J65" s="191">
        <f t="array" ref="J65">SQRT((J9:K9*$B$22:$C$22+J10:K10*$B$23:$C$23+J11:K11*$B$24:$C$24+J4:K4*($B$25:$C$25-$B$19:$C$19))/($B$9:$C$9*$B$22:$C$22+$B$10:$C$10*$B$23:$C$23+$B$11:$C$11*$B$24:$C$24+$B$4:$C$4*($B$25:$C$25-$B$19:$C$19))*(J9:K9*J22:K22+J10:K10*J23:K23+J11:K11*J24:K24+J4:K4*(J25:K25-J19:K19))/($B$9:$C$9*J22:K22+$B$10:$C$10*J23:K23+$B$11:$C$11*J24:K24+$B$4:$C$4*(J25:K25-J19:K19)))</f>
        <v>0.99647644031553928</v>
      </c>
      <c r="K65" s="191"/>
      <c r="L65" s="191">
        <f t="array" ref="L65">SQRT((L9:M9*$B$22:$C$22+L10:M10*$B$23:$C$23+L11:M11*$B$24:$C$24+L4:M4*($B$25:$C$25-$B$19:$C$19))/($B$9:$C$9*$B$22:$C$22+$B$10:$C$10*$B$23:$C$23+$B$11:$C$11*$B$24:$C$24+$B$4:$C$4*($B$25:$C$25-$B$19:$C$19))*(L9:M9*L22:M22+L10:M10*L23:M23+L11:M11*L24:M24+L4:M4*(L25:M25-L19:M19))/($B$9:$C$9*L22:M22+$B$10:$C$10*L23:M23+$B$11:$C$11*L24:M24+$B$4:$C$4*(L25:M25-L19:M19)))</f>
        <v>0.99558441692249322</v>
      </c>
      <c r="M65" s="191"/>
      <c r="N65" s="191">
        <f t="array" ref="N65">SQRT((N9:O9*$B$22:$C$22+N10:O10*$B$23:$C$23+N11:O11*$B$24:$C$24+N4:O4*($B$25:$C$25-$B$19:$C$19))/($B$9:$C$9*$B$22:$C$22+$B$10:$C$10*$B$23:$C$23+$B$11:$C$11*$B$24:$C$24+$B$4:$C$4*($B$25:$C$25-$B$19:$C$19))*(N9:O9*N22:O22+N10:O10*N23:O23+N11:O11*N24:O24+N4:O4*(N25:O25-N19:O19))/($B$9:$C$9*N22:O22+$B$10:$C$10*N23:O23+$B$11:$C$11*N24:O24+$B$4:$C$4*(N25:O25-N19:O19)))</f>
        <v>0.99467761899428553</v>
      </c>
      <c r="O65" s="191"/>
      <c r="P65" s="191">
        <f t="array" ref="P65">SQRT((P9:Q9*$B$22:$C$22+P10:Q10*$B$23:$C$23+P11:Q11*$B$24:$C$24+P4:Q4*($B$25:$C$25-$B$19:$C$19))/($B$9:$C$9*$B$22:$C$22+$B$10:$C$10*$B$23:$C$23+$B$11:$C$11*$B$24:$C$24+$B$4:$C$4*($B$25:$C$25-$B$19:$C$19))*(P9:Q9*P22:Q22+P10:Q10*P23:Q23+P11:Q11*P24:Q24+P4:Q4*(P25:Q25-P19:Q19))/($B$9:$C$9*P22:Q22+$B$10:$C$10*P23:Q23+$B$11:$C$11*P24:Q24+$B$4:$C$4*(P25:Q25-P19:Q19)))</f>
        <v>0.99374747097064298</v>
      </c>
      <c r="Q65" s="191"/>
      <c r="R65" s="191">
        <f t="array" ref="R65">SQRT((R9:S9*$B$22:$C$22+R10:S10*$B$23:$C$23+R11:S11*$B$24:$C$24+R4:S4*($B$25:$C$25-$B$19:$C$19))/($B$9:$C$9*$B$22:$C$22+$B$10:$C$10*$B$23:$C$23+$B$11:$C$11*$B$24:$C$24+$B$4:$C$4*($B$25:$C$25-$B$19:$C$19))*(R9:S9*R22:S22+R10:S10*R23:S23+R11:S11*R24:S24+R4:S4*(R25:S25-R19:S19))/($B$9:$C$9*R22:S22+$B$10:$C$10*R23:S23+$B$11:$C$11*R24:S24+$B$4:$C$4*(R25:S25-R19:S19)))</f>
        <v>0.99278238044493805</v>
      </c>
      <c r="S65" s="191"/>
      <c r="T65" s="191">
        <f t="array" ref="T65">SQRT((T9:U9*$B$22:$C$22+T10:U10*$B$23:$C$23+T11:U11*$B$24:$C$24+T4:U4*($B$25:$C$25-$B$19:$C$19))/($B$9:$C$9*$B$22:$C$22+$B$10:$C$10*$B$23:$C$23+$B$11:$C$11*$B$24:$C$24+$B$4:$C$4*($B$25:$C$25-$B$19:$C$19))*(T9:U9*T22:U22+T10:U10*T23:U23+T11:U11*T24:U24+T4:U4*(T25:U25-T19:U19))/($B$9:$C$9*T22:U22+$B$10:$C$10*T23:U23+$B$11:$C$11*T24:U24+$B$4:$C$4*(T25:U25-T19:U19)))</f>
        <v>0.99176668240676036</v>
      </c>
      <c r="U65" s="191"/>
      <c r="V65" s="191">
        <f t="array" ref="V65">SQRT((V9:W9*$B$22:$C$22+V10:W10*$B$23:$C$23+V11:W11*$B$24:$C$24+V4:W4*($B$25:$C$25-$B$19:$C$19))/($B$9:$C$9*$B$22:$C$22+$B$10:$C$10*$B$23:$C$23+$B$11:$C$11*$B$24:$C$24+$B$4:$C$4*($B$25:$C$25-$B$19:$C$19))*(V9:W9*V22:W22+V10:W10*V23:W23+V11:W11*V24:W24+V4:W4*(V25:W25-V19:W19))/($B$9:$C$9*V22:W22+$B$10:$C$10*V23:W23+$B$11:$C$11*V24:W24+$B$4:$C$4*(V25:W25-V19:W19)))</f>
        <v>0.99067919867603815</v>
      </c>
      <c r="W65" s="191"/>
      <c r="X65" s="191">
        <f t="array" ref="X65">SQRT((X9:Y9*$B$22:$C$22+X10:Y10*$B$23:$C$23+X11:Y11*$B$24:$C$24+X4:Y4*($B$25:$C$25-$B$19:$C$19))/($B$9:$C$9*$B$22:$C$22+$B$10:$C$10*$B$23:$C$23+$B$11:$C$11*$B$24:$C$24+$B$4:$C$4*($B$25:$C$25-$B$19:$C$19))*(X9:Y9*X22:Y22+X10:Y10*X23:Y23+X11:Y11*X24:Y24+X4:Y4*(X25:Y25-X19:Y19))/($B$9:$C$9*X22:Y22+$B$10:$C$10*X23:Y23+$B$11:$C$11*X24:Y24+$B$4:$C$4*(X25:Y25-X19:Y19)))</f>
        <v>0.98949130402965291</v>
      </c>
      <c r="Y65" s="191"/>
      <c r="Z65" s="191">
        <f t="array" ref="Z65">SQRT((Z9:AA9*$B$22:$C$22+Z10:AA10*$B$23:$C$23+Z11:AA11*$B$24:$C$24+Z4:AA4*($B$25:$C$25-$B$19:$C$19))/($B$9:$C$9*$B$22:$C$22+$B$10:$C$10*$B$23:$C$23+$B$11:$C$11*$B$24:$C$24+$B$4:$C$4*($B$25:$C$25-$B$19:$C$19))*(Z9:AA9*Z22:AA22+Z10:AA10*Z23:AA23+Z11:AA11*Z24:AA24+Z4:AA4*(Z25:AA25-Z19:AA19))/($B$9:$C$9*Z22:AA22+$B$10:$C$10*Z23:AA23+$B$11:$C$11*Z24:AA24+$B$4:$C$4*(Z25:AA25-Z19:AA19)))</f>
        <v>0.98816437788187816</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0.98664669846772612</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0.98487051373130452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0.98275250995209973</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0.9802101380888012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0.97724203399621246</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0.97426366498459382</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0.97331177372307176</v>
      </c>
      <c r="AO65" s="191"/>
      <c r="AP65" s="191">
        <f t="array" ref="AP65">SQRT((AP9:AQ9*$B$22:$C$22+AP10:AQ10*$B$23:$C$23+AP11:AQ11*$B$24:$C$24+AP4:AQ4*($B$25:$C$25-$B$19:$C$19))/($B$9:$C$9*$B$22:$C$22+$B$10:$C$10*$B$23:$C$23+$B$11:$C$11*$B$24:$C$24+$B$4:$C$4*($B$25:$C$25-$B$19:$C$19))*(AP9:AQ9*AP22:AQ22+AP10:AQ10*AP23:AQ23+AP11:AQ11*AP24:AQ24+AP4:AQ4*(AP25:AQ25-AP19:AQ19))/($B$9:$C$9*AP22:AQ22+$B$10:$C$10*AP23:AQ23+$B$11:$C$11*AP24:AQ24+$B$4:$C$4*(AP25:AQ25-AP19:AQ19)))</f>
        <v>0.9737730115507186</v>
      </c>
      <c r="AQ65" s="191"/>
      <c r="AR65" s="191">
        <f t="array" ref="AR65">SQRT((AR9:AS9*$B$22:$C$22+AR10:AS10*$B$23:$C$23+AR11:AS11*$B$24:$C$24+AR4:AS4*($B$25:$C$25-$B$19:$C$19))/($B$9:$C$9*$B$22:$C$22+$B$10:$C$10*$B$23:$C$23+$B$11:$C$11*$B$24:$C$24+$B$4:$C$4*($B$25:$C$25-$B$19:$C$19))*(AR9:AS9*AR22:AS22+AR10:AS10*AR23:AS23+AR11:AS11*AR24:AS24+AR4:AS4*(AR25:AS25-AR19:AS19))/($B$9:$C$9*AR22:AS22+$B$10:$C$10*AR23:AS23+$B$11:$C$11*AR24:AS24+$B$4:$C$4*(AR25:AS25-AR19:AS19)))</f>
        <v>0.97453292399366542</v>
      </c>
      <c r="AS65" s="191"/>
      <c r="AT65" s="191">
        <f t="array" ref="AT65">SQRT((AT9:AU9*$B$22:$C$22+AT10:AU10*$B$23:$C$23+AT11:AU11*$B$24:$C$24+AT4:AU4*($B$25:$C$25-$B$19:$C$19))/($B$9:$C$9*$B$22:$C$22+$B$10:$C$10*$B$23:$C$23+$B$11:$C$11*$B$24:$C$24+$B$4:$C$4*($B$25:$C$25-$B$19:$C$19))*(AT9:AU9*AT22:AU22+AT10:AU10*AT23:AU23+AT11:AU11*AT24:AU24+AT4:AU4*(AT25:AU25-AT19:AU19))/($B$9:$C$9*AT22:AU22+$B$10:$C$10*AT23:AU23+$B$11:$C$11*AT24:AU24+$B$4:$C$4*(AT25:AU25-AT19:AU19)))</f>
        <v>0.97553595467412435</v>
      </c>
      <c r="AU65" s="191"/>
      <c r="AV65" s="191">
        <f t="array" ref="AV65">SQRT((AV9:AW9*$B$22:$C$22+AV10:AW10*$B$23:$C$23+AV11:AW11*$B$24:$C$24+AV4:AW4*($B$25:$C$25-$B$19:$C$19))/($B$9:$C$9*$B$22:$C$22+$B$10:$C$10*$B$23:$C$23+$B$11:$C$11*$B$24:$C$24+$B$4:$C$4*($B$25:$C$25-$B$19:$C$19))*(AV9:AW9*AV22:AW22+AV10:AW10*AV23:AW23+AV11:AW11*AV24:AW24+AV4:AW4*(AV25:AW25-AV19:AW19))/($B$9:$C$9*AV22:AW22+$B$10:$C$10*AV23:AW23+$B$11:$C$11*AV24:AW24+$B$4:$C$4*(AV25:AW25-AV19:AW19)))</f>
        <v>0.97654122010599398</v>
      </c>
    </row>
    <row r="66" spans="1:48 16384:16384" x14ac:dyDescent="0.2">
      <c r="A66" t="s">
        <v>182</v>
      </c>
      <c r="B66" s="191">
        <f t="array" ref="B66">SQRT((B9:C9*$B$22:$C$22)/($B$9:$C$9*$B$22:$C$22)*(B9:C9*B22:C22)/($B$9:$C$9*B22:C22))</f>
        <v>1</v>
      </c>
      <c r="C66" s="191"/>
      <c r="D66" s="191">
        <f t="array" ref="D66">SQRT((D9:E9*$B$22:$C$22)/($B$9:$C$9*$B$22:$C$22)*(D9:E9*D22:E22)/($B$9:$C$9*D22:E22))</f>
        <v>0.9990314082923144</v>
      </c>
      <c r="E66" s="191"/>
      <c r="F66" s="191">
        <f t="array" ref="F66">SQRT((F9:G9*$B$22:$C$22)/($B$9:$C$9*$B$22:$C$22)*(F9:G9*F22:G22)/($B$9:$C$9*F22:G22))</f>
        <v>0.99806441749756269</v>
      </c>
      <c r="G66" s="191"/>
      <c r="H66" s="191">
        <f t="array" ref="H66">SQRT((H9:I9*$B$22:$C$22)/($B$9:$C$9*$B$22:$C$22)*(H9:I9*H22:I22)/($B$9:$C$9*H22:I22))</f>
        <v>0.99709643009078086</v>
      </c>
      <c r="I66" s="191"/>
      <c r="J66" s="191">
        <f t="array" ref="J66">SQRT((J9:K9*$B$22:$C$22)/($B$9:$C$9*$B$22:$C$22)*(J9:K9*J22:K22)/($B$9:$C$9*J22:K22))</f>
        <v>0.99612374150511618</v>
      </c>
      <c r="K66" s="191"/>
      <c r="L66" s="191">
        <f t="array" ref="L66">SQRT((L9:M9*$B$22:$C$22)/($B$9:$C$9*$B$22:$C$22)*(L9:M9*L22:M22)/($B$9:$C$9*L22:M22))</f>
        <v>0.99514121788600862</v>
      </c>
      <c r="M66" s="191"/>
      <c r="N66" s="191">
        <f t="array" ref="N66">SQRT((N9:O9*$B$22:$C$22)/($B$9:$C$9*$B$22:$C$22)*(N9:O9*N22:O22)/($B$9:$C$9*N22:O22))</f>
        <v>0.99414190880527475</v>
      </c>
      <c r="O66" s="191"/>
      <c r="P66" s="191">
        <f t="array" ref="P66">SQRT((P9:Q9*$B$22:$C$22)/($B$9:$C$9*$B$22:$C$22)*(P9:Q9*P22:Q22)/($B$9:$C$9*P22:Q22))</f>
        <v>0.99311632161122976</v>
      </c>
      <c r="Q66" s="191"/>
      <c r="R66" s="191">
        <f t="array" ref="R66">SQRT((R9:S9*$B$22:$C$22)/($B$9:$C$9*$B$22:$C$22)*(R9:S9*R22:S22)/($B$9:$C$9*R22:S22))</f>
        <v>0.99205160881164922</v>
      </c>
      <c r="S66" s="191"/>
      <c r="T66" s="191">
        <f t="array" ref="T66">SQRT((T9:U9*$B$22:$C$22)/($B$9:$C$9*$B$22:$C$22)*(T9:U9*T22:U22)/($B$9:$C$9*T22:U22))</f>
        <v>0.99093038853394477</v>
      </c>
      <c r="U66" s="191"/>
      <c r="V66" s="191">
        <f t="array" ref="V66">SQRT((V9:W9*$B$22:$C$22)/($B$9:$C$9*$B$22:$C$22)*(V9:W9*V22:W22)/($B$9:$C$9*V22:W22))</f>
        <v>0.98972913159608622</v>
      </c>
      <c r="W66" s="191"/>
      <c r="X66" s="191">
        <f t="array" ref="X66">SQRT((X9:Y9*$B$22:$C$22)/($B$9:$C$9*$B$22:$C$22)*(X9:Y9*X22:Y22)/($B$9:$C$9*X22:Y22))</f>
        <v>0.9884159896283804</v>
      </c>
      <c r="Y66" s="191"/>
      <c r="Z66" s="191">
        <f t="array" ref="Z66">SQRT((Z9:AA9*$B$22:$C$22)/($B$9:$C$9*$B$22:$C$22)*(Z9:AA9*Z22:AA22)/($B$9:$C$9*Z22:AA22))</f>
        <v>0.9869479207218278</v>
      </c>
      <c r="AA66" s="191"/>
      <c r="AB66" s="191">
        <f t="array" ref="AB66">SQRT((AB9:AC9*$B$22:$C$22)/($B$9:$C$9*$B$22:$C$22)*(AB9:AC9*AB22:AC22)/($B$9:$C$9*AB22:AC22))</f>
        <v>0.98526715966296818</v>
      </c>
      <c r="AC66" s="191"/>
      <c r="AD66" s="191">
        <f t="array" ref="AD66">SQRT((AD9:AE9*$B$22:$C$22)/($B$9:$C$9*$B$22:$C$22)*(AD9:AE9*AD22:AE22)/($B$9:$C$9*AD22:AE22))</f>
        <v>0.98329782175165381</v>
      </c>
      <c r="AE66" s="191"/>
      <c r="AF66" s="191">
        <f t="array" ref="AF66">SQRT((AF9:AG9*$B$22:$C$22)/($B$9:$C$9*$B$22:$C$22)*(AF9:AG9*AF22:AG22)/($B$9:$C$9*AF22:AG22))</f>
        <v>0.98094618628363639</v>
      </c>
      <c r="AG66" s="191"/>
      <c r="AH66" s="191">
        <f t="array" ref="AH66">SQRT((AH9:AI9*$B$22:$C$22)/($B$9:$C$9*$B$22:$C$22)*(AH9:AI9*AH22:AI22)/($B$9:$C$9*AH22:AI22))</f>
        <v>0.9781185286988674</v>
      </c>
      <c r="AI66" s="191"/>
      <c r="AJ66" s="191">
        <f t="array" ref="AJ66">SQRT((AJ9:AK9*$B$22:$C$22)/($B$9:$C$9*$B$22:$C$22)*(AJ9:AK9*AJ22:AK22)/($B$9:$C$9*AJ22:AK22))</f>
        <v>0.97481057224363921</v>
      </c>
      <c r="AK66" s="191"/>
      <c r="AL66" s="191">
        <f t="array" ref="AL66">SQRT((AL9:AM9*$B$22:$C$22)/($B$9:$C$9*$B$22:$C$22)*(AL9:AM9*AL22:AM22)/($B$9:$C$9*AL22:AM22))</f>
        <v>0.97148380744972751</v>
      </c>
      <c r="AM66" s="191"/>
      <c r="AN66" s="191">
        <f t="array" ref="AN66">SQRT((AN9:AO9*$B$22:$C$22)/($B$9:$C$9*$B$22:$C$22)*(AN9:AO9*AN22:AO22)/($B$9:$C$9*AN22:AO22))</f>
        <v>0.97041990688073332</v>
      </c>
      <c r="AO66" s="191"/>
      <c r="AP66" s="191">
        <f t="array" ref="AP66">SQRT((AP9:AQ9*$B$22:$C$22)/($B$9:$C$9*$B$22:$C$22)*(AP9:AQ9*AP22:AQ22)/($B$9:$C$9*AP22:AQ22))</f>
        <v>0.97093644258428879</v>
      </c>
      <c r="AQ66" s="191"/>
      <c r="AR66" s="191">
        <f t="array" ref="AR66">SQRT((AR9:AS9*$B$22:$C$22)/($B$9:$C$9*$B$22:$C$22)*(AR9:AS9*AR22:AS22)/($B$9:$C$9*AR22:AS22))</f>
        <v>0.97178686760825927</v>
      </c>
      <c r="AS66" s="191"/>
      <c r="AT66" s="191">
        <f t="array" ref="AT66">SQRT((AT9:AU9*$B$22:$C$22)/($B$9:$C$9*$B$22:$C$22)*(AT9:AU9*AT22:AU22)/($B$9:$C$9*AT22:AU22))</f>
        <v>0.97290848668868024</v>
      </c>
      <c r="AU66" s="191"/>
      <c r="AV66" s="191">
        <f t="array" ref="AV66">SQRT((AV9:AW9*$B$22:$C$22)/($B$9:$C$9*$B$22:$C$22)*(AV9:AW9*AV22:AW22)/($B$9:$C$9*AV22:AW22))</f>
        <v>0.9740316711027307</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f t="array" ref="AV67">SQRT((AV4:AW4*$B$19:$C$19)/($B$4:$C$4*$B$19:$C$19)*(AV4:AW4*AV19:AW19)/($B$4:$C$4*AV19:AW19))</f>
        <v>1</v>
      </c>
      <c r="XFD67" s="191"/>
    </row>
    <row r="68" spans="1:48 16384:16384" x14ac:dyDescent="0.2">
      <c r="A68" t="s">
        <v>181</v>
      </c>
      <c r="B68" s="191">
        <f>B66/B67</f>
        <v>1</v>
      </c>
      <c r="C68" s="191"/>
      <c r="D68" s="191">
        <f>D66/D67</f>
        <v>0.9990314082923144</v>
      </c>
      <c r="E68" s="191"/>
      <c r="F68" s="191">
        <f>F66/F67</f>
        <v>0.99806441749756269</v>
      </c>
      <c r="G68" s="191"/>
      <c r="H68" s="191">
        <f>H66/H67</f>
        <v>0.99709643009078086</v>
      </c>
      <c r="I68" s="191"/>
      <c r="J68" s="191">
        <f>J66/J67</f>
        <v>0.99612374150511618</v>
      </c>
      <c r="K68" s="191"/>
      <c r="L68" s="191">
        <f>L66/L67</f>
        <v>0.99514121788600862</v>
      </c>
      <c r="M68" s="191"/>
      <c r="N68" s="191">
        <f>N66/N67</f>
        <v>0.99414190880527475</v>
      </c>
      <c r="O68" s="191"/>
      <c r="P68" s="191">
        <f>P66/P67</f>
        <v>0.99311632161122976</v>
      </c>
      <c r="Q68" s="191"/>
      <c r="R68" s="191">
        <f>R66/R67</f>
        <v>0.99205160881164922</v>
      </c>
      <c r="S68" s="191"/>
      <c r="T68" s="191">
        <f>T66/T67</f>
        <v>0.99093038853394477</v>
      </c>
      <c r="U68" s="191"/>
      <c r="V68" s="191">
        <f>V66/V67</f>
        <v>0.98972913159608622</v>
      </c>
      <c r="W68" s="191"/>
      <c r="X68" s="191">
        <f>X66/X67</f>
        <v>0.9884159896283804</v>
      </c>
      <c r="Y68" s="191"/>
      <c r="Z68" s="191">
        <f>Z66/Z67</f>
        <v>0.9869479207218278</v>
      </c>
      <c r="AA68" s="191"/>
      <c r="AB68" s="191">
        <f>AB66/AB67</f>
        <v>0.98526715966296818</v>
      </c>
      <c r="AC68" s="191"/>
      <c r="AD68" s="191">
        <f>AD66/AD67</f>
        <v>0.98329782175165381</v>
      </c>
      <c r="AE68" s="191"/>
      <c r="AF68" s="191">
        <f>AF66/AF67</f>
        <v>0.98094618628363639</v>
      </c>
      <c r="AG68" s="191"/>
      <c r="AH68" s="191">
        <f>AH66/AH67</f>
        <v>0.9781185286988674</v>
      </c>
      <c r="AI68" s="191"/>
      <c r="AJ68" s="191">
        <f>AJ66/AJ67</f>
        <v>0.97481057224363921</v>
      </c>
      <c r="AK68" s="191"/>
      <c r="AL68" s="191">
        <f>AL66/AL67</f>
        <v>0.97148380744972751</v>
      </c>
      <c r="AM68" s="191"/>
      <c r="AN68" s="191">
        <f>AN66/AN67</f>
        <v>0.97041990688073332</v>
      </c>
      <c r="AO68" s="191"/>
      <c r="AP68" s="191">
        <f>AP66/AP67</f>
        <v>0.97093644258428879</v>
      </c>
      <c r="AQ68" s="191"/>
      <c r="AR68" s="191">
        <f>AR66/AR67</f>
        <v>0.97178686760825927</v>
      </c>
      <c r="AS68" s="191"/>
      <c r="AT68" s="191">
        <f>AT66/AT67</f>
        <v>0.97290848668868024</v>
      </c>
      <c r="AU68" s="191"/>
      <c r="AV68" s="191">
        <f>AV66/AV67</f>
        <v>0.9740316711027307</v>
      </c>
      <c r="XFD68" s="191"/>
    </row>
    <row r="69" spans="1:48 16384:16384" x14ac:dyDescent="0.2">
      <c r="A69" t="s">
        <v>177</v>
      </c>
      <c r="B69" s="191">
        <f>B32/B65/($B$32)</f>
        <v>1</v>
      </c>
      <c r="C69" s="191"/>
      <c r="D69" s="191">
        <f>D32/D65/($B$32)</f>
        <v>1.0016604019599473</v>
      </c>
      <c r="E69" s="191"/>
      <c r="F69" s="191">
        <f>F32/F65/($B$32)</f>
        <v>1.0032070062976439</v>
      </c>
      <c r="G69" s="191"/>
      <c r="H69" s="191">
        <f>H32/H65/($B$32)</f>
        <v>1.0046204379473129</v>
      </c>
      <c r="I69" s="191"/>
      <c r="J69" s="191">
        <f>J32/J65/($B$32)</f>
        <v>1.0058765289674225</v>
      </c>
      <c r="K69" s="191"/>
      <c r="L69" s="191">
        <f>L32/L65/($B$32)</f>
        <v>1.0069446847479591</v>
      </c>
      <c r="M69" s="191"/>
      <c r="N69" s="191">
        <f>N32/N65/($B$32)</f>
        <v>1.0077857564761497</v>
      </c>
      <c r="O69" s="191"/>
      <c r="P69" s="191">
        <f>P32/P65/($B$32)</f>
        <v>1.0083487507762712</v>
      </c>
      <c r="Q69" s="191"/>
      <c r="R69" s="191">
        <f>R32/R65/($B$32)</f>
        <v>1.0085661523442744</v>
      </c>
      <c r="S69" s="191"/>
      <c r="T69" s="191">
        <f>T32/T65/($B$32)</f>
        <v>1.0083467834806292</v>
      </c>
      <c r="U69" s="191"/>
      <c r="V69" s="191">
        <f>V32/V65/($B$32)</f>
        <v>1.007564582216578</v>
      </c>
      <c r="W69" s="191"/>
      <c r="X69" s="191">
        <f>X32/X65/($B$32)</f>
        <v>1.0060404760604127</v>
      </c>
      <c r="Y69" s="191"/>
      <c r="Z69" s="191">
        <f>Z32/Z65/($B$32)</f>
        <v>1.0035116022434827</v>
      </c>
      <c r="AA69" s="191"/>
      <c r="AB69" s="191">
        <f>AB32/AB65/($B$32)</f>
        <v>0.99957618650664526</v>
      </c>
      <c r="AC69" s="191"/>
      <c r="AD69" s="191">
        <f>AD32/AD65/($B$32)</f>
        <v>0.99358786442715774</v>
      </c>
      <c r="AE69" s="191"/>
      <c r="AF69" s="191">
        <f>AF32/AF65/($B$32)</f>
        <v>0.98443427197558431</v>
      </c>
      <c r="AG69" s="191"/>
      <c r="AH69" s="191">
        <f>AH32/AH65/($B$32)</f>
        <v>0.97001423384291174</v>
      </c>
      <c r="AI69" s="191"/>
      <c r="AJ69" s="191">
        <f>AJ32/AJ65/($B$32)</f>
        <v>0.94577642945759399</v>
      </c>
      <c r="AK69" s="191"/>
      <c r="AL69" s="191">
        <f>AL32/AL65/($B$32)</f>
        <v>0.89943452158433468</v>
      </c>
      <c r="AM69" s="191"/>
      <c r="AN69" s="191">
        <f>AN32/AN65/($B$32)</f>
        <v>0.78126672384625973</v>
      </c>
      <c r="AO69" s="191"/>
      <c r="AP69" s="191">
        <f>AP32/AP65/($B$32)</f>
        <v>0.73222595942314217</v>
      </c>
      <c r="AQ69" s="191"/>
      <c r="AR69" s="191">
        <f>AR32/AR65/($B$32)</f>
        <v>0.66224681473616454</v>
      </c>
      <c r="AS69" s="191"/>
      <c r="AT69" s="191">
        <f>AT32/AT65/($B$32)</f>
        <v>0.5550733522476663</v>
      </c>
      <c r="AU69" s="191"/>
      <c r="AV69" s="191">
        <f>AV32/AV65/($B$32)</f>
        <v>0.37258732034276304</v>
      </c>
    </row>
    <row r="70" spans="1:48 16384:16384" x14ac:dyDescent="0.2">
      <c r="A70" t="s">
        <v>178</v>
      </c>
      <c r="B70" s="138">
        <f>B18/$B$18</f>
        <v>1</v>
      </c>
      <c r="C70" s="138"/>
      <c r="D70" s="138">
        <f>D18/$B$18</f>
        <v>0.99998665135566922</v>
      </c>
      <c r="E70" s="138"/>
      <c r="F70" s="138">
        <f>F18/$B$18</f>
        <v>0.99980018664097658</v>
      </c>
      <c r="G70" s="138"/>
      <c r="H70" s="138">
        <f>H18/$B$18</f>
        <v>0.99941372213317325</v>
      </c>
      <c r="I70" s="138"/>
      <c r="J70" s="138">
        <f>J18/$B$18</f>
        <v>0.99879442000684915</v>
      </c>
      <c r="K70" s="138"/>
      <c r="L70" s="138">
        <f>L18/$B$18</f>
        <v>0.99790165580567813</v>
      </c>
      <c r="M70" s="138"/>
      <c r="N70" s="138">
        <f>N18/$B$18</f>
        <v>0.99668429859643848</v>
      </c>
      <c r="O70" s="138"/>
      <c r="P70" s="138">
        <f>P18/$B$18</f>
        <v>0.99507717773481219</v>
      </c>
      <c r="Q70" s="138"/>
      <c r="R70" s="138">
        <f>R18/$B$18</f>
        <v>0.99299558282413325</v>
      </c>
      <c r="S70" s="138"/>
      <c r="T70" s="138">
        <f>T18/$B$18</f>
        <v>0.99032711340402624</v>
      </c>
      <c r="U70" s="138"/>
      <c r="V70" s="138">
        <f>V18/$B$18</f>
        <v>0.98691887388067279</v>
      </c>
      <c r="W70" s="138"/>
      <c r="X70" s="138">
        <f>X18/$B$18</f>
        <v>0.98255675395311259</v>
      </c>
      <c r="Y70" s="138"/>
      <c r="Z70" s="138">
        <f>Z18/$B$18</f>
        <v>0.9769301788380641</v>
      </c>
      <c r="AA70" s="138"/>
      <c r="AB70" s="138">
        <f>AB18/$B$18</f>
        <v>0.9695687428478823</v>
      </c>
      <c r="AC70" s="138"/>
      <c r="AD70" s="138">
        <f>AD18/$B$18</f>
        <v>0.95972015909009645</v>
      </c>
      <c r="AE70" s="138"/>
      <c r="AF70" s="138">
        <f>AF18/$B$18</f>
        <v>0.94609367226643115</v>
      </c>
      <c r="AG70" s="138"/>
      <c r="AH70" s="138">
        <f>AH18/$B$18</f>
        <v>0.92625499253007992</v>
      </c>
      <c r="AI70" s="138"/>
      <c r="AJ70" s="138">
        <f>AJ18/$B$18</f>
        <v>0.89495832305976308</v>
      </c>
      <c r="AK70" s="138"/>
      <c r="AL70" s="138">
        <f>AL18/$B$18</f>
        <v>0.8383701313080264</v>
      </c>
      <c r="AM70" s="138"/>
      <c r="AN70" s="138">
        <f>AN18/$B$18</f>
        <v>0.7048279533899735</v>
      </c>
      <c r="AO70" s="138"/>
      <c r="AP70" s="138">
        <f>AP18/$B$18</f>
        <v>0.65298579678544189</v>
      </c>
      <c r="AQ70" s="138"/>
      <c r="AR70" s="138">
        <f>AR18/$B$18</f>
        <v>0.58190162522869782</v>
      </c>
      <c r="AS70" s="138"/>
      <c r="AT70" s="138">
        <f>AT18/$B$18</f>
        <v>0.47830537653871746</v>
      </c>
      <c r="AU70" s="138"/>
      <c r="AV70" s="138">
        <f>AV18/$B$18</f>
        <v>0.31252000698284538</v>
      </c>
    </row>
    <row r="71" spans="1:48 16384:16384" x14ac:dyDescent="0.2">
      <c r="A71" t="s">
        <v>179</v>
      </c>
      <c r="B71" s="138">
        <f>C18/$C$18</f>
        <v>1</v>
      </c>
      <c r="D71" s="138">
        <f>E18/$C$18</f>
        <v>0.93719444566808263</v>
      </c>
      <c r="E71" s="138"/>
      <c r="F71" s="138">
        <f>G18/$C$18</f>
        <v>0.87480506619930376</v>
      </c>
      <c r="G71" s="138"/>
      <c r="H71" s="138">
        <f>I18/$C$18</f>
        <v>0.81286870162988345</v>
      </c>
      <c r="I71" s="138"/>
      <c r="J71" s="138">
        <f>K18/$C$18</f>
        <v>0.75142408908064895</v>
      </c>
      <c r="K71" s="138"/>
      <c r="L71" s="138">
        <f>M18/$C$18</f>
        <v>0.69051475900551817</v>
      </c>
      <c r="M71" s="138"/>
      <c r="N71" s="138">
        <f>O18/$C$18</f>
        <v>0.63018768184774976</v>
      </c>
      <c r="O71" s="138"/>
      <c r="P71" s="138">
        <f>Q18/$C$18</f>
        <v>0.57049769968675534</v>
      </c>
      <c r="Q71" s="138"/>
      <c r="R71" s="138">
        <f>S18/$C$18</f>
        <v>0.51150949821516201</v>
      </c>
      <c r="S71" s="138"/>
      <c r="T71" s="138">
        <f>U18/$C$18</f>
        <v>0.45330283628045304</v>
      </c>
      <c r="U71" s="138"/>
      <c r="V71" s="138">
        <f>W18/$C$18</f>
        <v>0.39598133329518087</v>
      </c>
      <c r="W71" s="138"/>
      <c r="X71" s="138">
        <f>Y18/$C$18</f>
        <v>0.33968629733541772</v>
      </c>
      <c r="Y71" s="138"/>
      <c r="Z71" s="138">
        <f>AA18/$C$18</f>
        <v>0.28462017513471471</v>
      </c>
      <c r="AA71" s="138"/>
      <c r="AB71" s="138">
        <f>AC18/$C$18</f>
        <v>0.2310862318558134</v>
      </c>
      <c r="AC71" s="138"/>
      <c r="AD71" s="138">
        <f>AE18/$C$18</f>
        <v>0.17955653063691368</v>
      </c>
      <c r="AE71" s="138"/>
      <c r="AF71" s="138">
        <f>AG18/$C$18</f>
        <v>0.13079045623896815</v>
      </c>
      <c r="AG71" s="138"/>
      <c r="AH71" s="138">
        <f>AI18/$C$18</f>
        <v>8.6043312853197468E-2</v>
      </c>
      <c r="AI71" s="138"/>
      <c r="AJ71" s="138">
        <f>AK18/$C$18</f>
        <v>4.7415332513528606E-2</v>
      </c>
      <c r="AK71" s="138"/>
      <c r="AL71" s="138">
        <f>AM18/$C$18</f>
        <v>1.8293309299031568E-2</v>
      </c>
      <c r="AM71" s="138"/>
      <c r="AN71" s="138">
        <f>AO18/$C$18</f>
        <v>2.8358938327565572E-3</v>
      </c>
      <c r="AO71" s="138"/>
      <c r="AP71" s="138">
        <f>AQ18/$C$18</f>
        <v>1.5189611021037212E-3</v>
      </c>
      <c r="AQ71" s="138"/>
      <c r="AR71" s="138">
        <f>AS18/$C$18</f>
        <v>6.8787080234951011E-4</v>
      </c>
      <c r="AS71" s="138"/>
      <c r="AT71" s="138">
        <f>AU18/$C$18</f>
        <v>2.3878768022912413E-4</v>
      </c>
      <c r="AU71" s="138"/>
      <c r="AV71" s="138">
        <f>AW18/$C$18</f>
        <v>4.9432390324030859E-5</v>
      </c>
      <c r="XFD71" s="138"/>
    </row>
    <row r="72" spans="1:48 16384:16384" x14ac:dyDescent="0.2">
      <c r="A72" t="s">
        <v>180</v>
      </c>
      <c r="B72" s="138">
        <f>C19/$C$19</f>
        <v>1</v>
      </c>
      <c r="D72" s="138">
        <f>E19/$C$19</f>
        <v>0.99117739747653366</v>
      </c>
      <c r="E72" s="138"/>
      <c r="F72" s="138">
        <f>G19/$C$19</f>
        <v>0.98348706386436036</v>
      </c>
      <c r="G72" s="138"/>
      <c r="H72" s="138">
        <f>I19/$C$19</f>
        <v>0.97708609681164416</v>
      </c>
      <c r="I72" s="138"/>
      <c r="J72" s="138">
        <f>K19/$C$19</f>
        <v>0.9721623579739882</v>
      </c>
      <c r="K72" s="138"/>
      <c r="L72" s="138">
        <f>M19/$C$19</f>
        <v>0.96893936710771578</v>
      </c>
      <c r="M72" s="138"/>
      <c r="N72" s="138">
        <f>O19/$C$19</f>
        <v>0.96769775197000163</v>
      </c>
      <c r="O72" s="138"/>
      <c r="P72" s="138">
        <f>Q19/$C$19</f>
        <v>0.96877599024097005</v>
      </c>
      <c r="Q72" s="138"/>
      <c r="R72" s="138">
        <f>S19/$C$19</f>
        <v>0.97259245873021083</v>
      </c>
      <c r="S72" s="138"/>
      <c r="T72" s="138">
        <f>U19/$C$19</f>
        <v>0.97966308255008216</v>
      </c>
      <c r="U72" s="138"/>
      <c r="V72" s="138">
        <f>W19/$C$19</f>
        <v>0.99062296355603729</v>
      </c>
      <c r="W72" s="138"/>
      <c r="X72" s="138">
        <f>Y19/$C$19</f>
        <v>1.0062443227819495</v>
      </c>
      <c r="Y72" s="138"/>
      <c r="Z72" s="138">
        <f>AA19/$C$19</f>
        <v>1.0274371444535602</v>
      </c>
      <c r="AA72" s="138"/>
      <c r="AB72" s="138">
        <f>AC19/$C$19</f>
        <v>1.0551902539353144</v>
      </c>
      <c r="AC72" s="138"/>
      <c r="AD72" s="138">
        <f>AE19/$C$19</f>
        <v>1.0903350200922188</v>
      </c>
      <c r="AE72" s="138"/>
      <c r="AF72" s="138">
        <f>AG19/$C$19</f>
        <v>1.1327792544992956</v>
      </c>
      <c r="AG72" s="138"/>
      <c r="AH72" s="138">
        <f>AI19/$C$19</f>
        <v>1.17912259954235</v>
      </c>
      <c r="AI72" s="138"/>
      <c r="AJ72" s="138">
        <f>AK19/$C$19</f>
        <v>1.2149375117553392</v>
      </c>
      <c r="AK72" s="138"/>
      <c r="AL72" s="138">
        <f>AM19/$C$19</f>
        <v>1.188308458745341</v>
      </c>
      <c r="AM72" s="138"/>
      <c r="AN72" s="138">
        <f>AO19/$C$19</f>
        <v>0.9222915010765238</v>
      </c>
      <c r="AO72" s="138"/>
      <c r="AP72" s="138">
        <f>AQ19/$C$19</f>
        <v>0.80584916542409279</v>
      </c>
      <c r="AQ72" s="138"/>
      <c r="AR72" s="138">
        <f>AS19/$C$19</f>
        <v>0.65784913737993655</v>
      </c>
      <c r="AS72" s="138"/>
      <c r="AT72" s="138">
        <f>AU19/$C$19</f>
        <v>0.47459311995139331</v>
      </c>
      <c r="AU72" s="138"/>
      <c r="AV72" s="138">
        <f>AW19/$C$19</f>
        <v>0.2545763496346321</v>
      </c>
      <c r="XFD72" s="138"/>
    </row>
    <row r="73" spans="1:48 16384:16384" x14ac:dyDescent="0.2">
      <c r="A73" t="s">
        <v>184</v>
      </c>
      <c r="B73" s="193">
        <f t="array" ref="B73">SUM(B9:C9*B22:C22)/B32</f>
        <v>0.47641153352875221</v>
      </c>
      <c r="D73" s="193">
        <f t="array" ref="D73">SUM(D9:E9*D22:E22)/D32</f>
        <v>0.47641155738513119</v>
      </c>
      <c r="E73" s="138"/>
      <c r="F73" s="193">
        <f t="array" ref="F73">SUM(F9:G9*F22:G22)/F32</f>
        <v>0.47641153472722364</v>
      </c>
      <c r="G73" s="138"/>
      <c r="H73" s="193">
        <f t="array" ref="H73">SUM(H9:I9*H22:I22)/H32</f>
        <v>0.47641153514735451</v>
      </c>
      <c r="I73" s="138"/>
      <c r="J73" s="193">
        <f t="array" ref="J73">SUM(J9:K9*J22:K22)/J32</f>
        <v>0.47641157147023899</v>
      </c>
      <c r="K73" s="138"/>
      <c r="L73" s="193">
        <f t="array" ref="L73">SUM(L9:M9*L22:M22)/L32</f>
        <v>0.47641153575207434</v>
      </c>
      <c r="M73" s="138"/>
      <c r="N73" s="193">
        <f t="array" ref="N73">SUM(N9:O9*N22:O22)/N32</f>
        <v>0.47641153745350345</v>
      </c>
      <c r="O73" s="138"/>
      <c r="P73" s="193">
        <f t="array" ref="P73">SUM(P9:Q9*P22:Q22)/P32</f>
        <v>0.47641153851143658</v>
      </c>
      <c r="Q73" s="138"/>
      <c r="R73" s="193">
        <f t="array" ref="R73">SUM(R9:S9*R22:S22)/R32</f>
        <v>0.47641153846860518</v>
      </c>
      <c r="S73" s="138"/>
      <c r="T73" s="193">
        <f t="array" ref="T73">SUM(T9:U9*T22:U22)/T32</f>
        <v>0.47641153623108778</v>
      </c>
      <c r="U73" s="138"/>
      <c r="V73" s="193">
        <f t="array" ref="V73">SUM(V9:W9*V22:W22)/V32</f>
        <v>0.47641153398096586</v>
      </c>
      <c r="W73" s="138"/>
      <c r="X73" s="193">
        <f t="array" ref="X73">SUM(X9:Y9*X22:Y22)/X32</f>
        <v>0.47641153354447041</v>
      </c>
      <c r="Y73" s="138"/>
      <c r="Z73" s="193">
        <f t="array" ref="Z73">SUM(Z9:AA9*Z22:AA22)/Z32</f>
        <v>0.47641153515518858</v>
      </c>
      <c r="AA73" s="138"/>
      <c r="AB73" s="193">
        <f t="array" ref="AB73">SUM(AB9:AC9*AB22:AC22)/AB32</f>
        <v>0.47641153394842389</v>
      </c>
      <c r="AC73" s="138"/>
      <c r="AD73" s="193">
        <f t="array" ref="AD73">SUM(AD9:AE9*AD22:AE22)/AD32</f>
        <v>0.47641153679287634</v>
      </c>
      <c r="AE73" s="138"/>
      <c r="AF73" s="193">
        <f t="array" ref="AF73">SUM(AF9:AG9*AF22:AG22)/AF32</f>
        <v>0.47641153529117181</v>
      </c>
      <c r="AG73" s="138"/>
      <c r="AH73" s="193">
        <f t="array" ref="AH73">SUM(AH9:AI9*AH22:AI22)/AH32</f>
        <v>0.47641153352589222</v>
      </c>
      <c r="AI73" s="138"/>
      <c r="AJ73" s="193">
        <f t="array" ref="AJ73">SUM(AJ9:AK9*AJ22:AK22)/AJ32</f>
        <v>0.47641153363931582</v>
      </c>
      <c r="AK73" s="138"/>
      <c r="AL73" s="193">
        <f t="array" ref="AL73">SUM(AL9:AM9*AL22:AM22)/AL32</f>
        <v>0.47641153363191258</v>
      </c>
      <c r="AM73" s="138"/>
      <c r="AN73" s="193">
        <f t="array" ref="AN73">SUM(AN9:AO9*AN22:AO22)/AN32</f>
        <v>0.47641153352168852</v>
      </c>
      <c r="AO73" s="138"/>
      <c r="AP73" s="193">
        <f t="array" ref="AP73">SUM(AP9:AQ9*AP22:AQ22)/AP32</f>
        <v>0.4764115335316681</v>
      </c>
      <c r="AQ73" s="138"/>
      <c r="AR73" s="193">
        <f t="array" ref="AR73">SUM(AR9:AS9*AR22:AS22)/AR32</f>
        <v>0.47641153352894439</v>
      </c>
      <c r="AS73" s="138"/>
      <c r="AT73" s="193">
        <f t="array" ref="AT73">SUM(AT9:AU9*AT22:AU22)/AT32</f>
        <v>0.47641153353258187</v>
      </c>
      <c r="AU73" s="138"/>
      <c r="AV73" s="193">
        <f t="array" ref="AV73">SUM(AV9:AW9*AV22:AW22)/AV32</f>
        <v>0.47641153352872118</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0.22604620456442481</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0.22604620456442487</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0.22604620456442487</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0.22604620456442481</v>
      </c>
      <c r="AO74" s="138"/>
      <c r="AP74" s="193">
        <f t="array" ref="AP74">SUM(AP10:AQ10*AP23:AQ23)/AP32</f>
        <v>0.22604620456442481</v>
      </c>
      <c r="AQ74" s="138"/>
      <c r="AR74" s="193">
        <f t="array" ref="AR74">SUM(AR10:AS10*AR23:AS23)/AR32</f>
        <v>0.22604620456442481</v>
      </c>
      <c r="AS74" s="138"/>
      <c r="AT74" s="193">
        <f t="array" ref="AT74">SUM(AT10:AU10*AT23:AU23)/AT32</f>
        <v>0.22604620456442484</v>
      </c>
      <c r="AU74" s="138"/>
      <c r="AV74" s="193">
        <f t="array" ref="AV74">SUM(AV10:AW10*AV23:AW23)/AV32</f>
        <v>0.22604620456442484</v>
      </c>
      <c r="XFD74" s="193"/>
    </row>
    <row r="75" spans="1:48 16384:16384" x14ac:dyDescent="0.2">
      <c r="A75" t="s">
        <v>186</v>
      </c>
      <c r="B75" s="193">
        <f t="array" ref="B75">SUM(B11:C11*B24:C24)/B32</f>
        <v>0.22038438833194082</v>
      </c>
      <c r="D75" s="193">
        <f t="array" ref="D75">SUM(D11:E11*D24:E24)/D32</f>
        <v>0.22038438831170976</v>
      </c>
      <c r="E75" s="138"/>
      <c r="F75" s="193">
        <f t="array" ref="F75">SUM(F11:G11*F24:G24)/F32</f>
        <v>0.22038438832453411</v>
      </c>
      <c r="G75" s="138"/>
      <c r="H75" s="193">
        <f t="array" ref="H75">SUM(H11:I11*H24:I24)/H32</f>
        <v>0.22038438832310051</v>
      </c>
      <c r="I75" s="138"/>
      <c r="J75" s="193">
        <f t="array" ref="J75">SUM(J11:K11*J24:K24)/J32</f>
        <v>0.22038438823350248</v>
      </c>
      <c r="K75" s="138"/>
      <c r="L75" s="193">
        <f t="array" ref="L75">SUM(L11:M11*L24:M24)/L32</f>
        <v>0.22038438832280882</v>
      </c>
      <c r="M75" s="138"/>
      <c r="N75" s="193">
        <f t="array" ref="N75">SUM(N11:O11*N24:O24)/N32</f>
        <v>0.2203843883183145</v>
      </c>
      <c r="O75" s="138"/>
      <c r="P75" s="193">
        <f t="array" ref="P75">SUM(P11:Q11*P24:Q24)/P32</f>
        <v>0.22038438831732818</v>
      </c>
      <c r="Q75" s="138"/>
      <c r="R75" s="193">
        <f t="array" ref="R75">SUM(R11:S11*R24:S24)/R32</f>
        <v>0.22038438831565324</v>
      </c>
      <c r="S75" s="138"/>
      <c r="T75" s="193">
        <f t="array" ref="T75">SUM(T11:U11*T24:U24)/T32</f>
        <v>0.22038438832176921</v>
      </c>
      <c r="U75" s="138"/>
      <c r="V75" s="193">
        <f t="array" ref="V75">SUM(V11:W11*V24:W24)/V32</f>
        <v>0.2203843883299926</v>
      </c>
      <c r="W75" s="138"/>
      <c r="X75" s="193">
        <f t="array" ref="X75">SUM(X11:Y11*X24:Y24)/X32</f>
        <v>0.22038438833186461</v>
      </c>
      <c r="Y75" s="138"/>
      <c r="Z75" s="193">
        <f t="array" ref="Z75">SUM(Z11:AA11*Z24:AA24)/Z32</f>
        <v>0.22038438832822371</v>
      </c>
      <c r="AA75" s="138"/>
      <c r="AB75" s="193">
        <f t="array" ref="AB75">SUM(AB11:AC11*AB24:AC24)/AB32</f>
        <v>0.22038438832672774</v>
      </c>
      <c r="AC75" s="138"/>
      <c r="AD75" s="193">
        <f t="array" ref="AD75">SUM(AD11:AE11*AD24:AE24)/AD32</f>
        <v>0.22038438832903517</v>
      </c>
      <c r="AE75" s="138"/>
      <c r="AF75" s="193">
        <f t="array" ref="AF75">SUM(AF11:AG11*AF24:AG24)/AF32</f>
        <v>0.2203843883267966</v>
      </c>
      <c r="AG75" s="138"/>
      <c r="AH75" s="193">
        <f t="array" ref="AH75">SUM(AH11:AI11*AH24:AI24)/AH32</f>
        <v>0.22038438833548621</v>
      </c>
      <c r="AI75" s="138"/>
      <c r="AJ75" s="193">
        <f t="array" ref="AJ75">SUM(AJ11:AK11*AJ24:AK24)/AJ32</f>
        <v>0.22038438833185214</v>
      </c>
      <c r="AK75" s="138"/>
      <c r="AL75" s="193">
        <f t="array" ref="AL75">SUM(AL11:AM11*AL24:AM24)/AL32</f>
        <v>0.22038438833242535</v>
      </c>
      <c r="AM75" s="138"/>
      <c r="AN75" s="193">
        <f t="array" ref="AN75">SUM(AN11:AO11*AN24:AO24)/AN32</f>
        <v>0.22038438833259597</v>
      </c>
      <c r="AO75" s="138"/>
      <c r="AP75" s="193">
        <f t="array" ref="AP75">SUM(AP11:AQ11*AP24:AQ24)/AP32</f>
        <v>0.22038438833265289</v>
      </c>
      <c r="AQ75" s="138"/>
      <c r="AR75" s="193">
        <f t="array" ref="AR75">SUM(AR11:AS11*AR24:AS24)/AR32</f>
        <v>0.22038438833203317</v>
      </c>
      <c r="AS75" s="138"/>
      <c r="AT75" s="193">
        <f t="array" ref="AT75">SUM(AT11:AU11*AT24:AU24)/AT32</f>
        <v>0.22038438833268795</v>
      </c>
      <c r="AU75" s="138"/>
      <c r="AV75" s="193">
        <f t="array" ref="AV75">SUM(AV11:AW11*AV24:AW24)/AV32</f>
        <v>0.22038438833189886</v>
      </c>
      <c r="XFD75" s="193"/>
    </row>
    <row r="76" spans="1:48 16384:16384" x14ac:dyDescent="0.2">
      <c r="A76" t="s">
        <v>187</v>
      </c>
      <c r="B76" s="193">
        <f t="array" ref="B76">SUM(B12:C12*B25:C25)/B32</f>
        <v>0.22301874374724867</v>
      </c>
      <c r="D76" s="193">
        <f t="array" ref="D76">SUM(D12:E12*D25:E25)/D32</f>
        <v>0.22258108641142757</v>
      </c>
      <c r="E76" s="138"/>
      <c r="F76" s="193">
        <f t="array" ref="F76">SUM(F12:G12*F25:G25)/F32</f>
        <v>0.22215908844891133</v>
      </c>
      <c r="G76" s="138"/>
      <c r="H76" s="193">
        <f t="array" ref="H76">SUM(H12:I12*H25:I25)/H32</f>
        <v>0.2217546082199876</v>
      </c>
      <c r="I76" s="138"/>
      <c r="J76" s="193">
        <f t="array" ref="J76">SUM(J12:K12*J25:K25)/J32</f>
        <v>0.22136997975937381</v>
      </c>
      <c r="K76" s="138"/>
      <c r="L76" s="193">
        <f t="array" ref="L76">SUM(L12:M12*L25:M25)/L32</f>
        <v>0.22100815119447534</v>
      </c>
      <c r="M76" s="138"/>
      <c r="N76" s="193">
        <f t="array" ref="N76">SUM(N12:O12*N25:O25)/N32</f>
        <v>0.22067267449437725</v>
      </c>
      <c r="O76" s="138"/>
      <c r="P76" s="193">
        <f t="array" ref="P76">SUM(P12:Q12*P25:Q25)/P32</f>
        <v>0.22036808168238459</v>
      </c>
      <c r="Q76" s="138"/>
      <c r="R76" s="193">
        <f t="array" ref="R76">SUM(R12:S12*R25:S25)/R32</f>
        <v>0.22010004533063046</v>
      </c>
      <c r="S76" s="138"/>
      <c r="T76" s="193">
        <f t="array" ref="T76">SUM(T12:U12*T25:U25)/T32</f>
        <v>0.21987570060596892</v>
      </c>
      <c r="U76" s="138"/>
      <c r="V76" s="193">
        <f t="array" ref="V76">SUM(V12:W12*V25:W25)/V32</f>
        <v>0.21970400147388713</v>
      </c>
      <c r="W76" s="138"/>
      <c r="X76" s="193">
        <f t="array" ref="X76">SUM(X12:Y12*X25:Y25)/X32</f>
        <v>0.21959603455923865</v>
      </c>
      <c r="Y76" s="138"/>
      <c r="Z76" s="193">
        <f t="array" ref="Z76">SUM(Z12:AA12*Z25:AA25)/Z32</f>
        <v>0.21956506054639177</v>
      </c>
      <c r="AA76" s="138"/>
      <c r="AB76" s="193">
        <f t="array" ref="AB76">SUM(AB12:AC12*AB25:AC25)/AB32</f>
        <v>0.21962555883481621</v>
      </c>
      <c r="AC76" s="138"/>
      <c r="AD76" s="193">
        <f t="array" ref="AD76">SUM(AD12:AE12*AD25:AE25)/AD32</f>
        <v>0.21978914517755874</v>
      </c>
      <c r="AE76" s="138"/>
      <c r="AF76" s="193">
        <f t="array" ref="AF76">SUM(AF12:AG12*AF25:AG25)/AF32</f>
        <v>0.2200508882199729</v>
      </c>
      <c r="AG76" s="138"/>
      <c r="AH76" s="193">
        <f t="array" ref="AH76">SUM(AH12:AI12*AH25:AI25)/AH32</f>
        <v>0.2203448674016534</v>
      </c>
      <c r="AI76" s="138"/>
      <c r="AJ76" s="193">
        <f t="array" ref="AJ76">SUM(AJ12:AK12*AJ25:AK25)/AJ32</f>
        <v>0.22039347653676825</v>
      </c>
      <c r="AK76" s="138"/>
      <c r="AL76" s="193">
        <f t="array" ref="AL76">SUM(AL12:AM12*AL25:AM25)/AL32</f>
        <v>0.21915629332752315</v>
      </c>
      <c r="AM76" s="138"/>
      <c r="AN76" s="193">
        <f t="array" ref="AN76">SUM(AN12:AO12*AN25:AO25)/AN32</f>
        <v>0.21275930546665192</v>
      </c>
      <c r="AO76" s="138"/>
      <c r="AP76" s="193">
        <f t="array" ref="AP76">SUM(AP12:AQ12*AP25:AQ25)/AP32</f>
        <v>0.21000134479663474</v>
      </c>
      <c r="AQ76" s="138"/>
      <c r="AR76" s="193">
        <f t="array" ref="AR76">SUM(AR12:AS12*AR25:AS25)/AR32</f>
        <v>0.20641331563225326</v>
      </c>
      <c r="AS76" s="138"/>
      <c r="AT76" s="193">
        <f t="array" ref="AT76">SUM(AT12:AU12*AT25:AU25)/AT32</f>
        <v>0.2017769490663846</v>
      </c>
      <c r="AU76" s="138"/>
      <c r="AV76" s="193">
        <f t="array" ref="AV76">SUM(AV12:AW12*AV25:AW25)/AV32</f>
        <v>0.19578250447518239</v>
      </c>
      <c r="XFD76" s="193"/>
    </row>
    <row r="77" spans="1:48 16384:16384" x14ac:dyDescent="0.2">
      <c r="A77" t="s">
        <v>188</v>
      </c>
      <c r="B77" s="193">
        <f t="array" ref="B77">SUM(B4:C4*B19:C19)/B32</f>
        <v>0.14586087017236635</v>
      </c>
      <c r="D77" s="193">
        <f t="array" ref="D77">SUM(D4:E4*D19:E19)/D32</f>
        <v>0.1454232366726933</v>
      </c>
      <c r="E77" s="138"/>
      <c r="F77" s="193">
        <f t="array" ref="F77">SUM(F4:G4*F19:G19)/F32</f>
        <v>0.14500121606509381</v>
      </c>
      <c r="G77" s="138"/>
      <c r="H77" s="193">
        <f t="array" ref="H77">SUM(H4:I4*H19:I19)/H32</f>
        <v>0.14459673625486716</v>
      </c>
      <c r="I77" s="138"/>
      <c r="J77" s="193">
        <f t="array" ref="J77">SUM(J4:K4*J19:K19)/J32</f>
        <v>0.14421214402754004</v>
      </c>
      <c r="K77" s="138"/>
      <c r="L77" s="193">
        <f t="array" ref="L77">SUM(L4:M4*L19:M19)/L32</f>
        <v>0.1438502798337831</v>
      </c>
      <c r="M77" s="138"/>
      <c r="N77" s="193">
        <f t="array" ref="N77">SUM(N4:O4*N19:O19)/N32</f>
        <v>0.14351480483062024</v>
      </c>
      <c r="O77" s="138"/>
      <c r="P77" s="193">
        <f t="array" ref="P77">SUM(P4:Q4*P19:Q19)/P32</f>
        <v>0.14321021307557405</v>
      </c>
      <c r="Q77" s="138"/>
      <c r="R77" s="193">
        <f t="array" ref="R77">SUM(R4:S4*R19:S19)/R32</f>
        <v>0.14294217667931355</v>
      </c>
      <c r="S77" s="138"/>
      <c r="T77" s="193">
        <f t="array" ref="T77">SUM(T4:U4*T19:U19)/T32</f>
        <v>0.14271782972325076</v>
      </c>
      <c r="U77" s="138"/>
      <c r="V77" s="193">
        <f t="array" ref="V77">SUM(V4:W4*V19:W19)/V32</f>
        <v>0.14254612834927025</v>
      </c>
      <c r="W77" s="138"/>
      <c r="X77" s="193">
        <f t="array" ref="X77">SUM(X4:Y4*X19:Y19)/X32</f>
        <v>0.14243816099999829</v>
      </c>
      <c r="Y77" s="138"/>
      <c r="Z77" s="193">
        <f t="array" ref="Z77">SUM(Z4:AA4*Z19:AA19)/Z32</f>
        <v>0.14240718859422885</v>
      </c>
      <c r="AA77" s="138"/>
      <c r="AB77" s="193">
        <f t="array" ref="AB77">SUM(AB4:AC4*AB19:AC19)/AB32</f>
        <v>0.14246768567439272</v>
      </c>
      <c r="AC77" s="138"/>
      <c r="AD77" s="193">
        <f t="array" ref="AD77">SUM(AD4:AE4*AD19:AE19)/AD32</f>
        <v>0.1426312748638949</v>
      </c>
      <c r="AE77" s="138"/>
      <c r="AF77" s="193">
        <f t="array" ref="AF77">SUM(AF4:AG4*AF19:AG19)/AF32</f>
        <v>0.14289301640236618</v>
      </c>
      <c r="AG77" s="138"/>
      <c r="AH77" s="193">
        <f t="array" ref="AH77">SUM(AH4:AI4*AH19:AI19)/AH32</f>
        <v>0.14318699382745675</v>
      </c>
      <c r="AI77" s="138"/>
      <c r="AJ77" s="193">
        <f t="array" ref="AJ77">SUM(AJ4:AK4*AJ19:AK19)/AJ32</f>
        <v>0.14323560307236111</v>
      </c>
      <c r="AK77" s="138"/>
      <c r="AL77" s="193">
        <f t="array" ref="AL77">SUM(AL4:AM4*AL19:AM19)/AL32</f>
        <v>0.141998419856286</v>
      </c>
      <c r="AM77" s="138"/>
      <c r="AN77" s="193">
        <f t="array" ref="AN77">SUM(AN4:AO4*AN19:AO19)/AN32</f>
        <v>0.1356014318853612</v>
      </c>
      <c r="AO77" s="138"/>
      <c r="AP77" s="193">
        <f t="array" ref="AP77">SUM(AP4:AQ4*AP19:AQ19)/AP32</f>
        <v>0.1328434712253804</v>
      </c>
      <c r="AQ77" s="138"/>
      <c r="AR77" s="193">
        <f t="array" ref="AR77">SUM(AR4:AS4*AR19:AS19)/AR32</f>
        <v>0.12925544205765555</v>
      </c>
      <c r="AS77" s="138"/>
      <c r="AT77" s="193">
        <f t="array" ref="AT77">SUM(AT4:AU4*AT19:AU19)/AT32</f>
        <v>0.12461907549607916</v>
      </c>
      <c r="AU77" s="138"/>
      <c r="AV77" s="193">
        <f t="array" ref="AV77">SUM(AV4:AW4*AV19:AW19)/AV32</f>
        <v>0.11862463090022707</v>
      </c>
      <c r="XFD77" s="193"/>
    </row>
    <row r="78" spans="1:48 16384:16384" x14ac:dyDescent="0.2">
      <c r="A78" t="s">
        <v>189</v>
      </c>
      <c r="B78" s="193">
        <f t="array" ref="B78">SUM(B13:C13*B26:C26)/B32</f>
        <v>0.346887593115773</v>
      </c>
      <c r="D78" s="193">
        <f t="array" ref="D78">SUM(D13:E13*D26:E26)/D32</f>
        <v>0.34602614879343757</v>
      </c>
      <c r="E78" s="138"/>
      <c r="F78" s="193">
        <f t="array" ref="F78">SUM(F13:G13*F26:G26)/F32</f>
        <v>0.34508820122102901</v>
      </c>
      <c r="G78" s="138"/>
      <c r="H78" s="193">
        <f t="array" ref="H78">SUM(H13:I13*H26:I26)/H32</f>
        <v>0.34406226387507161</v>
      </c>
      <c r="I78" s="138"/>
      <c r="J78" s="193">
        <f t="array" ref="J78">SUM(J13:K13*J26:K26)/J32</f>
        <v>0.34293444654401961</v>
      </c>
      <c r="K78" s="138"/>
      <c r="L78" s="193">
        <f t="array" ref="L78">SUM(L13:M13*L26:M26)/L32</f>
        <v>0.34168775154464204</v>
      </c>
      <c r="M78" s="138"/>
      <c r="N78" s="193">
        <f t="array" ref="N78">SUM(N13:O13*N26:O26)/N32</f>
        <v>0.34030097885060306</v>
      </c>
      <c r="O78" s="138"/>
      <c r="P78" s="193">
        <f t="array" ref="P78">SUM(P13:Q13*P26:Q26)/P32</f>
        <v>0.33874741818051107</v>
      </c>
      <c r="Q78" s="138"/>
      <c r="R78" s="193">
        <f t="array" ref="R78">SUM(R13:S13*R26:S26)/R32</f>
        <v>0.33699272487045523</v>
      </c>
      <c r="S78" s="138"/>
      <c r="T78" s="193">
        <f t="array" ref="T78">SUM(T13:U13*T26:U26)/T32</f>
        <v>0.33499182489871121</v>
      </c>
      <c r="U78" s="138"/>
      <c r="V78" s="193">
        <f t="array" ref="V78">SUM(V13:W13*V26:W26)/V32</f>
        <v>0.33268406752032426</v>
      </c>
      <c r="W78" s="138"/>
      <c r="X78" s="193">
        <f t="array" ref="X78">SUM(X13:Y13*X26:Y26)/X32</f>
        <v>0.32998539068381982</v>
      </c>
      <c r="Y78" s="138"/>
      <c r="Z78" s="193">
        <f t="array" ref="Z78">SUM(Z13:AA13*Z26:AA26)/Z32</f>
        <v>0.32677500719707969</v>
      </c>
      <c r="AA78" s="138"/>
      <c r="AB78" s="193">
        <f t="array" ref="AB78">SUM(AB13:AC13*AB26:AC26)/AB32</f>
        <v>0.32287146895068047</v>
      </c>
      <c r="AC78" s="138"/>
      <c r="AD78" s="193">
        <f t="array" ref="AD78">SUM(AD13:AE13*AD26:AE26)/AD32</f>
        <v>0.31798654038995511</v>
      </c>
      <c r="AE78" s="138"/>
      <c r="AF78" s="193">
        <f t="array" ref="AF78">SUM(AF13:AG13*AF26:AG26)/AF32</f>
        <v>0.31162827666628223</v>
      </c>
      <c r="AG78" s="138"/>
      <c r="AH78" s="193">
        <f t="array" ref="AH78">SUM(AH13:AI13*AH26:AI26)/AH32</f>
        <v>0.30287339861421175</v>
      </c>
      <c r="AI78" s="138"/>
      <c r="AJ78" s="193">
        <f t="array" ref="AJ78">SUM(AJ13:AK13*AJ26:AK26)/AJ32</f>
        <v>0.28974811156426983</v>
      </c>
      <c r="AK78" s="138"/>
      <c r="AL78" s="193">
        <f t="array" ref="AL78">SUM(AL13:AM13*AL26:AM26)/AL32</f>
        <v>0.26715881475067133</v>
      </c>
      <c r="AM78" s="138"/>
      <c r="AN78" s="193">
        <f t="array" ref="AN78">SUM(AN13:AO13*AN26:AO26)/AN32</f>
        <v>0.2172966779887352</v>
      </c>
      <c r="AO78" s="138"/>
      <c r="AP78" s="193">
        <f t="array" ref="AP78">SUM(AP13:AQ13*AP26:AQ26)/AP32</f>
        <v>0.19899852406554461</v>
      </c>
      <c r="AQ78" s="138"/>
      <c r="AR78" s="193">
        <f t="array" ref="AR78">SUM(AR13:AS13*AR26:AS26)/AR32</f>
        <v>0.1747364576044802</v>
      </c>
      <c r="AS78" s="138"/>
      <c r="AT78" s="193">
        <f t="array" ref="AT78">SUM(AT13:AU13*AT26:AU26)/AT32</f>
        <v>0.14086199685260836</v>
      </c>
      <c r="AU78" s="138"/>
      <c r="AV78" s="193">
        <f t="array" ref="AV78">SUM(AV13:AW13*AV26:AW26)/AV32</f>
        <v>8.9597049378436391E-2</v>
      </c>
      <c r="XFD78" s="193"/>
    </row>
    <row r="79" spans="1:48 16384:16384" x14ac:dyDescent="0.2">
      <c r="A79" t="s">
        <v>190</v>
      </c>
      <c r="B79" s="193">
        <f t="array" ref="B79">SUM(B15:C15*B27:C27)/B32</f>
        <v>0.45460968782440875</v>
      </c>
      <c r="D79" s="193">
        <f t="array" ref="D79">SUM(D15:E15*D27:E27)/D32</f>
        <v>0.45113472074482075</v>
      </c>
      <c r="F79" s="193">
        <f t="array" ref="F79">SUM(F15:G15*F27:G27)/F32</f>
        <v>0.44759771974319973</v>
      </c>
      <c r="H79" s="193">
        <f t="array" ref="H79">SUM(H15:I15*H27:I27)/H32</f>
        <v>0.44398540374973045</v>
      </c>
      <c r="J79" s="193">
        <f t="array" ref="J79">SUM(J15:K15*J27:K27)/J32</f>
        <v>0.44028151499098783</v>
      </c>
      <c r="L79" s="193">
        <f t="array" ref="L79">SUM(L15:M15*L27:M27)/L32</f>
        <v>0.4364661068614456</v>
      </c>
      <c r="N79" s="193">
        <f t="array" ref="N79">SUM(N15:O15*N27:O27)/N32</f>
        <v>0.43251404744246613</v>
      </c>
      <c r="P79" s="193">
        <f t="array" ref="P79">SUM(P15:Q15*P27:Q27)/P32</f>
        <v>0.42839363516093404</v>
      </c>
      <c r="R79" s="193">
        <f t="array" ref="R79">SUM(R15:S15*R27:S27)/R32</f>
        <v>0.42406399902880626</v>
      </c>
      <c r="T79" s="193">
        <f t="array" ref="T79">SUM(T15:U15*T27:U27)/T32</f>
        <v>0.41947147253267053</v>
      </c>
      <c r="V79" s="193">
        <f t="array" ref="V79">SUM(V15:W15*V27:W27)/V32</f>
        <v>0.41454396718699676</v>
      </c>
      <c r="X79" s="193">
        <f t="array" ref="X79">SUM(X15:Y15*X27:Y27)/X32</f>
        <v>0.40918189667185856</v>
      </c>
      <c r="Z79" s="193">
        <f t="array" ref="Z79">SUM(Z15:AA15*Z27:AA27)/Z32</f>
        <v>0.40324285215089689</v>
      </c>
      <c r="AB79" s="193">
        <f t="array" ref="AB79">SUM(AB15:AC15*AB27:AC27)/AB32</f>
        <v>0.39651412800344754</v>
      </c>
      <c r="AD79" s="193">
        <f t="array" ref="AD79">SUM(AD15:AE15*AD27:AE27)/AD32</f>
        <v>0.38865977342373037</v>
      </c>
      <c r="AF79" s="193">
        <f t="array" ref="AF79">SUM(AF15:AG15*AF27:AG27)/AF32</f>
        <v>0.37910902444227623</v>
      </c>
      <c r="AH79" s="193">
        <f t="array" ref="AH79">SUM(AH15:AI15*AH27:AI27)/AH32</f>
        <v>0.36679280977042922</v>
      </c>
      <c r="AJ79" s="193">
        <f t="array" ref="AJ79">SUM(AJ15:AK15*AJ27:AK27)/AJ32</f>
        <v>0.3494203027843214</v>
      </c>
      <c r="AL79" s="193">
        <f t="array" ref="AL79">SUM(AL15:AM15*AL27:AM27)/AL32</f>
        <v>0.32103268861530504</v>
      </c>
      <c r="AN79" s="193">
        <f t="array" ref="AN79">SUM(AN15:AO15*AN27:AO27)/AN32</f>
        <v>0.26052163641123227</v>
      </c>
      <c r="AP79" s="193">
        <f t="array" ref="AP79">SUM(AP15:AQ15*AP27:AQ27)/AP32</f>
        <v>0.2385260326897502</v>
      </c>
      <c r="AR79" s="193">
        <f t="array" ref="AR79">SUM(AR15:AS15*AR27:AS27)/AR32</f>
        <v>0.20940940642573583</v>
      </c>
      <c r="AT79" s="193">
        <f t="array" ref="AT79">SUM(AT15:AU15*AT27:AU27)/AT32</f>
        <v>0.16879561933048512</v>
      </c>
      <c r="AV79" s="193">
        <f t="array" ref="AV79">SUM(AV15:AW15*AV27:AW27)/AV32</f>
        <v>0.10735883037567345</v>
      </c>
      <c r="XFD79" s="193"/>
    </row>
    <row r="80" spans="1:48 16384:16384" x14ac:dyDescent="0.2">
      <c r="A80" t="s">
        <v>169</v>
      </c>
      <c r="B80" s="236">
        <f>B55</f>
        <v>0.19850271905982084</v>
      </c>
      <c r="D80" s="236">
        <f>D55</f>
        <v>0.20283915279624895</v>
      </c>
      <c r="F80" s="236">
        <f>F55</f>
        <v>0.20731407862141177</v>
      </c>
      <c r="H80" s="236">
        <f>H55</f>
        <v>0.21195233183228274</v>
      </c>
      <c r="J80" s="236">
        <f>J55</f>
        <v>0.21678406906825817</v>
      </c>
      <c r="L80" s="236">
        <f>L55</f>
        <v>0.22184614092339255</v>
      </c>
      <c r="N80" s="236">
        <f>N55</f>
        <v>0.22718497266904356</v>
      </c>
      <c r="P80" s="236">
        <f>P55</f>
        <v>0.23285894555150521</v>
      </c>
      <c r="R80" s="236">
        <f>R55</f>
        <v>0.23894328232781908</v>
      </c>
      <c r="T80" s="236">
        <f>T55</f>
        <v>0.24553670638072372</v>
      </c>
      <c r="V80" s="236">
        <f>V55</f>
        <v>0.2527719660228826</v>
      </c>
      <c r="X80" s="236">
        <f>X55</f>
        <v>0.26083271267445035</v>
      </c>
      <c r="Z80" s="236">
        <f>Z55</f>
        <v>0.26998214125023196</v>
      </c>
      <c r="AB80" s="236">
        <f>AB55</f>
        <v>0.2806144012115217</v>
      </c>
      <c r="AD80" s="236">
        <f>AD55</f>
        <v>0.29335369537114703</v>
      </c>
      <c r="AF80" s="236">
        <f>AF55</f>
        <v>0.30926270028696623</v>
      </c>
      <c r="AH80" s="236">
        <f>AH55</f>
        <v>0.33033379297973803</v>
      </c>
      <c r="AJ80" s="236">
        <f>AJ55</f>
        <v>0.3608315858119423</v>
      </c>
      <c r="AL80" s="236">
        <f>AL55</f>
        <v>0.411808496952554</v>
      </c>
      <c r="AN80" s="236">
        <f>AN55</f>
        <v>0.52218168650401264</v>
      </c>
      <c r="AP80" s="236">
        <f>AP55</f>
        <v>0.56247544432831742</v>
      </c>
      <c r="AR80" s="236">
        <f>AR55</f>
        <v>0.61585413614915807</v>
      </c>
      <c r="AT80" s="236">
        <f>AT55</f>
        <v>0.69034238425839556</v>
      </c>
      <c r="AV80" s="236">
        <f>AV55</f>
        <v>0.80304412014487725</v>
      </c>
      <c r="XFD80" s="236"/>
    </row>
    <row r="81" spans="1:48 16384:16384" x14ac:dyDescent="0.2">
      <c r="A81" t="s">
        <v>191</v>
      </c>
      <c r="B81" s="236">
        <f>B51/B$32</f>
        <v>-2.7543485504603994E-2</v>
      </c>
      <c r="D81" s="236">
        <f>D51/D$32</f>
        <v>-2.3207051768175887E-2</v>
      </c>
      <c r="F81" s="236">
        <f>F51/F$32</f>
        <v>-1.8732125943013069E-2</v>
      </c>
      <c r="H81" s="236">
        <f>H51/H$32</f>
        <v>-1.4093872732142118E-2</v>
      </c>
      <c r="J81" s="236">
        <f>J51/J$32</f>
        <v>-9.2621354961666645E-3</v>
      </c>
      <c r="L81" s="236">
        <f>L51/L$32</f>
        <v>-4.2000636410322771E-3</v>
      </c>
      <c r="N81" s="236">
        <f>N51/N$32</f>
        <v>1.1387681046187157E-3</v>
      </c>
      <c r="P81" s="236">
        <f>P51/P$32</f>
        <v>6.8127409870803795E-3</v>
      </c>
      <c r="R81" s="236">
        <f>R51/R$32</f>
        <v>1.2897077763394243E-2</v>
      </c>
      <c r="T81" s="236">
        <f>T51/T$32</f>
        <v>1.9490501816298904E-2</v>
      </c>
      <c r="V81" s="236">
        <f>V51/V$32</f>
        <v>2.6725761458457776E-2</v>
      </c>
      <c r="X81" s="236">
        <f>X51/X$32</f>
        <v>3.4786508110025517E-2</v>
      </c>
      <c r="Z81" s="236">
        <f>Z51/Z$32</f>
        <v>4.3935936685807121E-2</v>
      </c>
      <c r="AB81" s="236">
        <f>AB51/AB$32</f>
        <v>5.4568196647096875E-2</v>
      </c>
      <c r="AD81" s="236">
        <f>AD51/AD$32</f>
        <v>6.7307490806722145E-2</v>
      </c>
      <c r="AF81" s="236">
        <f>AF51/AF$32</f>
        <v>8.3216495722541375E-2</v>
      </c>
      <c r="AH81" s="236">
        <f>AH51/AH$32</f>
        <v>0.1042875884153132</v>
      </c>
      <c r="AJ81" s="236">
        <f>AJ51/AJ$32</f>
        <v>0.13478538124751749</v>
      </c>
      <c r="AL81" s="236">
        <f>AL51/AL$32</f>
        <v>0.18576229238812916</v>
      </c>
      <c r="AN81" s="236">
        <f>AN51/AN$32</f>
        <v>0.29613548193958783</v>
      </c>
      <c r="AP81" s="236">
        <f>AP51/AP$32</f>
        <v>0.33642923976389261</v>
      </c>
      <c r="AR81" s="236">
        <f>AR51/AR$32</f>
        <v>0.3898079315847332</v>
      </c>
      <c r="AT81" s="236">
        <f>AT51/AT$32</f>
        <v>0.46429617969397075</v>
      </c>
      <c r="AV81" s="236">
        <f>AV51/AV$32</f>
        <v>0.57699791558045244</v>
      </c>
      <c r="XFD81" s="236"/>
    </row>
    <row r="82" spans="1:48 16384:16384" x14ac:dyDescent="0.2">
      <c r="A82" t="s">
        <v>192</v>
      </c>
      <c r="B82" s="236">
        <f>B52/B$32</f>
        <v>0.13907860278212886</v>
      </c>
      <c r="D82" s="236">
        <f>D52/D$32</f>
        <v>0.13873322152577175</v>
      </c>
      <c r="F82" s="236">
        <f>F52/F$32</f>
        <v>0.13835716760962627</v>
      </c>
      <c r="H82" s="236">
        <f>H52/H$32</f>
        <v>0.13794583571004421</v>
      </c>
      <c r="J82" s="236">
        <f>J52/J$32</f>
        <v>0.13749365678606684</v>
      </c>
      <c r="L82" s="236">
        <f>L52/L$32</f>
        <v>0.13699381590951226</v>
      </c>
      <c r="N82" s="236">
        <f>N52/N$32</f>
        <v>0.1364378132951467</v>
      </c>
      <c r="P82" s="236">
        <f>P52/P$32</f>
        <v>0.13581493991592627</v>
      </c>
      <c r="R82" s="236">
        <f>R52/R$32</f>
        <v>0.13511142587069414</v>
      </c>
      <c r="T82" s="236">
        <f>T52/T$32</f>
        <v>0.13430919950716985</v>
      </c>
      <c r="V82" s="236">
        <f>V52/V$32</f>
        <v>0.13338394395431677</v>
      </c>
      <c r="X82" s="236">
        <f>X52/X$32</f>
        <v>0.1323019559811803</v>
      </c>
      <c r="Z82" s="236">
        <f>Z52/Z$32</f>
        <v>0.13101480804452401</v>
      </c>
      <c r="AB82" s="236">
        <f>AB52/AB$32</f>
        <v>0.12944975165164629</v>
      </c>
      <c r="AD82" s="236">
        <f>AD52/AD$32</f>
        <v>0.12749122372387039</v>
      </c>
      <c r="AF82" s="236">
        <f>AF52/AF$32</f>
        <v>0.12494198745149213</v>
      </c>
      <c r="AH82" s="236">
        <f>AH52/AH$32</f>
        <v>0.12143186996336533</v>
      </c>
      <c r="AJ82" s="236">
        <f>AJ52/AJ$32</f>
        <v>0.11616951229982372</v>
      </c>
      <c r="AL82" s="236">
        <f>AL52/AL$32</f>
        <v>0.10711272300837869</v>
      </c>
      <c r="AN82" s="236">
        <f>AN52/AN$32</f>
        <v>8.7121358513924024E-2</v>
      </c>
      <c r="AP82" s="236">
        <f>AP52/AP$32</f>
        <v>7.9785029018045156E-2</v>
      </c>
      <c r="AR82" s="236">
        <f>AR52/AR$32</f>
        <v>7.0057571562148729E-2</v>
      </c>
      <c r="AT82" s="236">
        <f>AT52/AT$32</f>
        <v>5.6476190259197256E-2</v>
      </c>
      <c r="AV82" s="236">
        <f>AV52/AV$32</f>
        <v>3.5922392983353243E-2</v>
      </c>
    </row>
    <row r="83" spans="1:48 16384:16384" x14ac:dyDescent="0.2">
      <c r="A83" t="s">
        <v>193</v>
      </c>
      <c r="B83" s="236">
        <f>B53/B$32</f>
        <v>0.18600714462930035</v>
      </c>
      <c r="D83" s="236">
        <f>D53/D$32</f>
        <v>0.18458533440073205</v>
      </c>
      <c r="F83" s="236">
        <f>F53/F$32</f>
        <v>0.18313814250297245</v>
      </c>
      <c r="H83" s="236">
        <f>H53/H$32</f>
        <v>0.18166013488140254</v>
      </c>
      <c r="J83" s="236">
        <f>J53/J$32</f>
        <v>0.18014465953960918</v>
      </c>
      <c r="L83" s="236">
        <f>L53/L$32</f>
        <v>0.17858355516638763</v>
      </c>
      <c r="N83" s="236">
        <f>N53/N$32</f>
        <v>0.17696653883871616</v>
      </c>
      <c r="P83" s="236">
        <f>P53/P$32</f>
        <v>0.17528063960755125</v>
      </c>
      <c r="R83" s="236">
        <f>R53/R$32</f>
        <v>0.17350913478530475</v>
      </c>
      <c r="T83" s="236">
        <f>T53/T$32</f>
        <v>0.17163006629411462</v>
      </c>
      <c r="V83" s="236">
        <f>V53/V$32</f>
        <v>0.16961393856071619</v>
      </c>
      <c r="X83" s="236">
        <f>X53/X$32</f>
        <v>0.16742000505570243</v>
      </c>
      <c r="Z83" s="236">
        <f>Z53/Z$32</f>
        <v>0.16498999807882284</v>
      </c>
      <c r="AB83" s="236">
        <f>AB53/AB$32</f>
        <v>0.16223688744527051</v>
      </c>
      <c r="AD83" s="236">
        <f>AD53/AD$32</f>
        <v>0.15902321622926346</v>
      </c>
      <c r="AF83" s="236">
        <f>AF53/AF$32</f>
        <v>0.15511545184436182</v>
      </c>
      <c r="AH83" s="236">
        <f>AH53/AH$32</f>
        <v>0.15007617532846709</v>
      </c>
      <c r="AJ83" s="236">
        <f>AJ53/AJ$32</f>
        <v>0.14296807687371837</v>
      </c>
      <c r="AL83" s="236">
        <f>AL53/AL$32</f>
        <v>0.13135306030931884</v>
      </c>
      <c r="AN83" s="236">
        <f>AN53/AN$32</f>
        <v>0.10659448533732771</v>
      </c>
      <c r="AP83" s="236">
        <f>AP53/AP$32</f>
        <v>9.7594810336537247E-2</v>
      </c>
      <c r="AR83" s="236">
        <f>AR53/AR$32</f>
        <v>8.5681512715172714E-2</v>
      </c>
      <c r="AT83" s="236">
        <f>AT53/AT$32</f>
        <v>6.9064060926314702E-2</v>
      </c>
      <c r="AV83" s="236">
        <f>AV53/AV$32</f>
        <v>4.3926713450579954E-2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dimension ref="A1:XFD83"/>
  <sheetViews>
    <sheetView showGridLines="0" topLeftCell="S1" workbookViewId="0">
      <pane ySplit="1" topLeftCell="A2" activePane="bottomLeft" state="frozen"/>
      <selection pane="bottomLeft" activeCell="AR18" sqref="AR18"/>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6.0018488152132461E-2</v>
      </c>
      <c r="E2" s="227"/>
      <c r="F2" s="226">
        <v>0.11972984499864861</v>
      </c>
      <c r="G2" s="227"/>
      <c r="H2" s="226">
        <v>0.18575908956269541</v>
      </c>
      <c r="I2" s="227"/>
      <c r="J2" s="226">
        <v>0.25914665123407377</v>
      </c>
      <c r="K2" s="227"/>
      <c r="L2" s="226">
        <v>0.34117474319920715</v>
      </c>
      <c r="M2" s="227"/>
      <c r="N2" s="226">
        <v>0.43345021558048719</v>
      </c>
      <c r="O2" s="227"/>
      <c r="P2" s="226">
        <v>0.53801042651541475</v>
      </c>
      <c r="Q2" s="227"/>
      <c r="R2" s="226">
        <v>0.65749324736465065</v>
      </c>
      <c r="S2" s="227"/>
      <c r="T2" s="226">
        <v>0.79539073393702897</v>
      </c>
      <c r="U2" s="227"/>
      <c r="V2" s="226">
        <v>0.95645586592315968</v>
      </c>
      <c r="W2" s="227"/>
      <c r="X2" s="226">
        <v>1.1473856787091934</v>
      </c>
      <c r="Y2" s="227"/>
      <c r="Z2" s="226">
        <v>1.3780263476400334</v>
      </c>
      <c r="AA2" s="227"/>
      <c r="AB2" s="226">
        <v>1.6636869623043427</v>
      </c>
      <c r="AC2" s="227"/>
      <c r="AD2" s="226">
        <v>2.0298895560149699</v>
      </c>
      <c r="AE2" s="227"/>
      <c r="AF2" s="226">
        <v>2.5233074041457773</v>
      </c>
      <c r="AG2" s="227"/>
      <c r="AH2" s="226">
        <v>3.2405768109372075</v>
      </c>
      <c r="AI2" s="227"/>
      <c r="AJ2" s="226">
        <v>4.4200842657884856</v>
      </c>
      <c r="AK2" s="227"/>
      <c r="AL2" s="226">
        <v>6.8307369250526948</v>
      </c>
      <c r="AM2" s="227"/>
      <c r="AN2" s="226"/>
      <c r="AO2" s="227"/>
      <c r="AP2" s="226"/>
      <c r="AQ2" s="227"/>
      <c r="AR2" s="226"/>
      <c r="AS2" s="227"/>
      <c r="AT2" s="226"/>
      <c r="AU2" s="227"/>
      <c r="AV2" s="226"/>
      <c r="AW2" s="227"/>
    </row>
    <row r="3" spans="1:49" x14ac:dyDescent="0.2">
      <c r="A3" t="s">
        <v>12</v>
      </c>
      <c r="B3" s="84">
        <v>1000</v>
      </c>
      <c r="C3" s="85">
        <v>1000</v>
      </c>
      <c r="D3" s="84">
        <v>999.15787228736201</v>
      </c>
      <c r="E3" s="85">
        <v>1023.1952034079752</v>
      </c>
      <c r="F3" s="84">
        <v>998.31029866732581</v>
      </c>
      <c r="G3" s="85">
        <v>1049.5173298680313</v>
      </c>
      <c r="H3" s="84">
        <v>997.45517919542499</v>
      </c>
      <c r="I3" s="85">
        <v>1079.5763727147182</v>
      </c>
      <c r="J3" s="84">
        <v>996.58942875384287</v>
      </c>
      <c r="K3" s="85">
        <v>1114.1465601956427</v>
      </c>
      <c r="L3" s="84">
        <v>995.70868995942806</v>
      </c>
      <c r="M3" s="85">
        <v>1154.2240051040847</v>
      </c>
      <c r="N3" s="84">
        <v>994.80686879649704</v>
      </c>
      <c r="O3" s="85">
        <v>1201.1149853135705</v>
      </c>
      <c r="P3" s="84">
        <v>993.87550149903097</v>
      </c>
      <c r="Q3" s="85">
        <v>1256.5563557504713</v>
      </c>
      <c r="R3" s="84">
        <v>992.90295165183693</v>
      </c>
      <c r="S3" s="85">
        <v>1322.9110201588385</v>
      </c>
      <c r="T3" s="84">
        <v>991.87324959470527</v>
      </c>
      <c r="U3" s="85">
        <v>1403.4699295316339</v>
      </c>
      <c r="V3" s="84">
        <v>990.76451319984233</v>
      </c>
      <c r="W3" s="85">
        <v>1502.9474375965815</v>
      </c>
      <c r="X3" s="84">
        <v>989.54677265979865</v>
      </c>
      <c r="Y3" s="85">
        <v>1628.3288606414276</v>
      </c>
      <c r="Z3" s="84">
        <v>988.17906985124102</v>
      </c>
      <c r="AA3" s="85">
        <v>1790.3859802664381</v>
      </c>
      <c r="AB3" s="84">
        <v>986.60580743086007</v>
      </c>
      <c r="AC3" s="85">
        <v>2006.6108794337526</v>
      </c>
      <c r="AD3" s="84">
        <v>984.75297633912612</v>
      </c>
      <c r="AE3" s="85">
        <v>2307.2637874946113</v>
      </c>
      <c r="AF3" s="84">
        <v>982.52741153806278</v>
      </c>
      <c r="AG3" s="85">
        <v>2749.3068304872104</v>
      </c>
      <c r="AH3" s="84">
        <v>979.83171007036901</v>
      </c>
      <c r="AI3" s="85">
        <v>3453.0323764616719</v>
      </c>
      <c r="AJ3" s="84">
        <v>976.64497580221666</v>
      </c>
      <c r="AK3" s="85">
        <v>4718.3162257242584</v>
      </c>
      <c r="AL3" s="84">
        <v>973.37302969300549</v>
      </c>
      <c r="AM3" s="85">
        <v>7514.1307077574002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999.11623443583346</v>
      </c>
      <c r="E5" s="42">
        <v>1020.235734556181</v>
      </c>
      <c r="F5" s="41">
        <v>998.22649720143738</v>
      </c>
      <c r="G5" s="42">
        <v>1042.8928325718559</v>
      </c>
      <c r="H5" s="41">
        <v>997.32857711176689</v>
      </c>
      <c r="I5" s="42">
        <v>1068.3864938065879</v>
      </c>
      <c r="J5" s="41">
        <v>996.41922524360677</v>
      </c>
      <c r="K5" s="42">
        <v>1097.2301453298023</v>
      </c>
      <c r="L5" s="41">
        <v>995.49385193958733</v>
      </c>
      <c r="M5" s="42">
        <v>1130.065243472651</v>
      </c>
      <c r="N5" s="41">
        <v>994.54603591612511</v>
      </c>
      <c r="O5" s="42">
        <v>1167.7051144726947</v>
      </c>
      <c r="P5" s="41">
        <v>993.56685566389194</v>
      </c>
      <c r="Q5" s="42">
        <v>1211.1913911067534</v>
      </c>
      <c r="R5" s="41">
        <v>992.54403994714733</v>
      </c>
      <c r="S5" s="42">
        <v>1261.880382828067</v>
      </c>
      <c r="T5" s="41">
        <v>991.46073943518843</v>
      </c>
      <c r="U5" s="42">
        <v>1321.5670384947468</v>
      </c>
      <c r="V5" s="41">
        <v>990.29385334380356</v>
      </c>
      <c r="W5" s="42">
        <v>1392.6712333589967</v>
      </c>
      <c r="X5" s="41">
        <v>989.01172120594015</v>
      </c>
      <c r="Y5" s="42">
        <v>1478.5258552445325</v>
      </c>
      <c r="Z5" s="41">
        <v>987.57103862441966</v>
      </c>
      <c r="AA5" s="42">
        <v>1583.8313531517394</v>
      </c>
      <c r="AB5" s="41">
        <v>985.91296127227986</v>
      </c>
      <c r="AC5" s="42">
        <v>1715.4059403471304</v>
      </c>
      <c r="AD5" s="41">
        <v>983.95904685574919</v>
      </c>
      <c r="AE5" s="42">
        <v>1883.4521443597268</v>
      </c>
      <c r="AF5" s="41">
        <v>981.6103392437609</v>
      </c>
      <c r="AG5" s="42">
        <v>2103.7865689621713</v>
      </c>
      <c r="AH5" s="41">
        <v>978.7629374680015</v>
      </c>
      <c r="AI5" s="42">
        <v>2401.8354142761737</v>
      </c>
      <c r="AJ5" s="41">
        <v>975.39323412375836</v>
      </c>
      <c r="AK5" s="42">
        <v>2819.5383663682687</v>
      </c>
      <c r="AL5" s="41">
        <v>971.92927477432488</v>
      </c>
      <c r="AM5" s="42">
        <v>3423.4463525138949</v>
      </c>
      <c r="AN5" s="41"/>
      <c r="AO5" s="42"/>
      <c r="AP5" s="41"/>
      <c r="AQ5" s="42"/>
      <c r="AR5" s="41"/>
      <c r="AS5" s="42"/>
      <c r="AT5" s="41"/>
      <c r="AU5" s="42"/>
      <c r="AV5" s="41"/>
      <c r="AW5" s="42"/>
    </row>
    <row r="6" spans="1:49" x14ac:dyDescent="0.2">
      <c r="A6" t="s">
        <v>77</v>
      </c>
      <c r="B6" s="41">
        <v>999.99999999999943</v>
      </c>
      <c r="C6" s="42">
        <v>999.99999999999909</v>
      </c>
      <c r="D6" s="41">
        <v>999.04866764145083</v>
      </c>
      <c r="E6" s="42">
        <v>1024.9930937315075</v>
      </c>
      <c r="F6" s="41">
        <v>998.09097276454622</v>
      </c>
      <c r="G6" s="42">
        <v>1053.2547363015499</v>
      </c>
      <c r="H6" s="41">
        <v>997.12453688508992</v>
      </c>
      <c r="I6" s="42">
        <v>1085.4114167387504</v>
      </c>
      <c r="J6" s="41">
        <v>996.14586551073796</v>
      </c>
      <c r="K6" s="42">
        <v>1122.257341769227</v>
      </c>
      <c r="L6" s="41">
        <v>995.15002212519619</v>
      </c>
      <c r="M6" s="42">
        <v>1164.8132947935976</v>
      </c>
      <c r="N6" s="41">
        <v>994.13010108831554</v>
      </c>
      <c r="O6" s="42">
        <v>1214.4169894669444</v>
      </c>
      <c r="P6" s="41">
        <v>993.07650864805612</v>
      </c>
      <c r="Q6" s="42">
        <v>1272.8459716912623</v>
      </c>
      <c r="R6" s="41">
        <v>991.97605034630362</v>
      </c>
      <c r="S6" s="42">
        <v>1342.517733256763</v>
      </c>
      <c r="T6" s="41">
        <v>990.81061134362199</v>
      </c>
      <c r="U6" s="42">
        <v>1426.7988219495135</v>
      </c>
      <c r="V6" s="41">
        <v>989.55535912695188</v>
      </c>
      <c r="W6" s="42">
        <v>1530.5121986154659</v>
      </c>
      <c r="X6" s="41">
        <v>988.17626526232289</v>
      </c>
      <c r="Y6" s="42">
        <v>1660.8057738627544</v>
      </c>
      <c r="Z6" s="41">
        <v>986.62679523029487</v>
      </c>
      <c r="AA6" s="42">
        <v>1828.7059230442735</v>
      </c>
      <c r="AB6" s="41">
        <v>984.84373087052506</v>
      </c>
      <c r="AC6" s="42">
        <v>2052.1261655732878</v>
      </c>
      <c r="AD6" s="41">
        <v>982.74282636529927</v>
      </c>
      <c r="AE6" s="42">
        <v>2362.0700250205496</v>
      </c>
      <c r="AF6" s="41">
        <v>980.21785543951091</v>
      </c>
      <c r="AG6" s="42">
        <v>2816.9239755075341</v>
      </c>
      <c r="AH6" s="41">
        <v>977.15739072779729</v>
      </c>
      <c r="AI6" s="42">
        <v>3540.0315363170262</v>
      </c>
      <c r="AJ6" s="41">
        <v>973.53643060741308</v>
      </c>
      <c r="AK6" s="42">
        <v>4838.9490508203562</v>
      </c>
      <c r="AL6" s="41">
        <v>969.81519339698139</v>
      </c>
      <c r="AM6" s="42">
        <v>7707.59865612255</v>
      </c>
      <c r="AN6" s="41"/>
      <c r="AO6" s="42"/>
      <c r="AP6" s="41"/>
      <c r="AQ6" s="42"/>
      <c r="AR6" s="41"/>
      <c r="AS6" s="42"/>
      <c r="AT6" s="41"/>
      <c r="AU6" s="42"/>
      <c r="AV6" s="41"/>
      <c r="AW6" s="42"/>
    </row>
    <row r="7" spans="1:49" x14ac:dyDescent="0.2">
      <c r="A7" t="s">
        <v>13</v>
      </c>
      <c r="B7" s="33">
        <v>1015.9116825427475</v>
      </c>
      <c r="C7" s="34">
        <v>1015.9116825427475</v>
      </c>
      <c r="D7" s="33">
        <v>1015.0138547814817</v>
      </c>
      <c r="E7" s="34">
        <v>1015.0138547814817</v>
      </c>
      <c r="F7" s="33">
        <v>1014.1099603306654</v>
      </c>
      <c r="G7" s="34">
        <v>1014.1099603306654</v>
      </c>
      <c r="H7" s="33">
        <v>1013.1977528215793</v>
      </c>
      <c r="I7" s="34">
        <v>1013.1977528215793</v>
      </c>
      <c r="J7" s="33">
        <v>1012.2739316351734</v>
      </c>
      <c r="K7" s="34">
        <v>1012.2739316351734</v>
      </c>
      <c r="L7" s="33">
        <v>1011.3338340849068</v>
      </c>
      <c r="M7" s="34">
        <v>1011.3338340849068</v>
      </c>
      <c r="N7" s="33">
        <v>1010.3709367137703</v>
      </c>
      <c r="O7" s="34">
        <v>1010.3709367137703</v>
      </c>
      <c r="P7" s="33">
        <v>1009.3761760562115</v>
      </c>
      <c r="Q7" s="34">
        <v>1009.3761760562115</v>
      </c>
      <c r="R7" s="33">
        <v>1008.3370856204824</v>
      </c>
      <c r="S7" s="34">
        <v>1008.3370856204824</v>
      </c>
      <c r="T7" s="33">
        <v>1007.2365479746788</v>
      </c>
      <c r="U7" s="34">
        <v>1007.2365479746788</v>
      </c>
      <c r="V7" s="33">
        <v>1006.0510947622442</v>
      </c>
      <c r="W7" s="34">
        <v>1006.0510947622442</v>
      </c>
      <c r="X7" s="33">
        <v>1004.7485617448253</v>
      </c>
      <c r="Y7" s="34">
        <v>1004.7485617448253</v>
      </c>
      <c r="Z7" s="33">
        <v>1003.2849554794228</v>
      </c>
      <c r="AA7" s="34">
        <v>1003.2849554794228</v>
      </c>
      <c r="AB7" s="33">
        <v>1001.6004953268244</v>
      </c>
      <c r="AC7" s="34">
        <v>1001.6004953268244</v>
      </c>
      <c r="AD7" s="33">
        <v>999.61549084438218</v>
      </c>
      <c r="AE7" s="34">
        <v>999.61549084438218</v>
      </c>
      <c r="AF7" s="33">
        <v>997.22941134248629</v>
      </c>
      <c r="AG7" s="34">
        <v>997.22941134248629</v>
      </c>
      <c r="AH7" s="33">
        <v>994.3367026135993</v>
      </c>
      <c r="AI7" s="34">
        <v>994.3367026135993</v>
      </c>
      <c r="AJ7" s="33">
        <v>990.91338161947931</v>
      </c>
      <c r="AK7" s="34">
        <v>990.91338161947931</v>
      </c>
      <c r="AL7" s="33">
        <v>987.39430484853665</v>
      </c>
      <c r="AM7" s="34">
        <v>987.39430484853665</v>
      </c>
      <c r="AN7" s="33"/>
      <c r="AO7" s="34"/>
      <c r="AP7" s="33"/>
      <c r="AQ7" s="34"/>
      <c r="AR7" s="33"/>
      <c r="AS7" s="34"/>
      <c r="AT7" s="33"/>
      <c r="AU7" s="34"/>
      <c r="AV7" s="33"/>
      <c r="AW7" s="34"/>
    </row>
    <row r="8" spans="1:49" x14ac:dyDescent="0.2">
      <c r="B8" s="35">
        <v>1005.7716594496609</v>
      </c>
      <c r="C8" s="36">
        <v>1005.7716594496609</v>
      </c>
      <c r="D8" s="35">
        <v>1081.4687409030232</v>
      </c>
      <c r="E8" s="36">
        <v>1081.4687409030232</v>
      </c>
      <c r="F8" s="35">
        <v>1167.7582297658857</v>
      </c>
      <c r="G8" s="36">
        <v>1167.7582297658857</v>
      </c>
      <c r="H8" s="35">
        <v>1266.84899619718</v>
      </c>
      <c r="I8" s="36">
        <v>1266.84899619718</v>
      </c>
      <c r="J8" s="35">
        <v>1381.5736631250966</v>
      </c>
      <c r="K8" s="36">
        <v>1381.5736631250966</v>
      </c>
      <c r="L8" s="35">
        <v>1515.6149627127822</v>
      </c>
      <c r="M8" s="36">
        <v>1515.6149627127822</v>
      </c>
      <c r="N8" s="35">
        <v>1673.8471480753217</v>
      </c>
      <c r="O8" s="36">
        <v>1673.8471480753217</v>
      </c>
      <c r="P8" s="35">
        <v>1862.8249880278963</v>
      </c>
      <c r="Q8" s="36">
        <v>1862.8249880278963</v>
      </c>
      <c r="R8" s="35">
        <v>2091.5582135194413</v>
      </c>
      <c r="S8" s="36">
        <v>2091.5582135194413</v>
      </c>
      <c r="T8" s="35">
        <v>2372.7292151900692</v>
      </c>
      <c r="U8" s="36">
        <v>2372.7292151900692</v>
      </c>
      <c r="V8" s="35">
        <v>2724.6998038076508</v>
      </c>
      <c r="W8" s="36">
        <v>2724.6998038076508</v>
      </c>
      <c r="X8" s="35">
        <v>3174.9652471533714</v>
      </c>
      <c r="Y8" s="36">
        <v>3174.9652471533714</v>
      </c>
      <c r="Z8" s="35">
        <v>3766.392688013203</v>
      </c>
      <c r="AA8" s="36">
        <v>3766.392688013203</v>
      </c>
      <c r="AB8" s="35">
        <v>4569.3044383620718</v>
      </c>
      <c r="AC8" s="36">
        <v>4569.3044383620718</v>
      </c>
      <c r="AD8" s="35">
        <v>5706.6519814495359</v>
      </c>
      <c r="AE8" s="36">
        <v>5706.6519814495359</v>
      </c>
      <c r="AF8" s="35">
        <v>7412.2867951668586</v>
      </c>
      <c r="AG8" s="36">
        <v>7412.2867951668586</v>
      </c>
      <c r="AH8" s="35">
        <v>10185.167561467304</v>
      </c>
      <c r="AI8" s="36">
        <v>10185.167561467304</v>
      </c>
      <c r="AJ8" s="35">
        <v>15282.135536339623</v>
      </c>
      <c r="AK8" s="36">
        <v>15282.135536339623</v>
      </c>
      <c r="AL8" s="35">
        <v>26808.107763567521</v>
      </c>
      <c r="AM8" s="36">
        <v>26808.107763567521</v>
      </c>
      <c r="AN8" s="35"/>
      <c r="AO8" s="36"/>
      <c r="AP8" s="35"/>
      <c r="AQ8" s="36"/>
      <c r="AR8" s="35"/>
      <c r="AS8" s="36"/>
      <c r="AT8" s="35"/>
      <c r="AU8" s="36"/>
      <c r="AV8" s="35"/>
      <c r="AW8" s="36"/>
    </row>
    <row r="9" spans="1:49" x14ac:dyDescent="0.2">
      <c r="A9" t="s">
        <v>14</v>
      </c>
      <c r="B9" s="41">
        <v>1015.9116825427475</v>
      </c>
      <c r="C9" s="42">
        <v>1005.7716594496609</v>
      </c>
      <c r="D9" s="41">
        <v>1015.0138547814817</v>
      </c>
      <c r="E9" s="42">
        <v>1081.4687409030232</v>
      </c>
      <c r="F9" s="41">
        <v>1014.1099603306654</v>
      </c>
      <c r="G9" s="42">
        <v>1167.7582297658857</v>
      </c>
      <c r="H9" s="41">
        <v>1013.1977528215793</v>
      </c>
      <c r="I9" s="42">
        <v>1266.84899619718</v>
      </c>
      <c r="J9" s="41">
        <v>1012.2739316351734</v>
      </c>
      <c r="K9" s="42">
        <v>1381.5736631250966</v>
      </c>
      <c r="L9" s="41">
        <v>1011.3338340849068</v>
      </c>
      <c r="M9" s="42">
        <v>1515.6149627127822</v>
      </c>
      <c r="N9" s="41">
        <v>1010.3709367137703</v>
      </c>
      <c r="O9" s="42">
        <v>1673.8471480753217</v>
      </c>
      <c r="P9" s="41">
        <v>1009.3761760562115</v>
      </c>
      <c r="Q9" s="42">
        <v>1862.8249880278963</v>
      </c>
      <c r="R9" s="41">
        <v>1008.3370856204824</v>
      </c>
      <c r="S9" s="42">
        <v>2091.5582135194413</v>
      </c>
      <c r="T9" s="41">
        <v>1007.2365479746788</v>
      </c>
      <c r="U9" s="42">
        <v>2372.7292151900692</v>
      </c>
      <c r="V9" s="41">
        <v>1006.0510947622442</v>
      </c>
      <c r="W9" s="42">
        <v>2724.6998038076508</v>
      </c>
      <c r="X9" s="41">
        <v>1004.7485617448253</v>
      </c>
      <c r="Y9" s="42">
        <v>3174.9652471533714</v>
      </c>
      <c r="Z9" s="41">
        <v>1003.2849554794228</v>
      </c>
      <c r="AA9" s="42">
        <v>3766.392688013203</v>
      </c>
      <c r="AB9" s="41">
        <v>1001.6004953268244</v>
      </c>
      <c r="AC9" s="42">
        <v>4569.3044383620718</v>
      </c>
      <c r="AD9" s="41">
        <v>999.61549084438218</v>
      </c>
      <c r="AE9" s="42">
        <v>5706.6519814495359</v>
      </c>
      <c r="AF9" s="41">
        <v>997.22941134248629</v>
      </c>
      <c r="AG9" s="42">
        <v>7412.2867951668586</v>
      </c>
      <c r="AH9" s="41">
        <v>994.3367026135993</v>
      </c>
      <c r="AI9" s="42">
        <v>10185.167561467304</v>
      </c>
      <c r="AJ9" s="41">
        <v>990.91338161947931</v>
      </c>
      <c r="AK9" s="42">
        <v>15282.135536339623</v>
      </c>
      <c r="AL9" s="41">
        <v>987.39430484853665</v>
      </c>
      <c r="AM9" s="42">
        <v>26808.107763567521</v>
      </c>
      <c r="AN9" s="41"/>
      <c r="AO9" s="42"/>
      <c r="AP9" s="41"/>
      <c r="AQ9" s="42"/>
      <c r="AR9" s="41"/>
      <c r="AS9" s="42"/>
      <c r="AT9" s="41"/>
      <c r="AU9" s="42"/>
      <c r="AV9" s="41"/>
      <c r="AW9" s="42"/>
    </row>
    <row r="10" spans="1:49" x14ac:dyDescent="0.2">
      <c r="A10" t="s">
        <v>15</v>
      </c>
      <c r="B10" s="41">
        <v>1015.9116825427475</v>
      </c>
      <c r="C10" s="42">
        <v>1005.7716594496609</v>
      </c>
      <c r="D10" s="41">
        <v>1015.0138547814817</v>
      </c>
      <c r="E10" s="42">
        <v>1081.4687409030232</v>
      </c>
      <c r="F10" s="41">
        <v>1014.1099603306654</v>
      </c>
      <c r="G10" s="42">
        <v>1167.7582297658857</v>
      </c>
      <c r="H10" s="41">
        <v>1013.1977528215793</v>
      </c>
      <c r="I10" s="42">
        <v>1266.84899619718</v>
      </c>
      <c r="J10" s="41">
        <v>1012.2739316351734</v>
      </c>
      <c r="K10" s="42">
        <v>1381.5736631250966</v>
      </c>
      <c r="L10" s="41">
        <v>1011.3338340849068</v>
      </c>
      <c r="M10" s="42">
        <v>1515.6149627127822</v>
      </c>
      <c r="N10" s="41">
        <v>1010.3709367137703</v>
      </c>
      <c r="O10" s="42">
        <v>1673.8471480753217</v>
      </c>
      <c r="P10" s="41">
        <v>1009.3761760562115</v>
      </c>
      <c r="Q10" s="42">
        <v>1862.8249880278963</v>
      </c>
      <c r="R10" s="41">
        <v>1008.3370856204824</v>
      </c>
      <c r="S10" s="42">
        <v>2091.5582135194413</v>
      </c>
      <c r="T10" s="41">
        <v>1007.2365479746788</v>
      </c>
      <c r="U10" s="42">
        <v>2372.7292151900692</v>
      </c>
      <c r="V10" s="41">
        <v>1006.0510947622442</v>
      </c>
      <c r="W10" s="42">
        <v>2724.6998038076508</v>
      </c>
      <c r="X10" s="41">
        <v>1004.7485617448253</v>
      </c>
      <c r="Y10" s="42">
        <v>3174.9652471533714</v>
      </c>
      <c r="Z10" s="41">
        <v>1003.2849554794228</v>
      </c>
      <c r="AA10" s="42">
        <v>3766.392688013203</v>
      </c>
      <c r="AB10" s="41">
        <v>1001.6004953268244</v>
      </c>
      <c r="AC10" s="42">
        <v>4569.3044383620718</v>
      </c>
      <c r="AD10" s="41">
        <v>999.61549084438218</v>
      </c>
      <c r="AE10" s="42">
        <v>5706.6519814495359</v>
      </c>
      <c r="AF10" s="41">
        <v>997.22941134248629</v>
      </c>
      <c r="AG10" s="42">
        <v>7412.2867951668586</v>
      </c>
      <c r="AH10" s="41">
        <v>994.3367026135993</v>
      </c>
      <c r="AI10" s="42">
        <v>10185.167561467304</v>
      </c>
      <c r="AJ10" s="41">
        <v>990.91338161947931</v>
      </c>
      <c r="AK10" s="42">
        <v>15282.135536339623</v>
      </c>
      <c r="AL10" s="41">
        <v>987.39430484853665</v>
      </c>
      <c r="AM10" s="42">
        <v>26808.107763567521</v>
      </c>
      <c r="AN10" s="41"/>
      <c r="AO10" s="42"/>
      <c r="AP10" s="41"/>
      <c r="AQ10" s="42"/>
      <c r="AR10" s="41"/>
      <c r="AS10" s="42"/>
      <c r="AT10" s="41"/>
      <c r="AU10" s="42"/>
      <c r="AV10" s="41"/>
      <c r="AW10" s="42"/>
    </row>
    <row r="11" spans="1:49" x14ac:dyDescent="0.2">
      <c r="A11" t="s">
        <v>29</v>
      </c>
      <c r="B11" s="41">
        <v>1015.9116825427475</v>
      </c>
      <c r="C11" s="42">
        <v>1005.7716594496609</v>
      </c>
      <c r="D11" s="41">
        <v>1015.0138547814817</v>
      </c>
      <c r="E11" s="42">
        <v>1081.4687409030232</v>
      </c>
      <c r="F11" s="41">
        <v>1014.1099603306654</v>
      </c>
      <c r="G11" s="42">
        <v>1167.7582297658857</v>
      </c>
      <c r="H11" s="41">
        <v>1013.1977528215793</v>
      </c>
      <c r="I11" s="42">
        <v>1266.84899619718</v>
      </c>
      <c r="J11" s="41">
        <v>1012.2739316351734</v>
      </c>
      <c r="K11" s="42">
        <v>1381.5736631250966</v>
      </c>
      <c r="L11" s="41">
        <v>1011.3338340849068</v>
      </c>
      <c r="M11" s="42">
        <v>1515.6149627127822</v>
      </c>
      <c r="N11" s="41">
        <v>1010.3709367137703</v>
      </c>
      <c r="O11" s="42">
        <v>1673.8471480753217</v>
      </c>
      <c r="P11" s="41">
        <v>1009.3761760562115</v>
      </c>
      <c r="Q11" s="42">
        <v>1862.8249880278963</v>
      </c>
      <c r="R11" s="41">
        <v>1008.3370856204824</v>
      </c>
      <c r="S11" s="42">
        <v>2091.5582135194413</v>
      </c>
      <c r="T11" s="41">
        <v>1007.2365479746788</v>
      </c>
      <c r="U11" s="42">
        <v>2372.7292151900692</v>
      </c>
      <c r="V11" s="41">
        <v>1006.0510947622442</v>
      </c>
      <c r="W11" s="42">
        <v>2724.6998038076508</v>
      </c>
      <c r="X11" s="41">
        <v>1004.7485617448253</v>
      </c>
      <c r="Y11" s="42">
        <v>3174.9652471533714</v>
      </c>
      <c r="Z11" s="41">
        <v>1003.2849554794228</v>
      </c>
      <c r="AA11" s="42">
        <v>3766.392688013203</v>
      </c>
      <c r="AB11" s="41">
        <v>1001.6004953268244</v>
      </c>
      <c r="AC11" s="42">
        <v>4569.3044383620718</v>
      </c>
      <c r="AD11" s="41">
        <v>999.61549084438218</v>
      </c>
      <c r="AE11" s="42">
        <v>5706.6519814495359</v>
      </c>
      <c r="AF11" s="41">
        <v>997.22941134248629</v>
      </c>
      <c r="AG11" s="42">
        <v>7412.2867951668586</v>
      </c>
      <c r="AH11" s="41">
        <v>994.3367026135993</v>
      </c>
      <c r="AI11" s="42">
        <v>10185.167561467304</v>
      </c>
      <c r="AJ11" s="41">
        <v>990.91338161947931</v>
      </c>
      <c r="AK11" s="42">
        <v>15282.135536339623</v>
      </c>
      <c r="AL11" s="41">
        <v>987.39430484853665</v>
      </c>
      <c r="AM11" s="42">
        <v>26808.107763567521</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1007.7070768256571</v>
      </c>
      <c r="E13" s="98">
        <v>1007.7070768256571</v>
      </c>
      <c r="F13" s="97">
        <v>1015.5328502935254</v>
      </c>
      <c r="G13" s="98">
        <v>1015.5328502935254</v>
      </c>
      <c r="H13" s="97">
        <v>1023.4960316082501</v>
      </c>
      <c r="I13" s="98">
        <v>1023.4960316082501</v>
      </c>
      <c r="J13" s="97">
        <v>1031.617798675956</v>
      </c>
      <c r="K13" s="98">
        <v>1031.617798675956</v>
      </c>
      <c r="L13" s="97">
        <v>1039.9222354649798</v>
      </c>
      <c r="M13" s="98">
        <v>1039.9222354649798</v>
      </c>
      <c r="N13" s="97">
        <v>1048.4373678719555</v>
      </c>
      <c r="O13" s="98">
        <v>1048.4373678719555</v>
      </c>
      <c r="P13" s="97">
        <v>1057.1948189347258</v>
      </c>
      <c r="Q13" s="98">
        <v>1057.1948189347258</v>
      </c>
      <c r="R13" s="97">
        <v>1066.2311627551453</v>
      </c>
      <c r="S13" s="98">
        <v>1066.2311627551453</v>
      </c>
      <c r="T13" s="97">
        <v>1075.5886683862695</v>
      </c>
      <c r="U13" s="98">
        <v>1075.5886683862695</v>
      </c>
      <c r="V13" s="97">
        <v>1085.3163914557438</v>
      </c>
      <c r="W13" s="98">
        <v>1085.3163914557438</v>
      </c>
      <c r="X13" s="97">
        <v>1095.472106446123</v>
      </c>
      <c r="Y13" s="98">
        <v>1095.472106446123</v>
      </c>
      <c r="Z13" s="97">
        <v>1106.1237263187004</v>
      </c>
      <c r="AA13" s="98">
        <v>1106.1237263187004</v>
      </c>
      <c r="AB13" s="97">
        <v>1117.3554151649114</v>
      </c>
      <c r="AC13" s="98">
        <v>1117.3554151649114</v>
      </c>
      <c r="AD13" s="97">
        <v>1129.2731790872795</v>
      </c>
      <c r="AE13" s="98">
        <v>1129.2731790872795</v>
      </c>
      <c r="AF13" s="97">
        <v>1142.0180841859858</v>
      </c>
      <c r="AG13" s="98">
        <v>1142.0180841859858</v>
      </c>
      <c r="AH13" s="97">
        <v>1155.7744289991297</v>
      </c>
      <c r="AI13" s="98">
        <v>1155.7744289991297</v>
      </c>
      <c r="AJ13" s="97">
        <v>1170.6398805154968</v>
      </c>
      <c r="AK13" s="98">
        <v>1170.6398805154968</v>
      </c>
      <c r="AL13" s="97">
        <v>1184.8900340240677</v>
      </c>
      <c r="AM13" s="98">
        <v>1184.8900340240677</v>
      </c>
      <c r="AN13" s="97"/>
      <c r="AO13" s="98"/>
      <c r="AP13" s="97"/>
      <c r="AQ13" s="98"/>
      <c r="AR13" s="97"/>
      <c r="AS13" s="98"/>
      <c r="AT13" s="97"/>
      <c r="AU13" s="98"/>
      <c r="AV13" s="97"/>
      <c r="AW13" s="98"/>
    </row>
    <row r="14" spans="1:49" x14ac:dyDescent="0.2">
      <c r="A14" t="s">
        <v>36</v>
      </c>
      <c r="B14" s="41">
        <v>1457.0034251455234</v>
      </c>
      <c r="C14" s="42">
        <v>1457.0034251455236</v>
      </c>
      <c r="D14" s="41">
        <v>1468.2326624783652</v>
      </c>
      <c r="E14" s="42">
        <v>1468.2326624783655</v>
      </c>
      <c r="F14" s="41">
        <v>1479.6348412254624</v>
      </c>
      <c r="G14" s="42">
        <v>1479.6348412254627</v>
      </c>
      <c r="H14" s="41">
        <v>1491.2372236760712</v>
      </c>
      <c r="I14" s="42">
        <v>1491.2372236760714</v>
      </c>
      <c r="J14" s="41">
        <v>1503.0706661119527</v>
      </c>
      <c r="K14" s="42">
        <v>1503.070666111953</v>
      </c>
      <c r="L14" s="41">
        <v>1515.170258957465</v>
      </c>
      <c r="M14" s="42">
        <v>1515.1702589574652</v>
      </c>
      <c r="N14" s="41">
        <v>1527.5768360399961</v>
      </c>
      <c r="O14" s="42">
        <v>1527.5768360399964</v>
      </c>
      <c r="P14" s="41">
        <v>1540.3364722339968</v>
      </c>
      <c r="Q14" s="42">
        <v>1540.336472233997</v>
      </c>
      <c r="R14" s="41">
        <v>1553.5024561311407</v>
      </c>
      <c r="S14" s="42">
        <v>1553.5024561311409</v>
      </c>
      <c r="T14" s="41">
        <v>1567.136373886507</v>
      </c>
      <c r="U14" s="42">
        <v>1567.1363738865073</v>
      </c>
      <c r="V14" s="41">
        <v>1581.3096997175983</v>
      </c>
      <c r="W14" s="42">
        <v>1581.3096997175985</v>
      </c>
      <c r="X14" s="41">
        <v>1596.1066112433825</v>
      </c>
      <c r="Y14" s="42">
        <v>1596.1066112433828</v>
      </c>
      <c r="Z14" s="41">
        <v>1611.6260578810759</v>
      </c>
      <c r="AA14" s="42">
        <v>1611.6260578810761</v>
      </c>
      <c r="AB14" s="41">
        <v>1627.990667000174</v>
      </c>
      <c r="AC14" s="42">
        <v>1627.9906670001742</v>
      </c>
      <c r="AD14" s="41">
        <v>1645.3548898551401</v>
      </c>
      <c r="AE14" s="42">
        <v>1645.3548898551403</v>
      </c>
      <c r="AF14" s="41">
        <v>1663.9242602371098</v>
      </c>
      <c r="AG14" s="42">
        <v>1663.92426023711</v>
      </c>
      <c r="AH14" s="41">
        <v>1683.9673017473433</v>
      </c>
      <c r="AI14" s="42">
        <v>1683.9673017473435</v>
      </c>
      <c r="AJ14" s="41">
        <v>1705.6263155230249</v>
      </c>
      <c r="AK14" s="42">
        <v>1705.6263155230251</v>
      </c>
      <c r="AL14" s="41">
        <v>1726.3888379938624</v>
      </c>
      <c r="AM14" s="42">
        <v>1726.3888379938626</v>
      </c>
      <c r="AN14" s="41"/>
      <c r="AO14" s="42"/>
      <c r="AP14" s="41"/>
      <c r="AQ14" s="42"/>
      <c r="AR14" s="41"/>
      <c r="AS14" s="42"/>
      <c r="AT14" s="41"/>
      <c r="AU14" s="42"/>
      <c r="AV14" s="41"/>
      <c r="AW14" s="42"/>
    </row>
    <row r="15" spans="1:49" x14ac:dyDescent="0.2">
      <c r="A15" t="s">
        <v>18</v>
      </c>
      <c r="B15" s="154">
        <v>1000</v>
      </c>
      <c r="C15" s="155">
        <v>1000</v>
      </c>
      <c r="D15" s="154">
        <v>982.53196876190555</v>
      </c>
      <c r="E15" s="155">
        <v>982.53196876190555</v>
      </c>
      <c r="F15" s="154">
        <v>964.29799457908996</v>
      </c>
      <c r="G15" s="155">
        <v>964.29799457908996</v>
      </c>
      <c r="H15" s="154">
        <v>945.17062736728553</v>
      </c>
      <c r="I15" s="155">
        <v>945.17062736728553</v>
      </c>
      <c r="J15" s="154">
        <v>924.99482129681007</v>
      </c>
      <c r="K15" s="155">
        <v>924.99482129681007</v>
      </c>
      <c r="L15" s="154">
        <v>903.58018011538786</v>
      </c>
      <c r="M15" s="155">
        <v>903.58018011538786</v>
      </c>
      <c r="N15" s="154">
        <v>880.68892754638125</v>
      </c>
      <c r="O15" s="155">
        <v>880.68892754638125</v>
      </c>
      <c r="P15" s="154">
        <v>856.02232163974907</v>
      </c>
      <c r="Q15" s="155">
        <v>856.02232163974907</v>
      </c>
      <c r="R15" s="154">
        <v>829.19779288261975</v>
      </c>
      <c r="S15" s="155">
        <v>829.19779288261975</v>
      </c>
      <c r="T15" s="154">
        <v>799.71708879680853</v>
      </c>
      <c r="U15" s="155">
        <v>799.71708879680853</v>
      </c>
      <c r="V15" s="154">
        <v>766.91768096170404</v>
      </c>
      <c r="W15" s="155">
        <v>766.91768096170404</v>
      </c>
      <c r="X15" s="154">
        <v>729.89552248867392</v>
      </c>
      <c r="Y15" s="155">
        <v>729.89552248867392</v>
      </c>
      <c r="Z15" s="154">
        <v>687.38030476905476</v>
      </c>
      <c r="AA15" s="155">
        <v>687.38030476905476</v>
      </c>
      <c r="AB15" s="154">
        <v>637.51262398967981</v>
      </c>
      <c r="AC15" s="155">
        <v>637.51262398967981</v>
      </c>
      <c r="AD15" s="154">
        <v>577.43918869048184</v>
      </c>
      <c r="AE15" s="155">
        <v>577.43918869048184</v>
      </c>
      <c r="AF15" s="154">
        <v>502.49179354121367</v>
      </c>
      <c r="AG15" s="155">
        <v>502.49179354121367</v>
      </c>
      <c r="AH15" s="154">
        <v>404.36695330762751</v>
      </c>
      <c r="AI15" s="155">
        <v>404.36695330762751</v>
      </c>
      <c r="AJ15" s="154">
        <v>266.56463794975531</v>
      </c>
      <c r="AK15" s="155">
        <v>266.56463794975531</v>
      </c>
      <c r="AL15" s="154">
        <v>51.360208504750553</v>
      </c>
      <c r="AM15" s="155">
        <v>51.360208504750553</v>
      </c>
      <c r="AN15" s="154"/>
      <c r="AO15" s="155"/>
      <c r="AP15" s="154"/>
      <c r="AQ15" s="155"/>
      <c r="AR15" s="154"/>
      <c r="AS15" s="155"/>
      <c r="AT15" s="154"/>
      <c r="AU15" s="155"/>
      <c r="AV15" s="154"/>
      <c r="AW15" s="155"/>
    </row>
    <row r="16" spans="1:49" s="29" customFormat="1" x14ac:dyDescent="0.2">
      <c r="A16" t="s">
        <v>61</v>
      </c>
      <c r="B16" s="41">
        <v>1000</v>
      </c>
      <c r="C16" s="42">
        <v>1000</v>
      </c>
      <c r="D16" s="41">
        <v>995.94576098928508</v>
      </c>
      <c r="E16" s="42">
        <v>989.71320294132579</v>
      </c>
      <c r="F16" s="41">
        <v>991.57958979786895</v>
      </c>
      <c r="G16" s="42">
        <v>978.90380633048994</v>
      </c>
      <c r="H16" s="41">
        <v>986.85085524348085</v>
      </c>
      <c r="I16" s="42">
        <v>967.48547035416834</v>
      </c>
      <c r="J16" s="41">
        <v>981.69711053927847</v>
      </c>
      <c r="K16" s="42">
        <v>955.3526565730964</v>
      </c>
      <c r="L16" s="41">
        <v>976.04062228316684</v>
      </c>
      <c r="M16" s="42">
        <v>942.37536133082972</v>
      </c>
      <c r="N16" s="41">
        <v>969.78321912528452</v>
      </c>
      <c r="O16" s="42">
        <v>928.39043210751879</v>
      </c>
      <c r="P16" s="41">
        <v>962.79962743850172</v>
      </c>
      <c r="Q16" s="42">
        <v>913.19198677482166</v>
      </c>
      <c r="R16" s="41">
        <v>954.9273234836362</v>
      </c>
      <c r="S16" s="42">
        <v>896.51522015294154</v>
      </c>
      <c r="T16" s="41">
        <v>945.9517804100567</v>
      </c>
      <c r="U16" s="42">
        <v>878.01373554965471</v>
      </c>
      <c r="V16" s="41">
        <v>935.58394916120972</v>
      </c>
      <c r="W16" s="42">
        <v>857.22487412088435</v>
      </c>
      <c r="X16" s="41">
        <v>923.4245867482897</v>
      </c>
      <c r="Y16" s="42">
        <v>833.51471950402595</v>
      </c>
      <c r="Z16" s="41">
        <v>908.90577125289462</v>
      </c>
      <c r="AA16" s="42">
        <v>805.98902019880802</v>
      </c>
      <c r="AB16" s="41">
        <v>891.18839123236796</v>
      </c>
      <c r="AC16" s="42">
        <v>773.33430325405675</v>
      </c>
      <c r="AD16" s="41">
        <v>868.97312693709659</v>
      </c>
      <c r="AE16" s="42">
        <v>733.52901552980734</v>
      </c>
      <c r="AF16" s="41">
        <v>840.11833252424526</v>
      </c>
      <c r="AG16" s="42">
        <v>683.25730800306087</v>
      </c>
      <c r="AH16" s="41">
        <v>800.78222773974767</v>
      </c>
      <c r="AI16" s="42">
        <v>616.60335070176461</v>
      </c>
      <c r="AJ16" s="41">
        <v>743.19557068704285</v>
      </c>
      <c r="AK16" s="42">
        <v>521.74057062405222</v>
      </c>
      <c r="AL16" s="41">
        <v>648.58408713409017</v>
      </c>
      <c r="AM16" s="42">
        <v>371.08650483203036</v>
      </c>
      <c r="AN16" s="41"/>
      <c r="AO16" s="42"/>
      <c r="AP16" s="41"/>
      <c r="AQ16" s="42"/>
      <c r="AR16" s="41"/>
      <c r="AS16" s="42"/>
      <c r="AT16" s="41"/>
      <c r="AU16" s="42"/>
      <c r="AV16" s="41"/>
      <c r="AW16" s="42"/>
    </row>
    <row r="17" spans="1:49" x14ac:dyDescent="0.2">
      <c r="A17" t="s">
        <v>62</v>
      </c>
      <c r="B17" s="35">
        <v>1000.0000000000002</v>
      </c>
      <c r="C17" s="36">
        <v>999.99999999999977</v>
      </c>
      <c r="D17" s="35">
        <v>999.19659837872223</v>
      </c>
      <c r="E17" s="36">
        <v>1035.0169066205406</v>
      </c>
      <c r="F17" s="35">
        <v>998.3882386984302</v>
      </c>
      <c r="G17" s="36">
        <v>1074.8690683027678</v>
      </c>
      <c r="H17" s="35">
        <v>997.57292821500164</v>
      </c>
      <c r="I17" s="36">
        <v>1120.5299770827353</v>
      </c>
      <c r="J17" s="35">
        <v>996.74773671123728</v>
      </c>
      <c r="K17" s="36">
        <v>1173.2425091420337</v>
      </c>
      <c r="L17" s="35">
        <v>995.90850608048083</v>
      </c>
      <c r="M17" s="36">
        <v>1234.6155710600935</v>
      </c>
      <c r="N17" s="35">
        <v>995.04947151835529</v>
      </c>
      <c r="O17" s="36">
        <v>1306.7696493266371</v>
      </c>
      <c r="P17" s="35">
        <v>994.16258486605636</v>
      </c>
      <c r="Q17" s="36">
        <v>1392.5444183093928</v>
      </c>
      <c r="R17" s="35">
        <v>993.23680065224801</v>
      </c>
      <c r="S17" s="36">
        <v>1495.8274980234435</v>
      </c>
      <c r="T17" s="35">
        <v>992.25696821432609</v>
      </c>
      <c r="U17" s="36">
        <v>1622.0701453397232</v>
      </c>
      <c r="V17" s="35">
        <v>991.20233963335056</v>
      </c>
      <c r="W17" s="36">
        <v>1779.1358265171757</v>
      </c>
      <c r="X17" s="35">
        <v>990.04452870895523</v>
      </c>
      <c r="Y17" s="36">
        <v>1978.7586996607204</v>
      </c>
      <c r="Z17" s="35">
        <v>988.74473809346364</v>
      </c>
      <c r="AA17" s="36">
        <v>2239.1744836126127</v>
      </c>
      <c r="AB17" s="35">
        <v>987.2504202036273</v>
      </c>
      <c r="AC17" s="36">
        <v>2590.2101368120952</v>
      </c>
      <c r="AD17" s="35">
        <v>985.49169060189331</v>
      </c>
      <c r="AE17" s="36">
        <v>3083.8772365501964</v>
      </c>
      <c r="AF17" s="35">
        <v>983.3807774288365</v>
      </c>
      <c r="AG17" s="36">
        <v>3818.8712078111234</v>
      </c>
      <c r="AH17" s="35">
        <v>980.82634142850179</v>
      </c>
      <c r="AI17" s="36">
        <v>5005.3596729333422</v>
      </c>
      <c r="AJ17" s="35">
        <v>977.81003187087799</v>
      </c>
      <c r="AK17" s="36">
        <v>7171.9223152324385</v>
      </c>
      <c r="AL17" s="35">
        <v>974.71698310080251</v>
      </c>
      <c r="AM17" s="36">
        <v>12043.23441828182</v>
      </c>
      <c r="AN17" s="35"/>
      <c r="AO17" s="36"/>
      <c r="AP17" s="35"/>
      <c r="AQ17" s="36"/>
      <c r="AR17" s="35"/>
      <c r="AS17" s="36"/>
      <c r="AT17" s="35"/>
      <c r="AU17" s="36"/>
      <c r="AV17" s="35"/>
      <c r="AW17" s="36"/>
    </row>
    <row r="18" spans="1:49" x14ac:dyDescent="0.2">
      <c r="A18" t="s">
        <v>19</v>
      </c>
      <c r="B18" s="33">
        <v>27857.010133999996</v>
      </c>
      <c r="C18" s="34">
        <v>1236.7674480000003</v>
      </c>
      <c r="D18" s="33">
        <v>27855.15247295142</v>
      </c>
      <c r="E18" s="34">
        <v>1159.9684866019691</v>
      </c>
      <c r="F18" s="33">
        <v>27848.584972068242</v>
      </c>
      <c r="G18" s="34">
        <v>1083.5670745378131</v>
      </c>
      <c r="H18" s="33">
        <v>27836.556734063717</v>
      </c>
      <c r="I18" s="34">
        <v>1007.612197443979</v>
      </c>
      <c r="J18" s="33">
        <v>27818.149954500481</v>
      </c>
      <c r="K18" s="34">
        <v>932.15597243182992</v>
      </c>
      <c r="L18" s="33">
        <v>27792.227792261594</v>
      </c>
      <c r="M18" s="34">
        <v>857.25748547313367</v>
      </c>
      <c r="N18" s="33">
        <v>27757.362086975751</v>
      </c>
      <c r="O18" s="34">
        <v>782.97934887811232</v>
      </c>
      <c r="P18" s="33">
        <v>27711.732886258214</v>
      </c>
      <c r="Q18" s="34">
        <v>709.39401486208783</v>
      </c>
      <c r="R18" s="33">
        <v>27652.976057953481</v>
      </c>
      <c r="S18" s="34">
        <v>636.58567054583909</v>
      </c>
      <c r="T18" s="33">
        <v>27577.956287277517</v>
      </c>
      <c r="U18" s="34">
        <v>564.65661537978099</v>
      </c>
      <c r="V18" s="33">
        <v>27482.412486169389</v>
      </c>
      <c r="W18" s="34">
        <v>493.73699278648542</v>
      </c>
      <c r="X18" s="33">
        <v>27360.380694606636</v>
      </c>
      <c r="Y18" s="34">
        <v>424.00173902208928</v>
      </c>
      <c r="Z18" s="33">
        <v>27203.218467178496</v>
      </c>
      <c r="AA18" s="34">
        <v>355.69991504125778</v>
      </c>
      <c r="AB18" s="33">
        <v>26997.839566987626</v>
      </c>
      <c r="AC18" s="34">
        <v>289.2011768343919</v>
      </c>
      <c r="AD18" s="33">
        <v>26723.329714651456</v>
      </c>
      <c r="AE18" s="34">
        <v>225.08270640892923</v>
      </c>
      <c r="AF18" s="33">
        <v>26343.815186974014</v>
      </c>
      <c r="AG18" s="34">
        <v>164.27741831667529</v>
      </c>
      <c r="AH18" s="33">
        <v>25791.646857321732</v>
      </c>
      <c r="AI18" s="34">
        <v>108.33711399809293</v>
      </c>
      <c r="AJ18" s="33">
        <v>24921.005954735734</v>
      </c>
      <c r="AK18" s="34">
        <v>59.883248464316381</v>
      </c>
      <c r="AL18" s="33">
        <v>23347.081541110114</v>
      </c>
      <c r="AM18" s="34">
        <v>23.189757904989566</v>
      </c>
      <c r="AN18" s="33"/>
      <c r="AO18" s="34"/>
      <c r="AP18" s="33"/>
      <c r="AQ18" s="34"/>
      <c r="AR18" s="33"/>
      <c r="AS18" s="34"/>
      <c r="AT18" s="33"/>
      <c r="AU18" s="34"/>
      <c r="AV18" s="33"/>
      <c r="AW18" s="34"/>
    </row>
    <row r="19" spans="1:49" x14ac:dyDescent="0.2">
      <c r="A19" t="s">
        <v>3</v>
      </c>
      <c r="B19" s="41">
        <v>1886.3937400000138</v>
      </c>
      <c r="C19" s="42">
        <v>262.7871129999973</v>
      </c>
      <c r="D19" s="41">
        <v>1884.0436342800406</v>
      </c>
      <c r="E19" s="42">
        <v>259.853657447633</v>
      </c>
      <c r="F19" s="41">
        <v>1881.3602281033188</v>
      </c>
      <c r="G19" s="42">
        <v>257.23264466590621</v>
      </c>
      <c r="H19" s="41">
        <v>1878.2884285250102</v>
      </c>
      <c r="I19" s="42">
        <v>254.96465103790018</v>
      </c>
      <c r="J19" s="41">
        <v>1874.7595550914698</v>
      </c>
      <c r="K19" s="42">
        <v>253.09860146647026</v>
      </c>
      <c r="L19" s="41">
        <v>1870.6871663337558</v>
      </c>
      <c r="M19" s="42">
        <v>251.69372387986417</v>
      </c>
      <c r="N19" s="41">
        <v>1865.9611122747488</v>
      </c>
      <c r="O19" s="42">
        <v>250.82366901070813</v>
      </c>
      <c r="P19" s="41">
        <v>1860.4393240418472</v>
      </c>
      <c r="Q19" s="42">
        <v>250.57805916296576</v>
      </c>
      <c r="R19" s="41">
        <v>1853.9358014758332</v>
      </c>
      <c r="S19" s="42">
        <v>251.06823851765901</v>
      </c>
      <c r="T19" s="41">
        <v>1846.2028700333515</v>
      </c>
      <c r="U19" s="42">
        <v>252.43244977049332</v>
      </c>
      <c r="V19" s="41">
        <v>1836.9041648289194</v>
      </c>
      <c r="W19" s="42">
        <v>254.84216292843669</v>
      </c>
      <c r="X19" s="41">
        <v>1825.5718338564075</v>
      </c>
      <c r="Y19" s="42">
        <v>258.50849147871088</v>
      </c>
      <c r="Z19" s="41">
        <v>1811.5364575938836</v>
      </c>
      <c r="AA19" s="42">
        <v>263.68287682723519</v>
      </c>
      <c r="AB19" s="41">
        <v>1793.8047470070528</v>
      </c>
      <c r="AC19" s="42">
        <v>270.64872359679981</v>
      </c>
      <c r="AD19" s="41">
        <v>1770.8340172888493</v>
      </c>
      <c r="AE19" s="42">
        <v>279.66282355391746</v>
      </c>
      <c r="AF19" s="41">
        <v>1740.0760038273518</v>
      </c>
      <c r="AG19" s="42">
        <v>290.76871178215094</v>
      </c>
      <c r="AH19" s="41">
        <v>1696.942575984893</v>
      </c>
      <c r="AI19" s="42">
        <v>303.19416201421245</v>
      </c>
      <c r="AJ19" s="41">
        <v>1632.0374434337994</v>
      </c>
      <c r="AK19" s="42">
        <v>313.36560896265706</v>
      </c>
      <c r="AL19" s="41">
        <v>1521.6181080077204</v>
      </c>
      <c r="AM19" s="42">
        <v>307.98610351936702</v>
      </c>
      <c r="AN19" s="41"/>
      <c r="AO19" s="42"/>
      <c r="AP19" s="41"/>
      <c r="AQ19" s="42"/>
      <c r="AR19" s="41"/>
      <c r="AS19" s="42"/>
      <c r="AT19" s="41"/>
      <c r="AU19" s="42"/>
      <c r="AV19" s="41"/>
      <c r="AW19" s="42"/>
    </row>
    <row r="20" spans="1:49" x14ac:dyDescent="0.2">
      <c r="A20" t="s">
        <v>127</v>
      </c>
      <c r="B20" s="82">
        <v>26548.356269999993</v>
      </c>
      <c r="C20" s="83">
        <v>1408.5418709999938</v>
      </c>
      <c r="D20" s="82">
        <v>26538.970482397413</v>
      </c>
      <c r="E20" s="83">
        <v>1338.1147774499941</v>
      </c>
      <c r="F20" s="82">
        <v>26525.028837447269</v>
      </c>
      <c r="G20" s="83">
        <v>1267.6876838999945</v>
      </c>
      <c r="H20" s="82">
        <v>26505.800665443345</v>
      </c>
      <c r="I20" s="83">
        <v>1197.2605903499946</v>
      </c>
      <c r="J20" s="82">
        <v>26480.388163855972</v>
      </c>
      <c r="K20" s="83">
        <v>1126.8334967999951</v>
      </c>
      <c r="L20" s="82">
        <v>26447.674382567995</v>
      </c>
      <c r="M20" s="83">
        <v>1056.4064032499953</v>
      </c>
      <c r="N20" s="82">
        <v>26406.250538599968</v>
      </c>
      <c r="O20" s="83">
        <v>985.97930969999561</v>
      </c>
      <c r="P20" s="82">
        <v>26354.315133076652</v>
      </c>
      <c r="Q20" s="83">
        <v>915.55221614999596</v>
      </c>
      <c r="R20" s="82">
        <v>26289.522502120111</v>
      </c>
      <c r="S20" s="83">
        <v>845.12512259999642</v>
      </c>
      <c r="T20" s="82">
        <v>26208.757695510885</v>
      </c>
      <c r="U20" s="83">
        <v>774.69802904999653</v>
      </c>
      <c r="V20" s="82">
        <v>26107.787256173255</v>
      </c>
      <c r="W20" s="83">
        <v>704.27093549999688</v>
      </c>
      <c r="X20" s="82">
        <v>25980.694970461202</v>
      </c>
      <c r="Y20" s="83">
        <v>633.84384194999734</v>
      </c>
      <c r="Z20" s="82">
        <v>25818.935967285099</v>
      </c>
      <c r="AA20" s="83">
        <v>563.41674839999757</v>
      </c>
      <c r="AB20" s="82">
        <v>25609.641422380068</v>
      </c>
      <c r="AC20" s="83">
        <v>492.98965484999775</v>
      </c>
      <c r="AD20" s="82">
        <v>25332.400951646676</v>
      </c>
      <c r="AE20" s="83">
        <v>422.56256129999798</v>
      </c>
      <c r="AF20" s="82">
        <v>24952.553371083264</v>
      </c>
      <c r="AG20" s="83">
        <v>352.13546774999827</v>
      </c>
      <c r="AH20" s="82">
        <v>24405.524519453902</v>
      </c>
      <c r="AI20" s="83">
        <v>281.70837419999856</v>
      </c>
      <c r="AJ20" s="82">
        <v>23553.956727597022</v>
      </c>
      <c r="AK20" s="83">
        <v>211.28128064999879</v>
      </c>
      <c r="AL20" s="82">
        <v>22039.409202919174</v>
      </c>
      <c r="AM20" s="83">
        <v>140.85418709999905</v>
      </c>
      <c r="AN20" s="82"/>
      <c r="AO20" s="83"/>
      <c r="AP20" s="82"/>
      <c r="AQ20" s="83"/>
      <c r="AR20" s="82"/>
      <c r="AS20" s="83"/>
      <c r="AT20" s="82"/>
      <c r="AU20" s="83"/>
      <c r="AV20" s="82"/>
      <c r="AW20" s="83"/>
    </row>
    <row r="21" spans="1:49" x14ac:dyDescent="0.2">
      <c r="A21" t="s">
        <v>76</v>
      </c>
      <c r="B21" s="82">
        <v>24661.962530000252</v>
      </c>
      <c r="C21" s="83">
        <v>1145.7547579999959</v>
      </c>
      <c r="D21" s="82">
        <v>24654.927649274901</v>
      </c>
      <c r="E21" s="83">
        <v>1078.3867950039119</v>
      </c>
      <c r="F21" s="82">
        <v>24643.671835935322</v>
      </c>
      <c r="G21" s="83">
        <v>1010.9899700612868</v>
      </c>
      <c r="H21" s="82">
        <v>24627.519557039217</v>
      </c>
      <c r="I21" s="83">
        <v>943.58017567119157</v>
      </c>
      <c r="J21" s="82">
        <v>24605.641756219764</v>
      </c>
      <c r="K21" s="83">
        <v>876.17819446314945</v>
      </c>
      <c r="L21" s="82">
        <v>24577.008024605526</v>
      </c>
      <c r="M21" s="83">
        <v>808.8115681982822</v>
      </c>
      <c r="N21" s="82">
        <v>24540.319881018077</v>
      </c>
      <c r="O21" s="83">
        <v>741.51587541398055</v>
      </c>
      <c r="P21" s="82">
        <v>24493.918125962551</v>
      </c>
      <c r="Q21" s="83">
        <v>674.34003154042819</v>
      </c>
      <c r="R21" s="82">
        <v>24435.643443583704</v>
      </c>
      <c r="S21" s="83">
        <v>607.35039645113568</v>
      </c>
      <c r="T21" s="82">
        <v>24362.629081816463</v>
      </c>
      <c r="U21" s="83">
        <v>540.63891580815744</v>
      </c>
      <c r="V21" s="82">
        <v>24270.978735907811</v>
      </c>
      <c r="W21" s="83">
        <v>474.33513758386573</v>
      </c>
      <c r="X21" s="82">
        <v>24155.245229826302</v>
      </c>
      <c r="Y21" s="83">
        <v>408.62480563201609</v>
      </c>
      <c r="Z21" s="82">
        <v>24007.554899487575</v>
      </c>
      <c r="AA21" s="83">
        <v>343.78093693930884</v>
      </c>
      <c r="AB21" s="82">
        <v>23816.034899460501</v>
      </c>
      <c r="AC21" s="83">
        <v>280.21118917902135</v>
      </c>
      <c r="AD21" s="82">
        <v>23561.821523096241</v>
      </c>
      <c r="AE21" s="83">
        <v>218.54295296321922</v>
      </c>
      <c r="AF21" s="82">
        <v>23212.807489067651</v>
      </c>
      <c r="AG21" s="83">
        <v>159.76624411935543</v>
      </c>
      <c r="AH21" s="82">
        <v>22709.013413515702</v>
      </c>
      <c r="AI21" s="83">
        <v>105.48584314084752</v>
      </c>
      <c r="AJ21" s="82">
        <v>21922.479646849461</v>
      </c>
      <c r="AK21" s="83">
        <v>58.349459687746297</v>
      </c>
      <c r="AL21" s="82">
        <v>20518.475097650942</v>
      </c>
      <c r="AM21" s="83">
        <v>22.603752449622021</v>
      </c>
      <c r="AN21" s="82"/>
      <c r="AO21" s="83"/>
      <c r="AP21" s="82"/>
      <c r="AQ21" s="83"/>
      <c r="AR21" s="82"/>
      <c r="AS21" s="83"/>
      <c r="AT21" s="82"/>
      <c r="AU21" s="83"/>
      <c r="AV21" s="82"/>
      <c r="AW21" s="83"/>
    </row>
    <row r="22" spans="1:49" x14ac:dyDescent="0.2">
      <c r="A22" t="s">
        <v>28</v>
      </c>
      <c r="B22" s="41">
        <v>6533.6044688320853</v>
      </c>
      <c r="C22" s="42">
        <v>379.90788307663502</v>
      </c>
      <c r="D22" s="41">
        <v>6534.6883946513144</v>
      </c>
      <c r="E22" s="42">
        <v>363.32244356440026</v>
      </c>
      <c r="F22" s="41">
        <v>6534.1172503229109</v>
      </c>
      <c r="G22" s="42">
        <v>346.48263620969777</v>
      </c>
      <c r="H22" s="41">
        <v>6531.6372523180389</v>
      </c>
      <c r="I22" s="42">
        <v>329.38311650704117</v>
      </c>
      <c r="J22" s="41">
        <v>6526.9377241795128</v>
      </c>
      <c r="K22" s="42">
        <v>312.019026132362</v>
      </c>
      <c r="L22" s="41">
        <v>6519.6336966747876</v>
      </c>
      <c r="M22" s="42">
        <v>294.3863083540499</v>
      </c>
      <c r="N22" s="41">
        <v>6509.244074140166</v>
      </c>
      <c r="O22" s="42">
        <v>276.48094147788368</v>
      </c>
      <c r="P22" s="41">
        <v>6495.1556243655677</v>
      </c>
      <c r="Q22" s="42">
        <v>258.30031268061373</v>
      </c>
      <c r="R22" s="41">
        <v>6476.5760596611653</v>
      </c>
      <c r="S22" s="42">
        <v>239.84256599771541</v>
      </c>
      <c r="T22" s="41">
        <v>6452.4613877087331</v>
      </c>
      <c r="U22" s="42">
        <v>221.10684616339313</v>
      </c>
      <c r="V22" s="41">
        <v>6421.405352030456</v>
      </c>
      <c r="W22" s="42">
        <v>202.09328791012749</v>
      </c>
      <c r="X22" s="41">
        <v>6381.4629870778208</v>
      </c>
      <c r="Y22" s="42">
        <v>182.80263553438274</v>
      </c>
      <c r="Z22" s="41">
        <v>6329.8572111314725</v>
      </c>
      <c r="AA22" s="42">
        <v>163.2360530030123</v>
      </c>
      <c r="AB22" s="41">
        <v>6262.4679801375287</v>
      </c>
      <c r="AC22" s="42">
        <v>143.39321031252234</v>
      </c>
      <c r="AD22" s="41">
        <v>6172.8732596488308</v>
      </c>
      <c r="AE22" s="42">
        <v>123.27096436418182</v>
      </c>
      <c r="AF22" s="41">
        <v>6050.4066659830423</v>
      </c>
      <c r="AG22" s="42">
        <v>102.86003709116436</v>
      </c>
      <c r="AH22" s="41">
        <v>5875.7586454527927</v>
      </c>
      <c r="AI22" s="42">
        <v>82.142277500089932</v>
      </c>
      <c r="AJ22" s="41">
        <v>5609.3959800321054</v>
      </c>
      <c r="AK22" s="42">
        <v>61.096111019286063</v>
      </c>
      <c r="AL22" s="41">
        <v>5153.4977774828703</v>
      </c>
      <c r="AM22" s="42">
        <v>39.752731530268946</v>
      </c>
      <c r="AN22" s="41"/>
      <c r="AO22" s="42"/>
      <c r="AP22" s="41"/>
      <c r="AQ22" s="42"/>
      <c r="AR22" s="41"/>
      <c r="AS22" s="42"/>
      <c r="AT22" s="41"/>
      <c r="AU22" s="42"/>
      <c r="AV22" s="41"/>
      <c r="AW22" s="42"/>
    </row>
    <row r="23" spans="1:49" x14ac:dyDescent="0.2">
      <c r="A23" t="s">
        <v>7</v>
      </c>
      <c r="B23" s="116">
        <v>3278.5018080150408</v>
      </c>
      <c r="C23" s="8">
        <v>0</v>
      </c>
      <c r="D23" s="116">
        <v>3284.23231220755</v>
      </c>
      <c r="E23" s="8">
        <v>0</v>
      </c>
      <c r="F23" s="116">
        <v>3289.5926192421362</v>
      </c>
      <c r="G23" s="8">
        <v>0</v>
      </c>
      <c r="H23" s="116">
        <v>3294.519955694926</v>
      </c>
      <c r="I23" s="8">
        <v>0</v>
      </c>
      <c r="J23" s="116">
        <v>3298.9361854636359</v>
      </c>
      <c r="K23" s="8">
        <v>0</v>
      </c>
      <c r="L23" s="116">
        <v>3302.7425080277953</v>
      </c>
      <c r="M23" s="8">
        <v>0</v>
      </c>
      <c r="N23" s="116">
        <v>3305.8127728812178</v>
      </c>
      <c r="O23" s="8">
        <v>0</v>
      </c>
      <c r="P23" s="116">
        <v>3307.9828562294369</v>
      </c>
      <c r="Q23" s="8">
        <v>0</v>
      </c>
      <c r="R23" s="116">
        <v>3309.0356162257267</v>
      </c>
      <c r="S23" s="8">
        <v>0</v>
      </c>
      <c r="T23" s="116">
        <v>3308.6777716988763</v>
      </c>
      <c r="U23" s="8">
        <v>0</v>
      </c>
      <c r="V23" s="116">
        <v>3306.5037761685385</v>
      </c>
      <c r="W23" s="8">
        <v>0</v>
      </c>
      <c r="X23" s="116">
        <v>3301.9367940900788</v>
      </c>
      <c r="Y23" s="8">
        <v>0</v>
      </c>
      <c r="Z23" s="116">
        <v>3294.1286333651424</v>
      </c>
      <c r="AA23" s="8">
        <v>0</v>
      </c>
      <c r="AB23" s="116">
        <v>3281.7793898731748</v>
      </c>
      <c r="AC23" s="8">
        <v>0</v>
      </c>
      <c r="AD23" s="116">
        <v>3262.7908333800847</v>
      </c>
      <c r="AE23" s="8">
        <v>0</v>
      </c>
      <c r="AF23" s="116">
        <v>3233.536815842443</v>
      </c>
      <c r="AG23" s="8">
        <v>0</v>
      </c>
      <c r="AH23" s="116">
        <v>3187.134708802726</v>
      </c>
      <c r="AI23" s="8">
        <v>0</v>
      </c>
      <c r="AJ23" s="116">
        <v>3108.5994562698811</v>
      </c>
      <c r="AK23" s="8">
        <v>0</v>
      </c>
      <c r="AL23" s="116">
        <v>2957.3181457257151</v>
      </c>
      <c r="AM23" s="8">
        <v>0</v>
      </c>
      <c r="AN23" s="116"/>
      <c r="AO23" s="8"/>
      <c r="AP23" s="116"/>
      <c r="AQ23" s="8"/>
      <c r="AR23" s="116"/>
      <c r="AS23" s="8"/>
      <c r="AT23" s="116"/>
      <c r="AU23" s="8"/>
      <c r="AV23" s="116"/>
      <c r="AW23" s="8"/>
    </row>
    <row r="24" spans="1:49" x14ac:dyDescent="0.2">
      <c r="A24" t="s">
        <v>8</v>
      </c>
      <c r="B24" s="97">
        <v>3196.3846373657216</v>
      </c>
      <c r="C24" s="8">
        <v>0</v>
      </c>
      <c r="D24" s="97">
        <v>3201.9716082563859</v>
      </c>
      <c r="E24" s="8">
        <v>0</v>
      </c>
      <c r="F24" s="97">
        <v>3207.197654799636</v>
      </c>
      <c r="G24" s="8">
        <v>0</v>
      </c>
      <c r="H24" s="97">
        <v>3212.0015754670685</v>
      </c>
      <c r="I24" s="8">
        <v>0</v>
      </c>
      <c r="J24" s="97">
        <v>3216.3071903790792</v>
      </c>
      <c r="K24" s="8">
        <v>0</v>
      </c>
      <c r="L24" s="97">
        <v>3220.0181764820713</v>
      </c>
      <c r="M24" s="8">
        <v>0</v>
      </c>
      <c r="N24" s="97">
        <v>3223.0115398482144</v>
      </c>
      <c r="O24" s="8">
        <v>0</v>
      </c>
      <c r="P24" s="97">
        <v>3225.1272687524997</v>
      </c>
      <c r="Q24" s="8">
        <v>0</v>
      </c>
      <c r="R24" s="97">
        <v>3226.1536601213793</v>
      </c>
      <c r="S24" s="8">
        <v>0</v>
      </c>
      <c r="T24" s="97">
        <v>3225.8047786150923</v>
      </c>
      <c r="U24" s="8">
        <v>0</v>
      </c>
      <c r="V24" s="97">
        <v>3223.6852356269274</v>
      </c>
      <c r="W24" s="8">
        <v>0</v>
      </c>
      <c r="X24" s="97">
        <v>3219.2326416907213</v>
      </c>
      <c r="Y24" s="8">
        <v>0</v>
      </c>
      <c r="Z24" s="97">
        <v>3211.6200550609401</v>
      </c>
      <c r="AA24" s="8">
        <v>0</v>
      </c>
      <c r="AB24" s="97">
        <v>3199.5801248386383</v>
      </c>
      <c r="AC24" s="8">
        <v>0</v>
      </c>
      <c r="AD24" s="97">
        <v>3181.0671769898322</v>
      </c>
      <c r="AE24" s="8">
        <v>0</v>
      </c>
      <c r="AF24" s="97">
        <v>3152.5458907704142</v>
      </c>
      <c r="AG24" s="8">
        <v>0</v>
      </c>
      <c r="AH24" s="97">
        <v>3107.3060244734647</v>
      </c>
      <c r="AI24" s="8">
        <v>0</v>
      </c>
      <c r="AJ24" s="97">
        <v>3030.7378578115254</v>
      </c>
      <c r="AK24" s="8">
        <v>0</v>
      </c>
      <c r="AL24" s="97">
        <v>2883.245714763882</v>
      </c>
      <c r="AM24" s="8">
        <v>0</v>
      </c>
      <c r="AN24" s="97"/>
      <c r="AO24" s="8"/>
      <c r="AP24" s="97"/>
      <c r="AQ24" s="8"/>
      <c r="AR24" s="97"/>
      <c r="AS24" s="8"/>
      <c r="AT24" s="97"/>
      <c r="AU24" s="8"/>
      <c r="AV24" s="97"/>
      <c r="AW24" s="8"/>
    </row>
    <row r="25" spans="1:49" x14ac:dyDescent="0.2">
      <c r="A25" t="s">
        <v>0</v>
      </c>
      <c r="B25" s="41">
        <v>3195.0476040000012</v>
      </c>
      <c r="C25" s="42">
        <v>91.012690000004397</v>
      </c>
      <c r="D25" s="41">
        <v>3200.2222625549271</v>
      </c>
      <c r="E25" s="42">
        <v>81.53481765636883</v>
      </c>
      <c r="F25" s="41">
        <v>3204.9027904784966</v>
      </c>
      <c r="G25" s="42">
        <v>72.391983534733043</v>
      </c>
      <c r="H25" s="41">
        <v>3209.0136577342055</v>
      </c>
      <c r="I25" s="42">
        <v>63.621012807741828</v>
      </c>
      <c r="J25" s="41">
        <v>3212.4658727729102</v>
      </c>
      <c r="K25" s="42">
        <v>55.260885993024324</v>
      </c>
      <c r="L25" s="41">
        <v>3215.15264716208</v>
      </c>
      <c r="M25" s="42">
        <v>47.352726054759565</v>
      </c>
      <c r="N25" s="41">
        <v>3216.9437805376397</v>
      </c>
      <c r="O25" s="42">
        <v>39.938802738125503</v>
      </c>
      <c r="P25" s="41">
        <v>3217.6777249370093</v>
      </c>
      <c r="Q25" s="42">
        <v>33.062636496747785</v>
      </c>
      <c r="R25" s="41">
        <v>3217.1484797766147</v>
      </c>
      <c r="S25" s="42">
        <v>26.767603752966401</v>
      </c>
      <c r="T25" s="41">
        <v>3215.0857057672338</v>
      </c>
      <c r="U25" s="42">
        <v>21.095610652455893</v>
      </c>
      <c r="V25" s="41">
        <v>3211.121949097273</v>
      </c>
      <c r="W25" s="42">
        <v>16.08503416207617</v>
      </c>
      <c r="X25" s="41">
        <v>3204.7364024076023</v>
      </c>
      <c r="Y25" s="42">
        <v>11.767854815785423</v>
      </c>
      <c r="Z25" s="41">
        <v>3195.1541700767211</v>
      </c>
      <c r="AA25" s="42">
        <v>8.1659051158486182</v>
      </c>
      <c r="AB25" s="41">
        <v>3181.1526406252337</v>
      </c>
      <c r="AC25" s="42">
        <v>5.2855189648171867</v>
      </c>
      <c r="AD25" s="41">
        <v>3160.6673991308026</v>
      </c>
      <c r="AE25" s="42">
        <v>3.1114407368256001</v>
      </c>
      <c r="AF25" s="41">
        <v>3129.9121702477869</v>
      </c>
      <c r="AG25" s="42">
        <v>1.5993567652369658</v>
      </c>
      <c r="AH25" s="41">
        <v>3081.193153345977</v>
      </c>
      <c r="AI25" s="42">
        <v>0.66863616989812535</v>
      </c>
      <c r="AJ25" s="41">
        <v>2996.6426717051004</v>
      </c>
      <c r="AK25" s="42">
        <v>0.19794528770622985</v>
      </c>
      <c r="AL25" s="41">
        <v>2826.2905991177649</v>
      </c>
      <c r="AM25" s="42">
        <v>3.0224047897132029E-2</v>
      </c>
      <c r="AN25" s="41"/>
      <c r="AO25" s="42"/>
      <c r="AP25" s="41"/>
      <c r="AQ25" s="42"/>
      <c r="AR25" s="41"/>
      <c r="AS25" s="42"/>
      <c r="AT25" s="41"/>
      <c r="AU25" s="42"/>
      <c r="AV25" s="41"/>
      <c r="AW25" s="42"/>
    </row>
    <row r="26" spans="1:49" x14ac:dyDescent="0.2">
      <c r="A26" t="s">
        <v>27</v>
      </c>
      <c r="B26" s="33">
        <v>5036.2953101960647</v>
      </c>
      <c r="C26" s="34">
        <v>74.905331803938267</v>
      </c>
      <c r="D26" s="33">
        <v>5040.4909485967419</v>
      </c>
      <c r="E26" s="34">
        <v>70.709693403262591</v>
      </c>
      <c r="F26" s="33">
        <v>5044.6737486594111</v>
      </c>
      <c r="G26" s="34">
        <v>66.526893340589169</v>
      </c>
      <c r="H26" s="33">
        <v>5048.8426495922922</v>
      </c>
      <c r="I26" s="34">
        <v>62.357992407706391</v>
      </c>
      <c r="J26" s="33">
        <v>5052.9967709681905</v>
      </c>
      <c r="K26" s="34">
        <v>58.20387103182027</v>
      </c>
      <c r="L26" s="33">
        <v>5057.1354036288667</v>
      </c>
      <c r="M26" s="34">
        <v>54.065238371138065</v>
      </c>
      <c r="N26" s="33">
        <v>5061.258198364003</v>
      </c>
      <c r="O26" s="34">
        <v>49.942443636001869</v>
      </c>
      <c r="P26" s="33">
        <v>5065.3651466441579</v>
      </c>
      <c r="Q26" s="34">
        <v>45.835495355846852</v>
      </c>
      <c r="R26" s="33">
        <v>5069.4566919522422</v>
      </c>
      <c r="S26" s="34">
        <v>41.743950047762368</v>
      </c>
      <c r="T26" s="33">
        <v>5073.5337574675514</v>
      </c>
      <c r="U26" s="34">
        <v>37.666884532451029</v>
      </c>
      <c r="V26" s="33">
        <v>5077.5976952767933</v>
      </c>
      <c r="W26" s="34">
        <v>33.602946723211311</v>
      </c>
      <c r="X26" s="33">
        <v>5081.6500200003456</v>
      </c>
      <c r="Y26" s="34">
        <v>29.550621999658684</v>
      </c>
      <c r="Z26" s="33">
        <v>5085.6916634004974</v>
      </c>
      <c r="AA26" s="34">
        <v>25.508978599511646</v>
      </c>
      <c r="AB26" s="33">
        <v>5089.7213727917133</v>
      </c>
      <c r="AC26" s="34">
        <v>21.479269208291818</v>
      </c>
      <c r="AD26" s="33">
        <v>5093.7319527753543</v>
      </c>
      <c r="AE26" s="34">
        <v>17.468689224644386</v>
      </c>
      <c r="AF26" s="33">
        <v>5097.7022105009173</v>
      </c>
      <c r="AG26" s="34">
        <v>13.498431499086649</v>
      </c>
      <c r="AH26" s="33">
        <v>5101.57907237169</v>
      </c>
      <c r="AI26" s="34">
        <v>9.621569628318186</v>
      </c>
      <c r="AJ26" s="33">
        <v>5105.2373154991719</v>
      </c>
      <c r="AK26" s="34">
        <v>5.9633265008332481</v>
      </c>
      <c r="AL26" s="33">
        <v>5108.3921470613395</v>
      </c>
      <c r="AM26" s="34">
        <v>2.8084949386657896</v>
      </c>
      <c r="AN26" s="33"/>
      <c r="AO26" s="34"/>
      <c r="AP26" s="33"/>
      <c r="AQ26" s="34"/>
      <c r="AR26" s="33"/>
      <c r="AS26" s="34"/>
      <c r="AT26" s="33"/>
      <c r="AU26" s="34"/>
      <c r="AV26" s="33"/>
      <c r="AW26" s="34"/>
    </row>
    <row r="27" spans="1:49" x14ac:dyDescent="0.2">
      <c r="A27" t="s">
        <v>2</v>
      </c>
      <c r="B27" s="35">
        <v>6425.1981590000414</v>
      </c>
      <c r="C27" s="36">
        <v>273.22915400000028</v>
      </c>
      <c r="D27" s="35">
        <v>6440.2483907232754</v>
      </c>
      <c r="E27" s="36">
        <v>258.17895230263764</v>
      </c>
      <c r="F27" s="35">
        <v>6455.2824369798063</v>
      </c>
      <c r="G27" s="36">
        <v>243.14491354075793</v>
      </c>
      <c r="H27" s="35">
        <v>6470.296214678895</v>
      </c>
      <c r="I27" s="36">
        <v>228.13114575693234</v>
      </c>
      <c r="J27" s="35">
        <v>6485.2863774932866</v>
      </c>
      <c r="K27" s="36">
        <v>213.14096955454372</v>
      </c>
      <c r="L27" s="35">
        <v>6500.2498309838875</v>
      </c>
      <c r="M27" s="36">
        <v>198.17748309407486</v>
      </c>
      <c r="N27" s="35">
        <v>6515.1852046142003</v>
      </c>
      <c r="O27" s="36">
        <v>183.24210986529872</v>
      </c>
      <c r="P27" s="35">
        <v>6530.0920999699483</v>
      </c>
      <c r="Q27" s="36">
        <v>168.3352143497101</v>
      </c>
      <c r="R27" s="35">
        <v>6544.9718223677919</v>
      </c>
      <c r="S27" s="36">
        <v>153.45549132014108</v>
      </c>
      <c r="T27" s="35">
        <v>6559.8274239507627</v>
      </c>
      <c r="U27" s="36">
        <v>138.59988963891152</v>
      </c>
      <c r="V27" s="35">
        <v>6574.6636037792559</v>
      </c>
      <c r="W27" s="36">
        <v>123.76370920896746</v>
      </c>
      <c r="X27" s="35">
        <v>6589.4856661455715</v>
      </c>
      <c r="Y27" s="36">
        <v>108.94164218633765</v>
      </c>
      <c r="Z27" s="35">
        <v>6604.2967442975541</v>
      </c>
      <c r="AA27" s="36">
        <v>94.130568672951355</v>
      </c>
      <c r="AB27" s="35">
        <v>6619.0921026830101</v>
      </c>
      <c r="AC27" s="36">
        <v>79.335207861920011</v>
      </c>
      <c r="AD27" s="35">
        <v>6633.8449986722308</v>
      </c>
      <c r="AE27" s="36">
        <v>64.582300551282344</v>
      </c>
      <c r="AF27" s="35">
        <v>6648.4768824057492</v>
      </c>
      <c r="AG27" s="36">
        <v>49.950446461919469</v>
      </c>
      <c r="AH27" s="35">
        <v>6662.7908704543534</v>
      </c>
      <c r="AI27" s="36">
        <v>35.636435651650245</v>
      </c>
      <c r="AJ27" s="35">
        <v>6676.3214188492075</v>
      </c>
      <c r="AK27" s="36">
        <v>22.105902615005697</v>
      </c>
      <c r="AL27" s="35">
        <v>6688.0086332906812</v>
      </c>
      <c r="AM27" s="36">
        <v>10.41867966744212</v>
      </c>
      <c r="AN27" s="35"/>
      <c r="AO27" s="36"/>
      <c r="AP27" s="35"/>
      <c r="AQ27" s="36"/>
      <c r="AR27" s="35"/>
      <c r="AS27" s="36"/>
      <c r="AT27" s="35"/>
      <c r="AU27" s="36"/>
      <c r="AV27" s="35"/>
      <c r="AW27" s="36"/>
    </row>
    <row r="28" spans="1:49" x14ac:dyDescent="0.2">
      <c r="A28" t="s">
        <v>35</v>
      </c>
      <c r="B28" s="41">
        <v>13763.097676000029</v>
      </c>
      <c r="C28" s="42">
        <v>382.36647899999997</v>
      </c>
      <c r="D28" s="41">
        <v>13784.247983214604</v>
      </c>
      <c r="E28" s="42">
        <v>361.20297959886892</v>
      </c>
      <c r="F28" s="41">
        <v>13805.337517388525</v>
      </c>
      <c r="G28" s="42">
        <v>340.07393057904829</v>
      </c>
      <c r="H28" s="41">
        <v>13826.360799807544</v>
      </c>
      <c r="I28" s="42">
        <v>318.98507220189396</v>
      </c>
      <c r="J28" s="41">
        <v>13847.313373608129</v>
      </c>
      <c r="K28" s="42">
        <v>297.94109441351083</v>
      </c>
      <c r="L28" s="41">
        <v>13868.191304917553</v>
      </c>
      <c r="M28" s="42">
        <v>276.94621136974899</v>
      </c>
      <c r="N28" s="41">
        <v>13888.992909516435</v>
      </c>
      <c r="O28" s="42">
        <v>256.00243911939714</v>
      </c>
      <c r="P28" s="41">
        <v>13909.717969726489</v>
      </c>
      <c r="Q28" s="42">
        <v>235.11023554906734</v>
      </c>
      <c r="R28" s="41">
        <v>13930.36860880926</v>
      </c>
      <c r="S28" s="42">
        <v>214.26772873040642</v>
      </c>
      <c r="T28" s="41">
        <v>13950.949359760038</v>
      </c>
      <c r="U28" s="42">
        <v>193.47060002709773</v>
      </c>
      <c r="V28" s="41">
        <v>13971.466977992131</v>
      </c>
      <c r="W28" s="42">
        <v>172.71225649093105</v>
      </c>
      <c r="X28" s="41">
        <v>13991.92901799577</v>
      </c>
      <c r="Y28" s="42">
        <v>151.98525943710578</v>
      </c>
      <c r="Z28" s="41">
        <v>14012.340023298992</v>
      </c>
      <c r="AA28" s="42">
        <v>131.28520480641831</v>
      </c>
      <c r="AB28" s="41">
        <v>14032.693636583263</v>
      </c>
      <c r="AC28" s="42">
        <v>110.61871289452095</v>
      </c>
      <c r="AD28" s="41">
        <v>14052.953387362151</v>
      </c>
      <c r="AE28" s="42">
        <v>90.023078873004323</v>
      </c>
      <c r="AF28" s="41">
        <v>14073.012088712496</v>
      </c>
      <c r="AG28" s="42">
        <v>69.607838834590098</v>
      </c>
      <c r="AH28" s="41">
        <v>14092.601458333171</v>
      </c>
      <c r="AI28" s="42">
        <v>49.647139701987477</v>
      </c>
      <c r="AJ28" s="41">
        <v>14111.088291572421</v>
      </c>
      <c r="AK28" s="42">
        <v>30.788985006612652</v>
      </c>
      <c r="AL28" s="41">
        <v>14127.032843090143</v>
      </c>
      <c r="AM28" s="42">
        <v>14.507829303027592</v>
      </c>
      <c r="AN28" s="41"/>
      <c r="AO28" s="42"/>
      <c r="AP28" s="41"/>
      <c r="AQ28" s="42"/>
      <c r="AR28" s="41"/>
      <c r="AS28" s="42"/>
      <c r="AT28" s="41"/>
      <c r="AU28" s="42"/>
      <c r="AV28" s="41"/>
      <c r="AW28" s="42"/>
    </row>
    <row r="29" spans="1:49" x14ac:dyDescent="0.2">
      <c r="A29" t="s">
        <v>53</v>
      </c>
      <c r="B29" s="35">
        <v>14362.768558000025</v>
      </c>
      <c r="C29" s="36">
        <v>817.26650999999993</v>
      </c>
      <c r="D29" s="35">
        <v>14361.421151512655</v>
      </c>
      <c r="E29" s="36">
        <v>763.44137856068744</v>
      </c>
      <c r="F29" s="35">
        <v>14357.640023075139</v>
      </c>
      <c r="G29" s="36">
        <v>710.07356506671442</v>
      </c>
      <c r="H29" s="35">
        <v>14351.037172053491</v>
      </c>
      <c r="I29" s="36">
        <v>657.21806642758247</v>
      </c>
      <c r="J29" s="35">
        <v>14341.138108779485</v>
      </c>
      <c r="K29" s="36">
        <v>604.93439900832823</v>
      </c>
      <c r="L29" s="35">
        <v>14327.354933914188</v>
      </c>
      <c r="M29" s="36">
        <v>553.28941579816558</v>
      </c>
      <c r="N29" s="35">
        <v>14308.948553560467</v>
      </c>
      <c r="O29" s="36">
        <v>502.35519552603733</v>
      </c>
      <c r="P29" s="35">
        <v>14284.976957938814</v>
      </c>
      <c r="Q29" s="36">
        <v>452.21366966307448</v>
      </c>
      <c r="R29" s="35">
        <v>14254.216062851314</v>
      </c>
      <c r="S29" s="36">
        <v>402.95791942059384</v>
      </c>
      <c r="T29" s="35">
        <v>14215.04219859564</v>
      </c>
      <c r="U29" s="36">
        <v>354.69640698131661</v>
      </c>
      <c r="V29" s="35">
        <v>14165.248602326834</v>
      </c>
      <c r="W29" s="36">
        <v>307.55901684985753</v>
      </c>
      <c r="X29" s="35">
        <v>14101.746923048129</v>
      </c>
      <c r="Y29" s="36">
        <v>261.70707835987707</v>
      </c>
      <c r="Z29" s="35">
        <v>14020.063333521244</v>
      </c>
      <c r="AA29" s="36">
        <v>217.35016494700977</v>
      </c>
      <c r="AB29" s="35">
        <v>13913.426902766701</v>
      </c>
      <c r="AC29" s="36">
        <v>174.77147874340707</v>
      </c>
      <c r="AD29" s="35">
        <v>13771.024965700677</v>
      </c>
      <c r="AE29" s="36">
        <v>134.37479262696041</v>
      </c>
      <c r="AF29" s="35">
        <v>13574.330048136357</v>
      </c>
      <c r="AG29" s="36">
        <v>96.761893727424876</v>
      </c>
      <c r="AH29" s="35">
        <v>13288.448969704692</v>
      </c>
      <c r="AI29" s="36">
        <v>62.866715512978409</v>
      </c>
      <c r="AJ29" s="35">
        <v>12838.278467807071</v>
      </c>
      <c r="AK29" s="36">
        <v>34.177006499878274</v>
      </c>
      <c r="AL29" s="35">
        <v>12025.878259957879</v>
      </c>
      <c r="AM29" s="36">
        <v>12.99180020637316</v>
      </c>
      <c r="AN29" s="35"/>
      <c r="AO29" s="36"/>
      <c r="AP29" s="35"/>
      <c r="AQ29" s="36"/>
      <c r="AR29" s="35"/>
      <c r="AS29" s="36"/>
      <c r="AT29" s="35"/>
      <c r="AU29" s="36"/>
      <c r="AV29" s="35"/>
      <c r="AW29" s="36"/>
    </row>
    <row r="30" spans="1:49" x14ac:dyDescent="0.2">
      <c r="A30" t="s">
        <v>48</v>
      </c>
      <c r="B30" s="119">
        <v>2924829.9599999995</v>
      </c>
      <c r="D30" s="119">
        <v>3015156.0480668</v>
      </c>
      <c r="F30" s="119">
        <v>3108211.2079364839</v>
      </c>
      <c r="H30" s="119">
        <v>3204443.6873798114</v>
      </c>
      <c r="J30" s="119">
        <v>3304390.171697103</v>
      </c>
      <c r="L30" s="119">
        <v>3408698.1343268231</v>
      </c>
      <c r="N30" s="119">
        <v>3518165.4892587839</v>
      </c>
      <c r="P30" s="119">
        <v>3633774.1800290332</v>
      </c>
      <c r="R30" s="119">
        <v>3756759.7253337842</v>
      </c>
      <c r="T30" s="119">
        <v>3888701.0242505427</v>
      </c>
      <c r="V30" s="119">
        <v>4031657.7154285801</v>
      </c>
      <c r="X30" s="119">
        <v>4188388.1498685991</v>
      </c>
      <c r="Z30" s="119">
        <v>4362694.8052823208</v>
      </c>
      <c r="AB30" s="119">
        <v>4560056.2481796723</v>
      </c>
      <c r="AD30" s="119">
        <v>4788750.6360695139</v>
      </c>
      <c r="AF30" s="119">
        <v>5062139.9503430743</v>
      </c>
      <c r="AH30" s="119">
        <v>5403616.2621882763</v>
      </c>
      <c r="AJ30" s="119">
        <v>5858154.5662489533</v>
      </c>
      <c r="AL30" s="119">
        <v>6517642.6479558423</v>
      </c>
      <c r="AN30" s="119"/>
      <c r="AP30" s="119"/>
      <c r="AR30" s="119"/>
      <c r="AT30" s="119"/>
      <c r="AV30" s="119"/>
    </row>
    <row r="31" spans="1:49" x14ac:dyDescent="0.2">
      <c r="A31" t="s">
        <v>47</v>
      </c>
      <c r="B31" s="80">
        <v>1.0000000000000027</v>
      </c>
      <c r="D31" s="80">
        <v>0.99769642280975579</v>
      </c>
      <c r="F31" s="80">
        <v>0.99493177327660853</v>
      </c>
      <c r="H31" s="80">
        <v>0.99163957928331181</v>
      </c>
      <c r="J31" s="80">
        <v>0.98773942532671533</v>
      </c>
      <c r="L31" s="80">
        <v>0.98313301196493508</v>
      </c>
      <c r="N31" s="80">
        <v>0.97769885122160527</v>
      </c>
      <c r="P31" s="80">
        <v>0.97128466330121743</v>
      </c>
      <c r="R31" s="80">
        <v>0.96369678072374043</v>
      </c>
      <c r="T31" s="80">
        <v>0.95468452926313019</v>
      </c>
      <c r="V31" s="80">
        <v>0.94391681925144277</v>
      </c>
      <c r="X31" s="80">
        <v>0.93094555826417447</v>
      </c>
      <c r="Z31" s="80">
        <v>0.915146518642448</v>
      </c>
      <c r="AB31" s="80">
        <v>0.89561835466667417</v>
      </c>
      <c r="AD31" s="80">
        <v>0.87100006667740715</v>
      </c>
      <c r="AF31" s="80">
        <v>0.83911445081023062</v>
      </c>
      <c r="AH31" s="80">
        <v>0.79620099831299074</v>
      </c>
      <c r="AJ31" s="80">
        <v>0.73503775435555796</v>
      </c>
      <c r="AL31" s="80">
        <v>0.6394457871456054</v>
      </c>
      <c r="AN31" s="80"/>
      <c r="AP31" s="80"/>
      <c r="AR31" s="80"/>
      <c r="AT31" s="80"/>
      <c r="AV31" s="80"/>
    </row>
    <row r="32" spans="1:49" x14ac:dyDescent="0.2">
      <c r="A32" t="s">
        <v>64</v>
      </c>
      <c r="B32" s="86">
        <v>14734457.915000005</v>
      </c>
      <c r="D32" s="86">
        <v>14747167.755526723</v>
      </c>
      <c r="F32" s="86">
        <v>14758082.963754898</v>
      </c>
      <c r="H32" s="86">
        <v>14766893.441843186</v>
      </c>
      <c r="J32" s="86">
        <v>14773205.810323857</v>
      </c>
      <c r="L32" s="86">
        <v>14776515.491933318</v>
      </c>
      <c r="N32" s="86">
        <v>14776170.006359873</v>
      </c>
      <c r="P32" s="86">
        <v>14771312.317826306</v>
      </c>
      <c r="R32" s="86">
        <v>14760802.270088388</v>
      </c>
      <c r="T32" s="86">
        <v>14743097.251060931</v>
      </c>
      <c r="V32" s="86">
        <v>14716069.886065139</v>
      </c>
      <c r="X32" s="86">
        <v>14676717.316387327</v>
      </c>
      <c r="Z32" s="86">
        <v>14620682.110711148</v>
      </c>
      <c r="AB32" s="86">
        <v>14541415.852498896</v>
      </c>
      <c r="AD32" s="86">
        <v>14428626.51340037</v>
      </c>
      <c r="AF32" s="86">
        <v>14265127.882285625</v>
      </c>
      <c r="AH32" s="86">
        <v>14019633.832131183</v>
      </c>
      <c r="AJ32" s="86">
        <v>13627093.652151719</v>
      </c>
      <c r="AL32" s="86">
        <v>12917885.970885979</v>
      </c>
      <c r="AN32" s="86"/>
      <c r="AP32" s="86"/>
      <c r="AR32" s="86"/>
      <c r="AT32" s="86"/>
      <c r="AV32" s="86"/>
    </row>
    <row r="33" spans="1:49 16319:16321" x14ac:dyDescent="0.2">
      <c r="A33" t="s">
        <v>54</v>
      </c>
      <c r="B33" s="117">
        <v>7019665.6910000108</v>
      </c>
      <c r="D33" s="117">
        <v>7025721.1228342419</v>
      </c>
      <c r="F33" s="117">
        <v>7030921.3354257382</v>
      </c>
      <c r="H33" s="117">
        <v>7035118.8568055937</v>
      </c>
      <c r="J33" s="117">
        <v>7038126.1804915369</v>
      </c>
      <c r="L33" s="117">
        <v>7039702.437046444</v>
      </c>
      <c r="N33" s="117">
        <v>7039537.8678774908</v>
      </c>
      <c r="P33" s="117">
        <v>7037223.6238889769</v>
      </c>
      <c r="R33" s="117">
        <v>7032216.517662229</v>
      </c>
      <c r="T33" s="117">
        <v>7023781.6076660687</v>
      </c>
      <c r="V33" s="117">
        <v>7010905.426241939</v>
      </c>
      <c r="X33" s="117">
        <v>6992157.7730039852</v>
      </c>
      <c r="Z33" s="117">
        <v>6965461.5867118211</v>
      </c>
      <c r="AB33" s="117">
        <v>6927698.2631861204</v>
      </c>
      <c r="AD33" s="117">
        <v>6873964.2264080802</v>
      </c>
      <c r="AF33" s="117">
        <v>6796071.5725821331</v>
      </c>
      <c r="AH33" s="117">
        <v>6679115.3370918389</v>
      </c>
      <c r="AJ33" s="117">
        <v>6492104.5887563108</v>
      </c>
      <c r="AL33" s="117">
        <v>6154229.866295794</v>
      </c>
      <c r="AN33" s="117"/>
      <c r="AP33" s="117"/>
      <c r="AR33" s="117"/>
      <c r="AT33" s="117"/>
      <c r="AV33" s="117"/>
    </row>
    <row r="34" spans="1:49 16319:16321" x14ac:dyDescent="0.2">
      <c r="A34" t="s">
        <v>75</v>
      </c>
      <c r="B34" s="117">
        <v>1136879.4409999943</v>
      </c>
      <c r="D34" s="117">
        <v>1137859.7884836225</v>
      </c>
      <c r="F34" s="117">
        <v>1138701.901244005</v>
      </c>
      <c r="H34" s="117">
        <v>1139381.5909790369</v>
      </c>
      <c r="J34" s="117">
        <v>1139868.6022079946</v>
      </c>
      <c r="L34" s="117">
        <v>1140124.4830032191</v>
      </c>
      <c r="N34" s="117">
        <v>1140097.8019903083</v>
      </c>
      <c r="P34" s="117">
        <v>1139722.9782289441</v>
      </c>
      <c r="R34" s="117">
        <v>1138912.0435360889</v>
      </c>
      <c r="T34" s="117">
        <v>1137545.996615845</v>
      </c>
      <c r="V34" s="117">
        <v>1135460.6555019931</v>
      </c>
      <c r="X34" s="117">
        <v>1132423.9318882695</v>
      </c>
      <c r="Z34" s="117">
        <v>1128100.740771451</v>
      </c>
      <c r="AB34" s="117">
        <v>1121984.6889861983</v>
      </c>
      <c r="AD34" s="117">
        <v>1113281.9990248615</v>
      </c>
      <c r="AF34" s="117">
        <v>1100666.8114035209</v>
      </c>
      <c r="AH34" s="117">
        <v>1081725.0515167697</v>
      </c>
      <c r="AJ34" s="117">
        <v>1051437.5645963501</v>
      </c>
      <c r="AL34" s="117">
        <v>996716.6116385744</v>
      </c>
      <c r="AN34" s="117"/>
      <c r="AP34" s="117"/>
      <c r="AR34" s="117"/>
      <c r="AT34" s="117"/>
      <c r="AV34" s="117"/>
    </row>
    <row r="35" spans="1:49 16319:16321" x14ac:dyDescent="0.2">
      <c r="A35" t="s">
        <v>78</v>
      </c>
      <c r="B35" s="233">
        <v>1</v>
      </c>
      <c r="D35" s="233">
        <v>1.0031750347335664</v>
      </c>
      <c r="F35" s="233">
        <v>1.006718999263992</v>
      </c>
      <c r="H35" s="233">
        <v>1.0107009038246346</v>
      </c>
      <c r="J35" s="233">
        <v>1.0152077148179515</v>
      </c>
      <c r="L35" s="233">
        <v>1.0203506168579775</v>
      </c>
      <c r="N35" s="233">
        <v>1.0262744647505735</v>
      </c>
      <c r="P35" s="233">
        <v>1.033170801243257</v>
      </c>
      <c r="R35" s="233">
        <v>1.0412987252172596</v>
      </c>
      <c r="T35" s="233">
        <v>1.051017006910322</v>
      </c>
      <c r="V35" s="233">
        <v>1.0628362884379829</v>
      </c>
      <c r="X35" s="233">
        <v>1.077507365512989</v>
      </c>
      <c r="Z35" s="233">
        <v>1.0961770585920392</v>
      </c>
      <c r="AB35" s="233">
        <v>1.1206825129389542</v>
      </c>
      <c r="AD35" s="233">
        <v>1.1541428532503306</v>
      </c>
      <c r="AF35" s="233">
        <v>1.202268897062275</v>
      </c>
      <c r="AH35" s="233">
        <v>1.2766231559668346</v>
      </c>
      <c r="AJ35" s="233">
        <v>1.4041691561627252</v>
      </c>
      <c r="AL35" s="233">
        <v>1.6627240829147143</v>
      </c>
      <c r="AN35" s="233"/>
      <c r="AP35" s="233"/>
      <c r="AR35" s="233"/>
      <c r="AT35" s="233"/>
      <c r="AV35" s="233"/>
    </row>
    <row r="36" spans="1:49 16319:16321" x14ac:dyDescent="0.2">
      <c r="A36" t="s">
        <v>21</v>
      </c>
      <c r="B36" s="37">
        <v>0.47195767671988198</v>
      </c>
      <c r="C36" s="38">
        <v>0.31738834428178964</v>
      </c>
      <c r="D36" s="37">
        <v>0.47197144544403219</v>
      </c>
      <c r="E36" s="38">
        <v>0.32004483380937365</v>
      </c>
      <c r="F36" s="37">
        <v>0.47198541197172916</v>
      </c>
      <c r="G36" s="38">
        <v>0.32300342459258868</v>
      </c>
      <c r="H36" s="37">
        <v>0.47199961464241319</v>
      </c>
      <c r="I36" s="38">
        <v>0.32631438543929381</v>
      </c>
      <c r="J36" s="37">
        <v>0.47201410934449051</v>
      </c>
      <c r="K36" s="38">
        <v>0.33003956310790011</v>
      </c>
      <c r="L36" s="37">
        <v>0.47202897186361398</v>
      </c>
      <c r="M36" s="38">
        <v>0.33425583869552011</v>
      </c>
      <c r="N36" s="37">
        <v>0.47204431742301911</v>
      </c>
      <c r="O36" s="38">
        <v>0.33906023565123988</v>
      </c>
      <c r="P36" s="37">
        <v>0.47206029972777264</v>
      </c>
      <c r="Q36" s="38">
        <v>0.34457651134023798</v>
      </c>
      <c r="R36" s="37">
        <v>0.47207713489739378</v>
      </c>
      <c r="S36" s="38">
        <v>0.35096536349363089</v>
      </c>
      <c r="T36" s="37">
        <v>0.4720951231718119</v>
      </c>
      <c r="U36" s="38">
        <v>0.35843930284510012</v>
      </c>
      <c r="V36" s="37">
        <v>0.47211468163778009</v>
      </c>
      <c r="W36" s="38">
        <v>0.36728557423457919</v>
      </c>
      <c r="X36" s="37">
        <v>0.47213639268102497</v>
      </c>
      <c r="Y36" s="38">
        <v>0.37790282440895778</v>
      </c>
      <c r="Z36" s="37">
        <v>0.47216106154391801</v>
      </c>
      <c r="AA36" s="38">
        <v>0.39086194296499449</v>
      </c>
      <c r="AB36" s="37">
        <v>0.47218981881116145</v>
      </c>
      <c r="AC36" s="38">
        <v>0.40701420805846406</v>
      </c>
      <c r="AD36" s="37">
        <v>0.47222421201020709</v>
      </c>
      <c r="AE36" s="38">
        <v>0.42769386034843659</v>
      </c>
      <c r="AF36" s="37">
        <v>0.47226628379971286</v>
      </c>
      <c r="AG36" s="38">
        <v>0.45513514024005858</v>
      </c>
      <c r="AH36" s="37">
        <v>0.4723183703291236</v>
      </c>
      <c r="AI36" s="38">
        <v>0.49342829173367408</v>
      </c>
      <c r="AJ36" s="37">
        <v>0.47238156635586637</v>
      </c>
      <c r="AK36" s="38">
        <v>0.5510658902389387</v>
      </c>
      <c r="AL36" s="37">
        <v>0.4724483170105972</v>
      </c>
      <c r="AM36" s="38">
        <v>0.64934634778765199</v>
      </c>
      <c r="AN36" s="37"/>
      <c r="AO36" s="38"/>
      <c r="AP36" s="37"/>
      <c r="AQ36" s="38"/>
      <c r="AR36" s="37"/>
      <c r="AS36" s="38"/>
      <c r="AT36" s="37"/>
      <c r="AU36" s="38"/>
      <c r="AV36" s="37"/>
      <c r="AW36" s="38"/>
    </row>
    <row r="37" spans="1:49 16319:16321" x14ac:dyDescent="0.2">
      <c r="B37" s="39">
        <v>2.1403217525954466E-2</v>
      </c>
      <c r="C37" s="40">
        <v>0.3496246130199252</v>
      </c>
      <c r="D37" s="39">
        <v>2.0631721570573209E-2</v>
      </c>
      <c r="E37" s="40">
        <v>0.34491657345000715</v>
      </c>
      <c r="F37" s="39">
        <v>1.9846242310009938E-2</v>
      </c>
      <c r="G37" s="40">
        <v>0.34009433071720935</v>
      </c>
      <c r="H37" s="39">
        <v>1.9045956116025376E-2</v>
      </c>
      <c r="I37" s="40">
        <v>0.33515208432455063</v>
      </c>
      <c r="J37" s="39">
        <v>1.8229975406629906E-2</v>
      </c>
      <c r="K37" s="40">
        <v>0.33008388406549921</v>
      </c>
      <c r="L37" s="39">
        <v>1.7397347574535992E-2</v>
      </c>
      <c r="M37" s="40">
        <v>0.32488374544267384</v>
      </c>
      <c r="N37" s="39">
        <v>1.6546992577062148E-2</v>
      </c>
      <c r="O37" s="40">
        <v>0.31954541584988366</v>
      </c>
      <c r="P37" s="39">
        <v>1.5677746648225622E-2</v>
      </c>
      <c r="Q37" s="40">
        <v>0.31406287868247412</v>
      </c>
      <c r="R37" s="39">
        <v>1.4788290896884026E-2</v>
      </c>
      <c r="S37" s="40">
        <v>0.30843021487159089</v>
      </c>
      <c r="T37" s="39">
        <v>1.3877114333665104E-2</v>
      </c>
      <c r="U37" s="40">
        <v>0.30264180767504528</v>
      </c>
      <c r="V37" s="39">
        <v>1.2942443518278675E-2</v>
      </c>
      <c r="W37" s="40">
        <v>0.29669252046371974</v>
      </c>
      <c r="X37" s="39">
        <v>1.1982122594126935E-2</v>
      </c>
      <c r="Y37" s="40">
        <v>0.29057783726490022</v>
      </c>
      <c r="Z37" s="39">
        <v>1.0993451936062092E-2</v>
      </c>
      <c r="AA37" s="40">
        <v>0.28429419223637858</v>
      </c>
      <c r="AB37" s="39">
        <v>9.9728392072503339E-3</v>
      </c>
      <c r="AC37" s="40">
        <v>0.27783881714010039</v>
      </c>
      <c r="AD37" s="39">
        <v>8.9153128375469431E-3</v>
      </c>
      <c r="AE37" s="40">
        <v>0.27121005843194784</v>
      </c>
      <c r="AF37" s="39">
        <v>7.8135714123926722E-3</v>
      </c>
      <c r="AG37" s="40">
        <v>0.26440726261886843</v>
      </c>
      <c r="AH37" s="39">
        <v>6.6562908860956548E-3</v>
      </c>
      <c r="AI37" s="40">
        <v>0.25743137559811635</v>
      </c>
      <c r="AJ37" s="39">
        <v>5.4250225218054147E-3</v>
      </c>
      <c r="AK37" s="40">
        <v>0.25028956443399231</v>
      </c>
      <c r="AL37" s="39">
        <v>4.0889847555335319E-3</v>
      </c>
      <c r="AM37" s="40">
        <v>0.24302086014920379</v>
      </c>
      <c r="AN37" s="39"/>
      <c r="AO37" s="40"/>
      <c r="AP37" s="39"/>
      <c r="AQ37" s="40"/>
      <c r="AR37" s="39"/>
      <c r="AS37" s="40"/>
      <c r="AT37" s="39"/>
      <c r="AU37" s="40"/>
      <c r="AV37" s="39"/>
      <c r="AW37" s="40"/>
    </row>
    <row r="38" spans="1:49 16319:16321" x14ac:dyDescent="0.2">
      <c r="A38" t="s">
        <v>22</v>
      </c>
      <c r="B38" s="37">
        <v>0.18079094942242827</v>
      </c>
      <c r="C38" s="38">
        <v>6.0565413429233668E-2</v>
      </c>
      <c r="D38" s="37">
        <v>0.18095362979941612</v>
      </c>
      <c r="E38" s="38">
        <v>6.0958288281090067E-2</v>
      </c>
      <c r="F38" s="37">
        <v>0.18114650183192976</v>
      </c>
      <c r="G38" s="38">
        <v>6.1396193095813366E-2</v>
      </c>
      <c r="H38" s="37">
        <v>0.18137453916539906</v>
      </c>
      <c r="I38" s="38">
        <v>6.1886897127576064E-2</v>
      </c>
      <c r="J38" s="37">
        <v>0.18164388283307481</v>
      </c>
      <c r="K38" s="38">
        <v>6.2440055906069748E-2</v>
      </c>
      <c r="L38" s="37">
        <v>0.18196221769011853</v>
      </c>
      <c r="M38" s="38">
        <v>6.306767720004057E-2</v>
      </c>
      <c r="N38" s="37">
        <v>0.18233930812679192</v>
      </c>
      <c r="O38" s="38">
        <v>6.3785135211499033E-2</v>
      </c>
      <c r="P38" s="37">
        <v>0.18278774436209971</v>
      </c>
      <c r="Q38" s="38">
        <v>6.4612182222537728E-2</v>
      </c>
      <c r="R38" s="37">
        <v>0.18332409073540487</v>
      </c>
      <c r="S38" s="38">
        <v>6.5574756044962657E-2</v>
      </c>
      <c r="T38" s="37">
        <v>0.18397062148539681</v>
      </c>
      <c r="U38" s="38">
        <v>6.6707594503460754E-2</v>
      </c>
      <c r="V38" s="37">
        <v>0.18475807747344272</v>
      </c>
      <c r="W38" s="38">
        <v>6.8058393869917647E-2</v>
      </c>
      <c r="X38" s="37">
        <v>0.18573023806653599</v>
      </c>
      <c r="Y38" s="38">
        <v>6.9694577356719717E-2</v>
      </c>
      <c r="Z38" s="37">
        <v>0.1869518369503424</v>
      </c>
      <c r="AA38" s="38">
        <v>7.171488527500168E-2</v>
      </c>
      <c r="AB38" s="37">
        <v>0.18852328387843723</v>
      </c>
      <c r="AC38" s="38">
        <v>7.427102974961855E-2</v>
      </c>
      <c r="AD38" s="37">
        <v>0.19060992799795609</v>
      </c>
      <c r="AE38" s="38">
        <v>7.7610090545594174E-2</v>
      </c>
      <c r="AF38" s="37">
        <v>0.19350660389621666</v>
      </c>
      <c r="AG38" s="38">
        <v>8.2168514926780206E-2</v>
      </c>
      <c r="AH38" s="37">
        <v>0.1977996636117656</v>
      </c>
      <c r="AI38" s="38">
        <v>8.8811389497486112E-2</v>
      </c>
      <c r="AJ38" s="37">
        <v>0.2048567912857075</v>
      </c>
      <c r="AK38" s="38">
        <v>9.9582548605169838E-2</v>
      </c>
      <c r="AL38" s="37">
        <v>0.21880217182890108</v>
      </c>
      <c r="AM38" s="38">
        <v>0.12110928238977031</v>
      </c>
      <c r="AN38" s="37"/>
      <c r="AO38" s="38"/>
      <c r="AP38" s="37"/>
      <c r="AQ38" s="38"/>
      <c r="AR38" s="37"/>
      <c r="AS38" s="38"/>
      <c r="AT38" s="37"/>
      <c r="AU38" s="38"/>
      <c r="AV38" s="37"/>
      <c r="AW38" s="38"/>
    </row>
    <row r="39" spans="1:49 16319:16321" x14ac:dyDescent="0.2">
      <c r="A39" t="s">
        <v>23</v>
      </c>
      <c r="B39" s="39">
        <v>0.23064923795098771</v>
      </c>
      <c r="C39" s="40">
        <v>0.22092201281804777</v>
      </c>
      <c r="D39" s="39">
        <v>0.23120492328940007</v>
      </c>
      <c r="E39" s="40">
        <v>0.22257410893890001</v>
      </c>
      <c r="F39" s="39">
        <v>0.23179929764669796</v>
      </c>
      <c r="G39" s="40">
        <v>0.22439304336048549</v>
      </c>
      <c r="H39" s="39">
        <v>0.23243881333789984</v>
      </c>
      <c r="I39" s="40">
        <v>0.22640768575016773</v>
      </c>
      <c r="J39" s="39">
        <v>0.23313147668341197</v>
      </c>
      <c r="K39" s="40">
        <v>0.2286537616644741</v>
      </c>
      <c r="L39" s="39">
        <v>0.23388732560668643</v>
      </c>
      <c r="M39" s="40">
        <v>0.23117614771797254</v>
      </c>
      <c r="N39" s="39">
        <v>0.23471917771578307</v>
      </c>
      <c r="O39" s="40">
        <v>0.234031855537258</v>
      </c>
      <c r="P39" s="39">
        <v>0.23564358558060841</v>
      </c>
      <c r="Q39" s="40">
        <v>0.23729438199790265</v>
      </c>
      <c r="R39" s="39">
        <v>0.2366823667966596</v>
      </c>
      <c r="S39" s="40">
        <v>0.24106023496972681</v>
      </c>
      <c r="T39" s="39">
        <v>0.23786488583916549</v>
      </c>
      <c r="U39" s="40">
        <v>0.24545871927081023</v>
      </c>
      <c r="V39" s="39">
        <v>0.23923167615244753</v>
      </c>
      <c r="W39" s="40">
        <v>0.25066728038846497</v>
      </c>
      <c r="X39" s="39">
        <v>0.24084042322717064</v>
      </c>
      <c r="Y39" s="40">
        <v>0.25693678152735616</v>
      </c>
      <c r="Z39" s="39">
        <v>0.24277630061552596</v>
      </c>
      <c r="AA39" s="40">
        <v>0.26463477974694793</v>
      </c>
      <c r="AB39" s="39">
        <v>0.24517117698472038</v>
      </c>
      <c r="AC39" s="40">
        <v>0.27432532858381314</v>
      </c>
      <c r="AD39" s="39">
        <v>0.24824170750829483</v>
      </c>
      <c r="AE39" s="40">
        <v>0.28692697711724469</v>
      </c>
      <c r="AF39" s="39">
        <v>0.25237334969208108</v>
      </c>
      <c r="AG39" s="40">
        <v>0.30406155011293573</v>
      </c>
      <c r="AH39" s="39">
        <v>0.25833134686251802</v>
      </c>
      <c r="AI39" s="40">
        <v>0.32894023420521945</v>
      </c>
      <c r="AJ39" s="39">
        <v>0.26789935490467259</v>
      </c>
      <c r="AK39" s="40">
        <v>0.36915002412032316</v>
      </c>
      <c r="AL39" s="39">
        <v>0.28646015655165602</v>
      </c>
      <c r="AM39" s="40">
        <v>0.44927936333481133</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0.10799999999999982</v>
      </c>
      <c r="E42" s="135"/>
      <c r="F42" s="177">
        <f>10.8%+(1-10.8%)*(1-SUM(F26:G26)/SUM($B$26:$C$26))</f>
        <v>0.10800000000000051</v>
      </c>
      <c r="G42" s="135"/>
      <c r="H42" s="177">
        <f>10.8%+(1-10.8%)*(1-SUM(H26:I26)/SUM($B$26:$C$26))</f>
        <v>0.1080000000000008</v>
      </c>
      <c r="I42" s="135"/>
      <c r="J42" s="177">
        <f>10.8%+(1-10.8%)*(1-SUM(J26:K26)/SUM($B$26:$C$26))</f>
        <v>0.10799999999999882</v>
      </c>
      <c r="K42" s="135"/>
      <c r="L42" s="177">
        <f>10.8%+(1-10.8%)*(1-SUM(L26:M26)/SUM($B$26:$C$26))</f>
        <v>0.10799999999999982</v>
      </c>
      <c r="M42" s="135"/>
      <c r="N42" s="177">
        <f>10.8%+(1-10.8%)*(1-SUM(N26:O26)/SUM($B$26:$C$26))</f>
        <v>0.10799999999999961</v>
      </c>
      <c r="O42" s="135"/>
      <c r="P42" s="177">
        <f>10.8%+(1-10.8%)*(1-SUM(P26:Q26)/SUM($B$26:$C$26))</f>
        <v>0.10799999999999982</v>
      </c>
      <c r="Q42" s="135"/>
      <c r="R42" s="177">
        <f>10.8%+(1-10.8%)*(1-SUM(R26:S26)/SUM($B$26:$C$26))</f>
        <v>0.10799999999999982</v>
      </c>
      <c r="S42" s="135"/>
      <c r="T42" s="177">
        <f>10.8%+(1-10.8%)*(1-SUM(T26:U26)/SUM($B$26:$C$26))</f>
        <v>0.10800000000000021</v>
      </c>
      <c r="U42" s="135"/>
      <c r="V42" s="177">
        <f>10.8%+(1-10.8%)*(1-SUM(V26:W26)/SUM($B$26:$C$26))</f>
        <v>0.10799999999999982</v>
      </c>
      <c r="W42" s="135"/>
      <c r="X42" s="177">
        <f>10.8%+(1-10.8%)*(1-SUM(X26:Y26)/SUM($B$26:$C$26))</f>
        <v>0.10799999999999982</v>
      </c>
      <c r="Y42" s="162"/>
      <c r="Z42" s="177">
        <f>10.8%+(1-10.8%)*(1-SUM(Z26:AA26)/SUM($B$26:$C$26))</f>
        <v>0.10799999999999903</v>
      </c>
      <c r="AA42" s="135"/>
      <c r="AB42" s="177">
        <f>10.8%+(1-10.8%)*(1-SUM(AB26:AC26)/SUM($B$26:$C$26))</f>
        <v>0.10799999999999961</v>
      </c>
      <c r="AC42" s="135"/>
      <c r="AD42" s="177">
        <f>10.8%+(1-10.8%)*(1-SUM(AD26:AE26)/SUM($B$26:$C$26))</f>
        <v>0.1080000000000008</v>
      </c>
      <c r="AE42" s="135"/>
      <c r="AF42" s="177">
        <f>10.8%+(1-10.8%)*(1-SUM(AF26:AG26)/SUM($B$26:$C$26))</f>
        <v>0.10799999999999982</v>
      </c>
      <c r="AG42" s="135"/>
      <c r="AH42" s="177">
        <f>10.8%+(1-10.8%)*(1-SUM(AH26:AI26)/SUM($B$26:$C$26))</f>
        <v>0.10799999999999922</v>
      </c>
      <c r="AI42" s="135"/>
      <c r="AJ42" s="177">
        <f>10.8%+(1-10.8%)*(1-SUM(AJ26:AK26)/SUM($B$26:$C$26))</f>
        <v>0.10799999999999961</v>
      </c>
      <c r="AK42" s="135"/>
      <c r="AL42" s="177">
        <f>10.8%+(1-10.8%)*(1-SUM(AL26:AM26)/SUM($B$26:$C$26))</f>
        <v>0.10799999999999961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0.56097956340535138</v>
      </c>
      <c r="E43" s="135"/>
      <c r="F43" s="162">
        <f t="array" ref="F43">SUM(F15:G15*F27:G27)/SUM(F15:G15*F27:G27,F13:G13*F26:G26)</f>
        <v>0.55445072189979705</v>
      </c>
      <c r="G43" s="135"/>
      <c r="H43" s="162">
        <f t="array" ref="H43">SUM(H15:I15*H27:I27)/SUM(H15:I15*H27:I27,H13:I13*H26:I26)</f>
        <v>0.54756185679186919</v>
      </c>
      <c r="I43" s="135"/>
      <c r="J43" s="162">
        <f t="array" ref="J43">SUM(J15:K15*J27:K27)/SUM(J15:K15*J27:K27,J13:K13*J26:K26)</f>
        <v>0.54024848942302051</v>
      </c>
      <c r="K43" s="135"/>
      <c r="L43" s="162">
        <f t="array" ref="L43">SUM(L15:M15*L27:M27)/SUM(L15:M15*L27:M27,L13:M13*L26:M26)</f>
        <v>0.53242992644428888</v>
      </c>
      <c r="M43" s="135"/>
      <c r="N43" s="162">
        <f t="array" ref="N43">SUM(N15:O15*N27:O27)/SUM(N15:O15*N27:O27,N13:O13*N26:O26)</f>
        <v>0.52400323340266419</v>
      </c>
      <c r="O43" s="135"/>
      <c r="P43" s="162">
        <f t="array" ref="P43">SUM(P15:Q15*P27:Q27)/SUM(P15:Q15*P27:Q27,P13:Q13*P26:Q26)</f>
        <v>0.51483579492973408</v>
      </c>
      <c r="Q43" s="135"/>
      <c r="R43" s="162">
        <f t="array" ref="R43">SUM(R15:S15*R27:S27)/SUM(R15:S15*R27:S27,R13:S13*R26:S26)</f>
        <v>0.50475278699827653</v>
      </c>
      <c r="S43" s="135"/>
      <c r="T43" s="162">
        <f t="array" ref="T43">SUM(T15:U15*T27:U27)/SUM(T15:U15*T27:U27,T13:U13*T26:U26)</f>
        <v>0.49351863070166252</v>
      </c>
      <c r="U43" s="135"/>
      <c r="V43" s="162">
        <f t="array" ref="V43">SUM(V15:W15*V27:W27)/SUM(V15:W15*V27:W27,V13:W13*V26:W26)</f>
        <v>0.48080720356949685</v>
      </c>
      <c r="W43" s="135"/>
      <c r="X43" s="162">
        <f t="array" ref="X43">SUM(X15:Y15*X27:Y27)/SUM(X15:Y15*X27:Y27,X13:Y13*X26:Y26)</f>
        <v>0.46615163496273898</v>
      </c>
      <c r="Y43" s="135"/>
      <c r="Z43" s="162">
        <f t="array" ref="Z43">SUM(Z15:AA15*Z27:AA27)/SUM(Z15:AA15*Z27:AA27,Z13:AA13*Z26:AA26)</f>
        <v>0.44885676591669654</v>
      </c>
      <c r="AA43" s="135"/>
      <c r="AB43" s="162">
        <f t="array" ref="AB43">SUM(AB15:AC15*AB27:AC27)/SUM(AB15:AC15*AB27:AC27,AB13:AC13*AB26:AC26)</f>
        <v>0.42783068694009468</v>
      </c>
      <c r="AC43" s="135"/>
      <c r="AD43" s="162">
        <f t="array" ref="AD43">SUM(AD15:AE15*AD27:AE27)/SUM(AD15:AE15*AD27:AE27,AD13:AE13*AD26:AE26)</f>
        <v>0.40124316284197081</v>
      </c>
      <c r="AE43" s="135"/>
      <c r="AF43" s="162">
        <f t="array" ref="AF43">SUM(AF15:AG15*AF27:AG27)/SUM(AF15:AG15*AF27:AG27,AF13:AG13*AF26:AG26)</f>
        <v>0.36574041415946507</v>
      </c>
      <c r="AG43" s="135"/>
      <c r="AH43" s="162">
        <f t="array" ref="AH43">SUM(AH15:AI15*AH27:AI27)/SUM(AH15:AI15*AH27:AI27,AH13:AI13*AH26:AI26)</f>
        <v>0.314370600578119</v>
      </c>
      <c r="AI43" s="135"/>
      <c r="AJ43" s="162">
        <f t="array" ref="AJ43">SUM(AJ15:AK15*AJ27:AK27)/SUM(AJ15:AK15*AJ27:AK27,AJ13:AK13*AJ26:AK26)</f>
        <v>0.2298336769542399</v>
      </c>
      <c r="AK43" s="135"/>
      <c r="AL43" s="162">
        <f t="array" ref="AL43">SUM(AL15:AM15*AL27:AM27)/SUM(AL15:AM15*AL27:AM27,AL13:AM13*AL26:AM26)</f>
        <v>5.3753053738932417E-2</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0.29754226190682309</v>
      </c>
      <c r="D44" s="193">
        <f>(SUM(D11:E11*D24:E24)+D34)/D32</f>
        <v>0.29754224039638827</v>
      </c>
      <c r="F44" s="193">
        <f>(SUM(F11:G11*F24:G24)+F34)/F32</f>
        <v>0.29754223488985093</v>
      </c>
      <c r="H44" s="193">
        <f>(SUM(H11:I11*H24:I24)+H34)/H32</f>
        <v>0.29754222759213039</v>
      </c>
      <c r="J44" s="193">
        <f>(SUM(J11:K11*J24:K24)+J34)/J32</f>
        <v>0.2975422249981598</v>
      </c>
      <c r="L44" s="193">
        <f>(SUM(L11:M11*L24:M24)+L34)/L32</f>
        <v>0.29754225978703175</v>
      </c>
      <c r="N44" s="193">
        <f>(SUM(N11:O11*N24:O24)+N34)/N32</f>
        <v>0.29754225815307411</v>
      </c>
      <c r="P44" s="193">
        <f>(SUM(P11:Q11*P24:Q24)+P34)/P32</f>
        <v>0.29754225714616273</v>
      </c>
      <c r="R44" s="193">
        <f>(SUM(R11:S11*R24:S24)+R34)/R32</f>
        <v>0.29754225702533127</v>
      </c>
      <c r="T44" s="193">
        <f>(SUM(T11:U11*T24:U24)+T34)/T32</f>
        <v>0.29754225937515688</v>
      </c>
      <c r="V44" s="193">
        <f>(SUM(V11:W11*V24:W24)+V34)/V32</f>
        <v>0.29754226161426134</v>
      </c>
      <c r="X44" s="193">
        <f>(SUM(X11:Y11*X24:Y24)+X34)/X32</f>
        <v>0.29754223675570107</v>
      </c>
      <c r="Z44" s="193">
        <f>(SUM(Z11:AA11*Z24:AA24)+Z34)/Z32</f>
        <v>0.29754226183079852</v>
      </c>
      <c r="AB44" s="193">
        <f>(SUM(AB11:AC11*AB24:AC24)+AB34)/AB32</f>
        <v>0.29754225934738765</v>
      </c>
      <c r="AD44" s="193">
        <f>(SUM(AD11:AE11*AD24:AE24)+AD34)/AD32</f>
        <v>0.29754225203440737</v>
      </c>
      <c r="AF44" s="193">
        <f>(SUM(AF11:AG11*AF24:AG24)+AF34)/AF32</f>
        <v>0.29754225334057122</v>
      </c>
      <c r="AH44" s="193">
        <f>(SUM(AH11:AI11*AH24:AI24)+AH34)/AH32</f>
        <v>0.29754225594271244</v>
      </c>
      <c r="AJ44" s="193">
        <f>(SUM(AJ11:AK11*AJ24:AK24)+AJ34)/AJ32</f>
        <v>0.2975422615843194</v>
      </c>
      <c r="AL44" s="193">
        <f>(SUM(AL11:AM11*AL24:AM24)+AL34)/AL32</f>
        <v>0.29754226183278221</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0.22038438830257229</v>
      </c>
      <c r="F45" s="193">
        <f>SUM(F11:G11*F24:G24)/F32</f>
        <v>0.22038438830228269</v>
      </c>
      <c r="H45" s="193">
        <f>SUM(H11:I11*H24:I24)/H32</f>
        <v>0.22038438830343432</v>
      </c>
      <c r="J45" s="193">
        <f>SUM(J11:K11*J24:K24)/J32</f>
        <v>0.2203843882467468</v>
      </c>
      <c r="L45" s="193">
        <f>SUM(L11:M11*L24:M24)/L32</f>
        <v>0.22038438832365276</v>
      </c>
      <c r="N45" s="193">
        <f>SUM(N11:O11*N24:O24)/N32</f>
        <v>0.22038438831944374</v>
      </c>
      <c r="P45" s="193">
        <f>SUM(P11:Q11*P24:Q24)/P32</f>
        <v>0.2203843883186582</v>
      </c>
      <c r="R45" s="193">
        <f>SUM(R11:S11*R24:S24)/R32</f>
        <v>0.22038438832032162</v>
      </c>
      <c r="T45" s="193">
        <f>SUM(T11:U11*T24:U24)/T32</f>
        <v>0.2203843883223843</v>
      </c>
      <c r="V45" s="193">
        <f>SUM(V11:W11*V24:W24)/V32</f>
        <v>0.22038438833063573</v>
      </c>
      <c r="X45" s="193">
        <f>SUM(X11:Y11*X24:Y24)/X32</f>
        <v>0.22038438820711193</v>
      </c>
      <c r="Z45" s="193">
        <f>SUM(Z11:AA11*Z24:AA24)/Z32</f>
        <v>0.22038438833151752</v>
      </c>
      <c r="AB45" s="193">
        <f>SUM(AB11:AC11*AB24:AC24)/AB32</f>
        <v>0.2203843883142593</v>
      </c>
      <c r="AD45" s="193">
        <f>SUM(AD11:AE11*AD24:AE24)/AD32</f>
        <v>0.22038438825638823</v>
      </c>
      <c r="AF45" s="193">
        <f>SUM(AF11:AG11*AF24:AG24)/AF32</f>
        <v>0.22038438833675836</v>
      </c>
      <c r="AH45" s="193">
        <f>SUM(AH11:AI11*AH24:AI24)/AH32</f>
        <v>0.22038438830728277</v>
      </c>
      <c r="AJ45" s="193">
        <f>SUM(AJ11:AK11*AJ24:AK24)/AJ32</f>
        <v>0.22038438834769364</v>
      </c>
      <c r="AL45" s="193">
        <f>SUM(AL11:AM11*AL24:AM24)/AL32</f>
        <v>0.22038438833204452</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7.715787357488231E-2</v>
      </c>
      <c r="D46" s="193">
        <f>D34/D32</f>
        <v>7.715785209381594E-2</v>
      </c>
      <c r="F46" s="193">
        <f>F34/F32</f>
        <v>7.7157846587568246E-2</v>
      </c>
      <c r="H46" s="193">
        <f>H34/H32</f>
        <v>7.7157839288696101E-2</v>
      </c>
      <c r="J46" s="193">
        <f>J34/J32</f>
        <v>7.7157836751413023E-2</v>
      </c>
      <c r="L46" s="193">
        <f>L34/L32</f>
        <v>7.7157871463378977E-2</v>
      </c>
      <c r="N46" s="193">
        <f>N34/N32</f>
        <v>7.7157869833630363E-2</v>
      </c>
      <c r="P46" s="193">
        <f>P34/P32</f>
        <v>7.7157868827504528E-2</v>
      </c>
      <c r="R46" s="193">
        <f>R34/R32</f>
        <v>7.7157868705009694E-2</v>
      </c>
      <c r="T46" s="193">
        <f>T34/T32</f>
        <v>7.7157871052772567E-2</v>
      </c>
      <c r="V46" s="193">
        <f>V34/V32</f>
        <v>7.7157873283625639E-2</v>
      </c>
      <c r="X46" s="193">
        <f>X34/X32</f>
        <v>7.7157848548589175E-2</v>
      </c>
      <c r="Z46" s="193">
        <f>Z34/Z32</f>
        <v>7.7157873499280966E-2</v>
      </c>
      <c r="AB46" s="193">
        <f>AB34/AB32</f>
        <v>7.7157871033128364E-2</v>
      </c>
      <c r="AD46" s="193">
        <f>AD34/AD32</f>
        <v>7.715786377801917E-2</v>
      </c>
      <c r="AF46" s="193">
        <f>AF34/AF32</f>
        <v>7.7157865003812845E-2</v>
      </c>
      <c r="AH46" s="193">
        <f>AH34/AH32</f>
        <v>7.7157867635429686E-2</v>
      </c>
      <c r="AJ46" s="193">
        <f>AJ34/AJ32</f>
        <v>7.7157873236625776E-2</v>
      </c>
      <c r="AL46" s="193">
        <f>AL34/AL32</f>
        <v>7.7157873500737689E-2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1.0017479031857908</v>
      </c>
      <c r="E48" s="191"/>
      <c r="F48" s="191">
        <f>F24/$B$24</f>
        <v>1.0033828899399373</v>
      </c>
      <c r="G48" s="191"/>
      <c r="H48" s="191">
        <f>H24/$B$24</f>
        <v>1.0048858131523926</v>
      </c>
      <c r="I48" s="191"/>
      <c r="J48" s="191">
        <f>J24/$B$24</f>
        <v>1.0062328396840803</v>
      </c>
      <c r="K48" s="191"/>
      <c r="L48" s="191">
        <f>L24/$B$24</f>
        <v>1.0073938345342028</v>
      </c>
      <c r="M48" s="191"/>
      <c r="N48" s="191">
        <f>N24/$B$24</f>
        <v>1.008330318626621</v>
      </c>
      <c r="O48" s="191"/>
      <c r="P48" s="191">
        <f>P24/$B$24</f>
        <v>1.0089922317391897</v>
      </c>
      <c r="Q48" s="191"/>
      <c r="R48" s="191">
        <f>R24/$B$24</f>
        <v>1.0093133418324121</v>
      </c>
      <c r="S48" s="191"/>
      <c r="T48" s="191">
        <f>T24/$B$24</f>
        <v>1.009204193045308</v>
      </c>
      <c r="U48" s="191"/>
      <c r="V48" s="191">
        <f>V24/$B$24</f>
        <v>1.0085410866833928</v>
      </c>
      <c r="W48" s="191"/>
      <c r="X48" s="191">
        <f>X24/$B$24</f>
        <v>1.0071480772551296</v>
      </c>
      <c r="Y48" s="191"/>
      <c r="Z48" s="191">
        <f>Z24/$B$24</f>
        <v>1.0047664531724738</v>
      </c>
      <c r="AA48" s="191"/>
      <c r="AB48" s="191">
        <f>AB24/$B$24</f>
        <v>1.0009997193189961</v>
      </c>
      <c r="AC48" s="191"/>
      <c r="AD48" s="191">
        <f>AD24/$B$24</f>
        <v>0.99520787949083844</v>
      </c>
      <c r="AE48" s="191"/>
      <c r="AF48" s="191">
        <f>AF24/$B$24</f>
        <v>0.9862848963535763</v>
      </c>
      <c r="AG48" s="191"/>
      <c r="AH48" s="191">
        <f>AH24/$B$24</f>
        <v>0.97213144755767866</v>
      </c>
      <c r="AI48" s="191"/>
      <c r="AJ48" s="191">
        <f>AJ24/$B$24</f>
        <v>0.94817683153091581</v>
      </c>
      <c r="AK48" s="191"/>
      <c r="AL48" s="191">
        <f>AL24/$B$24</f>
        <v>0.90203340394605613</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1.0045176982432524</v>
      </c>
      <c r="E49" s="191"/>
      <c r="F49" s="191">
        <f>F13/F35/$B$13*$B$35</f>
        <v>1.0087550260161744</v>
      </c>
      <c r="G49" s="191"/>
      <c r="H49" s="191">
        <f>H13/H35/$B$13*$B$35</f>
        <v>1.0126596580008951</v>
      </c>
      <c r="I49" s="191"/>
      <c r="J49" s="191">
        <f>J13/J35/$B$13*$B$35</f>
        <v>1.0161642623657043</v>
      </c>
      <c r="K49" s="191"/>
      <c r="L49" s="191">
        <f>L13/L35/$B$13*$B$35</f>
        <v>1.019181267971661</v>
      </c>
      <c r="M49" s="191"/>
      <c r="N49" s="191">
        <f>N13/N35/$B$13*$B$35</f>
        <v>1.0215954930991764</v>
      </c>
      <c r="O49" s="191"/>
      <c r="P49" s="191">
        <f>P13/P35/$B$13*$B$35</f>
        <v>1.023252706776614</v>
      </c>
      <c r="Q49" s="191"/>
      <c r="R49" s="191">
        <f>R13/R35/$B$13*$B$35</f>
        <v>1.0239435974846542</v>
      </c>
      <c r="S49" s="191"/>
      <c r="T49" s="191">
        <f>T13/T35/$B$13*$B$35</f>
        <v>1.0233789380327736</v>
      </c>
      <c r="U49" s="191"/>
      <c r="V49" s="191">
        <f>V13/V35/$B$13*$B$35</f>
        <v>1.021151049566438</v>
      </c>
      <c r="W49" s="191"/>
      <c r="X49" s="191">
        <f>X13/X35/$B$13*$B$35</f>
        <v>1.0166724994261003</v>
      </c>
      <c r="Y49" s="191"/>
      <c r="Z49" s="191">
        <f>Z13/Z35/$B$13*$B$35</f>
        <v>1.0090739608612471</v>
      </c>
      <c r="AA49" s="191"/>
      <c r="AB49" s="191">
        <f>AB13/AB35/$B$13*$B$35</f>
        <v>0.9970311861427037</v>
      </c>
      <c r="AC49" s="191"/>
      <c r="AD49" s="191">
        <f>AD13/AD35/$B$13*$B$35</f>
        <v>0.97845182327905733</v>
      </c>
      <c r="AE49" s="191"/>
      <c r="AF49" s="191">
        <f>AF13/AF35/$B$13*$B$35</f>
        <v>0.94988574267910364</v>
      </c>
      <c r="AG49" s="191"/>
      <c r="AH49" s="191">
        <f>AH13/AH35/$B$13*$B$35</f>
        <v>0.90533719649148792</v>
      </c>
      <c r="AI49" s="191"/>
      <c r="AJ49" s="191">
        <f>AJ13/AJ35/$B$13*$B$35</f>
        <v>0.83368864454663649</v>
      </c>
      <c r="AK49" s="191"/>
      <c r="AL49" s="191">
        <f>AL13/AL35/$B$13*$B$35</f>
        <v>0.7126197582625885</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-318385.25114488369</v>
      </c>
      <c r="F51" s="29">
        <f>F30-F10*F23</f>
        <v>-227797.43266720884</v>
      </c>
      <c r="H51" s="29">
        <f>H30-H10*H23</f>
        <v>-133556.52835613675</v>
      </c>
      <c r="J51" s="29">
        <f>J30-J10*J23</f>
        <v>-35036.930975713301</v>
      </c>
      <c r="L51" s="29">
        <f>L30-L10*L23</f>
        <v>68522.890687871724</v>
      </c>
      <c r="N51" s="29">
        <f>N30-N10*N23</f>
        <v>178068.34132244112</v>
      </c>
      <c r="P51" s="29">
        <f>P30-P10*P23</f>
        <v>294775.09414865961</v>
      </c>
      <c r="R51" s="29">
        <f>R30-R10*R23</f>
        <v>420136.3958543581</v>
      </c>
      <c r="T51" s="29">
        <f>T30-T10*T23</f>
        <v>556079.84712401405</v>
      </c>
      <c r="V51" s="29">
        <f>V30-V10*V23</f>
        <v>705145.97157872748</v>
      </c>
      <c r="X51" s="29">
        <f>X30-X10*X23</f>
        <v>870771.90503427293</v>
      </c>
      <c r="Z51" s="29">
        <f>Z30-Z10*Z23</f>
        <v>1057745.106013082</v>
      </c>
      <c r="AB51" s="29">
        <f>AB30-AB10*AB23</f>
        <v>1273024.3857293366</v>
      </c>
      <c r="AD51" s="29">
        <f>AD30-AD10*AD23</f>
        <v>1527214.3756377297</v>
      </c>
      <c r="AF51" s="29">
        <f>AF30-AF10*AF23</f>
        <v>1837561.9349262575</v>
      </c>
      <c r="AH51" s="29">
        <f>AH30-AH10*AH23</f>
        <v>2234531.2450520196</v>
      </c>
      <c r="AJ51" s="29">
        <f>AJ30-AJ10*AJ23</f>
        <v>2777801.7669360908</v>
      </c>
      <c r="AL51" s="29">
        <f>AL30-AL10*AL23</f>
        <v>3597603.5532410364</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2065041.5299505191</v>
      </c>
      <c r="F52" s="29">
        <f t="array" ref="F52">Calibration!sL*SUM(F13:G13*F26:G26)</f>
        <v>2081078.4791659976</v>
      </c>
      <c r="H52" s="29">
        <f t="array" ref="H52">Calibration!sL*SUM(H13:I13*H26:I26)</f>
        <v>2097397.011112039</v>
      </c>
      <c r="J52" s="29">
        <f t="array" ref="J52">Calibration!sL*SUM(J13:K13*J26:K26)</f>
        <v>2114040.5245665987</v>
      </c>
      <c r="L52" s="29">
        <f t="array" ref="L52">Calibration!sL*SUM(L13:M13*L26:M26)</f>
        <v>2131058.3735492621</v>
      </c>
      <c r="N52" s="29">
        <f t="array" ref="N52">Calibration!sL*SUM(N13:O13*N26:O26)</f>
        <v>2148507.9900676096</v>
      </c>
      <c r="P52" s="29">
        <f t="array" ref="P52">Calibration!sL*SUM(P13:Q13*P26:Q26)</f>
        <v>2166454.1775629846</v>
      </c>
      <c r="R52" s="29">
        <f t="array" ref="R52">Calibration!sL*SUM(R13:S13*R26:S26)</f>
        <v>2184971.8854338671</v>
      </c>
      <c r="T52" s="29">
        <f t="array" ref="T52">Calibration!sL*SUM(T13:U13*T26:U26)</f>
        <v>2204147.7334450637</v>
      </c>
      <c r="V52" s="29">
        <f t="array" ref="V52">Calibration!sL*SUM(V13:W13*V26:W26)</f>
        <v>2224082.2487345682</v>
      </c>
      <c r="X52" s="29">
        <f t="array" ref="X52">Calibration!sL*SUM(X13:Y13*X26:Y26)</f>
        <v>2244893.82553478</v>
      </c>
      <c r="Z52" s="29">
        <f t="array" ref="Z52">Calibration!sL*SUM(Z13:AA13*Z26:AA26)</f>
        <v>2266721.6343335528</v>
      </c>
      <c r="AB52" s="29">
        <f t="array" ref="AB52">Calibration!sL*SUM(AB13:AC13*AB26:AC26)</f>
        <v>2289738.1482117409</v>
      </c>
      <c r="AD52" s="29">
        <f t="array" ref="AD52">Calibration!sL*SUM(AD13:AE13*AD26:AE26)</f>
        <v>2314160.5999438041</v>
      </c>
      <c r="AF52" s="29">
        <f t="array" ref="AF52">Calibration!sL*SUM(AF13:AG13*AF26:AG26)</f>
        <v>2340278.0689279609</v>
      </c>
      <c r="AH52" s="29">
        <f t="array" ref="AH52">Calibration!sL*SUM(AH13:AI13*AH26:AI26)</f>
        <v>2368468.2285415544</v>
      </c>
      <c r="AJ52" s="29">
        <f t="array" ref="AJ52">Calibration!sL*SUM(AJ13:AK13*AJ26:AK26)</f>
        <v>2398931.2226483962</v>
      </c>
      <c r="AL52" s="29">
        <f t="array" ref="AL52">Calibration!sL*SUM(AL13:AM13*AL26:AM26)</f>
        <v>2428133.3186543775</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2692839.5709704715</v>
      </c>
      <c r="F53" s="29">
        <f t="array" ref="F53">Calibration!sK*SUM(F15:G15*F27:G27)</f>
        <v>2642865.4572812757</v>
      </c>
      <c r="H53" s="29">
        <f t="array" ref="H53">Calibration!sK*SUM(H15:I15*H27:I27)</f>
        <v>2590442.809220802</v>
      </c>
      <c r="J53" s="29">
        <f t="array" ref="J53">Calibration!sK*SUM(J15:K15*J27:K27)</f>
        <v>2535146.6806369089</v>
      </c>
      <c r="L53" s="29">
        <f t="array" ref="L53">Calibration!sK*SUM(L15:M15*L27:M27)</f>
        <v>2476455.251741189</v>
      </c>
      <c r="N53" s="29">
        <f t="array" ref="N53">Calibration!sK*SUM(N15:O15*N27:O27)</f>
        <v>2413716.865308817</v>
      </c>
      <c r="P53" s="29">
        <f t="array" ref="P53">Calibration!sK*SUM(P15:Q15*P27:Q27)</f>
        <v>2346112.7421345389</v>
      </c>
      <c r="R53" s="29">
        <f t="array" ref="R53">Calibration!sK*SUM(R15:S15*R27:S27)</f>
        <v>2272594.368476043</v>
      </c>
      <c r="T53" s="29">
        <f t="array" ref="T53">Calibration!sK*SUM(T15:U15*T27:U27)</f>
        <v>2191796.1769156521</v>
      </c>
      <c r="V53" s="29">
        <f t="array" ref="V53">Calibration!sK*SUM(V15:W15*V27:W27)</f>
        <v>2101902.3658965966</v>
      </c>
      <c r="X53" s="29">
        <f t="array" ref="X53">Calibration!sK*SUM(X15:Y15*X27:Y27)</f>
        <v>2000435.2000152015</v>
      </c>
      <c r="Z53" s="29">
        <f t="array" ref="Z53">Calibration!sK*SUM(Z15:AA15*Z27:AA27)</f>
        <v>1883913.1300887617</v>
      </c>
      <c r="AB53" s="29">
        <f t="array" ref="AB53">Calibration!sK*SUM(AB15:AC15*AB27:AC27)</f>
        <v>1747240.0564344248</v>
      </c>
      <c r="AD53" s="29">
        <f t="array" ref="AD53">Calibration!sK*SUM(AD15:AE15*AD27:AE27)</f>
        <v>1582595.9219689015</v>
      </c>
      <c r="AF53" s="29">
        <f t="array" ref="AF53">Calibration!sK*SUM(AF15:AG15*AF27:AG27)</f>
        <v>1377186.5200281737</v>
      </c>
      <c r="AH53" s="29">
        <f t="array" ref="AH53">Calibration!sK*SUM(AH15:AI15*AH27:AI27)</f>
        <v>1108254.3486396449</v>
      </c>
      <c r="AJ53" s="29">
        <f t="array" ref="AJ53">Calibration!sK*SUM(AJ15:AK15*AJ27:AK27)</f>
        <v>730577.55452624173</v>
      </c>
      <c r="AL53" s="29">
        <f t="array" ref="AL53">Calibration!sK*SUM(AL15:AM15*AL27:AM27)</f>
        <v>140763.66531701238</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0.20445661825043149</v>
      </c>
      <c r="F55" s="193">
        <f>F30/F32</f>
        <v>0.21061076940481313</v>
      </c>
      <c r="H55" s="193">
        <f>H30/H32</f>
        <v>0.21700188330063799</v>
      </c>
      <c r="J55" s="193">
        <f>J30/J32</f>
        <v>0.22367455067795231</v>
      </c>
      <c r="L55" s="193">
        <f>L30/L32</f>
        <v>0.23068348801093691</v>
      </c>
      <c r="N55" s="193">
        <f>N30/N32</f>
        <v>0.2380972530597926</v>
      </c>
      <c r="P55" s="193">
        <f>P30/P32</f>
        <v>0.24600212234655169</v>
      </c>
      <c r="R55" s="193">
        <f>R30/R32</f>
        <v>0.25450918294235025</v>
      </c>
      <c r="T55" s="193">
        <f>T30/T32</f>
        <v>0.26376418455563722</v>
      </c>
      <c r="V55" s="193">
        <f>V30/V32</f>
        <v>0.27396293620800316</v>
      </c>
      <c r="X55" s="193">
        <f>X30/X32</f>
        <v>0.28537635900311598</v>
      </c>
      <c r="Z55" s="193">
        <f>Z30/Z32</f>
        <v>0.29839201565610951</v>
      </c>
      <c r="AB55" s="193">
        <f>AB30/AB32</f>
        <v>0.31359093876653288</v>
      </c>
      <c r="AD55" s="193">
        <f>AD30/AD32</f>
        <v>0.33189234135501627</v>
      </c>
      <c r="AF55" s="193">
        <f>AF30/AF32</f>
        <v>0.35486116858645328</v>
      </c>
      <c r="AH55" s="193">
        <f>AH30/AH32</f>
        <v>0.38543205385321039</v>
      </c>
      <c r="AJ55" s="193">
        <f>AJ30/AJ32</f>
        <v>0.42989024041263196</v>
      </c>
      <c r="AL55" s="193">
        <f>AL30/AL32</f>
        <v>0.50454406105187399</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3.4165425938488841E-2</v>
      </c>
      <c r="F56" s="193">
        <f>(Model!$C$52*F5*F20+F2*G5*G20)/F32</f>
        <v>3.927336938902741E-2</v>
      </c>
      <c r="H56" s="193">
        <f>(Model!$C$52*H5*H20+H2*I5*I20)/H32</f>
        <v>4.4575153430613697E-2</v>
      </c>
      <c r="J56" s="193">
        <f>(Model!$C$52*J5*J20+J2*K5*K20)/J32</f>
        <v>5.0107376112301642E-2</v>
      </c>
      <c r="L56" s="193">
        <f>(Model!$C$52*L5*L20+L2*M5*M20)/L32</f>
        <v>5.5914933573660452E-2</v>
      </c>
      <c r="N56" s="193">
        <f>(Model!$C$52*N5*N20+N2*O5*O20)/N32</f>
        <v>6.2054095731040398E-2</v>
      </c>
      <c r="P56" s="193">
        <f>(Model!$C$52*P5*P20+P2*Q5*Q20)/P32</f>
        <v>6.8595692355316693E-2</v>
      </c>
      <c r="R56" s="193">
        <f>(Model!$C$52*R5*R20+R2*S5*S20)/R32</f>
        <v>7.5630930322123729E-2</v>
      </c>
      <c r="T56" s="193">
        <f>(Model!$C$52*T5*T20+T2*U5*U20)/T32</f>
        <v>8.3279489312986302E-2</v>
      </c>
      <c r="V56" s="193">
        <f>(Model!$C$52*V5*V20+V2*W5*W20)/V32</f>
        <v>9.170218166721722E-2</v>
      </c>
      <c r="X56" s="193">
        <f>(Model!$C$52*X5*X20+X2*Y5*Y20)/X32</f>
        <v>0.10112150310241851</v>
      </c>
      <c r="Z56" s="193">
        <f>(Model!$C$52*Z5*Z20+Z2*AA5*AA20)/Z32</f>
        <v>0.11185580885775974</v>
      </c>
      <c r="AB56" s="193">
        <f>(Model!$C$52*AB5*AB20+AB2*AC5*AC20)/AB32</f>
        <v>0.12438228682805733</v>
      </c>
      <c r="AD56" s="193">
        <f>(Model!$C$52*AD5*AD20+AD2*AE5*AE20)/AD32</f>
        <v>0.13945585397547691</v>
      </c>
      <c r="AF56" s="193">
        <f>(Model!$C$52*AF5*AF20+AF2*AG5*AG20)/AF32</f>
        <v>0.15836149237477762</v>
      </c>
      <c r="AH56" s="193">
        <f>(Model!$C$52*AH5*AH20+AH2*AI5*AI20)/AH32</f>
        <v>0.1835080561282971</v>
      </c>
      <c r="AJ56" s="193">
        <f>(Model!$C$52*AJ5*AJ20+AJ2*AK5*AK20)/AJ32</f>
        <v>0.22005237869215377</v>
      </c>
      <c r="AL56" s="193">
        <f>(Model!$C$52*AL5*AL20+AL2*AM5*AM20)/AL32</f>
        <v>0.28136706021367647</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0.1596129309754013</v>
      </c>
      <c r="F57" s="193">
        <f t="array" ref="F57">SUM(Model!tauL*F13:G13*F26:G26)/F32</f>
        <v>0.16073350446874418</v>
      </c>
      <c r="H57" s="193">
        <f t="array" ref="H57">SUM(Model!tauL*H13:I13*H26:I26)/H32</f>
        <v>0.16189722575044771</v>
      </c>
      <c r="J57" s="193">
        <f t="array" ref="J57">SUM(Model!tauL*J13:K13*J26:K26)/J32</f>
        <v>0.16311220662936043</v>
      </c>
      <c r="L57" s="193">
        <f t="array" ref="L57">SUM(Model!tauL*L13:M13*L26:M26)/L32</f>
        <v>0.16438841783166624</v>
      </c>
      <c r="N57" s="193">
        <f t="array" ref="N57">SUM(Model!tauL*N13:O13*N26:O26)/N32</f>
        <v>0.16573834466265316</v>
      </c>
      <c r="P57" s="193">
        <f t="array" ref="P57">SUM(Model!tauL*P13:Q13*P26:Q26)/P32</f>
        <v>0.16717769385594922</v>
      </c>
      <c r="R57" s="193">
        <f t="array" ref="R57">SUM(Model!tauL*R13:S13*R26:S26)/R32</f>
        <v>0.16872669262553888</v>
      </c>
      <c r="T57" s="193">
        <f t="array" ref="T57">SUM(Model!tauL*T13:U13*T26:U26)/T32</f>
        <v>0.17041188192295537</v>
      </c>
      <c r="V57" s="193">
        <f t="array" ref="V57">SUM(Model!tauL*V13:W13*V26:W26)/V32</f>
        <v>0.17226890978658915</v>
      </c>
      <c r="X57" s="193">
        <f t="array" ref="X57">SUM(Model!tauL*X13:Y13*X26:Y26)/X32</f>
        <v>0.17434712048790529</v>
      </c>
      <c r="Y57" s="193"/>
      <c r="Z57" s="193">
        <f t="array" ref="Z57">SUM(Model!tauL*Z13:AA13*Z26:AA26)/Z32</f>
        <v>0.17671705205335617</v>
      </c>
      <c r="AB57" s="193">
        <f t="array" ref="AB57">SUM(Model!tauL*AB13:AC13*AB26:AC26)/AB32</f>
        <v>0.17948453255737926</v>
      </c>
      <c r="AD57" s="193">
        <f t="array" ref="AD57">SUM(Model!tauL*AD13:AE13*AD26:AE26)/AD32</f>
        <v>0.18281692778944228</v>
      </c>
      <c r="AF57" s="193">
        <f t="array" ref="AF57">SUM(Model!tauL*AF13:AG13*AF26:AG26)/AF32</f>
        <v>0.18699917758247694</v>
      </c>
      <c r="AH57" s="193">
        <f t="array" ref="AH57">SUM(Model!tauL*AH13:AI13*AH26:AI26)/AH32</f>
        <v>0.19256563920400951</v>
      </c>
      <c r="AJ57" s="193">
        <f t="array" ref="AJ57">SUM(Model!tauL*AJ13:AK13*AJ26:AK26)/AJ32</f>
        <v>0.20066076302631172</v>
      </c>
      <c r="AL57" s="193">
        <f t="array" ref="AL57">SUM(Model!tauL*AL13:AM13*AL26:AM26)/AL32</f>
        <v>0.21425402273486893</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1.0678261336541355E-2</v>
      </c>
      <c r="F58" s="193">
        <f t="array" ref="F58">SUM(Model!tauY/(1+Model!tauY)*F3:G3*F18:G18)/F32</f>
        <v>1.0603895547041534E-2</v>
      </c>
      <c r="H58" s="193">
        <f t="array" ref="H58">SUM(Model!tauY/(1+Model!tauY)*H3:I3*H18:I18)/H32</f>
        <v>1.052950411957655E-2</v>
      </c>
      <c r="J58" s="193">
        <f t="array" ref="J58">SUM(Model!tauY/(1+Model!tauY)*J3:K3*J18:K18)/J32</f>
        <v>1.0454967936290221E-2</v>
      </c>
      <c r="L58" s="193">
        <f t="array" ref="L58">SUM(Model!tauY/(1+Model!tauY)*L3:M3*L18:M18)/L32</f>
        <v>1.0380136605610204E-2</v>
      </c>
      <c r="N58" s="193">
        <f t="array" ref="N58">SUM(Model!tauY/(1+Model!tauY)*N3:O3*N18:O18)/N32</f>
        <v>1.0304812666099004E-2</v>
      </c>
      <c r="P58" s="193">
        <f t="array" ref="P58">SUM(Model!tauY/(1+Model!tauY)*P3:Q3*P18:Q18)/P32</f>
        <v>1.0228736135285757E-2</v>
      </c>
      <c r="R58" s="193">
        <f t="array" ref="R58">SUM(Model!tauY/(1+Model!tauY)*R3:S3*R18:S18)/R32</f>
        <v>1.0151559994687635E-2</v>
      </c>
      <c r="T58" s="193">
        <f t="array" ref="T58">SUM(Model!tauY/(1+Model!tauY)*T3:U3*T18:U18)/T32</f>
        <v>1.0072813319695532E-2</v>
      </c>
      <c r="V58" s="193">
        <f t="array" ref="V58">SUM(Model!tauY/(1+Model!tauY)*V3:W3*V18:W18)/V32</f>
        <v>9.9918447541967916E-3</v>
      </c>
      <c r="X58" s="193">
        <f t="array" ref="X58">SUM(Model!tauY/(1+Model!tauY)*X3:Y3*X18:Y18)/X32</f>
        <v>9.9077354127921884E-3</v>
      </c>
      <c r="Y58" s="193"/>
      <c r="Z58" s="193">
        <f t="array" ref="Z58">SUM(Model!tauY/(1+Model!tauY)*Z3:AA3*Z18:AA18)/Z32</f>
        <v>9.8191547449935565E-3</v>
      </c>
      <c r="AB58" s="193">
        <f t="array" ref="AB58">SUM(Model!tauY/(1+Model!tauY)*AB3:AC3*AB18:AC18)/AB32</f>
        <v>9.7241193810963088E-3</v>
      </c>
      <c r="AD58" s="193">
        <f t="array" ref="AD58">SUM(Model!tauY/(1+Model!tauY)*AD3:AE3*AD18:AE18)/AD32</f>
        <v>9.6195595900971098E-3</v>
      </c>
      <c r="AF58" s="193">
        <f t="array" ref="AF58">SUM(Model!tauY/(1+Model!tauY)*AF3:AG3*AF18:AG18)/AF32</f>
        <v>9.5004986291986927E-3</v>
      </c>
      <c r="AH58" s="193">
        <f t="array" ref="AH58">SUM(Model!tauY/(1+Model!tauY)*AH3:AI3*AH18:AI18)/AH32</f>
        <v>9.3583585209037531E-3</v>
      </c>
      <c r="AJ58" s="193">
        <f t="array" ref="AJ58">SUM(Model!tauY/(1+Model!tauY)*AJ3:AK3*AJ18:AK18)/AJ32</f>
        <v>9.1770986941664343E-3</v>
      </c>
      <c r="AL58" s="193">
        <f t="array" ref="AL58">SUM(Model!tauY/(1+Model!tauY)*AL3:AM3*AL18:AM18)/AL32</f>
        <v>8.9229781033285677E-3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5.5561035189073456E-3</v>
      </c>
      <c r="F59" s="193">
        <f>(F2*G5*G20)/F32</f>
        <v>1.0725669896076994E-2</v>
      </c>
      <c r="H59" s="193">
        <f>(H2*I5*I20)/H32</f>
        <v>1.6090813799821062E-2</v>
      </c>
      <c r="J59" s="193">
        <f>(J2*K5*K20)/J32</f>
        <v>2.1688440854575712E-2</v>
      </c>
      <c r="L59" s="193">
        <f>(L2*M5*M20)/L32</f>
        <v>2.7563818574065115E-2</v>
      </c>
      <c r="N59" s="193">
        <f>(N2*O5*O20)/N32</f>
        <v>3.3773675633596116E-2</v>
      </c>
      <c r="P59" s="193">
        <f>(P2*Q5*Q20)/P32</f>
        <v>4.0389409616568166E-2</v>
      </c>
      <c r="R59" s="193">
        <f>(R2*S5*S20)/R32</f>
        <v>4.7502944999299697E-2</v>
      </c>
      <c r="T59" s="193">
        <f>(T2*U5*U20)/T32</f>
        <v>5.5234884002353733E-2</v>
      </c>
      <c r="V59" s="193">
        <f>(V2*W5*W20)/V32</f>
        <v>6.3747251452706558E-2</v>
      </c>
      <c r="X59" s="193">
        <f>(X2*Y5*Y20)/X32</f>
        <v>7.3264180172102344E-2</v>
      </c>
      <c r="Z59" s="193">
        <f>(Z2*AA5*AA20)/Z32</f>
        <v>8.4106309210452548E-2</v>
      </c>
      <c r="AB59" s="193">
        <f>(AB2*AC5*AC20)/AB32</f>
        <v>9.6754157214445843E-2</v>
      </c>
      <c r="AD59" s="193">
        <f>(AD2*AE5*AE20)/AD32</f>
        <v>0.11196776865919948</v>
      </c>
      <c r="AF59" s="193">
        <f>(AF2*AG5*AG20)/AF32</f>
        <v>0.13104062057003091</v>
      </c>
      <c r="AH59" s="193">
        <f>(AH2*AI5*AI20)/AH32</f>
        <v>0.15639708363984328</v>
      </c>
      <c r="AJ59" s="193">
        <f>(AJ2*AK5*AK20)/AJ32</f>
        <v>0.19322634433357913</v>
      </c>
      <c r="AL59" s="193">
        <f>(AL2*AM5*AM20)/AL32</f>
        <v>0.25498192824168164</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2.8609322419581498E-2</v>
      </c>
      <c r="F60" s="193">
        <f>Model!$C$52*F5*F20/F32</f>
        <v>2.8547699492950416E-2</v>
      </c>
      <c r="H60" s="193">
        <f>Model!$C$52*H5*H20/H32</f>
        <v>2.8484339630792634E-2</v>
      </c>
      <c r="J60" s="193">
        <f>Model!$C$52*J5*J20/J32</f>
        <v>2.841893525772593E-2</v>
      </c>
      <c r="L60" s="193">
        <f>Model!$C$52*L5*L20/L32</f>
        <v>2.8351114999595341E-2</v>
      </c>
      <c r="N60" s="193">
        <f>Model!$C$52*N5*N20/N32</f>
        <v>2.8280420097444289E-2</v>
      </c>
      <c r="P60" s="193">
        <f>Model!$C$52*P5*P20/P32</f>
        <v>2.8206282738748534E-2</v>
      </c>
      <c r="R60" s="193">
        <f>Model!$C$52*R5*R20/R32</f>
        <v>2.8127985322824036E-2</v>
      </c>
      <c r="T60" s="193">
        <f>Model!$C$52*T5*T20/T32</f>
        <v>2.8044605310632572E-2</v>
      </c>
      <c r="V60" s="193">
        <f>Model!$C$52*V5*V20/V32</f>
        <v>2.7954930214510669E-2</v>
      </c>
      <c r="X60" s="193">
        <f>Model!$C$52*X5*X20/X32</f>
        <v>2.7857322930316172E-2</v>
      </c>
      <c r="Z60" s="193">
        <f>Model!$C$52*Z5*Z20/Z32</f>
        <v>2.7749499647307194E-2</v>
      </c>
      <c r="AB60" s="193">
        <f>Model!$C$52*AB5*AB20/AB32</f>
        <v>2.7628129613611475E-2</v>
      </c>
      <c r="AD60" s="193">
        <f>Model!$C$52*AD5*AD20/AD32</f>
        <v>2.748808531627743E-2</v>
      </c>
      <c r="AF60" s="193">
        <f>Model!$C$52*AF5*AF20/AF32</f>
        <v>2.7320871804746686E-2</v>
      </c>
      <c r="AH60" s="193">
        <f>Model!$C$52*AH5*AH20/AH32</f>
        <v>2.7110972488453847E-2</v>
      </c>
      <c r="AJ60" s="193">
        <f>Model!$C$52*AJ5*AJ20/AJ32</f>
        <v>2.6826034358574651E-2</v>
      </c>
      <c r="AL60" s="193">
        <f>Model!$C$52*AL5*AL20/AL32</f>
        <v>2.6385131971994803E-2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1.0256226859421935</v>
      </c>
      <c r="F62">
        <f>F13/F15</f>
        <v>1.0531317663237485</v>
      </c>
      <c r="H62">
        <f>H13/H15</f>
        <v>1.0828690629745183</v>
      </c>
      <c r="J62">
        <f>J13/J15</f>
        <v>1.1152687289964114</v>
      </c>
      <c r="L62">
        <f>L13/L15</f>
        <v>1.1508909318176734</v>
      </c>
      <c r="N62">
        <f>N13/N15</f>
        <v>1.1904741107543217</v>
      </c>
      <c r="P62">
        <f>P13/P15</f>
        <v>1.2350084714025003</v>
      </c>
      <c r="R62">
        <f>R13/R15</f>
        <v>1.2858586599085169</v>
      </c>
      <c r="T62">
        <f>T13/T15</f>
        <v>1.3449614663161891</v>
      </c>
      <c r="V62">
        <f>V13/V15</f>
        <v>1.4151667361414491</v>
      </c>
      <c r="X62">
        <f>X13/X15</f>
        <v>1.500861524278116</v>
      </c>
      <c r="Z62">
        <f>Z13/Z15</f>
        <v>1.6091874012746621</v>
      </c>
      <c r="AB62">
        <f>AB13/AB15</f>
        <v>1.7526796695762363</v>
      </c>
      <c r="AD62">
        <f>AD13/AD15</f>
        <v>1.955657324970008</v>
      </c>
      <c r="AF62">
        <f>AF13/AF15</f>
        <v>2.2727099205697159</v>
      </c>
      <c r="AH62">
        <f>AH13/AH15</f>
        <v>2.8582316619722854</v>
      </c>
      <c r="AJ62">
        <f>AJ13/AJ15</f>
        <v>4.3915798041304726</v>
      </c>
      <c r="AL62">
        <f>AL13/AL15</f>
        <v>23.070195167032306</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0.99919603704323545</v>
      </c>
      <c r="E65" s="191"/>
      <c r="F65" s="191">
        <f t="array" ref="F65">SQRT((F9:G9*$B$22:$C$22+F10:G10*$B$23:$C$23+F11:G11*$B$24:$C$24+F4:G4*($B$25:$C$25-$B$19:$C$19))/($B$9:$C$9*$B$22:$C$22+$B$10:$C$10*$B$23:$C$23+$B$11:$C$11*$B$24:$C$24+$B$4:$C$4*($B$25:$C$25-$B$19:$C$19))*(F9:G9*F22:G22+F10:G10*F23:G23+F11:G11*F24:G24+F4:G4*(F25:G25-F19:G19))/($B$9:$C$9*F22:G22+$B$10:$C$10*F23:G23+$B$11:$C$11*F24:G24+$B$4:$C$4*(F25:G25-F19:G19)))</f>
        <v>0.99838699343032489</v>
      </c>
      <c r="G65" s="191"/>
      <c r="H65" s="191">
        <f t="array" ref="H65">SQRT((H9:I9*$B$22:$C$22+H10:I10*$B$23:$C$23+H11:I11*$B$24:$C$24+H4:I4*($B$25:$C$25-$B$19:$C$19))/($B$9:$C$9*$B$22:$C$22+$B$10:$C$10*$B$23:$C$23+$B$11:$C$11*$B$24:$C$24+$B$4:$C$4*($B$25:$C$25-$B$19:$C$19))*(H9:I9*H22:I22+H10:I10*H23:I23+H11:I11*H24:I24+H4:I4*(H25:I25-H19:I19))/($B$9:$C$9*H22:I22+$B$10:$C$10*H23:I23+$B$11:$C$11*H24:I24+$B$4:$C$4*(H25:I25-H19:I19)))</f>
        <v>0.99757086919249416</v>
      </c>
      <c r="I65" s="191"/>
      <c r="J65" s="191">
        <f t="array" ref="J65">SQRT((J9:K9*$B$22:$C$22+J10:K10*$B$23:$C$23+J11:K11*$B$24:$C$24+J4:K4*($B$25:$C$25-$B$19:$C$19))/($B$9:$C$9*$B$22:$C$22+$B$10:$C$10*$B$23:$C$23+$B$11:$C$11*$B$24:$C$24+$B$4:$C$4*($B$25:$C$25-$B$19:$C$19))*(J9:K9*J22:K22+J10:K10*J23:K23+J11:K11*J24:K24+J4:K4*(J25:K25-J19:K19))/($B$9:$C$9*J22:K22+$B$10:$C$10*J23:K23+$B$11:$C$11*J24:K24+$B$4:$C$4*(J25:K25-J19:K19)))</f>
        <v>0.99674472631765976</v>
      </c>
      <c r="K65" s="191"/>
      <c r="L65" s="191">
        <f t="array" ref="L65">SQRT((L9:M9*$B$22:$C$22+L10:M10*$B$23:$C$23+L11:M11*$B$24:$C$24+L4:M4*($B$25:$C$25-$B$19:$C$19))/($B$9:$C$9*$B$22:$C$22+$B$10:$C$10*$B$23:$C$23+$B$11:$C$11*$B$24:$C$24+$B$4:$C$4*($B$25:$C$25-$B$19:$C$19))*(L9:M9*L22:M22+L10:M10*L23:M23+L11:M11*L24:M24+L4:M4*(L25:M25-L19:M19))/($B$9:$C$9*L22:M22+$B$10:$C$10*L23:M23+$B$11:$C$11*L24:M24+$B$4:$C$4*(L25:M25-L19:M19)))</f>
        <v>0.99590441639588323</v>
      </c>
      <c r="M65" s="191"/>
      <c r="N65" s="191">
        <f t="array" ref="N65">SQRT((N9:O9*$B$22:$C$22+N10:O10*$B$23:$C$23+N11:O11*$B$24:$C$24+N4:O4*($B$25:$C$25-$B$19:$C$19))/($B$9:$C$9*$B$22:$C$22+$B$10:$C$10*$B$23:$C$23+$B$11:$C$11*$B$24:$C$24+$B$4:$C$4*($B$25:$C$25-$B$19:$C$19))*(N9:O9*N22:O22+N10:O10*N23:O23+N11:O11*N24:O24+N4:O4*(N25:O25-N19:O19))/($B$9:$C$9*N22:O22+$B$10:$C$10*N23:O23+$B$11:$C$11*N24:O24+$B$4:$C$4*(N25:O25-N19:O19)))</f>
        <v>0.99504413887953713</v>
      </c>
      <c r="O65" s="191"/>
      <c r="P65" s="191">
        <f t="array" ref="P65">SQRT((P9:Q9*$B$22:$C$22+P10:Q10*$B$23:$C$23+P11:Q11*$B$24:$C$24+P4:Q4*($B$25:$C$25-$B$19:$C$19))/($B$9:$C$9*$B$22:$C$22+$B$10:$C$10*$B$23:$C$23+$B$11:$C$11*$B$24:$C$24+$B$4:$C$4*($B$25:$C$25-$B$19:$C$19))*(P9:Q9*P22:Q22+P10:Q10*P23:Q23+P11:Q11*P24:Q24+P4:Q4*(P25:Q25-P19:Q19))/($B$9:$C$9*P22:Q22+$B$10:$C$10*P23:Q23+$B$11:$C$11*P24:Q24+$B$4:$C$4*(P25:Q25-P19:Q19)))</f>
        <v>0.99415584022496128</v>
      </c>
      <c r="Q65" s="191"/>
      <c r="R65" s="191">
        <f t="array" ref="R65">SQRT((R9:S9*$B$22:$C$22+R10:S10*$B$23:$C$23+R11:S11*$B$24:$C$24+R4:S4*($B$25:$C$25-$B$19:$C$19))/($B$9:$C$9*$B$22:$C$22+$B$10:$C$10*$B$23:$C$23+$B$11:$C$11*$B$24:$C$24+$B$4:$C$4*($B$25:$C$25-$B$19:$C$19))*(R9:S9*R22:S22+R10:S10*R23:S23+R11:S11*R24:S24+R4:S4*(R25:S25-R19:S19))/($B$9:$C$9*R22:S22+$B$10:$C$10*R23:S23+$B$11:$C$11*R24:S24+$B$4:$C$4*(R25:S25-R19:S19)))</f>
        <v>0.99322845195094345</v>
      </c>
      <c r="S65" s="191"/>
      <c r="T65" s="191">
        <f t="array" ref="T65">SQRT((T9:U9*$B$22:$C$22+T10:U10*$B$23:$C$23+T11:U11*$B$24:$C$24+T4:U4*($B$25:$C$25-$B$19:$C$19))/($B$9:$C$9*$B$22:$C$22+$B$10:$C$10*$B$23:$C$23+$B$11:$C$11*$B$24:$C$24+$B$4:$C$4*($B$25:$C$25-$B$19:$C$19))*(T9:U9*T22:U22+T10:U10*T23:U23+T11:U11*T24:U24+T4:U4*(T25:U25-T19:U19))/($B$9:$C$9*T22:U22+$B$10:$C$10*T23:U23+$B$11:$C$11*T24:U24+$B$4:$C$4*(T25:U25-T19:U19)))</f>
        <v>0.99224679002919902</v>
      </c>
      <c r="U65" s="191"/>
      <c r="V65" s="191">
        <f t="array" ref="V65">SQRT((V9:W9*$B$22:$C$22+V10:W10*$B$23:$C$23+V11:W11*$B$24:$C$24+V4:W4*($B$25:$C$25-$B$19:$C$19))/($B$9:$C$9*$B$22:$C$22+$B$10:$C$10*$B$23:$C$23+$B$11:$C$11*$B$24:$C$24+$B$4:$C$4*($B$25:$C$25-$B$19:$C$19))*(V9:W9*V22:W22+V10:W10*V23:W23+V11:W11*V24:W24+V4:W4*(V25:W25-V19:W19))/($B$9:$C$9*V22:W22+$B$10:$C$10*V23:W23+$B$11:$C$11*V24:W24+$B$4:$C$4*(V25:W25-V19:W19)))</f>
        <v>0.99119005886928124</v>
      </c>
      <c r="W65" s="191"/>
      <c r="X65" s="191">
        <f t="array" ref="X65">SQRT((X9:Y9*$B$22:$C$22+X10:Y10*$B$23:$C$23+X11:Y11*$B$24:$C$24+X4:Y4*($B$25:$C$25-$B$19:$C$19))/($B$9:$C$9*$B$22:$C$22+$B$10:$C$10*$B$23:$C$23+$B$11:$C$11*$B$24:$C$24+$B$4:$C$4*($B$25:$C$25-$B$19:$C$19))*(X9:Y9*X22:Y22+X10:Y10*X23:Y23+X11:Y11*X24:Y24+X4:Y4*(X25:Y25-X19:Y19))/($B$9:$C$9*X22:Y22+$B$10:$C$10*X23:Y23+$B$11:$C$11*X24:Y24+$B$4:$C$4*(X25:Y25-X19:Y19)))</f>
        <v>0.99002979326143059</v>
      </c>
      <c r="Y65" s="191"/>
      <c r="Z65" s="191">
        <f t="array" ref="Z65">SQRT((Z9:AA9*$B$22:$C$22+Z10:AA10*$B$23:$C$23+Z11:AA11*$B$24:$C$24+Z4:AA4*($B$25:$C$25-$B$19:$C$19))/($B$9:$C$9*$B$22:$C$22+$B$10:$C$10*$B$23:$C$23+$B$11:$C$11*$B$24:$C$24+$B$4:$C$4*($B$25:$C$25-$B$19:$C$19))*(Z9:AA9*Z22:AA22+Z10:AA10*Z23:AA23+Z11:AA11*Z24:AA24+Z4:AA4*(Z25:AA25-Z19:AA19))/($B$9:$C$9*Z22:AA22+$B$10:$C$10*Z23:AA23+$B$11:$C$11*Z24:AA24+$B$4:$C$4*(Z25:AA25-Z19:AA19)))</f>
        <v>0.98872711979063421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0.98722932051979584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0.98546631071679558</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0.98335004056701025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0.98078882714657312</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0.97776410569559291</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0.97466188488667382</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0.99911623443583342</v>
      </c>
      <c r="E66" s="191"/>
      <c r="F66" s="191">
        <f t="array" ref="F66">SQRT((F9:G9*$B$22:$C$22)/($B$9:$C$9*$B$22:$C$22)*(F9:G9*F22:G22)/($B$9:$C$9*F22:G22))</f>
        <v>0.99822649720143741</v>
      </c>
      <c r="G66" s="191"/>
      <c r="H66" s="191">
        <f t="array" ref="H66">SQRT((H9:I9*$B$22:$C$22)/($B$9:$C$9*$B$22:$C$22)*(H9:I9*H22:I22)/($B$9:$C$9*H22:I22))</f>
        <v>0.99732857711176681</v>
      </c>
      <c r="I66" s="191"/>
      <c r="J66" s="191">
        <f t="array" ref="J66">SQRT((J9:K9*$B$22:$C$22)/($B$9:$C$9*$B$22:$C$22)*(J9:K9*J22:K22)/($B$9:$C$9*J22:K22))</f>
        <v>0.99641922524360671</v>
      </c>
      <c r="K66" s="191"/>
      <c r="L66" s="191">
        <f t="array" ref="L66">SQRT((L9:M9*$B$22:$C$22)/($B$9:$C$9*$B$22:$C$22)*(L9:M9*L22:M22)/($B$9:$C$9*L22:M22))</f>
        <v>0.99549385193958728</v>
      </c>
      <c r="M66" s="191"/>
      <c r="N66" s="191">
        <f t="array" ref="N66">SQRT((N9:O9*$B$22:$C$22)/($B$9:$C$9*$B$22:$C$22)*(N9:O9*N22:O22)/($B$9:$C$9*N22:O22))</f>
        <v>0.994546035916125</v>
      </c>
      <c r="O66" s="191"/>
      <c r="P66" s="191">
        <f t="array" ref="P66">SQRT((P9:Q9*$B$22:$C$22)/($B$9:$C$9*$B$22:$C$22)*(P9:Q9*P22:Q22)/($B$9:$C$9*P22:Q22))</f>
        <v>0.9935668556638918</v>
      </c>
      <c r="Q66" s="191"/>
      <c r="R66" s="191">
        <f t="array" ref="R66">SQRT((R9:S9*$B$22:$C$22)/($B$9:$C$9*$B$22:$C$22)*(R9:S9*R22:S22)/($B$9:$C$9*R22:S22))</f>
        <v>0.99254403994714746</v>
      </c>
      <c r="S66" s="191"/>
      <c r="T66" s="191">
        <f t="array" ref="T66">SQRT((T9:U9*$B$22:$C$22)/($B$9:$C$9*$B$22:$C$22)*(T9:U9*T22:U22)/($B$9:$C$9*T22:U22))</f>
        <v>0.99146073943518842</v>
      </c>
      <c r="U66" s="191"/>
      <c r="V66" s="191">
        <f t="array" ref="V66">SQRT((V9:W9*$B$22:$C$22)/($B$9:$C$9*$B$22:$C$22)*(V9:W9*V22:W22)/($B$9:$C$9*V22:W22))</f>
        <v>0.99029385334380349</v>
      </c>
      <c r="W66" s="191"/>
      <c r="X66" s="191">
        <f t="array" ref="X66">SQRT((X9:Y9*$B$22:$C$22)/($B$9:$C$9*$B$22:$C$22)*(X9:Y9*X22:Y22)/($B$9:$C$9*X22:Y22))</f>
        <v>0.98901172120594016</v>
      </c>
      <c r="Y66" s="191"/>
      <c r="Z66" s="191">
        <f t="array" ref="Z66">SQRT((Z9:AA9*$B$22:$C$22)/($B$9:$C$9*$B$22:$C$22)*(Z9:AA9*Z22:AA22)/($B$9:$C$9*Z22:AA22))</f>
        <v>0.98757103862441964</v>
      </c>
      <c r="AA66" s="191"/>
      <c r="AB66" s="191">
        <f t="array" ref="AB66">SQRT((AB9:AC9*$B$22:$C$22)/($B$9:$C$9*$B$22:$C$22)*(AB9:AC9*AB22:AC22)/($B$9:$C$9*AB22:AC22))</f>
        <v>0.98591296127227979</v>
      </c>
      <c r="AC66" s="191"/>
      <c r="AD66" s="191">
        <f t="array" ref="AD66">SQRT((AD9:AE9*$B$22:$C$22)/($B$9:$C$9*$B$22:$C$22)*(AD9:AE9*AD22:AE22)/($B$9:$C$9*AD22:AE22))</f>
        <v>0.98395904685574898</v>
      </c>
      <c r="AE66" s="191"/>
      <c r="AF66" s="191">
        <f t="array" ref="AF66">SQRT((AF9:AG9*$B$22:$C$22)/($B$9:$C$9*$B$22:$C$22)*(AF9:AG9*AF22:AG22)/($B$9:$C$9*AF22:AG22))</f>
        <v>0.98161033924376084</v>
      </c>
      <c r="AG66" s="191"/>
      <c r="AH66" s="191">
        <f t="array" ref="AH66">SQRT((AH9:AI9*$B$22:$C$22)/($B$9:$C$9*$B$22:$C$22)*(AH9:AI9*AH22:AI22)/($B$9:$C$9*AH22:AI22))</f>
        <v>0.97876293746800136</v>
      </c>
      <c r="AI66" s="191"/>
      <c r="AJ66" s="191">
        <f t="array" ref="AJ66">SQRT((AJ9:AK9*$B$22:$C$22)/($B$9:$C$9*$B$22:$C$22)*(AJ9:AK9*AJ22:AK22)/($B$9:$C$9*AJ22:AK22))</f>
        <v>0.97539323412375833</v>
      </c>
      <c r="AK66" s="191"/>
      <c r="AL66" s="191">
        <f t="array" ref="AL66">SQRT((AL9:AM9*$B$22:$C$22)/($B$9:$C$9*$B$22:$C$22)*(AL9:AM9*AL22:AM22)/($B$9:$C$9*AL22:AM22))</f>
        <v>0.97192927477432478</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0.99911623443583342</v>
      </c>
      <c r="E68" s="191"/>
      <c r="F68" s="191">
        <f>F66/F67</f>
        <v>0.99822649720143741</v>
      </c>
      <c r="G68" s="191"/>
      <c r="H68" s="191">
        <f>H66/H67</f>
        <v>0.99732857711176681</v>
      </c>
      <c r="I68" s="191"/>
      <c r="J68" s="191">
        <f>J66/J67</f>
        <v>0.99641922524360671</v>
      </c>
      <c r="K68" s="191"/>
      <c r="L68" s="191">
        <f>L66/L67</f>
        <v>0.99549385193958728</v>
      </c>
      <c r="M68" s="191"/>
      <c r="N68" s="191">
        <f>N66/N67</f>
        <v>0.994546035916125</v>
      </c>
      <c r="O68" s="191"/>
      <c r="P68" s="191">
        <f>P66/P67</f>
        <v>0.9935668556638918</v>
      </c>
      <c r="Q68" s="191"/>
      <c r="R68" s="191">
        <f>R66/R67</f>
        <v>0.99254403994714746</v>
      </c>
      <c r="S68" s="191"/>
      <c r="T68" s="191">
        <f>T66/T67</f>
        <v>0.99146073943518842</v>
      </c>
      <c r="U68" s="191"/>
      <c r="V68" s="191">
        <f>V66/V67</f>
        <v>0.99029385334380349</v>
      </c>
      <c r="W68" s="191"/>
      <c r="X68" s="191">
        <f>X66/X67</f>
        <v>0.98901172120594016</v>
      </c>
      <c r="Y68" s="191"/>
      <c r="Z68" s="191">
        <f>Z66/Z67</f>
        <v>0.98757103862441964</v>
      </c>
      <c r="AA68" s="191"/>
      <c r="AB68" s="191">
        <f>AB66/AB67</f>
        <v>0.98591296127227979</v>
      </c>
      <c r="AC68" s="191"/>
      <c r="AD68" s="191">
        <f>AD66/AD67</f>
        <v>0.98395904685574898</v>
      </c>
      <c r="AE68" s="191"/>
      <c r="AF68" s="191">
        <f>AF66/AF67</f>
        <v>0.98161033924376084</v>
      </c>
      <c r="AG68" s="191"/>
      <c r="AH68" s="191">
        <f>AH66/AH67</f>
        <v>0.97876293746800136</v>
      </c>
      <c r="AI68" s="191"/>
      <c r="AJ68" s="191">
        <f>AJ66/AJ67</f>
        <v>0.97539323412375833</v>
      </c>
      <c r="AK68" s="191"/>
      <c r="AL68" s="191">
        <f>AL66/AL67</f>
        <v>0.97192927477432478</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1.0016678969024444</v>
      </c>
      <c r="E69" s="191"/>
      <c r="F69" s="191">
        <f>F32/F65/($B$32)</f>
        <v>1.0032215907280735</v>
      </c>
      <c r="G69" s="191"/>
      <c r="H69" s="191">
        <f>H32/H65/($B$32)</f>
        <v>1.0046417445328613</v>
      </c>
      <c r="I69" s="191"/>
      <c r="J69" s="191">
        <f>J32/J65/($B$32)</f>
        <v>1.0059042405213958</v>
      </c>
      <c r="K69" s="191"/>
      <c r="L69" s="191">
        <f>L32/L65/($B$32)</f>
        <v>1.0069785335701467</v>
      </c>
      <c r="M69" s="191"/>
      <c r="N69" s="191">
        <f>N32/N65/($B$32)</f>
        <v>1.0078255648741841</v>
      </c>
      <c r="O69" s="191"/>
      <c r="P69" s="191">
        <f>P32/P65/($B$32)</f>
        <v>1.0083944574645065</v>
      </c>
      <c r="Q69" s="191"/>
      <c r="R69" s="191">
        <f>R32/R65/($B$32)</f>
        <v>1.0086178461359607</v>
      </c>
      <c r="S69" s="191"/>
      <c r="T69" s="191">
        <f>T32/T65/($B$32)</f>
        <v>1.0084047089653347</v>
      </c>
      <c r="U69" s="191"/>
      <c r="V69" s="191">
        <f>V32/V65/($B$32)</f>
        <v>1.007629192863883</v>
      </c>
      <c r="W69" s="191"/>
      <c r="X69" s="191">
        <f>X32/X65/($B$32)</f>
        <v>1.0061124026158625</v>
      </c>
      <c r="Y69" s="191"/>
      <c r="Z69" s="191">
        <f>Z32/Z65/($B$32)</f>
        <v>1.0035916178232656</v>
      </c>
      <c r="AA69" s="191"/>
      <c r="AB69" s="191">
        <f>AB32/AB65/($B$32)</f>
        <v>0.9996649988738886</v>
      </c>
      <c r="AC69" s="191"/>
      <c r="AD69" s="191">
        <f>AD32/AD65/($B$32)</f>
        <v>0.99368571630883384</v>
      </c>
      <c r="AE69" s="191"/>
      <c r="AF69" s="191">
        <f>AF32/AF65/($B$32)</f>
        <v>0.98454000278601084</v>
      </c>
      <c r="AG69" s="191"/>
      <c r="AH69" s="191">
        <f>AH32/AH65/($B$32)</f>
        <v>0.97012344042622189</v>
      </c>
      <c r="AI69" s="191"/>
      <c r="AJ69" s="191">
        <f>AJ32/AJ65/($B$32)</f>
        <v>0.94587770278609806</v>
      </c>
      <c r="AK69" s="191"/>
      <c r="AL69" s="191">
        <f>AL32/AL65/($B$32)</f>
        <v>0.89950441862311137</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0.99993331441387145</v>
      </c>
      <c r="E70" s="138"/>
      <c r="F70" s="138">
        <f>F18/$B$18</f>
        <v>0.99969755684866302</v>
      </c>
      <c r="G70" s="138"/>
      <c r="H70" s="138">
        <f>H18/$B$18</f>
        <v>0.99926577188873134</v>
      </c>
      <c r="I70" s="138"/>
      <c r="J70" s="138">
        <f>J18/$B$18</f>
        <v>0.99860501255114642</v>
      </c>
      <c r="K70" s="138"/>
      <c r="L70" s="138">
        <f>L18/$B$18</f>
        <v>0.99767446896035217</v>
      </c>
      <c r="M70" s="138"/>
      <c r="N70" s="138">
        <f>N18/$B$18</f>
        <v>0.996422873576708</v>
      </c>
      <c r="O70" s="138"/>
      <c r="P70" s="138">
        <f>P18/$B$18</f>
        <v>0.99478489446487772</v>
      </c>
      <c r="Q70" s="138"/>
      <c r="R70" s="138">
        <f>R18/$B$18</f>
        <v>0.9926756649380154</v>
      </c>
      <c r="S70" s="138"/>
      <c r="T70" s="138">
        <f>T18/$B$18</f>
        <v>0.98998263469840619</v>
      </c>
      <c r="U70" s="138"/>
      <c r="V70" s="138">
        <f>V18/$B$18</f>
        <v>0.98655284088174977</v>
      </c>
      <c r="W70" s="138"/>
      <c r="X70" s="138">
        <f>X18/$B$18</f>
        <v>0.98217219159542124</v>
      </c>
      <c r="Y70" s="138"/>
      <c r="Z70" s="138">
        <f>Z18/$B$18</f>
        <v>0.97653044373116216</v>
      </c>
      <c r="AA70" s="138"/>
      <c r="AB70" s="138">
        <f>AB18/$B$18</f>
        <v>0.96915783270065525</v>
      </c>
      <c r="AC70" s="138"/>
      <c r="AD70" s="138">
        <f>AD18/$B$18</f>
        <v>0.95930358592342746</v>
      </c>
      <c r="AE70" s="138"/>
      <c r="AF70" s="138">
        <f>AF18/$B$18</f>
        <v>0.94567992258511979</v>
      </c>
      <c r="AG70" s="138"/>
      <c r="AH70" s="138">
        <f>AH18/$B$18</f>
        <v>0.92585840092876837</v>
      </c>
      <c r="AI70" s="138"/>
      <c r="AJ70" s="138">
        <f>AJ18/$B$18</f>
        <v>0.89460447603166093</v>
      </c>
      <c r="AK70" s="138"/>
      <c r="AL70" s="138">
        <f>AL18/$B$18</f>
        <v>0.83810435609579537</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0.93790347447919631</v>
      </c>
      <c r="E71" s="138"/>
      <c r="F71" s="138">
        <f>G18/$C$18</f>
        <v>0.87612839122671737</v>
      </c>
      <c r="G71" s="138"/>
      <c r="H71" s="138">
        <f>I18/$C$18</f>
        <v>0.81471435804152792</v>
      </c>
      <c r="I71" s="138"/>
      <c r="J71" s="138">
        <f>K18/$C$18</f>
        <v>0.75370351470620989</v>
      </c>
      <c r="K71" s="138"/>
      <c r="L71" s="138">
        <f>M18/$C$18</f>
        <v>0.69314363574123883</v>
      </c>
      <c r="M71" s="138"/>
      <c r="N71" s="138">
        <f>O18/$C$18</f>
        <v>0.63308534692134955</v>
      </c>
      <c r="O71" s="138"/>
      <c r="P71" s="138">
        <f>Q18/$C$18</f>
        <v>0.57358723016947299</v>
      </c>
      <c r="Q71" s="138"/>
      <c r="R71" s="138">
        <f>S18/$C$18</f>
        <v>0.51471735577717026</v>
      </c>
      <c r="S71" s="138"/>
      <c r="T71" s="138">
        <f>U18/$C$18</f>
        <v>0.45655843893118125</v>
      </c>
      <c r="U71" s="138"/>
      <c r="V71" s="138">
        <f>W18/$C$18</f>
        <v>0.39921570832488901</v>
      </c>
      <c r="W71" s="138"/>
      <c r="X71" s="138">
        <f>Y18/$C$18</f>
        <v>0.34283061032027518</v>
      </c>
      <c r="Y71" s="138"/>
      <c r="Z71" s="138">
        <f>AA18/$C$18</f>
        <v>0.2876045255043434</v>
      </c>
      <c r="AA71" s="138"/>
      <c r="AB71" s="138">
        <f>AC18/$C$18</f>
        <v>0.23383634271913004</v>
      </c>
      <c r="AC71" s="138"/>
      <c r="AD71" s="138">
        <f>AE18/$C$18</f>
        <v>0.18199274792760325</v>
      </c>
      <c r="AE71" s="138"/>
      <c r="AF71" s="138">
        <f>AG18/$C$18</f>
        <v>0.13282805800098585</v>
      </c>
      <c r="AG71" s="138"/>
      <c r="AH71" s="138">
        <f>AI18/$C$18</f>
        <v>8.7596996649036085E-2</v>
      </c>
      <c r="AI71" s="138"/>
      <c r="AJ71" s="138">
        <f>AK18/$C$18</f>
        <v>4.8419166077789885E-2</v>
      </c>
      <c r="AK71" s="138"/>
      <c r="AL71" s="138">
        <f>AM18/$C$18</f>
        <v>1.8750297756049576E-2</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0.98883714076053519</v>
      </c>
      <c r="E72" s="138"/>
      <c r="F72" s="138">
        <f>G19/$C$19</f>
        <v>0.97886323925598606</v>
      </c>
      <c r="G72" s="138"/>
      <c r="H72" s="138">
        <f>I19/$C$19</f>
        <v>0.97023270329813627</v>
      </c>
      <c r="I72" s="138"/>
      <c r="J72" s="138">
        <f>K19/$C$19</f>
        <v>0.96313170983568308</v>
      </c>
      <c r="K72" s="138"/>
      <c r="L72" s="138">
        <f>M19/$C$19</f>
        <v>0.95778564255495569</v>
      </c>
      <c r="M72" s="138"/>
      <c r="N72" s="138">
        <f>O19/$C$19</f>
        <v>0.95447476912884499</v>
      </c>
      <c r="O72" s="138"/>
      <c r="P72" s="138">
        <f>Q19/$C$19</f>
        <v>0.95354013483518241</v>
      </c>
      <c r="Q72" s="138"/>
      <c r="R72" s="138">
        <f>S19/$C$19</f>
        <v>0.95540544454956433</v>
      </c>
      <c r="S72" s="138"/>
      <c r="T72" s="138">
        <f>U19/$C$19</f>
        <v>0.96059676172360819</v>
      </c>
      <c r="U72" s="138"/>
      <c r="V72" s="138">
        <f>W19/$C$19</f>
        <v>0.96976659174469981</v>
      </c>
      <c r="W72" s="138"/>
      <c r="X72" s="138">
        <f>Y19/$C$19</f>
        <v>0.98371829777936459</v>
      </c>
      <c r="Y72" s="138"/>
      <c r="Z72" s="138">
        <f>AA19/$C$19</f>
        <v>1.0034087053090686</v>
      </c>
      <c r="AA72" s="138"/>
      <c r="AB72" s="138">
        <f>AC19/$C$19</f>
        <v>1.0299162714147347</v>
      </c>
      <c r="AC72" s="138"/>
      <c r="AD72" s="138">
        <f>AE19/$C$19</f>
        <v>1.0642181816348062</v>
      </c>
      <c r="AE72" s="138"/>
      <c r="AF72" s="138">
        <f>AG19/$C$19</f>
        <v>1.1064801027063833</v>
      </c>
      <c r="AG72" s="138"/>
      <c r="AH72" s="138">
        <f>AI19/$C$19</f>
        <v>1.1537634344124614</v>
      </c>
      <c r="AI72" s="138"/>
      <c r="AJ72" s="138">
        <f>AK19/$C$19</f>
        <v>1.1924694684805959</v>
      </c>
      <c r="AK72" s="138"/>
      <c r="AL72" s="138">
        <f>AM19/$C$19</f>
        <v>1.171998504810128</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0.47641153352875221</v>
      </c>
      <c r="D73" s="193">
        <f t="array" ref="D73">SUM(D9:E9*D22:E22)/D32</f>
        <v>0.47641155503918708</v>
      </c>
      <c r="E73" s="138"/>
      <c r="F73" s="193">
        <f t="array" ref="F73">SUM(F9:G9*F22:G22)/F32</f>
        <v>0.47641156054572426</v>
      </c>
      <c r="G73" s="138"/>
      <c r="H73" s="193">
        <f t="array" ref="H73">SUM(H9:I9*H22:I22)/H32</f>
        <v>0.47641156784344485</v>
      </c>
      <c r="I73" s="138"/>
      <c r="J73" s="193">
        <f t="array" ref="J73">SUM(J9:K9*J22:K22)/J32</f>
        <v>0.47641157043741539</v>
      </c>
      <c r="K73" s="138"/>
      <c r="L73" s="193">
        <f t="array" ref="L73">SUM(L9:M9*L22:M22)/L32</f>
        <v>0.47641153564854344</v>
      </c>
      <c r="M73" s="138"/>
      <c r="N73" s="193">
        <f t="array" ref="N73">SUM(N9:O9*N22:O22)/N32</f>
        <v>0.47641153728250124</v>
      </c>
      <c r="O73" s="138"/>
      <c r="P73" s="193">
        <f t="array" ref="P73">SUM(P9:Q9*P22:Q22)/P32</f>
        <v>0.47641153828941252</v>
      </c>
      <c r="Q73" s="138"/>
      <c r="R73" s="193">
        <f t="array" ref="R73">SUM(R9:S9*R22:S22)/R32</f>
        <v>0.47641153841024381</v>
      </c>
      <c r="S73" s="138"/>
      <c r="T73" s="193">
        <f t="array" ref="T73">SUM(T9:U9*T22:U22)/T32</f>
        <v>0.47641153606041836</v>
      </c>
      <c r="U73" s="138"/>
      <c r="V73" s="193">
        <f t="array" ref="V73">SUM(V9:W9*V22:W22)/V32</f>
        <v>0.47641153382131401</v>
      </c>
      <c r="W73" s="138"/>
      <c r="X73" s="193">
        <f t="array" ref="X73">SUM(X9:Y9*X22:Y22)/X32</f>
        <v>0.47641155867987411</v>
      </c>
      <c r="Y73" s="138"/>
      <c r="Z73" s="193">
        <f t="array" ref="Z73">SUM(Z9:AA9*Z22:AA22)/Z32</f>
        <v>0.47641153360477684</v>
      </c>
      <c r="AA73" s="138"/>
      <c r="AB73" s="193">
        <f t="array" ref="AB73">SUM(AB9:AC9*AB22:AC22)/AB32</f>
        <v>0.47641153608818759</v>
      </c>
      <c r="AC73" s="138"/>
      <c r="AD73" s="193">
        <f t="array" ref="AD73">SUM(AD9:AE9*AD22:AE22)/AD32</f>
        <v>0.47641154340116776</v>
      </c>
      <c r="AE73" s="138"/>
      <c r="AF73" s="193">
        <f t="array" ref="AF73">SUM(AF9:AG9*AF22:AG22)/AF32</f>
        <v>0.47641154209500414</v>
      </c>
      <c r="AG73" s="138"/>
      <c r="AH73" s="193">
        <f t="array" ref="AH73">SUM(AH9:AI9*AH22:AI22)/AH32</f>
        <v>0.4764115394928628</v>
      </c>
      <c r="AI73" s="138"/>
      <c r="AJ73" s="193">
        <f t="array" ref="AJ73">SUM(AJ9:AK9*AJ22:AK22)/AJ32</f>
        <v>0.47641153385125568</v>
      </c>
      <c r="AK73" s="138"/>
      <c r="AL73" s="193">
        <f t="array" ref="AL73">SUM(AL9:AM9*AL22:AM22)/AL32</f>
        <v>0.47641153360279315</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0.22038438830257229</v>
      </c>
      <c r="E75" s="138"/>
      <c r="F75" s="193">
        <f t="array" ref="F75">SUM(F11:G11*F24:G24)/F32</f>
        <v>0.22038438830228269</v>
      </c>
      <c r="G75" s="138"/>
      <c r="H75" s="193">
        <f t="array" ref="H75">SUM(H11:I11*H24:I24)/H32</f>
        <v>0.22038438830343432</v>
      </c>
      <c r="I75" s="138"/>
      <c r="J75" s="193">
        <f t="array" ref="J75">SUM(J11:K11*J24:K24)/J32</f>
        <v>0.2203843882467468</v>
      </c>
      <c r="K75" s="138"/>
      <c r="L75" s="193">
        <f t="array" ref="L75">SUM(L11:M11*L24:M24)/L32</f>
        <v>0.22038438832365276</v>
      </c>
      <c r="M75" s="138"/>
      <c r="N75" s="193">
        <f t="array" ref="N75">SUM(N11:O11*N24:O24)/N32</f>
        <v>0.22038438831944374</v>
      </c>
      <c r="O75" s="138"/>
      <c r="P75" s="193">
        <f t="array" ref="P75">SUM(P11:Q11*P24:Q24)/P32</f>
        <v>0.2203843883186582</v>
      </c>
      <c r="Q75" s="138"/>
      <c r="R75" s="193">
        <f t="array" ref="R75">SUM(R11:S11*R24:S24)/R32</f>
        <v>0.22038438832032162</v>
      </c>
      <c r="S75" s="138"/>
      <c r="T75" s="193">
        <f t="array" ref="T75">SUM(T11:U11*T24:U24)/T32</f>
        <v>0.2203843883223843</v>
      </c>
      <c r="U75" s="138"/>
      <c r="V75" s="193">
        <f t="array" ref="V75">SUM(V11:W11*V24:W24)/V32</f>
        <v>0.22038438833063573</v>
      </c>
      <c r="W75" s="138"/>
      <c r="X75" s="193">
        <f t="array" ref="X75">SUM(X11:Y11*X24:Y24)/X32</f>
        <v>0.22038438820711193</v>
      </c>
      <c r="Y75" s="138"/>
      <c r="Z75" s="193">
        <f t="array" ref="Z75">SUM(Z11:AA11*Z24:AA24)/Z32</f>
        <v>0.22038438833151752</v>
      </c>
      <c r="AA75" s="138"/>
      <c r="AB75" s="193">
        <f t="array" ref="AB75">SUM(AB11:AC11*AB24:AC24)/AB32</f>
        <v>0.2203843883142593</v>
      </c>
      <c r="AC75" s="138"/>
      <c r="AD75" s="193">
        <f t="array" ref="AD75">SUM(AD11:AE11*AD24:AE24)/AD32</f>
        <v>0.22038438825638823</v>
      </c>
      <c r="AE75" s="138"/>
      <c r="AF75" s="193">
        <f t="array" ref="AF75">SUM(AF11:AG11*AF24:AG24)/AF32</f>
        <v>0.22038438833675836</v>
      </c>
      <c r="AG75" s="138"/>
      <c r="AH75" s="193">
        <f t="array" ref="AH75">SUM(AH11:AI11*AH24:AI24)/AH32</f>
        <v>0.22038438830728277</v>
      </c>
      <c r="AI75" s="138"/>
      <c r="AJ75" s="193">
        <f t="array" ref="AJ75">SUM(AJ11:AK11*AJ24:AK24)/AJ32</f>
        <v>0.22038438834769364</v>
      </c>
      <c r="AK75" s="138"/>
      <c r="AL75" s="193">
        <f t="array" ref="AL75">SUM(AL11:AM11*AL24:AM24)/AL32</f>
        <v>0.22038438833204452</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0.22253473579571972</v>
      </c>
      <c r="E76" s="138"/>
      <c r="F76" s="193">
        <f t="array" ref="F76">SUM(F12:G12*F25:G25)/F32</f>
        <v>0.22206778360455753</v>
      </c>
      <c r="G76" s="138"/>
      <c r="H76" s="193">
        <f t="array" ref="H76">SUM(H12:I12*H25:I25)/H32</f>
        <v>0.22161971192049593</v>
      </c>
      <c r="I76" s="138"/>
      <c r="J76" s="193">
        <f t="array" ref="J76">SUM(J12:K12*J25:K25)/J32</f>
        <v>0.22119280004089376</v>
      </c>
      <c r="K76" s="138"/>
      <c r="L76" s="193">
        <f t="array" ref="L76">SUM(L12:M12*L25:M25)/L32</f>
        <v>0.22078989968899512</v>
      </c>
      <c r="M76" s="138"/>
      <c r="N76" s="193">
        <f t="array" ref="N76">SUM(N12:O12*N25:O25)/N32</f>
        <v>0.22041453109120676</v>
      </c>
      <c r="O76" s="138"/>
      <c r="P76" s="193">
        <f t="array" ref="P76">SUM(P12:Q12*P25:Q25)/P32</f>
        <v>0.22007119553695309</v>
      </c>
      <c r="Q76" s="138"/>
      <c r="R76" s="193">
        <f t="array" ref="R76">SUM(R12:S12*R25:S25)/R32</f>
        <v>0.21976556722144594</v>
      </c>
      <c r="S76" s="138"/>
      <c r="T76" s="193">
        <f t="array" ref="T76">SUM(T12:U12*T25:U25)/T32</f>
        <v>0.2195048476796021</v>
      </c>
      <c r="U76" s="138"/>
      <c r="V76" s="193">
        <f t="array" ref="V76">SUM(V12:W12*V25:W25)/V32</f>
        <v>0.21929815557041071</v>
      </c>
      <c r="W76" s="138"/>
      <c r="X76" s="193">
        <f t="array" ref="X76">SUM(X12:Y12*X25:Y25)/X32</f>
        <v>0.21915692643558593</v>
      </c>
      <c r="Y76" s="138"/>
      <c r="Z76" s="193">
        <f t="array" ref="Z76">SUM(Z12:AA12*Z25:AA25)/Z32</f>
        <v>0.21909511819874733</v>
      </c>
      <c r="AA76" s="138"/>
      <c r="AB76" s="193">
        <f t="array" ref="AB76">SUM(AB12:AC12*AB25:AC25)/AB32</f>
        <v>0.21912846671271502</v>
      </c>
      <c r="AC76" s="138"/>
      <c r="AD76" s="193">
        <f t="array" ref="AD76">SUM(AD12:AE12*AD25:AE25)/AD32</f>
        <v>0.21927096365889823</v>
      </c>
      <c r="AE76" s="138"/>
      <c r="AF76" s="193">
        <f t="array" ref="AF76">SUM(AF12:AG12*AF25:AG25)/AF32</f>
        <v>0.21952214889722241</v>
      </c>
      <c r="AG76" s="138"/>
      <c r="AH76" s="193">
        <f t="array" ref="AH76">SUM(AH12:AI12*AH25:AI25)/AH32</f>
        <v>0.21982469916244515</v>
      </c>
      <c r="AI76" s="138"/>
      <c r="AJ76" s="193">
        <f t="array" ref="AJ76">SUM(AJ12:AK12*AJ25:AK25)/AJ32</f>
        <v>0.21991781178663913</v>
      </c>
      <c r="AK76" s="138"/>
      <c r="AL76" s="193">
        <f t="array" ref="AL76">SUM(AL12:AM12*AL25:AM25)/AL32</f>
        <v>0.21879128129289541</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0.14537688370190377</v>
      </c>
      <c r="E77" s="138"/>
      <c r="F77" s="193">
        <f t="array" ref="F77">SUM(F4:G4*F19:G19)/F32</f>
        <v>0.14490993701698929</v>
      </c>
      <c r="G77" s="138"/>
      <c r="H77" s="193">
        <f t="array" ref="H77">SUM(H4:I4*H19:I19)/H32</f>
        <v>0.14446187263179983</v>
      </c>
      <c r="I77" s="138"/>
      <c r="J77" s="193">
        <f t="array" ref="J77">SUM(J4:K4*J19:K19)/J32</f>
        <v>0.14403496328948071</v>
      </c>
      <c r="K77" s="138"/>
      <c r="L77" s="193">
        <f t="array" ref="L77">SUM(L4:M4*L19:M19)/L32</f>
        <v>0.1436320282256161</v>
      </c>
      <c r="M77" s="138"/>
      <c r="N77" s="193">
        <f t="array" ref="N77">SUM(N4:O4*N19:O19)/N32</f>
        <v>0.14325666125757638</v>
      </c>
      <c r="O77" s="138"/>
      <c r="P77" s="193">
        <f t="array" ref="P77">SUM(P4:Q4*P19:Q19)/P32</f>
        <v>0.14291332670944859</v>
      </c>
      <c r="Q77" s="138"/>
      <c r="R77" s="193">
        <f t="array" ref="R77">SUM(R4:S4*R19:S19)/R32</f>
        <v>0.1426076985164362</v>
      </c>
      <c r="S77" s="138"/>
      <c r="T77" s="193">
        <f t="array" ref="T77">SUM(T4:U4*T19:U19)/T32</f>
        <v>0.14234697662682949</v>
      </c>
      <c r="U77" s="138"/>
      <c r="V77" s="193">
        <f t="array" ref="V77">SUM(V4:W4*V19:W19)/V32</f>
        <v>0.14214028228678507</v>
      </c>
      <c r="W77" s="138"/>
      <c r="X77" s="193">
        <f t="array" ref="X77">SUM(X4:Y4*X19:Y19)/X32</f>
        <v>0.14199907788699678</v>
      </c>
      <c r="Y77" s="138"/>
      <c r="Z77" s="193">
        <f t="array" ref="Z77">SUM(Z4:AA4*Z19:AA19)/Z32</f>
        <v>0.14193724469946636</v>
      </c>
      <c r="AA77" s="138"/>
      <c r="AB77" s="193">
        <f t="array" ref="AB77">SUM(AB4:AC4*AB19:AC19)/AB32</f>
        <v>0.14197059567958667</v>
      </c>
      <c r="AC77" s="138"/>
      <c r="AD77" s="193">
        <f t="array" ref="AD77">SUM(AD4:AE4*AD19:AE19)/AD32</f>
        <v>0.14211309988087906</v>
      </c>
      <c r="AE77" s="138"/>
      <c r="AF77" s="193">
        <f t="array" ref="AF77">SUM(AF4:AG4*AF19:AG19)/AF32</f>
        <v>0.14236428389340955</v>
      </c>
      <c r="AG77" s="138"/>
      <c r="AH77" s="193">
        <f t="array" ref="AH77">SUM(AH4:AI4*AH19:AI19)/AH32</f>
        <v>0.14266683152701545</v>
      </c>
      <c r="AI77" s="138"/>
      <c r="AJ77" s="193">
        <f t="array" ref="AJ77">SUM(AJ4:AK4*AJ19:AK19)/AJ32</f>
        <v>0.14275993855001334</v>
      </c>
      <c r="AK77" s="138"/>
      <c r="AL77" s="193">
        <f t="array" ref="AL77">SUM(AL4:AM4*AL19:AM19)/AL32</f>
        <v>0.14163340779215775</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0.34925981336917955</v>
      </c>
      <c r="E78" s="138"/>
      <c r="F78" s="193">
        <f t="array" ref="F78">SUM(F13:G13*F26:G26)/F32</f>
        <v>0.35171181576497351</v>
      </c>
      <c r="G78" s="138"/>
      <c r="H78" s="193">
        <f t="array" ref="H78">SUM(H13:I13*H26:I26)/H32</f>
        <v>0.3542582327449621</v>
      </c>
      <c r="I78" s="138"/>
      <c r="J78" s="193">
        <f t="array" ref="J78">SUM(J13:K13*J26:K26)/J32</f>
        <v>0.35691681430488342</v>
      </c>
      <c r="K78" s="138"/>
      <c r="L78" s="193">
        <f t="array" ref="L78">SUM(L13:M13*L26:M26)/L32</f>
        <v>0.35970937806280151</v>
      </c>
      <c r="M78" s="138"/>
      <c r="N78" s="193">
        <f t="array" ref="N78">SUM(N13:O13*N26:O26)/N32</f>
        <v>0.36266324395681981</v>
      </c>
      <c r="O78" s="138"/>
      <c r="P78" s="193">
        <f t="array" ref="P78">SUM(P13:Q13*P26:Q26)/P32</f>
        <v>0.36581278094954089</v>
      </c>
      <c r="Q78" s="138"/>
      <c r="R78" s="193">
        <f t="array" ref="R78">SUM(R13:S13*R26:S26)/R32</f>
        <v>0.36920224957134917</v>
      </c>
      <c r="S78" s="138"/>
      <c r="T78" s="193">
        <f t="array" ref="T78">SUM(T13:U13*T26:U26)/T32</f>
        <v>0.37288972586735247</v>
      </c>
      <c r="U78" s="138"/>
      <c r="V78" s="193">
        <f t="array" ref="V78">SUM(V13:W13*V26:W26)/V32</f>
        <v>0.37695321371329693</v>
      </c>
      <c r="W78" s="138"/>
      <c r="X78" s="193">
        <f t="array" ref="X78">SUM(X13:Y13*X26:Y26)/X32</f>
        <v>0.38150068663574682</v>
      </c>
      <c r="Y78" s="138"/>
      <c r="Z78" s="193">
        <f t="array" ref="Z78">SUM(Z13:AA13*Z26:AA26)/Z32</f>
        <v>0.38668649364517188</v>
      </c>
      <c r="AA78" s="138"/>
      <c r="AB78" s="193">
        <f t="array" ref="AB78">SUM(AB13:AC13*AB26:AC26)/AB32</f>
        <v>0.39274220428484996</v>
      </c>
      <c r="AC78" s="138"/>
      <c r="AD78" s="193">
        <f t="array" ref="AD78">SUM(AD13:AE13*AD26:AE26)/AD32</f>
        <v>0.40003404292041783</v>
      </c>
      <c r="AE78" s="138"/>
      <c r="AF78" s="193">
        <f t="array" ref="AF78">SUM(AF13:AG13*AF26:AG26)/AF32</f>
        <v>0.40918550560738343</v>
      </c>
      <c r="AG78" s="138"/>
      <c r="AH78" s="193">
        <f t="array" ref="AH78">SUM(AH13:AI13*AH26:AI26)/AH32</f>
        <v>0.42136585550248545</v>
      </c>
      <c r="AI78" s="138"/>
      <c r="AJ78" s="193">
        <f t="array" ref="AJ78">SUM(AJ13:AK13*AJ26:AK26)/AJ32</f>
        <v>0.43907934160978201</v>
      </c>
      <c r="AK78" s="138"/>
      <c r="AL78" s="193">
        <f t="array" ref="AL78">SUM(AL13:AM13*AL26:AM26)/AL32</f>
        <v>0.46882366946515597</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0.44628359248746891</v>
      </c>
      <c r="F79" s="193">
        <f t="array" ref="F79">SUM(F15:G15*F27:G27)/F32</f>
        <v>0.43767744610220521</v>
      </c>
      <c r="H79" s="193">
        <f t="array" ref="H79">SUM(H15:I15*H27:I27)/H32</f>
        <v>0.42873992526400151</v>
      </c>
      <c r="J79" s="193">
        <f t="array" ref="J79">SUM(J15:K15*J27:K27)/J32</f>
        <v>0.41940867042698743</v>
      </c>
      <c r="L79" s="193">
        <f t="array" ref="L79">SUM(L15:M15*L27:M27)/L32</f>
        <v>0.40960713385023484</v>
      </c>
      <c r="N79" s="193">
        <f t="array" ref="N79">SUM(N15:O15*N27:O27)/N32</f>
        <v>0.39923950288181737</v>
      </c>
      <c r="P79" s="193">
        <f t="array" ref="P79">SUM(P15:Q15*P27:Q27)/P32</f>
        <v>0.38818509673098694</v>
      </c>
      <c r="R79" s="193">
        <f t="array" ref="R79">SUM(R15:S15*R27:S27)/R32</f>
        <v>0.37628856769866004</v>
      </c>
      <c r="T79" s="193">
        <f t="array" ref="T79">SUM(T15:U15*T27:U27)/T32</f>
        <v>0.36334609339672341</v>
      </c>
      <c r="V79" s="193">
        <f t="array" ref="V79">SUM(V15:W15*V27:W27)/V32</f>
        <v>0.34908385056202412</v>
      </c>
      <c r="X79" s="193">
        <f t="array" ref="X79">SUM(X15:Y15*X27:Y27)/X32</f>
        <v>0.33312299982832844</v>
      </c>
      <c r="Z79" s="193">
        <f t="array" ref="Z79">SUM(Z15:AA15*Z27:AA27)/Z32</f>
        <v>0.31492149087147275</v>
      </c>
      <c r="AB79" s="193">
        <f t="array" ref="AB79">SUM(AB15:AC15*AB27:AC27)/AB32</f>
        <v>0.29366686261267944</v>
      </c>
      <c r="AD79" s="193">
        <f t="array" ref="AD79">SUM(AD15:AE15*AD27:AE27)/AD32</f>
        <v>0.26807363968937131</v>
      </c>
      <c r="AF79" s="193">
        <f t="array" ref="AF79">SUM(AF15:AG15*AF27:AG27)/AF32</f>
        <v>0.23595335353200458</v>
      </c>
      <c r="AH79" s="193">
        <f t="array" ref="AH79">SUM(AH15:AI15*AH27:AI27)/AH32</f>
        <v>0.19320209601444027</v>
      </c>
      <c r="AJ79" s="193">
        <f t="array" ref="AJ79">SUM(AJ15:AK15*AJ27:AK27)/AJ32</f>
        <v>0.1310304236073784</v>
      </c>
      <c r="AL79" s="193">
        <f t="array" ref="AL79">SUM(AL15:AM15*AL27:AM27)/AL32</f>
        <v>2.6632269724536788E-2</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0.20445661825043149</v>
      </c>
      <c r="F80" s="236">
        <f>F55</f>
        <v>0.21061076940481313</v>
      </c>
      <c r="H80" s="236">
        <f>H55</f>
        <v>0.21700188330063799</v>
      </c>
      <c r="J80" s="236">
        <f>J55</f>
        <v>0.22367455067795231</v>
      </c>
      <c r="L80" s="236">
        <f>L55</f>
        <v>0.23068348801093691</v>
      </c>
      <c r="N80" s="236">
        <f>N55</f>
        <v>0.2380972530597926</v>
      </c>
      <c r="P80" s="236">
        <f>P55</f>
        <v>0.24600212234655169</v>
      </c>
      <c r="R80" s="236">
        <f>R55</f>
        <v>0.25450918294235025</v>
      </c>
      <c r="T80" s="236">
        <f>T55</f>
        <v>0.26376418455563722</v>
      </c>
      <c r="V80" s="236">
        <f>V55</f>
        <v>0.27396293620800316</v>
      </c>
      <c r="X80" s="236">
        <f>X55</f>
        <v>0.28537635900311598</v>
      </c>
      <c r="Z80" s="236">
        <f>Z55</f>
        <v>0.29839201565610951</v>
      </c>
      <c r="AB80" s="236">
        <f>AB55</f>
        <v>0.31359093876653288</v>
      </c>
      <c r="AD80" s="236">
        <f>AD55</f>
        <v>0.33189234135501627</v>
      </c>
      <c r="AF80" s="236">
        <f>AF55</f>
        <v>0.35486116858645328</v>
      </c>
      <c r="AH80" s="236">
        <f>AH55</f>
        <v>0.38543205385321039</v>
      </c>
      <c r="AJ80" s="236">
        <f>AJ55</f>
        <v>0.42989024041263196</v>
      </c>
      <c r="AL80" s="236">
        <f>AL55</f>
        <v>0.50454406105187399</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-2.1589586313993343E-2</v>
      </c>
      <c r="F81" s="236">
        <f>F51/F$32</f>
        <v>-1.5435435159611703E-2</v>
      </c>
      <c r="H81" s="236">
        <f>H51/H$32</f>
        <v>-9.0443212637868389E-3</v>
      </c>
      <c r="J81" s="236">
        <f>J51/J$32</f>
        <v>-2.3716538864725412E-3</v>
      </c>
      <c r="L81" s="236">
        <f>L51/L$32</f>
        <v>4.6372834465120832E-3</v>
      </c>
      <c r="N81" s="236">
        <f>N51/N$32</f>
        <v>1.2051048495367743E-2</v>
      </c>
      <c r="P81" s="236">
        <f>P51/P$32</f>
        <v>1.9955917782126867E-2</v>
      </c>
      <c r="R81" s="236">
        <f>R51/R$32</f>
        <v>2.846297837792541E-2</v>
      </c>
      <c r="T81" s="236">
        <f>T51/T$32</f>
        <v>3.7717979991212354E-2</v>
      </c>
      <c r="V81" s="236">
        <f>V51/V$32</f>
        <v>4.7916731643578327E-2</v>
      </c>
      <c r="X81" s="236">
        <f>X51/X$32</f>
        <v>5.9330154438691156E-2</v>
      </c>
      <c r="Z81" s="236">
        <f>Z51/Z$32</f>
        <v>7.2345811091684656E-2</v>
      </c>
      <c r="AB81" s="236">
        <f>AB51/AB$32</f>
        <v>8.7544734202108065E-2</v>
      </c>
      <c r="AD81" s="236">
        <f>AD51/AD$32</f>
        <v>0.10584613679059142</v>
      </c>
      <c r="AF81" s="236">
        <f>AF51/AF$32</f>
        <v>0.12881496402202844</v>
      </c>
      <c r="AH81" s="236">
        <f>AH51/AH$32</f>
        <v>0.15938584928878555</v>
      </c>
      <c r="AJ81" s="236">
        <f>AJ51/AJ$32</f>
        <v>0.20384403584820712</v>
      </c>
      <c r="AL81" s="236">
        <f>AL51/AL$32</f>
        <v>0.27849785648744918</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0.14002970361387621</v>
      </c>
      <c r="F82" s="236">
        <f>F52/F$32</f>
        <v>0.14101279172078249</v>
      </c>
      <c r="H82" s="236">
        <f>H52/H$32</f>
        <v>0.14203373372823935</v>
      </c>
      <c r="J82" s="236">
        <f>J52/J$32</f>
        <v>0.14309964619116444</v>
      </c>
      <c r="L82" s="236">
        <f>L52/L$32</f>
        <v>0.14421927650755234</v>
      </c>
      <c r="N82" s="236">
        <f>N52/N$32</f>
        <v>0.14540357813579982</v>
      </c>
      <c r="P82" s="236">
        <f>P52/P$32</f>
        <v>0.14666633071920535</v>
      </c>
      <c r="R82" s="236">
        <f>R52/R$32</f>
        <v>0.14802527975471508</v>
      </c>
      <c r="T82" s="236">
        <f>T52/T$32</f>
        <v>0.14950370983182998</v>
      </c>
      <c r="V82" s="236">
        <f>V52/V$32</f>
        <v>0.15113289526034285</v>
      </c>
      <c r="X82" s="236">
        <f>X52/X$32</f>
        <v>0.15295612616509538</v>
      </c>
      <c r="Z82" s="236">
        <f>Z52/Z$32</f>
        <v>0.15503528612204398</v>
      </c>
      <c r="AB82" s="236">
        <f>AB52/AB$32</f>
        <v>0.1574632189490858</v>
      </c>
      <c r="AD82" s="236">
        <f>AD52/AD$32</f>
        <v>0.16038675599472771</v>
      </c>
      <c r="AF82" s="236">
        <f>AF52/AF$32</f>
        <v>0.1640558772581428</v>
      </c>
      <c r="AH82" s="236">
        <f>AH52/AH$32</f>
        <v>0.16893937865290978</v>
      </c>
      <c r="AJ82" s="236">
        <f>AJ52/AJ$32</f>
        <v>0.17604129566318821</v>
      </c>
      <c r="AL82" s="236">
        <f>AL52/AL$32</f>
        <v>0.18796677135305623</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0.18260045695630533</v>
      </c>
      <c r="F83" s="236">
        <f>F53/F$32</f>
        <v>0.17907918418483071</v>
      </c>
      <c r="H83" s="236">
        <f>H53/H$32</f>
        <v>0.17542232693848614</v>
      </c>
      <c r="J83" s="236">
        <f>J53/J$32</f>
        <v>0.17160437031651518</v>
      </c>
      <c r="L83" s="236">
        <f>L53/L$32</f>
        <v>0.16759399420608442</v>
      </c>
      <c r="N83" s="236">
        <f>N53/N$32</f>
        <v>0.16335199610385634</v>
      </c>
      <c r="P83" s="236">
        <f>P53/P$32</f>
        <v>0.15882899851106694</v>
      </c>
      <c r="R83" s="236">
        <f>R53/R$32</f>
        <v>0.15396143968958095</v>
      </c>
      <c r="T83" s="236">
        <f>T53/T$32</f>
        <v>0.14866592409935625</v>
      </c>
      <c r="V83" s="236">
        <f>V53/V$32</f>
        <v>0.14283041478940778</v>
      </c>
      <c r="X83" s="236">
        <f>X53/X$32</f>
        <v>0.13629990664067709</v>
      </c>
      <c r="Z83" s="236">
        <f>Z53/Z$32</f>
        <v>0.12885261548150359</v>
      </c>
      <c r="AB83" s="236">
        <f>AB53/AB$32</f>
        <v>0.12015611644406464</v>
      </c>
      <c r="AD83" s="236">
        <f>AD53/AD$32</f>
        <v>0.10968444713009165</v>
      </c>
      <c r="AF83" s="236">
        <f>AF53/AF$32</f>
        <v>9.654217833815272E-2</v>
      </c>
      <c r="AH83" s="236">
        <f>AH53/AH$32</f>
        <v>7.9050163642624502E-2</v>
      </c>
      <c r="AJ83" s="236">
        <f>AJ53/AJ$32</f>
        <v>5.361213279772855E-2</v>
      </c>
      <c r="AL83" s="236">
        <f>AL53/AL$32</f>
        <v>1.0896803519884146E-2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0"/>
  <dimension ref="A1:XFD83"/>
  <sheetViews>
    <sheetView showGridLines="0" topLeftCell="E1" workbookViewId="0">
      <pane ySplit="1" topLeftCell="A2" activePane="bottomLeft" state="frozen"/>
      <selection pane="bottomLeft" activeCell="AE17" sqref="AE17"/>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c r="AH1" s="94"/>
      <c r="AJ1" s="94"/>
      <c r="AL1" s="94"/>
      <c r="AN1" s="94"/>
      <c r="AP1" s="94"/>
      <c r="AR1" s="94"/>
      <c r="AT1" s="94"/>
      <c r="AV1" s="94"/>
    </row>
    <row r="2" spans="1:49" x14ac:dyDescent="0.2">
      <c r="A2" s="229" t="s">
        <v>155</v>
      </c>
      <c r="B2" s="226">
        <v>5.7716594496607888E-3</v>
      </c>
      <c r="C2" s="227"/>
      <c r="D2" s="226">
        <v>6.1523794427630472E-2</v>
      </c>
      <c r="E2" s="227"/>
      <c r="F2" s="226">
        <v>0.12286646391601222</v>
      </c>
      <c r="G2" s="227"/>
      <c r="H2" s="226">
        <v>0.19082706635634183</v>
      </c>
      <c r="I2" s="227"/>
      <c r="J2" s="226">
        <v>0.26674945685701446</v>
      </c>
      <c r="K2" s="227"/>
      <c r="L2" s="226">
        <v>0.35243922216532536</v>
      </c>
      <c r="M2" s="227"/>
      <c r="N2" s="226">
        <v>0.45039681041417007</v>
      </c>
      <c r="O2" s="227"/>
      <c r="P2" s="226">
        <v>0.56420433350983312</v>
      </c>
      <c r="Q2" s="227"/>
      <c r="R2" s="226">
        <v>0.69919712522062705</v>
      </c>
      <c r="S2" s="227"/>
      <c r="T2" s="226">
        <v>0.86368887874841127</v>
      </c>
      <c r="U2" s="227"/>
      <c r="V2" s="226">
        <v>1.0713410800859129</v>
      </c>
      <c r="W2" s="227"/>
      <c r="X2" s="226">
        <v>1.346051370381814</v>
      </c>
      <c r="Y2" s="227"/>
      <c r="Z2" s="226">
        <v>1.7327289508778689</v>
      </c>
      <c r="AA2" s="227"/>
      <c r="AB2" s="226">
        <v>2.3223251545078041</v>
      </c>
      <c r="AC2" s="227"/>
      <c r="AD2" s="226">
        <v>3.3103559860164053</v>
      </c>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997.56950109437253</v>
      </c>
      <c r="E3" s="85">
        <v>1034.9010366871335</v>
      </c>
      <c r="F3" s="84">
        <v>995.14179644293722</v>
      </c>
      <c r="G3" s="85">
        <v>1073.7875934803469</v>
      </c>
      <c r="H3" s="84">
        <v>992.70309621658214</v>
      </c>
      <c r="I3" s="85">
        <v>1117.3944925250883</v>
      </c>
      <c r="J3" s="84">
        <v>990.24118405703609</v>
      </c>
      <c r="K3" s="85">
        <v>1166.6654880034432</v>
      </c>
      <c r="L3" s="84">
        <v>987.7466234466275</v>
      </c>
      <c r="M3" s="85">
        <v>1222.8422948861603</v>
      </c>
      <c r="N3" s="84">
        <v>985.21474367930296</v>
      </c>
      <c r="O3" s="85">
        <v>1287.6047621695573</v>
      </c>
      <c r="P3" s="84">
        <v>982.64890844369188</v>
      </c>
      <c r="Q3" s="85">
        <v>1363.3005868029936</v>
      </c>
      <c r="R3" s="84">
        <v>980.06602205277272</v>
      </c>
      <c r="S3" s="85">
        <v>1453.3373167965206</v>
      </c>
      <c r="T3" s="84">
        <v>977.5060116035894</v>
      </c>
      <c r="U3" s="85">
        <v>1562.8847931291477</v>
      </c>
      <c r="V3" s="84">
        <v>975.04862756398541</v>
      </c>
      <c r="W3" s="85">
        <v>1700.2050775643306</v>
      </c>
      <c r="X3" s="84">
        <v>972.84358598760059</v>
      </c>
      <c r="Y3" s="85">
        <v>1879.3293840105162</v>
      </c>
      <c r="Z3" s="84">
        <v>971.16266130815632</v>
      </c>
      <c r="AA3" s="85">
        <v>2125.7904973391364</v>
      </c>
      <c r="AB3" s="84">
        <v>970.47213980981076</v>
      </c>
      <c r="AC3" s="85">
        <v>2489.4994104807388</v>
      </c>
      <c r="AD3" s="84">
        <v>971.44266843124115</v>
      </c>
      <c r="AE3" s="85">
        <v>3073.8150354926479</v>
      </c>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997.44839001299999</v>
      </c>
      <c r="E5" s="42">
        <v>1030.131880327516</v>
      </c>
      <c r="F5" s="41">
        <v>994.89709618413121</v>
      </c>
      <c r="G5" s="42">
        <v>1062.5097298393919</v>
      </c>
      <c r="H5" s="41">
        <v>992.33159220562766</v>
      </c>
      <c r="I5" s="42">
        <v>1097.3440916519755</v>
      </c>
      <c r="J5" s="41">
        <v>989.73894853076331</v>
      </c>
      <c r="K5" s="42">
        <v>1134.8611816642897</v>
      </c>
      <c r="L5" s="41">
        <v>987.1091113158061</v>
      </c>
      <c r="M5" s="42">
        <v>1175.3023001119006</v>
      </c>
      <c r="N5" s="41">
        <v>984.43701308030916</v>
      </c>
      <c r="O5" s="42">
        <v>1218.9196780740042</v>
      </c>
      <c r="P5" s="41">
        <v>981.72605390167712</v>
      </c>
      <c r="Q5" s="42">
        <v>1265.968034580819</v>
      </c>
      <c r="R5" s="41">
        <v>978.99397665036156</v>
      </c>
      <c r="S5" s="42">
        <v>1316.6839424655313</v>
      </c>
      <c r="T5" s="41">
        <v>976.28299792426321</v>
      </c>
      <c r="U5" s="42">
        <v>1371.2407176988061</v>
      </c>
      <c r="V5" s="41">
        <v>973.6777701850483</v>
      </c>
      <c r="W5" s="42">
        <v>1429.6482821464062</v>
      </c>
      <c r="X5" s="41">
        <v>971.33760503869769</v>
      </c>
      <c r="Y5" s="42">
        <v>1491.5326128470458</v>
      </c>
      <c r="Z5" s="41">
        <v>969.55209874571085</v>
      </c>
      <c r="AA5" s="42">
        <v>1555.659782665364</v>
      </c>
      <c r="AB5" s="41">
        <v>968.81821814907312</v>
      </c>
      <c r="AC5" s="42">
        <v>1619.0074963451746</v>
      </c>
      <c r="AD5" s="41">
        <v>969.84962201247833</v>
      </c>
      <c r="AE5" s="42">
        <v>1675.5569393136832</v>
      </c>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997.25375332382441</v>
      </c>
      <c r="E6" s="42">
        <v>1037.5740363558491</v>
      </c>
      <c r="F6" s="41">
        <v>994.50891829569662</v>
      </c>
      <c r="G6" s="42">
        <v>1079.2277355195399</v>
      </c>
      <c r="H6" s="41">
        <v>991.74987478974788</v>
      </c>
      <c r="I6" s="42">
        <v>1125.7122158530449</v>
      </c>
      <c r="J6" s="41">
        <v>988.96274339206354</v>
      </c>
      <c r="K6" s="42">
        <v>1177.9929569711815</v>
      </c>
      <c r="L6" s="41">
        <v>986.13675661570369</v>
      </c>
      <c r="M6" s="42">
        <v>1237.3412813281489</v>
      </c>
      <c r="N6" s="41">
        <v>983.26651981612156</v>
      </c>
      <c r="O6" s="42">
        <v>1305.4783109066541</v>
      </c>
      <c r="P6" s="41">
        <v>980.35573783896655</v>
      </c>
      <c r="Q6" s="42">
        <v>1384.8107848215336</v>
      </c>
      <c r="R6" s="41">
        <v>977.42350054086091</v>
      </c>
      <c r="S6" s="42">
        <v>1478.8333108362583</v>
      </c>
      <c r="T6" s="41">
        <v>974.51511669228807</v>
      </c>
      <c r="U6" s="42">
        <v>1592.848924917497</v>
      </c>
      <c r="V6" s="41">
        <v>971.72131853178769</v>
      </c>
      <c r="W6" s="42">
        <v>1735.3329247601866</v>
      </c>
      <c r="X6" s="41">
        <v>969.21271582212034</v>
      </c>
      <c r="Y6" s="42">
        <v>1920.6773938080862</v>
      </c>
      <c r="Z6" s="41">
        <v>967.29929713678393</v>
      </c>
      <c r="AA6" s="42">
        <v>2175.0672617661762</v>
      </c>
      <c r="AB6" s="41">
        <v>966.51299305489647</v>
      </c>
      <c r="AC6" s="42">
        <v>2549.6782018326858</v>
      </c>
      <c r="AD6" s="41">
        <v>967.61809855211368</v>
      </c>
      <c r="AE6" s="42">
        <v>3150.4740863457055</v>
      </c>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1013.3194721476614</v>
      </c>
      <c r="E7" s="34">
        <v>1013.3194721476614</v>
      </c>
      <c r="F7" s="33">
        <v>1010.7275829413144</v>
      </c>
      <c r="G7" s="34">
        <v>1010.7275829413144</v>
      </c>
      <c r="H7" s="33">
        <v>1008.1212574779427</v>
      </c>
      <c r="I7" s="34">
        <v>1008.1212574779427</v>
      </c>
      <c r="J7" s="33">
        <v>1005.4873604799775</v>
      </c>
      <c r="K7" s="34">
        <v>1005.4873604799775</v>
      </c>
      <c r="L7" s="33">
        <v>1002.8156781301168</v>
      </c>
      <c r="M7" s="34">
        <v>1002.8156781301168</v>
      </c>
      <c r="N7" s="33">
        <v>1000.1010623157736</v>
      </c>
      <c r="O7" s="34">
        <v>1000.1010623157736</v>
      </c>
      <c r="P7" s="33">
        <v>997.34696721530474</v>
      </c>
      <c r="Q7" s="34">
        <v>997.34696721530474</v>
      </c>
      <c r="R7" s="33">
        <v>994.57141801808405</v>
      </c>
      <c r="S7" s="34">
        <v>994.57141801808405</v>
      </c>
      <c r="T7" s="33">
        <v>991.81730305911583</v>
      </c>
      <c r="U7" s="34">
        <v>991.81730305911583</v>
      </c>
      <c r="V7" s="33">
        <v>989.17062176316301</v>
      </c>
      <c r="W7" s="34">
        <v>989.17062176316301</v>
      </c>
      <c r="X7" s="33">
        <v>986.79322065190604</v>
      </c>
      <c r="Y7" s="34">
        <v>986.79322065190604</v>
      </c>
      <c r="Z7" s="33">
        <v>984.97930394960713</v>
      </c>
      <c r="AA7" s="34">
        <v>984.97930394960713</v>
      </c>
      <c r="AB7" s="33">
        <v>984.2337460778914</v>
      </c>
      <c r="AC7" s="34">
        <v>984.2337460778914</v>
      </c>
      <c r="AD7" s="33">
        <v>985.2815613121445</v>
      </c>
      <c r="AE7" s="34">
        <v>985.2815613121445</v>
      </c>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1093.5095023661347</v>
      </c>
      <c r="E8" s="36">
        <v>1093.5095023661347</v>
      </c>
      <c r="F8" s="35">
        <v>1193.0565432211154</v>
      </c>
      <c r="G8" s="36">
        <v>1193.0565432211154</v>
      </c>
      <c r="H8" s="35">
        <v>1306.7470454453867</v>
      </c>
      <c r="I8" s="36">
        <v>1306.7470454453867</v>
      </c>
      <c r="J8" s="35">
        <v>1437.5847854813485</v>
      </c>
      <c r="K8" s="36">
        <v>1437.5847854813485</v>
      </c>
      <c r="L8" s="35">
        <v>1589.5249285724567</v>
      </c>
      <c r="M8" s="36">
        <v>1589.5249285724567</v>
      </c>
      <c r="N8" s="35">
        <v>1767.9172132296026</v>
      </c>
      <c r="O8" s="36">
        <v>1767.9172132296026</v>
      </c>
      <c r="P8" s="35">
        <v>1980.2326857762434</v>
      </c>
      <c r="Q8" s="36">
        <v>1980.2326857762434</v>
      </c>
      <c r="R8" s="35">
        <v>2237.3055698615922</v>
      </c>
      <c r="S8" s="36">
        <v>2237.3055698615922</v>
      </c>
      <c r="T8" s="35">
        <v>2555.5660756622547</v>
      </c>
      <c r="U8" s="36">
        <v>2555.5660756622547</v>
      </c>
      <c r="V8" s="35">
        <v>2961.2892168841072</v>
      </c>
      <c r="W8" s="36">
        <v>2961.2892168841072</v>
      </c>
      <c r="X8" s="35">
        <v>3499.2121303389799</v>
      </c>
      <c r="Y8" s="36">
        <v>3499.2121303389799</v>
      </c>
      <c r="Z8" s="35">
        <v>4251.1965258060136</v>
      </c>
      <c r="AA8" s="36">
        <v>4251.1965258060136</v>
      </c>
      <c r="AB8" s="35">
        <v>5378.869330444275</v>
      </c>
      <c r="AC8" s="36">
        <v>5378.869330444275</v>
      </c>
      <c r="AD8" s="35">
        <v>7222.2468832820623</v>
      </c>
      <c r="AE8" s="36">
        <v>7222.2468832820623</v>
      </c>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1013.3194721476614</v>
      </c>
      <c r="E9" s="42">
        <v>1093.5095023661347</v>
      </c>
      <c r="F9" s="41">
        <v>1010.7275829413144</v>
      </c>
      <c r="G9" s="42">
        <v>1193.0565432211154</v>
      </c>
      <c r="H9" s="41">
        <v>1008.1212574779427</v>
      </c>
      <c r="I9" s="42">
        <v>1306.7470454453867</v>
      </c>
      <c r="J9" s="41">
        <v>1005.4873604799775</v>
      </c>
      <c r="K9" s="42">
        <v>1437.5847854813485</v>
      </c>
      <c r="L9" s="41">
        <v>1002.8156781301168</v>
      </c>
      <c r="M9" s="42">
        <v>1589.5249285724567</v>
      </c>
      <c r="N9" s="41">
        <v>1000.1010623157736</v>
      </c>
      <c r="O9" s="42">
        <v>1767.9172132296026</v>
      </c>
      <c r="P9" s="41">
        <v>997.34696721530474</v>
      </c>
      <c r="Q9" s="42">
        <v>1980.2326857762434</v>
      </c>
      <c r="R9" s="41">
        <v>994.57141801808405</v>
      </c>
      <c r="S9" s="42">
        <v>2237.3055698615922</v>
      </c>
      <c r="T9" s="41">
        <v>991.81730305911583</v>
      </c>
      <c r="U9" s="42">
        <v>2555.5660756622547</v>
      </c>
      <c r="V9" s="41">
        <v>989.17062176316301</v>
      </c>
      <c r="W9" s="42">
        <v>2961.2892168841072</v>
      </c>
      <c r="X9" s="41">
        <v>986.79322065190604</v>
      </c>
      <c r="Y9" s="42">
        <v>3499.2121303389799</v>
      </c>
      <c r="Z9" s="41">
        <v>984.97930394960713</v>
      </c>
      <c r="AA9" s="42">
        <v>4251.1965258060136</v>
      </c>
      <c r="AB9" s="41">
        <v>984.2337460778914</v>
      </c>
      <c r="AC9" s="42">
        <v>5378.869330444275</v>
      </c>
      <c r="AD9" s="41">
        <v>985.2815613121445</v>
      </c>
      <c r="AE9" s="42">
        <v>7222.2468832820623</v>
      </c>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1013.3194721476614</v>
      </c>
      <c r="E10" s="42">
        <v>1093.5095023661347</v>
      </c>
      <c r="F10" s="41">
        <v>1010.7275829413144</v>
      </c>
      <c r="G10" s="42">
        <v>1193.0565432211154</v>
      </c>
      <c r="H10" s="41">
        <v>1008.1212574779427</v>
      </c>
      <c r="I10" s="42">
        <v>1306.7470454453867</v>
      </c>
      <c r="J10" s="41">
        <v>1005.4873604799775</v>
      </c>
      <c r="K10" s="42">
        <v>1437.5847854813485</v>
      </c>
      <c r="L10" s="41">
        <v>1002.8156781301168</v>
      </c>
      <c r="M10" s="42">
        <v>1589.5249285724567</v>
      </c>
      <c r="N10" s="41">
        <v>1000.1010623157736</v>
      </c>
      <c r="O10" s="42">
        <v>1767.9172132296026</v>
      </c>
      <c r="P10" s="41">
        <v>997.34696721530474</v>
      </c>
      <c r="Q10" s="42">
        <v>1980.2326857762434</v>
      </c>
      <c r="R10" s="41">
        <v>994.57141801808405</v>
      </c>
      <c r="S10" s="42">
        <v>2237.3055698615922</v>
      </c>
      <c r="T10" s="41">
        <v>991.81730305911583</v>
      </c>
      <c r="U10" s="42">
        <v>2555.5660756622547</v>
      </c>
      <c r="V10" s="41">
        <v>989.17062176316301</v>
      </c>
      <c r="W10" s="42">
        <v>2961.2892168841072</v>
      </c>
      <c r="X10" s="41">
        <v>986.79322065190604</v>
      </c>
      <c r="Y10" s="42">
        <v>3499.2121303389799</v>
      </c>
      <c r="Z10" s="41">
        <v>984.97930394960713</v>
      </c>
      <c r="AA10" s="42">
        <v>4251.1965258060136</v>
      </c>
      <c r="AB10" s="41">
        <v>984.2337460778914</v>
      </c>
      <c r="AC10" s="42">
        <v>5378.869330444275</v>
      </c>
      <c r="AD10" s="41">
        <v>985.2815613121445</v>
      </c>
      <c r="AE10" s="42">
        <v>7222.2468832820623</v>
      </c>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1013.3194721476614</v>
      </c>
      <c r="E11" s="42">
        <v>1093.5095023661347</v>
      </c>
      <c r="F11" s="41">
        <v>1010.7275829413144</v>
      </c>
      <c r="G11" s="42">
        <v>1193.0565432211154</v>
      </c>
      <c r="H11" s="41">
        <v>1008.1212574779427</v>
      </c>
      <c r="I11" s="42">
        <v>1306.7470454453867</v>
      </c>
      <c r="J11" s="41">
        <v>1005.4873604799775</v>
      </c>
      <c r="K11" s="42">
        <v>1437.5847854813485</v>
      </c>
      <c r="L11" s="41">
        <v>1002.8156781301168</v>
      </c>
      <c r="M11" s="42">
        <v>1589.5249285724567</v>
      </c>
      <c r="N11" s="41">
        <v>1000.1010623157736</v>
      </c>
      <c r="O11" s="42">
        <v>1767.9172132296026</v>
      </c>
      <c r="P11" s="41">
        <v>997.34696721530474</v>
      </c>
      <c r="Q11" s="42">
        <v>1980.2326857762434</v>
      </c>
      <c r="R11" s="41">
        <v>994.57141801808405</v>
      </c>
      <c r="S11" s="42">
        <v>2237.3055698615922</v>
      </c>
      <c r="T11" s="41">
        <v>991.81730305911583</v>
      </c>
      <c r="U11" s="42">
        <v>2555.5660756622547</v>
      </c>
      <c r="V11" s="41">
        <v>989.17062176316301</v>
      </c>
      <c r="W11" s="42">
        <v>2961.2892168841072</v>
      </c>
      <c r="X11" s="41">
        <v>986.79322065190604</v>
      </c>
      <c r="Y11" s="42">
        <v>3499.2121303389799</v>
      </c>
      <c r="Z11" s="41">
        <v>984.97930394960713</v>
      </c>
      <c r="AA11" s="42">
        <v>4251.1965258060136</v>
      </c>
      <c r="AB11" s="41">
        <v>984.2337460778914</v>
      </c>
      <c r="AC11" s="42">
        <v>5378.869330444275</v>
      </c>
      <c r="AD11" s="41">
        <v>985.2815613121445</v>
      </c>
      <c r="AE11" s="42">
        <v>7222.2468832820623</v>
      </c>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954.69610087905744</v>
      </c>
      <c r="E13" s="98">
        <v>954.69610087905744</v>
      </c>
      <c r="F13" s="97">
        <v>908.69364115222629</v>
      </c>
      <c r="G13" s="98">
        <v>908.69364115222629</v>
      </c>
      <c r="H13" s="97">
        <v>861.81553683178072</v>
      </c>
      <c r="I13" s="98">
        <v>861.81553683178072</v>
      </c>
      <c r="J13" s="97">
        <v>813.85225033782319</v>
      </c>
      <c r="K13" s="98">
        <v>813.85225033782319</v>
      </c>
      <c r="L13" s="97">
        <v>764.54273302963372</v>
      </c>
      <c r="M13" s="98">
        <v>764.54273302963372</v>
      </c>
      <c r="N13" s="97">
        <v>713.54559076093437</v>
      </c>
      <c r="O13" s="98">
        <v>713.54559076093437</v>
      </c>
      <c r="P13" s="97">
        <v>660.39277368704802</v>
      </c>
      <c r="Q13" s="98">
        <v>660.39277368704802</v>
      </c>
      <c r="R13" s="97">
        <v>604.41558409332629</v>
      </c>
      <c r="S13" s="98">
        <v>604.41558409332629</v>
      </c>
      <c r="T13" s="97">
        <v>544.62328590133757</v>
      </c>
      <c r="U13" s="98">
        <v>544.62328590133757</v>
      </c>
      <c r="V13" s="97">
        <v>479.50404910857822</v>
      </c>
      <c r="W13" s="98">
        <v>479.50404910857822</v>
      </c>
      <c r="X13" s="97">
        <v>406.7105149844765</v>
      </c>
      <c r="Y13" s="98">
        <v>406.7105149844765</v>
      </c>
      <c r="Z13" s="97">
        <v>322.6543367123495</v>
      </c>
      <c r="AA13" s="98">
        <v>322.6543367123495</v>
      </c>
      <c r="AB13" s="97">
        <v>222.52934606197272</v>
      </c>
      <c r="AC13" s="98">
        <v>222.52934606197272</v>
      </c>
      <c r="AD13" s="97">
        <v>104.04882866091093</v>
      </c>
      <c r="AE13" s="98">
        <v>104.04882866091093</v>
      </c>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1390.9954889538626</v>
      </c>
      <c r="E14" s="42">
        <v>1390.9954889538628</v>
      </c>
      <c r="F14" s="41">
        <v>1323.9697475667508</v>
      </c>
      <c r="G14" s="42">
        <v>1323.969747566751</v>
      </c>
      <c r="H14" s="41">
        <v>1255.6681890075324</v>
      </c>
      <c r="I14" s="42">
        <v>1255.6681890075326</v>
      </c>
      <c r="J14" s="41">
        <v>1185.7855163046002</v>
      </c>
      <c r="K14" s="42">
        <v>1185.7855163046004</v>
      </c>
      <c r="L14" s="41">
        <v>1113.9413806942957</v>
      </c>
      <c r="M14" s="42">
        <v>1113.941380694296</v>
      </c>
      <c r="N14" s="41">
        <v>1039.6383697361673</v>
      </c>
      <c r="O14" s="42">
        <v>1039.6383697361673</v>
      </c>
      <c r="P14" s="41">
        <v>962.19453320338141</v>
      </c>
      <c r="Q14" s="42">
        <v>962.19453320338152</v>
      </c>
      <c r="R14" s="41">
        <v>880.63557623530846</v>
      </c>
      <c r="S14" s="42">
        <v>880.63557623530858</v>
      </c>
      <c r="T14" s="41">
        <v>793.51799297225841</v>
      </c>
      <c r="U14" s="42">
        <v>793.51799297225853</v>
      </c>
      <c r="V14" s="41">
        <v>698.63904192234565</v>
      </c>
      <c r="W14" s="42">
        <v>698.63904192234577</v>
      </c>
      <c r="X14" s="41">
        <v>592.57861337508189</v>
      </c>
      <c r="Y14" s="42">
        <v>592.578613375082</v>
      </c>
      <c r="Z14" s="41">
        <v>470.10847372795018</v>
      </c>
      <c r="AA14" s="42">
        <v>470.10847372795024</v>
      </c>
      <c r="AB14" s="41">
        <v>324.22601940768772</v>
      </c>
      <c r="AC14" s="42">
        <v>324.22601940768777</v>
      </c>
      <c r="AD14" s="41">
        <v>151.59949974132692</v>
      </c>
      <c r="AE14" s="42">
        <v>151.59949974132692</v>
      </c>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1039.1767083937189</v>
      </c>
      <c r="E15" s="155">
        <v>1039.1767083937189</v>
      </c>
      <c r="F15" s="154">
        <v>1079.7191876480344</v>
      </c>
      <c r="G15" s="155">
        <v>1079.7191876480344</v>
      </c>
      <c r="H15" s="154">
        <v>1121.8252567352422</v>
      </c>
      <c r="I15" s="155">
        <v>1121.8252567352422</v>
      </c>
      <c r="J15" s="154">
        <v>1165.7471300592538</v>
      </c>
      <c r="K15" s="155">
        <v>1165.7471300592538</v>
      </c>
      <c r="L15" s="154">
        <v>1211.8219027100081</v>
      </c>
      <c r="M15" s="155">
        <v>1211.8219027100081</v>
      </c>
      <c r="N15" s="154">
        <v>1260.5203332270635</v>
      </c>
      <c r="O15" s="155">
        <v>1260.5203332270635</v>
      </c>
      <c r="P15" s="154">
        <v>1312.5293633979825</v>
      </c>
      <c r="Q15" s="155">
        <v>1312.5293633979825</v>
      </c>
      <c r="R15" s="154">
        <v>1368.8934011579361</v>
      </c>
      <c r="S15" s="155">
        <v>1368.8934011579361</v>
      </c>
      <c r="T15" s="154">
        <v>1431.2665044960452</v>
      </c>
      <c r="U15" s="155">
        <v>1431.2665044960452</v>
      </c>
      <c r="V15" s="154">
        <v>1502.3788611272489</v>
      </c>
      <c r="W15" s="155">
        <v>1502.3788611272489</v>
      </c>
      <c r="X15" s="154">
        <v>1586.9319005185396</v>
      </c>
      <c r="Y15" s="155">
        <v>1586.9319005185396</v>
      </c>
      <c r="Z15" s="154">
        <v>1693.349129340673</v>
      </c>
      <c r="AA15" s="155">
        <v>1693.349129340673</v>
      </c>
      <c r="AB15" s="154">
        <v>1837.0672809194898</v>
      </c>
      <c r="AC15" s="155">
        <v>1837.0672809194898</v>
      </c>
      <c r="AD15" s="154">
        <v>2045.5124356234951</v>
      </c>
      <c r="AE15" s="155">
        <v>2045.5124356234951</v>
      </c>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993.86774776621235</v>
      </c>
      <c r="E16" s="42">
        <v>1014.9546631142504</v>
      </c>
      <c r="F16" s="41">
        <v>987.43453463985452</v>
      </c>
      <c r="G16" s="42">
        <v>1030.4571828033577</v>
      </c>
      <c r="H16" s="41">
        <v>980.64128271504558</v>
      </c>
      <c r="I16" s="42">
        <v>1046.5789231600672</v>
      </c>
      <c r="J16" s="41">
        <v>973.41943708645113</v>
      </c>
      <c r="K16" s="42">
        <v>1063.4146735942447</v>
      </c>
      <c r="L16" s="41">
        <v>965.68762410227907</v>
      </c>
      <c r="M16" s="42">
        <v>1081.096444296456</v>
      </c>
      <c r="N16" s="41">
        <v>957.34665513233824</v>
      </c>
      <c r="O16" s="42">
        <v>1099.8158294594323</v>
      </c>
      <c r="P16" s="41">
        <v>948.27161485258046</v>
      </c>
      <c r="Q16" s="42">
        <v>1119.8623017896571</v>
      </c>
      <c r="R16" s="41">
        <v>938.29895491154741</v>
      </c>
      <c r="S16" s="42">
        <v>1141.6896437946723</v>
      </c>
      <c r="T16" s="41">
        <v>927.2043407868656</v>
      </c>
      <c r="U16" s="42">
        <v>1166.0362875948674</v>
      </c>
      <c r="V16" s="41">
        <v>914.66275230474673</v>
      </c>
      <c r="W16" s="42">
        <v>1194.1520067866127</v>
      </c>
      <c r="X16" s="41">
        <v>900.17249132950758</v>
      </c>
      <c r="Y16" s="42">
        <v>1228.2437347509444</v>
      </c>
      <c r="Z16" s="41">
        <v>882.90233670377097</v>
      </c>
      <c r="AA16" s="42">
        <v>1272.381901082013</v>
      </c>
      <c r="AB16" s="41">
        <v>861.37340010085211</v>
      </c>
      <c r="AC16" s="42">
        <v>1334.3411432258479</v>
      </c>
      <c r="AD16" s="41">
        <v>832.81963228292102</v>
      </c>
      <c r="AE16" s="42">
        <v>1429.1216268862522</v>
      </c>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997.68213194075588</v>
      </c>
      <c r="E17" s="36">
        <v>1053.2628977516381</v>
      </c>
      <c r="F17" s="35">
        <v>995.36937226165958</v>
      </c>
      <c r="G17" s="36">
        <v>1112.6581385842667</v>
      </c>
      <c r="H17" s="35">
        <v>993.04861673317487</v>
      </c>
      <c r="I17" s="36">
        <v>1179.3380407855175</v>
      </c>
      <c r="J17" s="35">
        <v>990.70831395734581</v>
      </c>
      <c r="K17" s="36">
        <v>1254.781585591069</v>
      </c>
      <c r="L17" s="35">
        <v>988.33960151624024</v>
      </c>
      <c r="M17" s="36">
        <v>1340.9334673538885</v>
      </c>
      <c r="N17" s="35">
        <v>985.93818038686936</v>
      </c>
      <c r="O17" s="36">
        <v>1440.4228482736053</v>
      </c>
      <c r="P17" s="35">
        <v>983.50738115532693</v>
      </c>
      <c r="Q17" s="36">
        <v>1556.9225471501015</v>
      </c>
      <c r="R17" s="35">
        <v>981.0633295495328</v>
      </c>
      <c r="S17" s="36">
        <v>1695.7624239598958</v>
      </c>
      <c r="T17" s="35">
        <v>978.64382304981984</v>
      </c>
      <c r="U17" s="36">
        <v>1865.0306604665554</v>
      </c>
      <c r="V17" s="35">
        <v>976.32404954882929</v>
      </c>
      <c r="W17" s="36">
        <v>2077.66331939777</v>
      </c>
      <c r="X17" s="35">
        <v>974.24479200079634</v>
      </c>
      <c r="Y17" s="36">
        <v>2355.6624354426854</v>
      </c>
      <c r="Z17" s="35">
        <v>972.66122840867354</v>
      </c>
      <c r="AA17" s="36">
        <v>2739.1636699204901</v>
      </c>
      <c r="AB17" s="35">
        <v>972.01107510111876</v>
      </c>
      <c r="AC17" s="36">
        <v>3306.9165501304774</v>
      </c>
      <c r="AD17" s="35">
        <v>972.92492857867023</v>
      </c>
      <c r="AE17" s="36">
        <v>4222.8825670457791</v>
      </c>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28274.166467130832</v>
      </c>
      <c r="E18" s="34">
        <v>1135.7062952749411</v>
      </c>
      <c r="F18" s="33">
        <v>28693.263743243962</v>
      </c>
      <c r="G18" s="34">
        <v>1035.1907809578004</v>
      </c>
      <c r="H18" s="33">
        <v>29115.355339082114</v>
      </c>
      <c r="I18" s="34">
        <v>935.24861301585508</v>
      </c>
      <c r="J18" s="33">
        <v>29541.642516027096</v>
      </c>
      <c r="K18" s="34">
        <v>835.960175551161</v>
      </c>
      <c r="L18" s="33">
        <v>29973.583120944084</v>
      </c>
      <c r="M18" s="34">
        <v>737.48220864452298</v>
      </c>
      <c r="N18" s="33">
        <v>30413.057967801502</v>
      </c>
      <c r="O18" s="34">
        <v>640.07909757538221</v>
      </c>
      <c r="P18" s="33">
        <v>30862.65902726377</v>
      </c>
      <c r="Q18" s="34">
        <v>544.16799562901406</v>
      </c>
      <c r="R18" s="33">
        <v>31326.162745001213</v>
      </c>
      <c r="S18" s="34">
        <v>450.38401101643427</v>
      </c>
      <c r="T18" s="33">
        <v>31809.360368009544</v>
      </c>
      <c r="U18" s="34">
        <v>359.67641156614422</v>
      </c>
      <c r="V18" s="33">
        <v>32321.528291939667</v>
      </c>
      <c r="W18" s="34">
        <v>273.45171631978968</v>
      </c>
      <c r="X18" s="33">
        <v>32878.063565340708</v>
      </c>
      <c r="Y18" s="34">
        <v>193.78084136471355</v>
      </c>
      <c r="Z18" s="33">
        <v>33505.04647537908</v>
      </c>
      <c r="AA18" s="34">
        <v>123.65488285119392</v>
      </c>
      <c r="AB18" s="33">
        <v>34245.769827129567</v>
      </c>
      <c r="AC18" s="34">
        <v>67.090860917111399</v>
      </c>
      <c r="AD18" s="33">
        <v>35163.150340221167</v>
      </c>
      <c r="AE18" s="34">
        <v>28.258301221950177</v>
      </c>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1902.9354095611914</v>
      </c>
      <c r="E19" s="42">
        <v>281.12471227851245</v>
      </c>
      <c r="F19" s="41">
        <v>1919.2987862072009</v>
      </c>
      <c r="G19" s="42">
        <v>301.42433378726162</v>
      </c>
      <c r="H19" s="41">
        <v>1935.4849719361266</v>
      </c>
      <c r="I19" s="42">
        <v>323.88758291041438</v>
      </c>
      <c r="J19" s="41">
        <v>1951.5075576413315</v>
      </c>
      <c r="K19" s="42">
        <v>348.71050507103354</v>
      </c>
      <c r="L19" s="41">
        <v>1967.4059771287598</v>
      </c>
      <c r="M19" s="42">
        <v>376.06562902148681</v>
      </c>
      <c r="N19" s="41">
        <v>1983.266773941966</v>
      </c>
      <c r="O19" s="42">
        <v>406.07145523793747</v>
      </c>
      <c r="P19" s="41">
        <v>1999.259706045925</v>
      </c>
      <c r="Q19" s="42">
        <v>438.74116281843459</v>
      </c>
      <c r="R19" s="41">
        <v>2015.6980947084783</v>
      </c>
      <c r="S19" s="42">
        <v>473.894284692974</v>
      </c>
      <c r="T19" s="41">
        <v>2033.1444152131637</v>
      </c>
      <c r="U19" s="42">
        <v>511.00077079336552</v>
      </c>
      <c r="V19" s="41">
        <v>2052.5989604966062</v>
      </c>
      <c r="W19" s="42">
        <v>548.89705769066757</v>
      </c>
      <c r="X19" s="41">
        <v>2075.8427359614875</v>
      </c>
      <c r="Y19" s="42">
        <v>585.25829788761462</v>
      </c>
      <c r="Z19" s="41">
        <v>2106.0447974227413</v>
      </c>
      <c r="AA19" s="42">
        <v>615.63402430715166</v>
      </c>
      <c r="AB19" s="41">
        <v>2148.6685155811192</v>
      </c>
      <c r="AC19" s="42">
        <v>631.92791378355423</v>
      </c>
      <c r="AD19" s="41">
        <v>2211.9087344660497</v>
      </c>
      <c r="AE19" s="42">
        <v>621.38694030204897</v>
      </c>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26918.352172784929</v>
      </c>
      <c r="E20" s="83">
        <v>1338.1147774499941</v>
      </c>
      <c r="F20" s="82">
        <v>27289.247025738448</v>
      </c>
      <c r="G20" s="83">
        <v>1267.6876838999945</v>
      </c>
      <c r="H20" s="82">
        <v>27661.865052039375</v>
      </c>
      <c r="I20" s="83">
        <v>1197.2605903499946</v>
      </c>
      <c r="J20" s="82">
        <v>28037.171997352834</v>
      </c>
      <c r="K20" s="83">
        <v>1126.8334967999949</v>
      </c>
      <c r="L20" s="82">
        <v>28416.393351910978</v>
      </c>
      <c r="M20" s="83">
        <v>1056.4064032499953</v>
      </c>
      <c r="N20" s="82">
        <v>28801.198382642826</v>
      </c>
      <c r="O20" s="83">
        <v>985.97930969999561</v>
      </c>
      <c r="P20" s="82">
        <v>29194.017902072053</v>
      </c>
      <c r="Q20" s="83">
        <v>915.55221614999607</v>
      </c>
      <c r="R20" s="82">
        <v>29598.570468165039</v>
      </c>
      <c r="S20" s="83">
        <v>845.12512259999642</v>
      </c>
      <c r="T20" s="82">
        <v>30020.786522037837</v>
      </c>
      <c r="U20" s="83">
        <v>774.69802904999653</v>
      </c>
      <c r="V20" s="82">
        <v>30470.451219802682</v>
      </c>
      <c r="W20" s="83">
        <v>704.27093549999688</v>
      </c>
      <c r="X20" s="82">
        <v>30964.162211326064</v>
      </c>
      <c r="Y20" s="83">
        <v>633.84384194999734</v>
      </c>
      <c r="Z20" s="82">
        <v>31530.480835642058</v>
      </c>
      <c r="AA20" s="83">
        <v>563.41674839999757</v>
      </c>
      <c r="AB20" s="82">
        <v>32217.372383146281</v>
      </c>
      <c r="AC20" s="83">
        <v>492.98965484999775</v>
      </c>
      <c r="AD20" s="82">
        <v>33095.099596197171</v>
      </c>
      <c r="AE20" s="83">
        <v>422.56256129999798</v>
      </c>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25015.430168685347</v>
      </c>
      <c r="E21" s="83">
        <v>1057.5727375807317</v>
      </c>
      <c r="F21" s="82">
        <v>25370.002593471501</v>
      </c>
      <c r="G21" s="83">
        <v>968.75403340375829</v>
      </c>
      <c r="H21" s="82">
        <v>25726.504501929314</v>
      </c>
      <c r="I21" s="83">
        <v>879.37150447235933</v>
      </c>
      <c r="J21" s="82">
        <v>26085.890239042783</v>
      </c>
      <c r="K21" s="83">
        <v>789.55404176857871</v>
      </c>
      <c r="L21" s="82">
        <v>26449.348567832239</v>
      </c>
      <c r="M21" s="83">
        <v>699.50888960678833</v>
      </c>
      <c r="N21" s="82">
        <v>26818.465190708375</v>
      </c>
      <c r="O21" s="83">
        <v>609.55293113263565</v>
      </c>
      <c r="P21" s="82">
        <v>27195.503894513637</v>
      </c>
      <c r="Q21" s="83">
        <v>520.15675052030394</v>
      </c>
      <c r="R21" s="82">
        <v>27583.871368048432</v>
      </c>
      <c r="S21" s="83">
        <v>432.00838729857458</v>
      </c>
      <c r="T21" s="82">
        <v>27988.933761328062</v>
      </c>
      <c r="U21" s="83">
        <v>346.10734348692642</v>
      </c>
      <c r="V21" s="82">
        <v>28419.467097272605</v>
      </c>
      <c r="W21" s="83">
        <v>263.90479505833275</v>
      </c>
      <c r="X21" s="82">
        <v>28890.265234146569</v>
      </c>
      <c r="Y21" s="83">
        <v>187.50700041638495</v>
      </c>
      <c r="Z21" s="82">
        <v>29426.67192615012</v>
      </c>
      <c r="AA21" s="83">
        <v>119.92768576911656</v>
      </c>
      <c r="AB21" s="82">
        <v>30071.099922040037</v>
      </c>
      <c r="AC21" s="83">
        <v>65.194905656996497</v>
      </c>
      <c r="AD21" s="82">
        <v>30885.49205941187</v>
      </c>
      <c r="AE21" s="83">
        <v>27.500847646545971</v>
      </c>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6629.0668014580579</v>
      </c>
      <c r="E22" s="42">
        <v>365.71594312317552</v>
      </c>
      <c r="F22" s="41">
        <v>6723.8881775158507</v>
      </c>
      <c r="G22" s="42">
        <v>351.19799782926418</v>
      </c>
      <c r="H22" s="41">
        <v>6818.1489378736451</v>
      </c>
      <c r="I22" s="42">
        <v>336.35695124108798</v>
      </c>
      <c r="J22" s="41">
        <v>6911.9376537001663</v>
      </c>
      <c r="K22" s="42">
        <v>321.18931999858387</v>
      </c>
      <c r="L22" s="41">
        <v>7005.3728811088858</v>
      </c>
      <c r="M22" s="42">
        <v>305.68281301290943</v>
      </c>
      <c r="N22" s="41">
        <v>7098.6387681756351</v>
      </c>
      <c r="O22" s="42">
        <v>289.81311740070731</v>
      </c>
      <c r="P22" s="41">
        <v>7192.0488021777128</v>
      </c>
      <c r="Q22" s="42">
        <v>273.53941751843456</v>
      </c>
      <c r="R22" s="41">
        <v>7286.153995499747</v>
      </c>
      <c r="S22" s="42">
        <v>256.79810737742122</v>
      </c>
      <c r="T22" s="41">
        <v>7381.9364603897766</v>
      </c>
      <c r="U22" s="42">
        <v>239.49389753608918</v>
      </c>
      <c r="V22" s="41">
        <v>7481.157299765161</v>
      </c>
      <c r="W22" s="42">
        <v>221.4873282441207</v>
      </c>
      <c r="X22" s="41">
        <v>7586.9834192413637</v>
      </c>
      <c r="Y22" s="42">
        <v>202.5784244246085</v>
      </c>
      <c r="Z22" s="41">
        <v>7705.0577806775673</v>
      </c>
      <c r="AA22" s="42">
        <v>182.4914730044172</v>
      </c>
      <c r="AB22" s="41">
        <v>7844.9040556140935</v>
      </c>
      <c r="AC22" s="42">
        <v>160.88813860339368</v>
      </c>
      <c r="AD22" s="41">
        <v>8019.6410434279687</v>
      </c>
      <c r="AE22" s="42">
        <v>137.5005986184766</v>
      </c>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3332.5938810786788</v>
      </c>
      <c r="E23" s="8">
        <v>0</v>
      </c>
      <c r="F23" s="116">
        <v>3387.0239937459482</v>
      </c>
      <c r="G23" s="8">
        <v>0</v>
      </c>
      <c r="H23" s="116">
        <v>3441.9216505560316</v>
      </c>
      <c r="I23" s="8">
        <v>0</v>
      </c>
      <c r="J23" s="116">
        <v>3497.4416252449514</v>
      </c>
      <c r="K23" s="8">
        <v>0</v>
      </c>
      <c r="L23" s="116">
        <v>3553.7830986211484</v>
      </c>
      <c r="M23" s="8">
        <v>0</v>
      </c>
      <c r="N23" s="116">
        <v>3611.2201831477637</v>
      </c>
      <c r="O23" s="8">
        <v>0</v>
      </c>
      <c r="P23" s="116">
        <v>3670.1543748084764</v>
      </c>
      <c r="Q23" s="8">
        <v>0</v>
      </c>
      <c r="R23" s="116">
        <v>3731.2026329041519</v>
      </c>
      <c r="S23" s="8">
        <v>0</v>
      </c>
      <c r="T23" s="116">
        <v>3795.3531477657375</v>
      </c>
      <c r="U23" s="8">
        <v>0</v>
      </c>
      <c r="V23" s="116">
        <v>3864.2460085141815</v>
      </c>
      <c r="W23" s="8">
        <v>0</v>
      </c>
      <c r="X23" s="116">
        <v>3940.688703865952</v>
      </c>
      <c r="Y23" s="8">
        <v>0</v>
      </c>
      <c r="Z23" s="116">
        <v>4029.5868376276094</v>
      </c>
      <c r="AA23" s="8">
        <v>0</v>
      </c>
      <c r="AB23" s="116">
        <v>4139.4126378031306</v>
      </c>
      <c r="AC23" s="8">
        <v>0</v>
      </c>
      <c r="AD23" s="116">
        <v>4283.3575195101512</v>
      </c>
      <c r="AE23" s="8">
        <v>0</v>
      </c>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3249.1218537627788</v>
      </c>
      <c r="E24" s="8">
        <v>0</v>
      </c>
      <c r="F24" s="97">
        <v>3302.1886451665082</v>
      </c>
      <c r="G24" s="8">
        <v>0</v>
      </c>
      <c r="H24" s="97">
        <v>3355.7112764421481</v>
      </c>
      <c r="I24" s="8">
        <v>0</v>
      </c>
      <c r="J24" s="97">
        <v>3409.8406320129229</v>
      </c>
      <c r="K24" s="8">
        <v>0</v>
      </c>
      <c r="L24" s="97">
        <v>3464.7709125136525</v>
      </c>
      <c r="M24" s="8">
        <v>0</v>
      </c>
      <c r="N24" s="97">
        <v>3520.7693605015293</v>
      </c>
      <c r="O24" s="8">
        <v>0</v>
      </c>
      <c r="P24" s="97">
        <v>3578.2274180523727</v>
      </c>
      <c r="Q24" s="8">
        <v>0</v>
      </c>
      <c r="R24" s="97">
        <v>3637.7465905433587</v>
      </c>
      <c r="S24" s="8">
        <v>0</v>
      </c>
      <c r="T24" s="97">
        <v>3700.2903170008776</v>
      </c>
      <c r="U24" s="8">
        <v>0</v>
      </c>
      <c r="V24" s="97">
        <v>3767.457607077436</v>
      </c>
      <c r="W24" s="8">
        <v>0</v>
      </c>
      <c r="X24" s="97">
        <v>3841.985629787755</v>
      </c>
      <c r="Y24" s="8">
        <v>0</v>
      </c>
      <c r="Z24" s="97">
        <v>3928.6571173247598</v>
      </c>
      <c r="AA24" s="8">
        <v>0</v>
      </c>
      <c r="AB24" s="97">
        <v>4035.7320928849817</v>
      </c>
      <c r="AC24" s="8">
        <v>0</v>
      </c>
      <c r="AD24" s="97">
        <v>4176.0715633904965</v>
      </c>
      <c r="AE24" s="8">
        <v>0</v>
      </c>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3258.7145212035839</v>
      </c>
      <c r="E25" s="42">
        <v>78.033716921749047</v>
      </c>
      <c r="F25" s="41">
        <v>3323.1722063609504</v>
      </c>
      <c r="G25" s="42">
        <v>66.068970062811658</v>
      </c>
      <c r="H25" s="41">
        <v>3388.6457739633629</v>
      </c>
      <c r="I25" s="42">
        <v>55.122375420202133</v>
      </c>
      <c r="J25" s="41">
        <v>3455.3774937248741</v>
      </c>
      <c r="K25" s="42">
        <v>45.196706780847556</v>
      </c>
      <c r="L25" s="41">
        <v>3523.630709273637</v>
      </c>
      <c r="M25" s="42">
        <v>36.293140463197361</v>
      </c>
      <c r="N25" s="41">
        <v>3593.6941771997472</v>
      </c>
      <c r="O25" s="42">
        <v>28.410730554425299</v>
      </c>
      <c r="P25" s="41">
        <v>3665.889919413924</v>
      </c>
      <c r="Q25" s="42">
        <v>21.545851253820508</v>
      </c>
      <c r="R25" s="41">
        <v>3740.5835972963414</v>
      </c>
      <c r="S25" s="42">
        <v>15.691484032171255</v>
      </c>
      <c r="T25" s="41">
        <v>3818.2019350240535</v>
      </c>
      <c r="U25" s="42">
        <v>10.836073206310186</v>
      </c>
      <c r="V25" s="41">
        <v>3899.2597622714102</v>
      </c>
      <c r="W25" s="42">
        <v>6.9613254915935112</v>
      </c>
      <c r="X25" s="41">
        <v>3984.4008308966677</v>
      </c>
      <c r="Y25" s="42">
        <v>4.0375594829064001</v>
      </c>
      <c r="Z25" s="41">
        <v>4074.4510314769173</v>
      </c>
      <c r="AA25" s="42">
        <v>2.0136512329474932</v>
      </c>
      <c r="AB25" s="41">
        <v>4170.4567334674866</v>
      </c>
      <c r="AC25" s="42">
        <v>0.79662368390314109</v>
      </c>
      <c r="AD25" s="41">
        <v>4273.6234981908228</v>
      </c>
      <c r="AE25" s="42">
        <v>0.22009212000532533</v>
      </c>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5183.4649292350778</v>
      </c>
      <c r="E26" s="34">
        <v>69.849589953169797</v>
      </c>
      <c r="F26" s="33">
        <v>5339.3341418710779</v>
      </c>
      <c r="G26" s="34">
        <v>64.724298852723706</v>
      </c>
      <c r="H26" s="33">
        <v>5505.601932470252</v>
      </c>
      <c r="I26" s="34">
        <v>59.521164561041012</v>
      </c>
      <c r="J26" s="33">
        <v>5684.455414014521</v>
      </c>
      <c r="K26" s="34">
        <v>54.233342963379741</v>
      </c>
      <c r="L26" s="33">
        <v>5878.8090969597815</v>
      </c>
      <c r="M26" s="34">
        <v>48.856783725951047</v>
      </c>
      <c r="N26" s="33">
        <v>6092.6983986590631</v>
      </c>
      <c r="O26" s="34">
        <v>43.392209664933361</v>
      </c>
      <c r="P26" s="33">
        <v>6331.9701255256978</v>
      </c>
      <c r="Q26" s="34">
        <v>37.848129921093893</v>
      </c>
      <c r="R26" s="33">
        <v>6605.5481934113959</v>
      </c>
      <c r="S26" s="34">
        <v>32.245490800102189</v>
      </c>
      <c r="T26" s="33">
        <v>6927.924887359819</v>
      </c>
      <c r="U26" s="34">
        <v>26.625003149229112</v>
      </c>
      <c r="V26" s="33">
        <v>7324.4831609227494</v>
      </c>
      <c r="W26" s="34">
        <v>21.058935222514624</v>
      </c>
      <c r="X26" s="33">
        <v>7844.1776259576327</v>
      </c>
      <c r="Y26" s="34">
        <v>15.670152892487536</v>
      </c>
      <c r="Z26" s="33">
        <v>8594.6768584201582</v>
      </c>
      <c r="AA26" s="34">
        <v>10.661076807820699</v>
      </c>
      <c r="AB26" s="33">
        <v>9865.608961563863</v>
      </c>
      <c r="AC26" s="34">
        <v>6.3464316517022095</v>
      </c>
      <c r="AD26" s="33">
        <v>12817.138391144019</v>
      </c>
      <c r="AE26" s="34">
        <v>3.1444346872297251</v>
      </c>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6446.8599191500007</v>
      </c>
      <c r="E27" s="36">
        <v>251.56747606021474</v>
      </c>
      <c r="F27" s="35">
        <v>6468.3639933302957</v>
      </c>
      <c r="G27" s="36">
        <v>230.06343604268184</v>
      </c>
      <c r="H27" s="35">
        <v>6489.733745957049</v>
      </c>
      <c r="I27" s="36">
        <v>208.69358599668629</v>
      </c>
      <c r="J27" s="35">
        <v>6510.9831285973696</v>
      </c>
      <c r="K27" s="36">
        <v>187.4441492413176</v>
      </c>
      <c r="L27" s="35">
        <v>6532.1114924171097</v>
      </c>
      <c r="M27" s="36">
        <v>166.31585518543648</v>
      </c>
      <c r="N27" s="35">
        <v>6553.0967692569302</v>
      </c>
      <c r="O27" s="36">
        <v>145.33053242269747</v>
      </c>
      <c r="P27" s="35">
        <v>6573.8861970218522</v>
      </c>
      <c r="Q27" s="36">
        <v>124.54110977404807</v>
      </c>
      <c r="R27" s="35">
        <v>6594.3806338437143</v>
      </c>
      <c r="S27" s="36">
        <v>104.04667497271174</v>
      </c>
      <c r="T27" s="35">
        <v>6614.4116316716863</v>
      </c>
      <c r="U27" s="36">
        <v>84.015677405285174</v>
      </c>
      <c r="V27" s="35">
        <v>6633.7052114377075</v>
      </c>
      <c r="W27" s="36">
        <v>64.722104490012811</v>
      </c>
      <c r="X27" s="35">
        <v>6651.8261678397557</v>
      </c>
      <c r="Y27" s="36">
        <v>46.601148300892596</v>
      </c>
      <c r="Z27" s="35">
        <v>6668.1014186697548</v>
      </c>
      <c r="AA27" s="36">
        <v>30.325918295899314</v>
      </c>
      <c r="AB27" s="35">
        <v>6681.5604934977609</v>
      </c>
      <c r="AC27" s="36">
        <v>16.866821832133969</v>
      </c>
      <c r="AD27" s="35">
        <v>6691.0901123184804</v>
      </c>
      <c r="AE27" s="36">
        <v>7.337060155948266</v>
      </c>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13763.097676000007</v>
      </c>
      <c r="C28" s="42">
        <v>382.36647900000003</v>
      </c>
      <c r="D28" s="41">
        <v>13995.426504385452</v>
      </c>
      <c r="E28" s="42">
        <v>353.30004343286021</v>
      </c>
      <c r="F28" s="41">
        <v>14231.964887161213</v>
      </c>
      <c r="G28" s="42">
        <v>324.22203072407069</v>
      </c>
      <c r="H28" s="41">
        <v>14473.749670147074</v>
      </c>
      <c r="I28" s="42">
        <v>295.11063317878268</v>
      </c>
      <c r="J28" s="41">
        <v>14722.024534226237</v>
      </c>
      <c r="K28" s="42">
        <v>265.95607416925048</v>
      </c>
      <c r="L28" s="41">
        <v>14978.347194592412</v>
      </c>
      <c r="M28" s="42">
        <v>236.76776542093282</v>
      </c>
      <c r="N28" s="41">
        <v>15244.754540635948</v>
      </c>
      <c r="O28" s="42">
        <v>207.58411654506725</v>
      </c>
      <c r="P28" s="41">
        <v>15524.039189469571</v>
      </c>
      <c r="Q28" s="42">
        <v>178.48723626955649</v>
      </c>
      <c r="R28" s="41">
        <v>15820.208261026864</v>
      </c>
      <c r="S28" s="42">
        <v>149.62501770084799</v>
      </c>
      <c r="T28" s="41">
        <v>16139.289056183907</v>
      </c>
      <c r="U28" s="42">
        <v>121.24514947949079</v>
      </c>
      <c r="V28" s="41">
        <v>16490.786734661462</v>
      </c>
      <c r="W28" s="42">
        <v>93.748296140023655</v>
      </c>
      <c r="X28" s="41">
        <v>16890.41510301653</v>
      </c>
      <c r="Y28" s="42">
        <v>67.770462781446383</v>
      </c>
      <c r="Z28" s="41">
        <v>17365.288940270624</v>
      </c>
      <c r="AA28" s="42">
        <v>44.298201559745138</v>
      </c>
      <c r="AB28" s="41">
        <v>17963.363259315585</v>
      </c>
      <c r="AC28" s="42">
        <v>24.763655801008785</v>
      </c>
      <c r="AD28" s="41">
        <v>18767.304526553598</v>
      </c>
      <c r="AE28" s="42">
        <v>10.835146709352312</v>
      </c>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14577.273756555363</v>
      </c>
      <c r="E29" s="36">
        <v>748.17819339437449</v>
      </c>
      <c r="F29" s="35">
        <v>14792.747808024318</v>
      </c>
      <c r="G29" s="36">
        <v>679.81925762488277</v>
      </c>
      <c r="H29" s="35">
        <v>15009.729234541959</v>
      </c>
      <c r="I29" s="36">
        <v>612.2124652220034</v>
      </c>
      <c r="J29" s="35">
        <v>15228.832521483493</v>
      </c>
      <c r="K29" s="36">
        <v>545.41544550283766</v>
      </c>
      <c r="L29" s="35">
        <v>15450.804507923453</v>
      </c>
      <c r="M29" s="36">
        <v>479.53550541930872</v>
      </c>
      <c r="N29" s="35">
        <v>15676.610786755058</v>
      </c>
      <c r="O29" s="36">
        <v>414.74914752486319</v>
      </c>
      <c r="P29" s="35">
        <v>15907.585429868328</v>
      </c>
      <c r="Q29" s="36">
        <v>351.33018145720445</v>
      </c>
      <c r="R29" s="35">
        <v>16145.677054513606</v>
      </c>
      <c r="S29" s="36">
        <v>289.69024371937718</v>
      </c>
      <c r="T29" s="35">
        <v>16393.88063343559</v>
      </c>
      <c r="U29" s="36">
        <v>230.43836580342702</v>
      </c>
      <c r="V29" s="35">
        <v>16657.002415120103</v>
      </c>
      <c r="W29" s="36">
        <v>174.46904512478508</v>
      </c>
      <c r="X29" s="35">
        <v>16943.031386869203</v>
      </c>
      <c r="Y29" s="36">
        <v>123.08842578152539</v>
      </c>
      <c r="Z29" s="35">
        <v>17265.51411855052</v>
      </c>
      <c r="AA29" s="36">
        <v>78.166355002720366</v>
      </c>
      <c r="AB29" s="35">
        <v>17646.953613675119</v>
      </c>
      <c r="AC29" s="36">
        <v>42.185146361201959</v>
      </c>
      <c r="AD29" s="35">
        <v>18120.062151133166</v>
      </c>
      <c r="AE29" s="36">
        <v>17.663783526348396</v>
      </c>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2963176.4616097715</v>
      </c>
      <c r="F30" s="119">
        <v>3001453.8000054909</v>
      </c>
      <c r="H30" s="119">
        <v>3039713.681100619</v>
      </c>
      <c r="J30" s="119">
        <v>3078026.8612930616</v>
      </c>
      <c r="L30" s="119">
        <v>3116501.6324128993</v>
      </c>
      <c r="N30" s="119">
        <v>3155314.5743270856</v>
      </c>
      <c r="P30" s="119">
        <v>3194761.7939546532</v>
      </c>
      <c r="R30" s="119">
        <v>3235346.4489850001</v>
      </c>
      <c r="T30" s="119">
        <v>3277932.0555042587</v>
      </c>
      <c r="V30" s="119">
        <v>3324018.3480762444</v>
      </c>
      <c r="X30" s="119">
        <v>3376245.5905367825</v>
      </c>
      <c r="Z30" s="119">
        <v>3439295.2608562931</v>
      </c>
      <c r="AB30" s="119">
        <v>3521264.4051610837</v>
      </c>
      <c r="AD30" s="119">
        <v>3634483.7906117165</v>
      </c>
      <c r="AF30" s="119"/>
      <c r="AH30" s="119"/>
      <c r="AJ30" s="119"/>
      <c r="AL30" s="119"/>
      <c r="AN30" s="119"/>
      <c r="AP30" s="119"/>
      <c r="AR30" s="119"/>
      <c r="AT30" s="119"/>
      <c r="AV30" s="119"/>
    </row>
    <row r="31" spans="1:49" x14ac:dyDescent="0.2">
      <c r="A31" t="s">
        <v>47</v>
      </c>
      <c r="B31" s="80">
        <v>1</v>
      </c>
      <c r="D31" s="80">
        <v>1.011664907786441</v>
      </c>
      <c r="F31" s="80">
        <v>1.0229336239405502</v>
      </c>
      <c r="H31" s="80">
        <v>1.0337805373824198</v>
      </c>
      <c r="J31" s="80">
        <v>1.0441725952070524</v>
      </c>
      <c r="L31" s="80">
        <v>1.0540692630642488</v>
      </c>
      <c r="N31" s="80">
        <v>1.0634227948076387</v>
      </c>
      <c r="P31" s="80">
        <v>1.0721796865772462</v>
      </c>
      <c r="R31" s="80">
        <v>1.0802835502926891</v>
      </c>
      <c r="T31" s="80">
        <v>1.0876812258962563</v>
      </c>
      <c r="V31" s="80">
        <v>1.0943339453160903</v>
      </c>
      <c r="X31" s="80">
        <v>1.1002348667412578</v>
      </c>
      <c r="Z31" s="80">
        <v>1.1054232652472213</v>
      </c>
      <c r="AB31" s="80">
        <v>1.1099228412238444</v>
      </c>
      <c r="AD31" s="80">
        <v>1.1132796288556681</v>
      </c>
      <c r="AF31" s="80"/>
      <c r="AH31" s="80"/>
      <c r="AJ31" s="80"/>
      <c r="AL31" s="80"/>
      <c r="AN31" s="80"/>
      <c r="AP31" s="80"/>
      <c r="AR31" s="80"/>
      <c r="AT31" s="80"/>
      <c r="AV31" s="80"/>
    </row>
    <row r="32" spans="1:49" x14ac:dyDescent="0.2">
      <c r="A32" t="s">
        <v>64</v>
      </c>
      <c r="B32" s="86">
        <v>14734457.915000005</v>
      </c>
      <c r="D32" s="86">
        <v>14939345.161598181</v>
      </c>
      <c r="F32" s="86">
        <v>15144508.09364241</v>
      </c>
      <c r="H32" s="86">
        <v>15350288.181946283</v>
      </c>
      <c r="J32" s="86">
        <v>15557143.969643967</v>
      </c>
      <c r="L32" s="86">
        <v>15765756.451599294</v>
      </c>
      <c r="N32" s="86">
        <v>15977198.769523744</v>
      </c>
      <c r="P32" s="86">
        <v>16193226.256466389</v>
      </c>
      <c r="R32" s="86">
        <v>16416765.327562239</v>
      </c>
      <c r="T32" s="86">
        <v>16652776.499510247</v>
      </c>
      <c r="V32" s="86">
        <v>16909811.134645183</v>
      </c>
      <c r="X32" s="86">
        <v>17202876.310918882</v>
      </c>
      <c r="Z32" s="86">
        <v>17558621.018119019</v>
      </c>
      <c r="AB32" s="86">
        <v>18023525.831445571</v>
      </c>
      <c r="AD32" s="86">
        <v>18670135.128405817</v>
      </c>
      <c r="AF32" s="86"/>
      <c r="AH32" s="86"/>
      <c r="AJ32" s="86"/>
      <c r="AL32" s="86"/>
      <c r="AN32" s="86"/>
      <c r="AP32" s="86"/>
      <c r="AR32" s="86"/>
      <c r="AT32" s="86"/>
      <c r="AV32" s="86"/>
    </row>
    <row r="33" spans="1:49 16319:16321" x14ac:dyDescent="0.2">
      <c r="A33" t="s">
        <v>54</v>
      </c>
      <c r="B33" s="117">
        <v>7019665.6909999885</v>
      </c>
      <c r="D33" s="117">
        <v>7117276.3310570493</v>
      </c>
      <c r="F33" s="117">
        <v>7215018.314904632</v>
      </c>
      <c r="H33" s="117">
        <v>7313054.333170386</v>
      </c>
      <c r="J33" s="117">
        <v>7411602.8269102098</v>
      </c>
      <c r="L33" s="117">
        <v>7510988.2078437097</v>
      </c>
      <c r="N33" s="117">
        <v>7611721.7719208272</v>
      </c>
      <c r="P33" s="117">
        <v>7714639.7563346028</v>
      </c>
      <c r="R33" s="117">
        <v>7821136.3471677285</v>
      </c>
      <c r="T33" s="117">
        <v>7933574.7913689017</v>
      </c>
      <c r="V33" s="117">
        <v>8056029.0545225125</v>
      </c>
      <c r="X33" s="117">
        <v>8195648.6833973415</v>
      </c>
      <c r="Z33" s="117">
        <v>8365129.5657288954</v>
      </c>
      <c r="AB33" s="117">
        <v>8586615.5806447603</v>
      </c>
      <c r="AD33" s="117">
        <v>8894667.7182533741</v>
      </c>
      <c r="AF33" s="117"/>
      <c r="AH33" s="117"/>
      <c r="AJ33" s="117"/>
      <c r="AL33" s="117"/>
      <c r="AN33" s="117"/>
      <c r="AP33" s="117"/>
      <c r="AR33" s="117"/>
      <c r="AT33" s="117"/>
      <c r="AV33" s="117"/>
    </row>
    <row r="34" spans="1:49 16319:16321" x14ac:dyDescent="0.2">
      <c r="A34" t="s">
        <v>75</v>
      </c>
      <c r="B34" s="117">
        <v>1136879.4410000162</v>
      </c>
      <c r="D34" s="117">
        <v>1152688.1162856291</v>
      </c>
      <c r="F34" s="117">
        <v>1168518.0564292998</v>
      </c>
      <c r="H34" s="117">
        <v>1184395.5945370239</v>
      </c>
      <c r="J34" s="117">
        <v>1200356.1377933566</v>
      </c>
      <c r="L34" s="117">
        <v>1216452.2435865877</v>
      </c>
      <c r="N34" s="117">
        <v>1232766.6785742687</v>
      </c>
      <c r="P34" s="117">
        <v>1249434.9018033848</v>
      </c>
      <c r="R34" s="117">
        <v>1266682.7019270603</v>
      </c>
      <c r="T34" s="117">
        <v>1284892.8222238342</v>
      </c>
      <c r="V34" s="117">
        <v>1304725.06957573</v>
      </c>
      <c r="X34" s="117">
        <v>1327337.3565304719</v>
      </c>
      <c r="Z34" s="117">
        <v>1354785.8609799715</v>
      </c>
      <c r="AB34" s="117">
        <v>1390656.9277867163</v>
      </c>
      <c r="AD34" s="117">
        <v>1440547.9155427297</v>
      </c>
      <c r="AF34" s="117"/>
      <c r="AH34" s="117"/>
      <c r="AJ34" s="117"/>
      <c r="AL34" s="117"/>
      <c r="AN34" s="117"/>
      <c r="AP34" s="117"/>
      <c r="AR34" s="117"/>
      <c r="AT34" s="117"/>
      <c r="AV34" s="117"/>
    </row>
    <row r="35" spans="1:49 16319:16321" x14ac:dyDescent="0.2">
      <c r="A35" t="s">
        <v>78</v>
      </c>
      <c r="B35" s="233">
        <v>1</v>
      </c>
      <c r="D35" s="233">
        <v>1.0022170119799316</v>
      </c>
      <c r="F35" s="233">
        <v>1.0048070306290982</v>
      </c>
      <c r="H35" s="233">
        <v>1.0078299718124122</v>
      </c>
      <c r="J35" s="233">
        <v>1.0113676532043547</v>
      </c>
      <c r="L35" s="233">
        <v>1.015533573128836</v>
      </c>
      <c r="N35" s="233">
        <v>1.0204882282310748</v>
      </c>
      <c r="P35" s="233">
        <v>1.0264640213138156</v>
      </c>
      <c r="R35" s="233">
        <v>1.0338072585273463</v>
      </c>
      <c r="T35" s="233">
        <v>1.0430522315282253</v>
      </c>
      <c r="V35" s="233">
        <v>1.0550585651908757</v>
      </c>
      <c r="X35" s="233">
        <v>1.07127966888767</v>
      </c>
      <c r="Z35" s="233">
        <v>1.0943127093346108</v>
      </c>
      <c r="AB35" s="233">
        <v>1.1290475099214421</v>
      </c>
      <c r="AD35" s="233">
        <v>1.1849406735788375</v>
      </c>
      <c r="AF35" s="233"/>
      <c r="AH35" s="233"/>
      <c r="AJ35" s="233"/>
      <c r="AL35" s="233"/>
      <c r="AN35" s="233"/>
      <c r="AP35" s="233"/>
      <c r="AR35" s="233"/>
      <c r="AT35" s="233"/>
      <c r="AV35" s="233"/>
    </row>
    <row r="36" spans="1:49 16319:16321" x14ac:dyDescent="0.2">
      <c r="A36" t="s">
        <v>21</v>
      </c>
      <c r="B36" s="37">
        <v>0.4719576767198812</v>
      </c>
      <c r="C36" s="38">
        <v>0.31738834428178975</v>
      </c>
      <c r="D36" s="37">
        <v>0.47197773286940131</v>
      </c>
      <c r="E36" s="38">
        <v>0.31944231280108848</v>
      </c>
      <c r="F36" s="37">
        <v>0.47199830166438572</v>
      </c>
      <c r="G36" s="38">
        <v>0.3216551518550827</v>
      </c>
      <c r="H36" s="37">
        <v>0.47201951038603152</v>
      </c>
      <c r="I36" s="38">
        <v>0.32405010973441184</v>
      </c>
      <c r="J36" s="37">
        <v>0.47204148491606535</v>
      </c>
      <c r="K36" s="38">
        <v>0.32665587175825644</v>
      </c>
      <c r="L36" s="37">
        <v>0.47206433714954432</v>
      </c>
      <c r="M36" s="38">
        <v>0.32950871077446242</v>
      </c>
      <c r="N36" s="37">
        <v>0.4720881438090711</v>
      </c>
      <c r="O36" s="38">
        <v>0.33265575083816068</v>
      </c>
      <c r="P36" s="37">
        <v>0.47211290879314577</v>
      </c>
      <c r="Q36" s="38">
        <v>0.33616012931239603</v>
      </c>
      <c r="R36" s="37">
        <v>0.47213849810842801</v>
      </c>
      <c r="S36" s="38">
        <v>0.34010936827954852</v>
      </c>
      <c r="T36" s="37">
        <v>0.47216452408449677</v>
      </c>
      <c r="U36" s="38">
        <v>0.34462949267188542</v>
      </c>
      <c r="V36" s="37">
        <v>0.47219013740060711</v>
      </c>
      <c r="W36" s="38">
        <v>0.34990974131600922</v>
      </c>
      <c r="X36" s="37">
        <v>0.4722136541583708</v>
      </c>
      <c r="Y36" s="38">
        <v>0.35624739442161008</v>
      </c>
      <c r="Z36" s="37">
        <v>0.47223192454807966</v>
      </c>
      <c r="AA36" s="38">
        <v>0.36413053817742652</v>
      </c>
      <c r="AB36" s="37">
        <v>0.47223951692611654</v>
      </c>
      <c r="AC36" s="38">
        <v>0.37438477293230504</v>
      </c>
      <c r="AD36" s="37">
        <v>0.47222886034084466</v>
      </c>
      <c r="AE36" s="38">
        <v>0.38838397840895317</v>
      </c>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0.34962461301992531</v>
      </c>
      <c r="D37" s="39">
        <v>2.0502008905026171E-2</v>
      </c>
      <c r="E37" s="40">
        <v>0.34579503992399663</v>
      </c>
      <c r="F37" s="39">
        <v>1.9604493589849985E-2</v>
      </c>
      <c r="G37" s="40">
        <v>0.34193963060281829</v>
      </c>
      <c r="H37" s="39">
        <v>1.8709636818082489E-2</v>
      </c>
      <c r="I37" s="40">
        <v>0.33805548027946797</v>
      </c>
      <c r="J37" s="39">
        <v>1.7816124717602702E-2</v>
      </c>
      <c r="K37" s="40">
        <v>0.33413864074990934</v>
      </c>
      <c r="L37" s="39">
        <v>1.6922205473977568E-2</v>
      </c>
      <c r="M37" s="40">
        <v>0.33018351221429471</v>
      </c>
      <c r="N37" s="39">
        <v>1.6025480821631827E-2</v>
      </c>
      <c r="O37" s="40">
        <v>0.3261820566308532</v>
      </c>
      <c r="P37" s="39">
        <v>1.512260905803285E-2</v>
      </c>
      <c r="Q37" s="40">
        <v>0.32212271466218823</v>
      </c>
      <c r="R37" s="39">
        <v>1.4208886114228813E-2</v>
      </c>
      <c r="S37" s="40">
        <v>0.3179889445201794</v>
      </c>
      <c r="T37" s="39">
        <v>1.3277634424752934E-2</v>
      </c>
      <c r="U37" s="40">
        <v>0.31375722538795808</v>
      </c>
      <c r="V37" s="39">
        <v>1.2319317385016531E-2</v>
      </c>
      <c r="W37" s="40">
        <v>0.30939444209498634</v>
      </c>
      <c r="X37" s="39">
        <v>1.1320325058514769E-2</v>
      </c>
      <c r="Y37" s="40">
        <v>0.30485496107425958</v>
      </c>
      <c r="Z37" s="39">
        <v>1.0261706846883357E-2</v>
      </c>
      <c r="AA37" s="40">
        <v>0.30007960605212108</v>
      </c>
      <c r="AB37" s="39">
        <v>9.1196468832789659E-3</v>
      </c>
      <c r="AC37" s="40">
        <v>0.29500572641446937</v>
      </c>
      <c r="AD37" s="39">
        <v>7.8740924249151873E-3</v>
      </c>
      <c r="AE37" s="40">
        <v>0.28961632773116608</v>
      </c>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0.18332865569214704</v>
      </c>
      <c r="E38" s="38">
        <v>6.1503216319022017E-2</v>
      </c>
      <c r="F38" s="37">
        <v>0.18608319324176786</v>
      </c>
      <c r="G38" s="38">
        <v>6.2524029428506087E-2</v>
      </c>
      <c r="H38" s="37">
        <v>0.18909616140181446</v>
      </c>
      <c r="I38" s="38">
        <v>6.3642077339313805E-2</v>
      </c>
      <c r="J38" s="37">
        <v>0.19242177921997936</v>
      </c>
      <c r="K38" s="38">
        <v>6.4875510280884965E-2</v>
      </c>
      <c r="L38" s="37">
        <v>0.1961330106326846</v>
      </c>
      <c r="M38" s="38">
        <v>6.6248084568370544E-2</v>
      </c>
      <c r="N38" s="37">
        <v>0.20033166033844546</v>
      </c>
      <c r="O38" s="38">
        <v>6.7791949197064744E-2</v>
      </c>
      <c r="P38" s="37">
        <v>0.20516605908557969</v>
      </c>
      <c r="Q38" s="38">
        <v>6.9552289412655594E-2</v>
      </c>
      <c r="R38" s="37">
        <v>0.21086362371227413</v>
      </c>
      <c r="S38" s="38">
        <v>7.1595549600728545E-2</v>
      </c>
      <c r="T38" s="37">
        <v>0.21779516492029766</v>
      </c>
      <c r="U38" s="38">
        <v>7.4024879844901345E-2</v>
      </c>
      <c r="V38" s="37">
        <v>0.22661314448888009</v>
      </c>
      <c r="W38" s="38">
        <v>7.7011530612911314E-2</v>
      </c>
      <c r="X38" s="37">
        <v>0.23858393029651487</v>
      </c>
      <c r="Y38" s="38">
        <v>8.0865336233084326E-2</v>
      </c>
      <c r="Z38" s="37">
        <v>0.25651887588742456</v>
      </c>
      <c r="AA38" s="38">
        <v>8.6216383550742764E-2</v>
      </c>
      <c r="AB38" s="37">
        <v>0.28808255768127916</v>
      </c>
      <c r="AC38" s="38">
        <v>9.4594577636185381E-2</v>
      </c>
      <c r="AD38" s="37">
        <v>0.36450483722680582</v>
      </c>
      <c r="AE38" s="38">
        <v>0.11127472463869219</v>
      </c>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0.22801237754062806</v>
      </c>
      <c r="E39" s="40">
        <v>0.22150751220350789</v>
      </c>
      <c r="F39" s="39">
        <v>0.22543144799459486</v>
      </c>
      <c r="G39" s="40">
        <v>0.22224254724314474</v>
      </c>
      <c r="H39" s="39">
        <v>0.22289728805905218</v>
      </c>
      <c r="I39" s="40">
        <v>0.22314236353018613</v>
      </c>
      <c r="J39" s="39">
        <v>0.22040017324916836</v>
      </c>
      <c r="K39" s="40">
        <v>0.22422617096290848</v>
      </c>
      <c r="L39" s="39">
        <v>0.21792894983759173</v>
      </c>
      <c r="M39" s="40">
        <v>0.22551846435878306</v>
      </c>
      <c r="N39" s="39">
        <v>0.21546984115161111</v>
      </c>
      <c r="O39" s="40">
        <v>0.22705089569899894</v>
      </c>
      <c r="P39" s="39">
        <v>0.21300453053039098</v>
      </c>
      <c r="Q39" s="40">
        <v>0.22886518643950871</v>
      </c>
      <c r="R39" s="39">
        <v>0.21050713065378537</v>
      </c>
      <c r="S39" s="40">
        <v>0.23101769251954002</v>
      </c>
      <c r="T39" s="39">
        <v>0.20793915863595153</v>
      </c>
      <c r="U39" s="40">
        <v>0.2335868427942063</v>
      </c>
      <c r="V39" s="39">
        <v>0.2052410749739213</v>
      </c>
      <c r="W39" s="40">
        <v>0.23668567658329551</v>
      </c>
      <c r="X39" s="39">
        <v>0.20231806397661317</v>
      </c>
      <c r="Y39" s="40">
        <v>0.24048377524166542</v>
      </c>
      <c r="Z39" s="39">
        <v>0.19901782328729961</v>
      </c>
      <c r="AA39" s="40">
        <v>0.24524642777263778</v>
      </c>
      <c r="AB39" s="39">
        <v>0.19510615551134772</v>
      </c>
      <c r="AC39" s="40">
        <v>0.25140267394947258</v>
      </c>
      <c r="AD39" s="39">
        <v>0.19028699213747396</v>
      </c>
      <c r="AE39" s="40">
        <v>0.25964264795397762</v>
      </c>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8.3198473444722726E-2</v>
      </c>
      <c r="E42" s="135"/>
      <c r="F42" s="177">
        <f>10.8%+(1-10.8%)*(1-SUM(F26:G26)/SUM($B$26:$C$26))</f>
        <v>5.6890842923472171E-2</v>
      </c>
      <c r="G42" s="135"/>
      <c r="H42" s="177">
        <f>10.8%+(1-10.8%)*(1-SUM(H26:I26)/SUM($B$26:$C$26))</f>
        <v>2.87820513715005E-2</v>
      </c>
      <c r="I42" s="135"/>
      <c r="J42" s="177">
        <f>10.8%+(1-10.8%)*(1-SUM(J26:K26)/SUM($B$26:$C$26))</f>
        <v>-1.5083988605203852E-3</v>
      </c>
      <c r="K42" s="135"/>
      <c r="L42" s="177">
        <f>10.8%+(1-10.8%)*(1-SUM(L26:M26)/SUM($B$26:$C$26))</f>
        <v>-3.4488437437410452E-2</v>
      </c>
      <c r="M42" s="135"/>
      <c r="N42" s="177">
        <f>10.8%+(1-10.8%)*(1-SUM(N26:O26)/SUM($B$26:$C$26))</f>
        <v>-7.086244622227858E-2</v>
      </c>
      <c r="O42" s="135"/>
      <c r="P42" s="177">
        <f>10.8%+(1-10.8%)*(1-SUM(P26:Q26)/SUM($B$26:$C$26))</f>
        <v>-0.11165228716891634</v>
      </c>
      <c r="Q42" s="135"/>
      <c r="R42" s="177">
        <f>10.8%+(1-10.8%)*(1-SUM(R26:S26)/SUM($B$26:$C$26))</f>
        <v>-0.15841900583261267</v>
      </c>
      <c r="S42" s="135"/>
      <c r="T42" s="177">
        <f>10.8%+(1-10.8%)*(1-SUM(T26:U26)/SUM($B$26:$C$26))</f>
        <v>-0.21369888150324476</v>
      </c>
      <c r="U42" s="135"/>
      <c r="V42" s="177">
        <f>10.8%+(1-10.8%)*(1-SUM(V26:W26)/SUM($B$26:$C$26))</f>
        <v>-0.28193432594297496</v>
      </c>
      <c r="W42" s="135"/>
      <c r="X42" s="177">
        <f>10.8%+(1-10.8%)*(1-SUM(X26:Y26)/SUM($B$26:$C$26))</f>
        <v>-0.3716902758861218</v>
      </c>
      <c r="Y42" s="162"/>
      <c r="Z42" s="177">
        <f>10.8%+(1-10.8%)*(1-SUM(Z26:AA26)/SUM($B$26:$C$26))</f>
        <v>-0.50179223549709218</v>
      </c>
      <c r="AA42" s="135"/>
      <c r="AB42" s="177">
        <f>10.8%+(1-10.8%)*(1-SUM(AB26:AC26)/SUM($B$26:$C$26))</f>
        <v>-0.72284064499228839</v>
      </c>
      <c r="AC42" s="135"/>
      <c r="AD42" s="177">
        <f>10.8%+(1-10.8%)*(1-SUM(AD26:AE26)/SUM($B$26:$C$26))</f>
        <v>-1.2373788629371254</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0.58122509399786282</v>
      </c>
      <c r="E43" s="135"/>
      <c r="F43" s="162">
        <f t="array" ref="F43">SUM(F15:G15*F27:G27)/SUM(F15:G15*F27:G27,F13:G13*F26:G26)</f>
        <v>0.59560144629563205</v>
      </c>
      <c r="G43" s="135"/>
      <c r="H43" s="162">
        <f t="array" ref="H43">SUM(H15:I15*H27:I27)/SUM(H15:I15*H27:I27,H13:I13*H26:I26)</f>
        <v>0.61040733353284404</v>
      </c>
      <c r="I43" s="135"/>
      <c r="J43" s="162">
        <f t="array" ref="J43">SUM(J15:K15*J27:K27)/SUM(J15:K15*J27:K27,J13:K13*J26:K26)</f>
        <v>0.62573916818480846</v>
      </c>
      <c r="K43" s="135"/>
      <c r="L43" s="162">
        <f t="array" ref="L43">SUM(L15:M15*L27:M27)/SUM(L15:M15*L27:M27,L13:M13*L26:M26)</f>
        <v>0.64172167231016197</v>
      </c>
      <c r="M43" s="135"/>
      <c r="N43" s="162">
        <f t="array" ref="N43">SUM(N15:O15*N27:O27)/SUM(N15:O15*N27:O27,N13:O13*N26:O26)</f>
        <v>0.65852285627300833</v>
      </c>
      <c r="O43" s="135"/>
      <c r="P43" s="162">
        <f t="array" ref="P43">SUM(P15:Q15*P27:Q27)/SUM(P15:Q15*P27:Q27,P13:Q13*P26:Q26)</f>
        <v>0.67637854810491682</v>
      </c>
      <c r="Q43" s="135"/>
      <c r="R43" s="162">
        <f t="array" ref="R43">SUM(R15:S15*R27:S27)/SUM(R15:S15*R27:S27,R13:S13*R26:S26)</f>
        <v>0.69563322576646858</v>
      </c>
      <c r="S43" s="135"/>
      <c r="T43" s="162">
        <f t="array" ref="T43">SUM(T15:U15*T27:U27)/SUM(T15:U15*T27:U27,T13:U13*T26:U26)</f>
        <v>0.7168109261779525</v>
      </c>
      <c r="U43" s="135"/>
      <c r="V43" s="162">
        <f t="array" ref="V43">SUM(V15:W15*V27:W27)/SUM(V15:W15*V27:W27,V13:W13*V26:W26)</f>
        <v>0.74074260994761687</v>
      </c>
      <c r="W43" s="135"/>
      <c r="X43" s="162">
        <f t="array" ref="X43">SUM(X15:Y15*X27:Y27)/SUM(X15:Y15*X27:Y27,X13:Y13*X26:Y26)</f>
        <v>0.76880247976086424</v>
      </c>
      <c r="Y43" s="135"/>
      <c r="Z43" s="162">
        <f t="array" ref="Z43">SUM(Z15:AA15*Z27:AA27)/SUM(Z15:AA15*Z27:AA27,Z13:AA13*Z26:AA26)</f>
        <v>0.80335111873297527</v>
      </c>
      <c r="AA43" s="135"/>
      <c r="AB43" s="162">
        <f t="array" ref="AB43">SUM(AB15:AC15*AB27:AC27)/SUM(AB15:AC15*AB27:AC27,AB13:AC13*AB26:AC26)</f>
        <v>0.84852019195677397</v>
      </c>
      <c r="AC43" s="135"/>
      <c r="AD43" s="162">
        <f t="array" ref="AD43">SUM(AD15:AE15*AD27:AE27)/SUM(AD15:AE15*AD27:AE27,AD13:AE13*AD26:AE26)</f>
        <v>0.91128183491885761</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0.29754226239514986</v>
      </c>
      <c r="F44" s="193">
        <f>(SUM(F11:G11*F24:G24)+F34)/F32</f>
        <v>0.29754226260187017</v>
      </c>
      <c r="H44" s="193">
        <f>(SUM(H11:I11*H24:I24)+H34)/H32</f>
        <v>0.29754226188720928</v>
      </c>
      <c r="J44" s="193">
        <f>(SUM(J11:K11*J24:K24)+J34)/J32</f>
        <v>0.29754226119945998</v>
      </c>
      <c r="L44" s="193">
        <f>(SUM(L11:M11*L24:M24)+L34)/L32</f>
        <v>0.2975422619387611</v>
      </c>
      <c r="N44" s="193">
        <f>(SUM(N11:O11*N24:O24)+N34)/N32</f>
        <v>0.29754226161651376</v>
      </c>
      <c r="P44" s="193">
        <f>(SUM(P11:Q11*P24:Q24)+P34)/P32</f>
        <v>0.29754226173925935</v>
      </c>
      <c r="R44" s="193">
        <f>(SUM(R11:S11*R24:S24)+R34)/R32</f>
        <v>0.29754226179217463</v>
      </c>
      <c r="T44" s="193">
        <f>(SUM(T11:U11*T24:U24)+T34)/T32</f>
        <v>0.29754226180319709</v>
      </c>
      <c r="V44" s="193">
        <f>(SUM(V11:W11*V24:W24)+V34)/V32</f>
        <v>0.29754226189590433</v>
      </c>
      <c r="X44" s="193">
        <f>(SUM(X11:Y11*X24:Y24)+X34)/X32</f>
        <v>0.29754226196454392</v>
      </c>
      <c r="Z44" s="193">
        <f>(SUM(Z11:AA11*Z24:AA24)+Z34)/Z32</f>
        <v>0.29754226191612709</v>
      </c>
      <c r="AB44" s="193">
        <f>(SUM(AB11:AC11*AB24:AC24)+AB34)/AB32</f>
        <v>0.29754226192398409</v>
      </c>
      <c r="AD44" s="193">
        <f>(SUM(AD11:AE11*AD24:AE24)+AD34)/AD32</f>
        <v>0.29754226134225642</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0.22038438808291885</v>
      </c>
      <c r="F45" s="193">
        <f>SUM(F11:G11*F24:G24)/F32</f>
        <v>0.22038438799781895</v>
      </c>
      <c r="H45" s="193">
        <f>SUM(H11:I11*H24:I24)/H32</f>
        <v>0.22038438833471072</v>
      </c>
      <c r="J45" s="193">
        <f>SUM(J11:K11*J24:K24)/J32</f>
        <v>0.22038438825468529</v>
      </c>
      <c r="L45" s="193">
        <f>SUM(L11:M11*L24:M24)/L32</f>
        <v>0.22038438833332494</v>
      </c>
      <c r="N45" s="193">
        <f>SUM(N11:O11*N24:O24)/N32</f>
        <v>0.22038438830234103</v>
      </c>
      <c r="P45" s="193">
        <f>SUM(P11:Q11*P24:Q24)/P32</f>
        <v>0.22038438831644763</v>
      </c>
      <c r="R45" s="193">
        <f>SUM(R11:S11*R24:S24)/R32</f>
        <v>0.22038438832239818</v>
      </c>
      <c r="T45" s="193">
        <f>SUM(T11:U11*T24:U24)/T32</f>
        <v>0.22038438832416354</v>
      </c>
      <c r="V45" s="193">
        <f>SUM(V11:W11*V24:W24)/V32</f>
        <v>0.22038438832849461</v>
      </c>
      <c r="X45" s="193">
        <f>SUM(X11:Y11*X24:Y24)/X32</f>
        <v>0.22038438833105189</v>
      </c>
      <c r="Z45" s="193">
        <f>SUM(Z11:AA11*Z24:AA24)/Z32</f>
        <v>0.22038438832332352</v>
      </c>
      <c r="AB45" s="193">
        <f>SUM(AB11:AC11*AB24:AC24)/AB32</f>
        <v>0.22038438833187907</v>
      </c>
      <c r="AD45" s="193">
        <f>SUM(AD11:AE11*AD24:AE24)/AD32</f>
        <v>0.22038438832017013</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7.715787431223102E-2</v>
      </c>
      <c r="F46" s="193">
        <f>F34/F32</f>
        <v>7.7157874604051213E-2</v>
      </c>
      <c r="H46" s="193">
        <f>H34/H32</f>
        <v>7.7157873552498535E-2</v>
      </c>
      <c r="J46" s="193">
        <f>J34/J32</f>
        <v>7.7157872944774664E-2</v>
      </c>
      <c r="L46" s="193">
        <f>L34/L32</f>
        <v>7.7157873605436134E-2</v>
      </c>
      <c r="N46" s="193">
        <f>N34/N32</f>
        <v>7.715787331417269E-2</v>
      </c>
      <c r="P46" s="193">
        <f>P34/P32</f>
        <v>7.7157873422811718E-2</v>
      </c>
      <c r="R46" s="193">
        <f>R34/R32</f>
        <v>7.7157873469776442E-2</v>
      </c>
      <c r="T46" s="193">
        <f>T34/T32</f>
        <v>7.7157873479033509E-2</v>
      </c>
      <c r="V46" s="193">
        <f>V34/V32</f>
        <v>7.7157873567409718E-2</v>
      </c>
      <c r="X46" s="193">
        <f>X34/X32</f>
        <v>7.7157873633491983E-2</v>
      </c>
      <c r="Z46" s="193">
        <f>Z34/Z32</f>
        <v>7.7157873592803586E-2</v>
      </c>
      <c r="AB46" s="193">
        <f>AB34/AB32</f>
        <v>7.7157873592104978E-2</v>
      </c>
      <c r="AD46" s="193">
        <f>AD34/AD32</f>
        <v>7.7157873022086335E-2</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1.0164990207312847</v>
      </c>
      <c r="E48" s="191"/>
      <c r="F48" s="191">
        <f>F24/$B$24</f>
        <v>1.0331011501444283</v>
      </c>
      <c r="G48" s="191"/>
      <c r="H48" s="191">
        <f>H24/$B$24</f>
        <v>1.0498458906396617</v>
      </c>
      <c r="I48" s="191"/>
      <c r="J48" s="191">
        <f>J24/$B$24</f>
        <v>1.0667804469311677</v>
      </c>
      <c r="K48" s="191"/>
      <c r="L48" s="191">
        <f>L24/$B$24</f>
        <v>1.0839655753598916</v>
      </c>
      <c r="M48" s="191"/>
      <c r="N48" s="191">
        <f>N24/$B$24</f>
        <v>1.1014848836850708</v>
      </c>
      <c r="O48" s="191"/>
      <c r="P48" s="191">
        <f>P24/$B$24</f>
        <v>1.1194608359153373</v>
      </c>
      <c r="Q48" s="191"/>
      <c r="R48" s="191">
        <f>R24/$B$24</f>
        <v>1.1380816150904112</v>
      </c>
      <c r="S48" s="191"/>
      <c r="T48" s="191">
        <f>T24/$B$24</f>
        <v>1.1576486364452203</v>
      </c>
      <c r="U48" s="191"/>
      <c r="V48" s="191">
        <f>V24/$B$24</f>
        <v>1.178662155685481</v>
      </c>
      <c r="W48" s="191"/>
      <c r="X48" s="191">
        <f>X24/$B$24</f>
        <v>1.201978505613799</v>
      </c>
      <c r="Y48" s="191"/>
      <c r="Z48" s="191">
        <f>Z24/$B$24</f>
        <v>1.2290939805550234</v>
      </c>
      <c r="AA48" s="191"/>
      <c r="AB48" s="191">
        <f>AB24/$B$24</f>
        <v>1.2625927573632072</v>
      </c>
      <c r="AC48" s="191"/>
      <c r="AD48" s="191">
        <f>AD24/$B$24</f>
        <v>1.3064984465800014</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0.95258421027298856</v>
      </c>
      <c r="E49" s="191"/>
      <c r="F49" s="191">
        <f>F13/F35/$B$13*$B$35</f>
        <v>0.9043464202109569</v>
      </c>
      <c r="G49" s="191"/>
      <c r="H49" s="191">
        <f>H13/H35/$B$13*$B$35</f>
        <v>0.85511997155824893</v>
      </c>
      <c r="I49" s="191"/>
      <c r="J49" s="191">
        <f>J13/J35/$B$13*$B$35</f>
        <v>0.80470464697903288</v>
      </c>
      <c r="K49" s="191"/>
      <c r="L49" s="191">
        <f>L13/L35/$B$13*$B$35</f>
        <v>0.75284830877042785</v>
      </c>
      <c r="M49" s="191"/>
      <c r="N49" s="191">
        <f>N13/N35/$B$13*$B$35</f>
        <v>0.69921981559532731</v>
      </c>
      <c r="O49" s="191"/>
      <c r="P49" s="191">
        <f>P13/P35/$B$13*$B$35</f>
        <v>0.64336670353217318</v>
      </c>
      <c r="Q49" s="191"/>
      <c r="R49" s="191">
        <f>R13/R35/$B$13*$B$35</f>
        <v>0.58465016482309629</v>
      </c>
      <c r="S49" s="191"/>
      <c r="T49" s="191">
        <f>T13/T35/$B$13*$B$35</f>
        <v>0.52214382888897537</v>
      </c>
      <c r="U49" s="191"/>
      <c r="V49" s="191">
        <f>V13/V35/$B$13*$B$35</f>
        <v>0.45448097852447539</v>
      </c>
      <c r="W49" s="191"/>
      <c r="X49" s="191">
        <f>X13/X35/$B$13*$B$35</f>
        <v>0.3796492426732711</v>
      </c>
      <c r="Y49" s="191"/>
      <c r="Z49" s="191">
        <f>Z13/Z35/$B$13*$B$35</f>
        <v>0.29484655890411543</v>
      </c>
      <c r="AA49" s="191"/>
      <c r="AB49" s="191">
        <f>AB13/AB35/$B$13*$B$35</f>
        <v>0.19709475828652778</v>
      </c>
      <c r="AC49" s="191"/>
      <c r="AD49" s="191">
        <f>AD13/AD35/$B$13*$B$35</f>
        <v>8.7809314829792845E-2</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-413805.81084740162</v>
      </c>
      <c r="F51" s="29">
        <f>F30-F10*F23</f>
        <v>-421904.77455758909</v>
      </c>
      <c r="H51" s="29">
        <f>H30-H10*H23</f>
        <v>-430160.70139848348</v>
      </c>
      <c r="J51" s="29">
        <f>J30-J10*J23</f>
        <v>-438606.48690728704</v>
      </c>
      <c r="L51" s="29">
        <f>L30-L10*L23</f>
        <v>-447287.77555821557</v>
      </c>
      <c r="N51" s="29">
        <f>N30-N10*N23</f>
        <v>-456270.56709515536</v>
      </c>
      <c r="P51" s="29">
        <f>P30-P10*P23</f>
        <v>-465655.54097256344</v>
      </c>
      <c r="R51" s="29">
        <f>R30-R10*R23</f>
        <v>-475601.04453529092</v>
      </c>
      <c r="T51" s="29">
        <f>T30-T10*T23</f>
        <v>-486364.86766968109</v>
      </c>
      <c r="V51" s="29">
        <f>V30-V10*V23</f>
        <v>-498380.2788115493</v>
      </c>
      <c r="X51" s="29">
        <f>X30-X10*X23</f>
        <v>-512399.30713768536</v>
      </c>
      <c r="Z51" s="29">
        <f>Z30-Z10*Z23</f>
        <v>-529764.37767464807</v>
      </c>
      <c r="AB51" s="29">
        <f>AB30-AB10*AB23</f>
        <v>-552885.20190605754</v>
      </c>
      <c r="AD51" s="29">
        <f>AD30-AD10*AD23</f>
        <v>-585829.39386935951</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2010805.6826332379</v>
      </c>
      <c r="F52" s="29">
        <f t="array" ref="F52">Calibration!sL*SUM(F13:G13*F26:G26)</f>
        <v>1968833.8968613422</v>
      </c>
      <c r="H52" s="29">
        <f t="array" ref="H52">Calibration!sL*SUM(H13:I13*H26:I26)</f>
        <v>1922917.4757437003</v>
      </c>
      <c r="J52" s="29">
        <f t="array" ref="J52">Calibration!sL*SUM(J13:K13*J26:K26)</f>
        <v>1872534.3434691757</v>
      </c>
      <c r="L52" s="29">
        <f t="array" ref="L52">Calibration!sL*SUM(L13:M13*L26:M26)</f>
        <v>1817008.8092671011</v>
      </c>
      <c r="N52" s="29">
        <f t="array" ref="N52">Calibration!sL*SUM(N13:O13*N26:O26)</f>
        <v>1755436.1709623889</v>
      </c>
      <c r="P52" s="29">
        <f t="array" ref="P52">Calibration!sL*SUM(P13:Q13*P26:Q26)</f>
        <v>1686556.54192535</v>
      </c>
      <c r="R52" s="29">
        <f t="array" ref="R52">Calibration!sL*SUM(R13:S13*R26:S26)</f>
        <v>1608536.6295214605</v>
      </c>
      <c r="T52" s="29">
        <f t="array" ref="T52">Calibration!sL*SUM(T13:U13*T26:U26)</f>
        <v>1518576.8853558798</v>
      </c>
      <c r="V52" s="29">
        <f t="array" ref="V52">Calibration!sL*SUM(V13:W13*V26:W26)</f>
        <v>1412172.2815489846</v>
      </c>
      <c r="X52" s="29">
        <f t="array" ref="X52">Calibration!sL*SUM(X13:Y13*X26:Y26)</f>
        <v>1281654.8574787513</v>
      </c>
      <c r="Z52" s="29">
        <f t="array" ref="Z52">Calibration!sL*SUM(Z13:AA13*Z26:AA26)</f>
        <v>1113209.717205815</v>
      </c>
      <c r="AB52" s="29">
        <f t="array" ref="AB52">Calibration!sL*SUM(AB13:AC13*AB26:AC26)</f>
        <v>880769.01503677643</v>
      </c>
      <c r="AD52" s="29">
        <f t="array" ref="AD52">Calibration!sL*SUM(AD13:AE13*AD26:AE26)</f>
        <v>534818.41629185888</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2848086.6499643489</v>
      </c>
      <c r="F53" s="29">
        <f t="array" ref="F53">Calibration!sK*SUM(F15:G15*F27:G27)</f>
        <v>2959202.0249256459</v>
      </c>
      <c r="H53" s="29">
        <f t="array" ref="H53">Calibration!sK*SUM(H15:I15*H27:I27)</f>
        <v>3074602.6939602005</v>
      </c>
      <c r="J53" s="29">
        <f t="array" ref="J53">Calibration!sK*SUM(J15:K15*J27:K27)</f>
        <v>3194979.9811348426</v>
      </c>
      <c r="L53" s="29">
        <f t="array" ref="L53">Calibration!sK*SUM(L15:M15*L27:M27)</f>
        <v>3321257.809990495</v>
      </c>
      <c r="N53" s="29">
        <f t="array" ref="N53">Calibration!sK*SUM(N15:O15*N27:O27)</f>
        <v>3454726.2789342841</v>
      </c>
      <c r="P53" s="29">
        <f t="array" ref="P53">Calibration!sK*SUM(P15:Q15*P27:Q27)</f>
        <v>3597268.1816712073</v>
      </c>
      <c r="R53" s="29">
        <f t="array" ref="R53">Calibration!sK*SUM(R15:S15*R27:S27)</f>
        <v>3751745.9150949013</v>
      </c>
      <c r="T53" s="29">
        <f t="array" ref="T53">Calibration!sK*SUM(T15:U15*T27:U27)</f>
        <v>3922692.780403377</v>
      </c>
      <c r="V53" s="29">
        <f t="array" ref="V53">Calibration!sK*SUM(V15:W15*V27:W27)</f>
        <v>4117591.4474970349</v>
      </c>
      <c r="X53" s="29">
        <f t="array" ref="X53">Calibration!sK*SUM(X15:Y15*X27:Y27)</f>
        <v>4349327.184116723</v>
      </c>
      <c r="Z53" s="29">
        <f t="array" ref="Z53">Calibration!sK*SUM(Z15:AA15*Z27:AA27)</f>
        <v>4640986.4348510215</v>
      </c>
      <c r="AB53" s="29">
        <f t="array" ref="AB53">Calibration!sK*SUM(AB15:AC15*AB27:AC27)</f>
        <v>5034876.8339565573</v>
      </c>
      <c r="AD53" s="29">
        <f t="array" ref="AD53">Calibration!sK*SUM(AD15:AE15*AD27:AE27)</f>
        <v>5606165.3609628165</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0.19834714504265305</v>
      </c>
      <c r="F55" s="193">
        <f>F30/F32</f>
        <v>0.19818760579391062</v>
      </c>
      <c r="H55" s="193">
        <f>H30/H32</f>
        <v>0.19802323220717605</v>
      </c>
      <c r="J55" s="193">
        <f>J30/J32</f>
        <v>0.1978529521420572</v>
      </c>
      <c r="L55" s="193">
        <f>L30/L32</f>
        <v>0.19767536318225684</v>
      </c>
      <c r="N55" s="193">
        <f>N30/N32</f>
        <v>0.19748859733445884</v>
      </c>
      <c r="P55" s="193">
        <f>P30/P32</f>
        <v>0.19729001147494615</v>
      </c>
      <c r="R55" s="193">
        <f>R30/R32</f>
        <v>0.19707575666889451</v>
      </c>
      <c r="T55" s="193">
        <f>T30/T32</f>
        <v>0.19683997173688494</v>
      </c>
      <c r="V55" s="193">
        <f>V30/V32</f>
        <v>0.19657335742005566</v>
      </c>
      <c r="X55" s="193">
        <f>X30/X32</f>
        <v>0.19626052815329706</v>
      </c>
      <c r="Z55" s="193">
        <f>Z30/Z32</f>
        <v>0.19587502101145812</v>
      </c>
      <c r="AB55" s="193">
        <f>AB30/AB32</f>
        <v>0.19537045293421712</v>
      </c>
      <c r="AD55" s="193">
        <f>AD30/AD32</f>
        <v>0.19466831737505766</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3.4273919327448762E-2</v>
      </c>
      <c r="F56" s="193">
        <f>(Model!$C$52*F5*F20+F2*G5*G20)/F32</f>
        <v>3.9452892590263883E-2</v>
      </c>
      <c r="H56" s="193">
        <f>(Model!$C$52*H5*H20+H2*I5*I20)/H32</f>
        <v>4.4786227197215971E-2</v>
      </c>
      <c r="J56" s="193">
        <f>(Model!$C$52*J5*J20+J2*K5*K20)/J32</f>
        <v>5.0308722030568818E-2</v>
      </c>
      <c r="L56" s="193">
        <f>(Model!$C$52*L5*L20+L2*M5*M20)/L32</f>
        <v>5.6065271628031196E-2</v>
      </c>
      <c r="N56" s="193">
        <f>(Model!$C$52*N5*N20+N2*O5*O20)/N32</f>
        <v>6.2116245442153668E-2</v>
      </c>
      <c r="P56" s="193">
        <f>(Model!$C$52*P5*P20+P2*Q5*Q20)/P32</f>
        <v>6.8546180338898893E-2</v>
      </c>
      <c r="R56" s="193">
        <f>(Model!$C$52*R5*R20+R2*S5*S20)/R32</f>
        <v>7.5478356243370057E-2</v>
      </c>
      <c r="T56" s="193">
        <f>(Model!$C$52*T5*T20+T2*U5*U20)/T32</f>
        <v>8.3100051143454826E-2</v>
      </c>
      <c r="V56" s="193">
        <f>(Model!$C$52*V5*V20+V2*W5*W20)/V32</f>
        <v>9.170796526799517E-2</v>
      </c>
      <c r="X56" s="193">
        <f>(Model!$C$52*X5*X20+X2*Y5*Y20)/X32</f>
        <v>0.10179259886808766</v>
      </c>
      <c r="Z56" s="193">
        <f>(Model!$C$52*Z5*Z20+Z2*AA5*AA20)/Z32</f>
        <v>0.11419676653268282</v>
      </c>
      <c r="AB56" s="193">
        <f>(Model!$C$52*AB5*AB20+AB2*AC5*AC20)/AB32</f>
        <v>0.13039739358551627</v>
      </c>
      <c r="AD56" s="193">
        <f>(Model!$C$52*AD5*AD20+AD2*AE5*AE20)/AD32</f>
        <v>0.15289364848795731</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0.15342157807411735</v>
      </c>
      <c r="F57" s="193">
        <f t="array" ref="F57">SUM(Model!tauL*F13:G13*F26:G26)/F32</f>
        <v>0.14818416908783066</v>
      </c>
      <c r="H57" s="193">
        <f t="array" ref="H57">SUM(Model!tauL*H13:I13*H26:I26)/H32</f>
        <v>0.1427881004884432</v>
      </c>
      <c r="J57" s="193">
        <f t="array" ref="J57">SUM(Model!tauL*J13:K13*J26:K26)/J32</f>
        <v>0.13719801371732515</v>
      </c>
      <c r="L57" s="193">
        <f t="array" ref="L57">SUM(Model!tauL*L13:M13*L26:M26)/L32</f>
        <v>0.131368161678627</v>
      </c>
      <c r="N57" s="193">
        <f t="array" ref="N57">SUM(Model!tauL*N13:O13*N26:O26)/N32</f>
        <v>0.12523689962028584</v>
      </c>
      <c r="P57" s="193">
        <f t="array" ref="P57">SUM(Model!tauL*P13:Q13*P26:Q26)/P32</f>
        <v>0.11871768644777801</v>
      </c>
      <c r="R57" s="193">
        <f t="array" ref="R57">SUM(Model!tauL*R13:S13*R26:S26)/R32</f>
        <v>0.11168407921472423</v>
      </c>
      <c r="T57" s="193">
        <f t="array" ref="T57">SUM(Model!tauL*T13:U13*T26:U26)/T32</f>
        <v>0.10394366716320615</v>
      </c>
      <c r="V57" s="193">
        <f t="array" ref="V57">SUM(Model!tauL*V13:W13*V26:W26)/V32</f>
        <v>9.5191205959367697E-2</v>
      </c>
      <c r="X57" s="193">
        <f t="array" ref="X57">SUM(Model!tauL*X13:Y13*X26:Y26)/X32</f>
        <v>8.4921552296882336E-2</v>
      </c>
      <c r="Y57" s="193"/>
      <c r="Z57" s="193">
        <f t="array" ref="Z57">SUM(Model!tauL*Z13:AA13*Z26:AA26)/Z32</f>
        <v>7.2266078165094089E-2</v>
      </c>
      <c r="AB57" s="193">
        <f t="array" ref="AB57">SUM(Model!tauL*AB13:AC13*AB26:AC26)/AB32</f>
        <v>5.5701921604913406E-2</v>
      </c>
      <c r="AD57" s="193">
        <f t="array" ref="AD57">SUM(Model!tauL*AD13:AE13*AD26:AE26)/AD32</f>
        <v>3.2651775020176875E-2</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1.065164764108693E-2</v>
      </c>
      <c r="F58" s="193">
        <f t="array" ref="F58">SUM(Model!tauY/(1+Model!tauY)*F3:G3*F18:G18)/F32</f>
        <v>1.0550544115816103E-2</v>
      </c>
      <c r="H58" s="193">
        <f t="array" ref="H58">SUM(Model!tauY/(1+Model!tauY)*H3:I3*H18:I18)/H32</f>
        <v>1.0448904521516852E-2</v>
      </c>
      <c r="J58" s="193">
        <f t="array" ref="J58">SUM(Model!tauY/(1+Model!tauY)*J3:K3*J18:K18)/J32</f>
        <v>1.0346216394163239E-2</v>
      </c>
      <c r="L58" s="193">
        <f t="array" ref="L58">SUM(Model!tauY/(1+Model!tauY)*L3:M3*L18:M18)/L32</f>
        <v>1.0241929875598644E-2</v>
      </c>
      <c r="N58" s="193">
        <f t="array" ref="N58">SUM(Model!tauY/(1+Model!tauY)*N3:O3*N18:O18)/N32</f>
        <v>1.0135452272019346E-2</v>
      </c>
      <c r="P58" s="193">
        <f t="array" ref="P58">SUM(Model!tauY/(1+Model!tauY)*P3:Q3*P18:Q18)/P32</f>
        <v>1.002614468826925E-2</v>
      </c>
      <c r="R58" s="193">
        <f t="array" ref="R58">SUM(Model!tauY/(1+Model!tauY)*R3:S3*R18:S18)/R32</f>
        <v>9.9133212108002064E-3</v>
      </c>
      <c r="T58" s="193">
        <f t="array" ref="T58">SUM(Model!tauY/(1+Model!tauY)*T3:U3*T18:U18)/T32</f>
        <v>9.7962534302239498E-3</v>
      </c>
      <c r="V58" s="193">
        <f t="array" ref="V58">SUM(Model!tauY/(1+Model!tauY)*V3:W3*V18:W18)/V32</f>
        <v>9.6741861926927866E-3</v>
      </c>
      <c r="X58" s="193">
        <f t="array" ref="X58">SUM(Model!tauY/(1+Model!tauY)*X3:Y3*X18:Y18)/X32</f>
        <v>9.5463769883270769E-3</v>
      </c>
      <c r="Y58" s="193"/>
      <c r="Z58" s="193">
        <f t="array" ref="Z58">SUM(Model!tauY/(1+Model!tauY)*Z3:AA3*Z18:AA18)/Z32</f>
        <v>9.4121763136812298E-3</v>
      </c>
      <c r="AB58" s="193">
        <f t="array" ref="AB58">SUM(Model!tauY/(1+Model!tauY)*AB3:AC3*AB18:AC18)/AB32</f>
        <v>9.2711377437874262E-3</v>
      </c>
      <c r="AD58" s="193">
        <f t="array" ref="AD58">SUM(Model!tauY/(1+Model!tauY)*AD3:AE3*AD18:AE18)/AD32</f>
        <v>9.122893866923474E-3</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5.6767235573023907E-3</v>
      </c>
      <c r="F59" s="193">
        <f>(F2*G5*G20)/F32</f>
        <v>1.0927564399788915E-2</v>
      </c>
      <c r="H59" s="193">
        <f>(H2*I5*I20)/H32</f>
        <v>1.6332586144838377E-2</v>
      </c>
      <c r="J59" s="193">
        <f>(J2*K5*K20)/J32</f>
        <v>2.192684580914625E-2</v>
      </c>
      <c r="L59" s="193">
        <f>(L2*M5*M20)/L32</f>
        <v>2.7755562406419503E-2</v>
      </c>
      <c r="N59" s="193">
        <f>(N2*O5*O20)/N32</f>
        <v>3.3879544127111805E-2</v>
      </c>
      <c r="P59" s="193">
        <f>(P2*Q5*Q20)/P32</f>
        <v>4.0383958944465205E-2</v>
      </c>
      <c r="R59" s="193">
        <f>(R2*S5*S20)/R32</f>
        <v>4.7393043038450815E-2</v>
      </c>
      <c r="T59" s="193">
        <f>(T2*U5*U20)/T32</f>
        <v>5.5095588450082091E-2</v>
      </c>
      <c r="V59" s="193">
        <f>(V2*W5*W20)/V32</f>
        <v>6.3790788990408451E-2</v>
      </c>
      <c r="X59" s="193">
        <f>(X2*Y5*Y20)/X32</f>
        <v>7.3973402806116625E-2</v>
      </c>
      <c r="Z59" s="193">
        <f>(Z2*AA5*AA20)/Z32</f>
        <v>8.6493725529233928E-2</v>
      </c>
      <c r="AB59" s="193">
        <f>(AB2*AC5*AC20)/AB32</f>
        <v>0.10284186375133517</v>
      </c>
      <c r="AD59" s="193">
        <f>(AD2*AE5*AE20)/AD32</f>
        <v>0.1255386473284916</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2.8597195770146376E-2</v>
      </c>
      <c r="F60" s="193">
        <f>Model!$C$52*F5*F20/F32</f>
        <v>2.8525328190474972E-2</v>
      </c>
      <c r="H60" s="193">
        <f>Model!$C$52*H5*H20/H32</f>
        <v>2.8453641052377594E-2</v>
      </c>
      <c r="J60" s="193">
        <f>Model!$C$52*J5*J20/J32</f>
        <v>2.8381876221422565E-2</v>
      </c>
      <c r="L60" s="193">
        <f>Model!$C$52*L5*L20/L32</f>
        <v>2.830970922161169E-2</v>
      </c>
      <c r="N60" s="193">
        <f>Model!$C$52*N5*N20/N32</f>
        <v>2.8236701315041864E-2</v>
      </c>
      <c r="P60" s="193">
        <f>Model!$C$52*P5*P20/P32</f>
        <v>2.8162221394433685E-2</v>
      </c>
      <c r="R60" s="193">
        <f>Model!$C$52*R5*R20/R32</f>
        <v>2.8085313204919238E-2</v>
      </c>
      <c r="T60" s="193">
        <f>Model!$C$52*T5*T20/T32</f>
        <v>2.8004462693372738E-2</v>
      </c>
      <c r="V60" s="193">
        <f>Model!$C$52*V5*V20/V32</f>
        <v>2.7917176277586733E-2</v>
      </c>
      <c r="X60" s="193">
        <f>Model!$C$52*X5*X20/X32</f>
        <v>2.7819196061971019E-2</v>
      </c>
      <c r="Z60" s="193">
        <f>Model!$C$52*Z5*Z20/Z32</f>
        <v>2.7703041003448892E-2</v>
      </c>
      <c r="AB60" s="193">
        <f>Model!$C$52*AB5*AB20/AB32</f>
        <v>2.7555529834181119E-2</v>
      </c>
      <c r="AD60" s="193">
        <f>Model!$C$52*AD5*AD20/AD32</f>
        <v>2.7355001159465712E-2</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0.91870429077914462</v>
      </c>
      <c r="F62">
        <f>F13/F15</f>
        <v>0.84160182716734411</v>
      </c>
      <c r="H62">
        <f>H13/H15</f>
        <v>0.76822618465540093</v>
      </c>
      <c r="J62">
        <f>J13/J15</f>
        <v>0.69813789744990051</v>
      </c>
      <c r="L62">
        <f>L13/L15</f>
        <v>0.63090354392826209</v>
      </c>
      <c r="N62">
        <f>N13/N15</f>
        <v>0.56607225758444002</v>
      </c>
      <c r="P62">
        <f>P13/P15</f>
        <v>0.50314514257979692</v>
      </c>
      <c r="R62">
        <f>R13/R15</f>
        <v>0.44153590307474339</v>
      </c>
      <c r="T62">
        <f>T13/T15</f>
        <v>0.38051843188568274</v>
      </c>
      <c r="V62">
        <f>V13/V15</f>
        <v>0.31916320278148869</v>
      </c>
      <c r="X62">
        <f>X13/X15</f>
        <v>0.25628731444089148</v>
      </c>
      <c r="Z62">
        <f>Z13/Z15</f>
        <v>0.19054212218952099</v>
      </c>
      <c r="AB62">
        <f>AB13/AB15</f>
        <v>0.12113293202336728</v>
      </c>
      <c r="AD62">
        <f>AD13/AD15</f>
        <v>5.0866876606983656E-2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0.9976803986721422</v>
      </c>
      <c r="E65" s="191"/>
      <c r="F65" s="191">
        <f t="array" ref="F65">SQRT((F9:G9*$B$22:$C$22+F10:G10*$B$23:$C$23+F11:G11*$B$24:$C$24+F4:G4*($B$25:$C$25-$B$19:$C$19))/($B$9:$C$9*$B$22:$C$22+$B$10:$C$10*$B$23:$C$23+$B$11:$C$11*$B$24:$C$24+$B$4:$C$4*($B$25:$C$25-$B$19:$C$19))*(F9:G9*F22:G22+F10:G10*F23:G23+F11:G11*F24:G24+F4:G4*(F25:G25-F19:G19))/($B$9:$C$9*F22:G22+$B$10:$C$10*F23:G23+$B$11:$C$11*F24:G24+$B$4:$C$4*(F25:G25-F19:G19)))</f>
        <v>0.99536529856605627</v>
      </c>
      <c r="G65" s="191"/>
      <c r="H65" s="191">
        <f t="array" ref="H65">SQRT((H9:I9*$B$22:$C$22+H10:I10*$B$23:$C$23+H11:I11*$B$24:$C$24+H4:I4*($B$25:$C$25-$B$19:$C$19))/($B$9:$C$9*$B$22:$C$22+$B$10:$C$10*$B$23:$C$23+$B$11:$C$11*$B$24:$C$24+$B$4:$C$4*($B$25:$C$25-$B$19:$C$19))*(H9:I9*H22:I22+H10:I10*H23:I23+H11:I11*H24:I24+H4:I4*(H25:I25-H19:I19))/($B$9:$C$9*H22:I22+$B$10:$C$10*H23:I23+$B$11:$C$11*H24:I24+$B$4:$C$4*(H25:I25-H19:I19)))</f>
        <v>0.99304156921383746</v>
      </c>
      <c r="I65" s="191"/>
      <c r="J65" s="191">
        <f t="array" ref="J65">SQRT((J9:K9*$B$22:$C$22+J10:K10*$B$23:$C$23+J11:K11*$B$24:$C$24+J4:K4*($B$25:$C$25-$B$19:$C$19))/($B$9:$C$9*$B$22:$C$22+$B$10:$C$10*$B$23:$C$23+$B$11:$C$11*$B$24:$C$24+$B$4:$C$4*($B$25:$C$25-$B$19:$C$19))*(J9:K9*J22:K22+J10:K10*J23:K23+J11:K11*J24:K24+J4:K4*(J25:K25-J19:K19))/($B$9:$C$9*J22:K22+$B$10:$C$10*J23:K23+$B$11:$C$11*J24:K24+$B$4:$C$4*(J25:K25-J19:K19)))</f>
        <v>0.99069762582141585</v>
      </c>
      <c r="K65" s="191"/>
      <c r="L65" s="191">
        <f t="array" ref="L65">SQRT((L9:M9*$B$22:$C$22+L10:M10*$B$23:$C$23+L11:M11*$B$24:$C$24+L4:M4*($B$25:$C$25-$B$19:$C$19))/($B$9:$C$9*$B$22:$C$22+$B$10:$C$10*$B$23:$C$23+$B$11:$C$11*$B$24:$C$24+$B$4:$C$4*($B$25:$C$25-$B$19:$C$19))*(L9:M9*L22:M22+L10:M10*L23:M23+L11:M11*L24:M24+L4:M4*(L25:M25-L19:M19))/($B$9:$C$9*L22:M22+$B$10:$C$10*L23:M23+$B$11:$C$11*L24:M24+$B$4:$C$4*(L25:M25-L19:M19)))</f>
        <v>0.98832457067133506</v>
      </c>
      <c r="M65" s="191"/>
      <c r="N65" s="191">
        <f t="array" ref="N65">SQRT((N9:O9*$B$22:$C$22+N10:O10*$B$23:$C$23+N11:O11*$B$24:$C$24+N4:O4*($B$25:$C$25-$B$19:$C$19))/($B$9:$C$9*$B$22:$C$22+$B$10:$C$10*$B$23:$C$23+$B$11:$C$11*$B$24:$C$24+$B$4:$C$4*($B$25:$C$25-$B$19:$C$19))*(N9:O9*N22:O22+N10:O10*N23:O23+N11:O11*N24:O24+N4:O4*(N25:O25-N19:O19))/($B$9:$C$9*N22:O22+$B$10:$C$10*N23:O23+$B$11:$C$11*N24:O24+$B$4:$C$4*(N25:O25-N19:O19)))</f>
        <v>0.98591806919574609</v>
      </c>
      <c r="O65" s="191"/>
      <c r="P65" s="191">
        <f t="array" ref="P65">SQRT((P9:Q9*$B$22:$C$22+P10:Q10*$B$23:$C$23+P11:Q11*$B$24:$C$24+P4:Q4*($B$25:$C$25-$B$19:$C$19))/($B$9:$C$9*$B$22:$C$22+$B$10:$C$10*$B$23:$C$23+$B$11:$C$11*$B$24:$C$24+$B$4:$C$4*($B$25:$C$25-$B$19:$C$19))*(P9:Q9*P22:Q22+P10:Q10*P23:Q23+P11:Q11*P24:Q24+P4:Q4*(P25:Q25-P19:Q19))/($B$9:$C$9*P22:Q22+$B$10:$C$10*P23:Q23+$B$11:$C$11*P24:Q24+$B$4:$C$4*(P25:Q25-P19:Q19)))</f>
        <v>0.98348143187604886</v>
      </c>
      <c r="Q65" s="191"/>
      <c r="R65" s="191">
        <f t="array" ref="R65">SQRT((R9:S9*$B$22:$C$22+R10:S10*$B$23:$C$23+R11:S11*$B$24:$C$24+R4:S4*($B$25:$C$25-$B$19:$C$19))/($B$9:$C$9*$B$22:$C$22+$B$10:$C$10*$B$23:$C$23+$B$11:$C$11*$B$24:$C$24+$B$4:$C$4*($B$25:$C$25-$B$19:$C$19))*(R9:S9*R22:S22+R10:S10*R23:S23+R11:S11*R24:S24+R4:S4*(R25:S25-R19:S19))/($B$9:$C$9*R22:S22+$B$10:$C$10*R23:S23+$B$11:$C$11*R24:S24+$B$4:$C$4*(R25:S25-R19:S19)))</f>
        <v>0.98103079822197092</v>
      </c>
      <c r="S65" s="191"/>
      <c r="T65" s="191">
        <f t="array" ref="T65">SQRT((T9:U9*$B$22:$C$22+T10:U10*$B$23:$C$23+T11:U11*$B$24:$C$24+T4:U4*($B$25:$C$25-$B$19:$C$19))/($B$9:$C$9*$B$22:$C$22+$B$10:$C$10*$B$23:$C$23+$B$11:$C$11*$B$24:$C$24+$B$4:$C$4*($B$25:$C$25-$B$19:$C$19))*(T9:U9*T22:U22+T10:U10*T23:U23+T11:U11*T24:U24+T4:U4*(T25:U25-T19:U19))/($B$9:$C$9*T22:U22+$B$10:$C$10*T23:U23+$B$11:$C$11*T24:U24+$B$4:$C$4*(T25:U25-T19:U19)))</f>
        <v>0.97860405346761004</v>
      </c>
      <c r="U65" s="191"/>
      <c r="V65" s="191">
        <f t="array" ref="V65">SQRT((V9:W9*$B$22:$C$22+V10:W10*$B$23:$C$23+V11:W11*$B$24:$C$24+V4:W4*($B$25:$C$25-$B$19:$C$19))/($B$9:$C$9*$B$22:$C$22+$B$10:$C$10*$B$23:$C$23+$B$11:$C$11*$B$24:$C$24+$B$4:$C$4*($B$25:$C$25-$B$19:$C$19))*(V9:W9*V22:W22+V10:W10*V23:W23+V11:W11*V24:W24+V4:W4*(V25:W25-V19:W19))/($B$9:$C$9*V22:W22+$B$10:$C$10*V23:W23+$B$11:$C$11*V24:W24+$B$4:$C$4*(V25:W25-V19:W19)))</f>
        <v>0.976276617556608</v>
      </c>
      <c r="W65" s="191"/>
      <c r="X65" s="191">
        <f t="array" ref="X65">SQRT((X9:Y9*$B$22:$C$22+X10:Y10*$B$23:$C$23+X11:Y11*$B$24:$C$24+X4:Y4*($B$25:$C$25-$B$19:$C$19))/($B$9:$C$9*$B$22:$C$22+$B$10:$C$10*$B$23:$C$23+$B$11:$C$11*$B$24:$C$24+$B$4:$C$4*($B$25:$C$25-$B$19:$C$19))*(X9:Y9*X22:Y22+X10:Y10*X23:Y23+X11:Y11*X24:Y24+X4:Y4*(X25:Y25-X19:Y19))/($B$9:$C$9*X22:Y22+$B$10:$C$10*X23:Y23+$B$11:$C$11*X24:Y24+$B$4:$C$4*(X25:Y25-X19:Y19)))</f>
        <v>0.97418977356998626</v>
      </c>
      <c r="Y65" s="191"/>
      <c r="Z65" s="191">
        <f t="array" ref="Z65">SQRT((Z9:AA9*$B$22:$C$22+Z10:AA10*$B$23:$C$23+Z11:AA11*$B$24:$C$24+Z4:AA4*($B$25:$C$25-$B$19:$C$19))/($B$9:$C$9*$B$22:$C$22+$B$10:$C$10*$B$23:$C$23+$B$11:$C$11*$B$24:$C$24+$B$4:$C$4*($B$25:$C$25-$B$19:$C$19))*(Z9:AA9*Z22:AA22+Z10:AA10*Z23:AA23+Z11:AA11*Z24:AA24+Z4:AA4*(Z25:AA25-Z19:AA19))/($B$9:$C$9*Z22:AA22+$B$10:$C$10*Z23:AA23+$B$11:$C$11*Z24:AA24+$B$4:$C$4*(Z25:AA25-Z19:AA19)))</f>
        <v>0.97259967447230911</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0.97194572900787501</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0.9728608501696504</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0.9974483900129999</v>
      </c>
      <c r="E66" s="191"/>
      <c r="F66" s="191">
        <f t="array" ref="F66">SQRT((F9:G9*$B$22:$C$22)/($B$9:$C$9*$B$22:$C$22)*(F9:G9*F22:G22)/($B$9:$C$9*F22:G22))</f>
        <v>0.99489709618413114</v>
      </c>
      <c r="G66" s="191"/>
      <c r="H66" s="191">
        <f t="array" ref="H66">SQRT((H9:I9*$B$22:$C$22)/($B$9:$C$9*$B$22:$C$22)*(H9:I9*H22:I22)/($B$9:$C$9*H22:I22))</f>
        <v>0.99233159220562761</v>
      </c>
      <c r="I66" s="191"/>
      <c r="J66" s="191">
        <f t="array" ref="J66">SQRT((J9:K9*$B$22:$C$22)/($B$9:$C$9*$B$22:$C$22)*(J9:K9*J22:K22)/($B$9:$C$9*J22:K22))</f>
        <v>0.98973894853076327</v>
      </c>
      <c r="K66" s="191"/>
      <c r="L66" s="191">
        <f t="array" ref="L66">SQRT((L9:M9*$B$22:$C$22)/($B$9:$C$9*$B$22:$C$22)*(L9:M9*L22:M22)/($B$9:$C$9*L22:M22))</f>
        <v>0.98710911131580614</v>
      </c>
      <c r="M66" s="191"/>
      <c r="N66" s="191">
        <f t="array" ref="N66">SQRT((N9:O9*$B$22:$C$22)/($B$9:$C$9*$B$22:$C$22)*(N9:O9*N22:O22)/($B$9:$C$9*N22:O22))</f>
        <v>0.98443701308030918</v>
      </c>
      <c r="O66" s="191"/>
      <c r="P66" s="191">
        <f t="array" ref="P66">SQRT((P9:Q9*$B$22:$C$22)/($B$9:$C$9*$B$22:$C$22)*(P9:Q9*P22:Q22)/($B$9:$C$9*P22:Q22))</f>
        <v>0.98172605390167711</v>
      </c>
      <c r="Q66" s="191"/>
      <c r="R66" s="191">
        <f t="array" ref="R66">SQRT((R9:S9*$B$22:$C$22)/($B$9:$C$9*$B$22:$C$22)*(R9:S9*R22:S22)/($B$9:$C$9*R22:S22))</f>
        <v>0.97899397665036159</v>
      </c>
      <c r="S66" s="191"/>
      <c r="T66" s="191">
        <f t="array" ref="T66">SQRT((T9:U9*$B$22:$C$22)/($B$9:$C$9*$B$22:$C$22)*(T9:U9*T22:U22)/($B$9:$C$9*T22:U22))</f>
        <v>0.97628299792426321</v>
      </c>
      <c r="U66" s="191"/>
      <c r="V66" s="191">
        <f t="array" ref="V66">SQRT((V9:W9*$B$22:$C$22)/($B$9:$C$9*$B$22:$C$22)*(V9:W9*V22:W22)/($B$9:$C$9*V22:W22))</f>
        <v>0.97367777018504831</v>
      </c>
      <c r="W66" s="191"/>
      <c r="X66" s="191">
        <f t="array" ref="X66">SQRT((X9:Y9*$B$22:$C$22)/($B$9:$C$9*$B$22:$C$22)*(X9:Y9*X22:Y22)/($B$9:$C$9*X22:Y22))</f>
        <v>0.9713376050386977</v>
      </c>
      <c r="Y66" s="191"/>
      <c r="Z66" s="191">
        <f t="array" ref="Z66">SQRT((Z9:AA9*$B$22:$C$22)/($B$9:$C$9*$B$22:$C$22)*(Z9:AA9*Z22:AA22)/($B$9:$C$9*Z22:AA22))</f>
        <v>0.9695520987457108</v>
      </c>
      <c r="AA66" s="191"/>
      <c r="AB66" s="191">
        <f t="array" ref="AB66">SQRT((AB9:AC9*$B$22:$C$22)/($B$9:$C$9*$B$22:$C$22)*(AB9:AC9*AB22:AC22)/($B$9:$C$9*AB22:AC22))</f>
        <v>0.9688182181490731</v>
      </c>
      <c r="AC66" s="191"/>
      <c r="AD66" s="191">
        <f t="array" ref="AD66">SQRT((AD9:AE9*$B$22:$C$22)/($B$9:$C$9*$B$22:$C$22)*(AD9:AE9*AD22:AE22)/($B$9:$C$9*AD22:AE22))</f>
        <v>0.96984962201247837</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0.9974483900129999</v>
      </c>
      <c r="E68" s="191"/>
      <c r="F68" s="191">
        <f>F66/F67</f>
        <v>0.99489709618413114</v>
      </c>
      <c r="G68" s="191"/>
      <c r="H68" s="191">
        <f>H66/H67</f>
        <v>0.99233159220562761</v>
      </c>
      <c r="I68" s="191"/>
      <c r="J68" s="191">
        <f>J66/J67</f>
        <v>0.98973894853076327</v>
      </c>
      <c r="K68" s="191"/>
      <c r="L68" s="191">
        <f>L66/L67</f>
        <v>0.98710911131580614</v>
      </c>
      <c r="M68" s="191"/>
      <c r="N68" s="191">
        <f>N66/N67</f>
        <v>0.98443701308030918</v>
      </c>
      <c r="O68" s="191"/>
      <c r="P68" s="191">
        <f>P66/P67</f>
        <v>0.98172605390167711</v>
      </c>
      <c r="Q68" s="191"/>
      <c r="R68" s="191">
        <f>R66/R67</f>
        <v>0.97899397665036159</v>
      </c>
      <c r="S68" s="191"/>
      <c r="T68" s="191">
        <f>T66/T67</f>
        <v>0.97628299792426321</v>
      </c>
      <c r="U68" s="191"/>
      <c r="V68" s="191">
        <f>V66/V67</f>
        <v>0.97367777018504831</v>
      </c>
      <c r="W68" s="191"/>
      <c r="X68" s="191">
        <f>X66/X67</f>
        <v>0.9713376050386977</v>
      </c>
      <c r="Y68" s="191"/>
      <c r="Z68" s="191">
        <f>Z66/Z67</f>
        <v>0.9695520987457108</v>
      </c>
      <c r="AA68" s="191"/>
      <c r="AB68" s="191">
        <f>AB66/AB67</f>
        <v>0.9688182181490731</v>
      </c>
      <c r="AC68" s="191"/>
      <c r="AD68" s="191">
        <f>AD66/AD67</f>
        <v>0.96984962201247837</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1.0162626369860721</v>
      </c>
      <c r="E69" s="191"/>
      <c r="F69" s="191">
        <f>F32/F65/($B$32)</f>
        <v>1.0326151990451831</v>
      </c>
      <c r="G69" s="191"/>
      <c r="H69" s="191">
        <f>H32/H65/($B$32)</f>
        <v>1.0490953012577875</v>
      </c>
      <c r="I69" s="191"/>
      <c r="J69" s="191">
        <f>J32/J65/($B$32)</f>
        <v>1.0657481462656486</v>
      </c>
      <c r="K69" s="191"/>
      <c r="L69" s="191">
        <f>L32/L65/($B$32)</f>
        <v>1.0826324949676196</v>
      </c>
      <c r="M69" s="191"/>
      <c r="N69" s="191">
        <f>N32/N65/($B$32)</f>
        <v>1.0998302220774019</v>
      </c>
      <c r="O69" s="191"/>
      <c r="P69" s="191">
        <f>P32/P65/($B$32)</f>
        <v>1.1174627536398758</v>
      </c>
      <c r="Q69" s="191"/>
      <c r="R69" s="191">
        <f>R32/R65/($B$32)</f>
        <v>1.1357187237929862</v>
      </c>
      <c r="S69" s="191"/>
      <c r="T69" s="191">
        <f>T32/T65/($B$32)</f>
        <v>1.1549029225525953</v>
      </c>
      <c r="U69" s="191"/>
      <c r="V69" s="191">
        <f>V32/V65/($B$32)</f>
        <v>1.1755245582338689</v>
      </c>
      <c r="W69" s="191"/>
      <c r="X69" s="191">
        <f>X32/X65/($B$32)</f>
        <v>1.1984594322696758</v>
      </c>
      <c r="Y69" s="191"/>
      <c r="Z69" s="191">
        <f>Z32/Z65/($B$32)</f>
        <v>1.2252426972032331</v>
      </c>
      <c r="AA69" s="191"/>
      <c r="AB69" s="191">
        <f>AB32/AB65/($B$32)</f>
        <v>1.2585300073137922</v>
      </c>
      <c r="AC69" s="191"/>
      <c r="AD69" s="191">
        <f>AD32/AD65/($B$32)</f>
        <v>1.3024545333715696</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1.0149749140745614</v>
      </c>
      <c r="E70" s="138"/>
      <c r="F70" s="138">
        <f>F18/$B$18</f>
        <v>1.0300195033573722</v>
      </c>
      <c r="G70" s="138"/>
      <c r="H70" s="138">
        <f>H18/$B$18</f>
        <v>1.045171581552691</v>
      </c>
      <c r="I70" s="138"/>
      <c r="J70" s="138">
        <f>J18/$B$18</f>
        <v>1.0604742710694202</v>
      </c>
      <c r="K70" s="138"/>
      <c r="L70" s="138">
        <f>L18/$B$18</f>
        <v>1.0759799051212884</v>
      </c>
      <c r="M70" s="138"/>
      <c r="N70" s="138">
        <f>N18/$B$18</f>
        <v>1.09175600042884</v>
      </c>
      <c r="O70" s="138"/>
      <c r="P70" s="138">
        <f>P18/$B$18</f>
        <v>1.1078956025361575</v>
      </c>
      <c r="Q70" s="138"/>
      <c r="R70" s="138">
        <f>R18/$B$18</f>
        <v>1.1245342768055016</v>
      </c>
      <c r="S70" s="138"/>
      <c r="T70" s="138">
        <f>T18/$B$18</f>
        <v>1.1418799151451515</v>
      </c>
      <c r="U70" s="138"/>
      <c r="V70" s="138">
        <f>V18/$B$18</f>
        <v>1.1602655179598993</v>
      </c>
      <c r="W70" s="138"/>
      <c r="X70" s="138">
        <f>X18/$B$18</f>
        <v>1.1802438024464235</v>
      </c>
      <c r="Y70" s="138"/>
      <c r="Z70" s="138">
        <f>Z18/$B$18</f>
        <v>1.2027509885020127</v>
      </c>
      <c r="AA70" s="138"/>
      <c r="AB70" s="138">
        <f>AB18/$B$18</f>
        <v>1.2293411842260835</v>
      </c>
      <c r="AC70" s="138"/>
      <c r="AD70" s="138">
        <f>AD18/$B$18</f>
        <v>1.2622729492891231</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0.91828605055179369</v>
      </c>
      <c r="E71" s="138"/>
      <c r="F71" s="138">
        <f>G18/$C$18</f>
        <v>0.83701328219126947</v>
      </c>
      <c r="G71" s="138"/>
      <c r="H71" s="138">
        <f>I18/$C$18</f>
        <v>0.75620409845704062</v>
      </c>
      <c r="I71" s="138"/>
      <c r="J71" s="138">
        <f>K18/$C$18</f>
        <v>0.67592349467396462</v>
      </c>
      <c r="K71" s="138"/>
      <c r="L71" s="138">
        <f>M18/$C$18</f>
        <v>0.59629820451461524</v>
      </c>
      <c r="M71" s="138"/>
      <c r="N71" s="138">
        <f>O18/$C$18</f>
        <v>0.5175419991935154</v>
      </c>
      <c r="O71" s="138"/>
      <c r="P71" s="138">
        <f>Q18/$C$18</f>
        <v>0.43999217193903212</v>
      </c>
      <c r="Q71" s="138"/>
      <c r="R71" s="138">
        <f>S18/$C$18</f>
        <v>0.36416224549308657</v>
      </c>
      <c r="S71" s="138"/>
      <c r="T71" s="138">
        <f>U18/$C$18</f>
        <v>0.29081975932321286</v>
      </c>
      <c r="U71" s="138"/>
      <c r="V71" s="138">
        <f>W18/$C$18</f>
        <v>0.22110196768357185</v>
      </c>
      <c r="W71" s="138"/>
      <c r="X71" s="138">
        <f>Y18/$C$18</f>
        <v>0.1566833293341284</v>
      </c>
      <c r="Y71" s="138"/>
      <c r="Z71" s="138">
        <f>AA18/$C$18</f>
        <v>9.9982323314830562E-2</v>
      </c>
      <c r="AA71" s="138"/>
      <c r="AB71" s="138">
        <f>AC18/$C$18</f>
        <v>5.424694919453555E-2</v>
      </c>
      <c r="AC71" s="138"/>
      <c r="AD71" s="138">
        <f>AE18/$C$18</f>
        <v>2.2848516321841428E-2</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1.0697811969132407</v>
      </c>
      <c r="E72" s="138"/>
      <c r="F72" s="138">
        <f>G19/$C$19</f>
        <v>1.1470285979634944</v>
      </c>
      <c r="G72" s="138"/>
      <c r="H72" s="138">
        <f>I19/$C$19</f>
        <v>1.2325093845466362</v>
      </c>
      <c r="I72" s="138"/>
      <c r="J72" s="138">
        <f>K19/$C$19</f>
        <v>1.3269695803958117</v>
      </c>
      <c r="K72" s="138"/>
      <c r="L72" s="138">
        <f>M19/$C$19</f>
        <v>1.4310657198075396</v>
      </c>
      <c r="M72" s="138"/>
      <c r="N72" s="138">
        <f>O19/$C$19</f>
        <v>1.5452487399484509</v>
      </c>
      <c r="O72" s="138"/>
      <c r="P72" s="138">
        <f>Q19/$C$19</f>
        <v>1.6695687920527467</v>
      </c>
      <c r="Q72" s="138"/>
      <c r="R72" s="138">
        <f>S19/$C$19</f>
        <v>1.8033391336544664</v>
      </c>
      <c r="S72" s="138"/>
      <c r="T72" s="138">
        <f>U19/$C$19</f>
        <v>1.944542732555421</v>
      </c>
      <c r="U72" s="138"/>
      <c r="V72" s="138">
        <f>W19/$C$19</f>
        <v>2.0887518091142949</v>
      </c>
      <c r="W72" s="138"/>
      <c r="X72" s="138">
        <f>Y19/$C$19</f>
        <v>2.2271194778399197</v>
      </c>
      <c r="Y72" s="138"/>
      <c r="Z72" s="138">
        <f>AA19/$C$19</f>
        <v>2.3427101020252743</v>
      </c>
      <c r="AA72" s="138"/>
      <c r="AB72" s="138">
        <f>AC19/$C$19</f>
        <v>2.4047142440487943</v>
      </c>
      <c r="AC72" s="138"/>
      <c r="AD72" s="138">
        <f>AE19/$C$19</f>
        <v>2.3646020278857991</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0.47641153304042533</v>
      </c>
      <c r="E73" s="138"/>
      <c r="F73" s="193">
        <f t="array" ref="F73">SUM(F9:G9*F22:G22)/F32</f>
        <v>0.47641153283370513</v>
      </c>
      <c r="G73" s="138"/>
      <c r="H73" s="193">
        <f t="array" ref="H73">SUM(H9:I9*H22:I22)/H32</f>
        <v>0.47641153354836602</v>
      </c>
      <c r="I73" s="138"/>
      <c r="J73" s="193">
        <f t="array" ref="J73">SUM(J9:K9*J22:K22)/J32</f>
        <v>0.47641153423611543</v>
      </c>
      <c r="K73" s="138"/>
      <c r="L73" s="193">
        <f t="array" ref="L73">SUM(L9:M9*L22:M22)/L32</f>
        <v>0.47641153349681414</v>
      </c>
      <c r="M73" s="138"/>
      <c r="N73" s="193">
        <f t="array" ref="N73">SUM(N9:O9*N22:O22)/N32</f>
        <v>0.47641153381906154</v>
      </c>
      <c r="O73" s="138"/>
      <c r="P73" s="193">
        <f t="array" ref="P73">SUM(P9:Q9*P22:Q22)/P32</f>
        <v>0.476411533696316</v>
      </c>
      <c r="Q73" s="138"/>
      <c r="R73" s="193">
        <f t="array" ref="R73">SUM(R9:S9*R22:S22)/R32</f>
        <v>0.47641153364340072</v>
      </c>
      <c r="S73" s="138"/>
      <c r="T73" s="193">
        <f t="array" ref="T73">SUM(T9:U9*T22:U22)/T32</f>
        <v>0.47641153363237831</v>
      </c>
      <c r="U73" s="138"/>
      <c r="V73" s="193">
        <f t="array" ref="V73">SUM(V9:W9*V22:W22)/V32</f>
        <v>0.47641153353967097</v>
      </c>
      <c r="W73" s="138"/>
      <c r="X73" s="193">
        <f t="array" ref="X73">SUM(X9:Y9*X22:Y22)/X32</f>
        <v>0.47641153347103132</v>
      </c>
      <c r="Y73" s="138"/>
      <c r="Z73" s="193">
        <f t="array" ref="Z73">SUM(Z9:AA9*Z22:AA22)/Z32</f>
        <v>0.47641153351944815</v>
      </c>
      <c r="AA73" s="138"/>
      <c r="AB73" s="193">
        <f t="array" ref="AB73">SUM(AB9:AC9*AB22:AC22)/AB32</f>
        <v>0.47641153351159132</v>
      </c>
      <c r="AC73" s="138"/>
      <c r="AD73" s="193">
        <f t="array" ref="AD73">SUM(AD9:AE9*AD22:AE22)/AD32</f>
        <v>0.47641153409331877</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0.22604620456442487</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0.22038438808291885</v>
      </c>
      <c r="E75" s="138"/>
      <c r="F75" s="193">
        <f t="array" ref="F75">SUM(F11:G11*F24:G24)/F32</f>
        <v>0.22038438799781895</v>
      </c>
      <c r="G75" s="138"/>
      <c r="H75" s="193">
        <f t="array" ref="H75">SUM(H11:I11*H24:I24)/H32</f>
        <v>0.22038438833471072</v>
      </c>
      <c r="I75" s="138"/>
      <c r="J75" s="193">
        <f t="array" ref="J75">SUM(J11:K11*J24:K24)/J32</f>
        <v>0.22038438825468529</v>
      </c>
      <c r="K75" s="138"/>
      <c r="L75" s="193">
        <f t="array" ref="L75">SUM(L11:M11*L24:M24)/L32</f>
        <v>0.22038438833332494</v>
      </c>
      <c r="M75" s="138"/>
      <c r="N75" s="193">
        <f t="array" ref="N75">SUM(N11:O11*N24:O24)/N32</f>
        <v>0.22038438830234103</v>
      </c>
      <c r="O75" s="138"/>
      <c r="P75" s="193">
        <f t="array" ref="P75">SUM(P11:Q11*P24:Q24)/P32</f>
        <v>0.22038438831644763</v>
      </c>
      <c r="Q75" s="138"/>
      <c r="R75" s="193">
        <f t="array" ref="R75">SUM(R11:S11*R24:S24)/R32</f>
        <v>0.22038438832239818</v>
      </c>
      <c r="S75" s="138"/>
      <c r="T75" s="193">
        <f t="array" ref="T75">SUM(T11:U11*T24:U24)/T32</f>
        <v>0.22038438832416354</v>
      </c>
      <c r="U75" s="138"/>
      <c r="V75" s="193">
        <f t="array" ref="V75">SUM(V11:W11*V24:W24)/V32</f>
        <v>0.22038438832849461</v>
      </c>
      <c r="W75" s="138"/>
      <c r="X75" s="193">
        <f t="array" ref="X75">SUM(X11:Y11*X24:Y24)/X32</f>
        <v>0.22038438833105189</v>
      </c>
      <c r="Y75" s="138"/>
      <c r="Z75" s="193">
        <f t="array" ref="Z75">SUM(Z11:AA11*Z24:AA24)/Z32</f>
        <v>0.22038438832332352</v>
      </c>
      <c r="AA75" s="138"/>
      <c r="AB75" s="193">
        <f t="array" ref="AB75">SUM(AB11:AC11*AB24:AC24)/AB32</f>
        <v>0.22038438833187907</v>
      </c>
      <c r="AC75" s="138"/>
      <c r="AD75" s="193">
        <f t="array" ref="AD75">SUM(AD11:AE11*AD24:AE24)/AD32</f>
        <v>0.22038438832017013</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0.22335304540004178</v>
      </c>
      <c r="E76" s="138"/>
      <c r="F76" s="193">
        <f t="array" ref="F76">SUM(F12:G12*F25:G25)/F32</f>
        <v>0.22379341444880269</v>
      </c>
      <c r="G76" s="138"/>
      <c r="H76" s="193">
        <f t="array" ref="H76">SUM(H12:I12*H25:I25)/H32</f>
        <v>0.2243455046944223</v>
      </c>
      <c r="I76" s="138"/>
      <c r="J76" s="193">
        <f t="array" ref="J76">SUM(J12:K12*J25:K25)/J32</f>
        <v>0.22501393619138912</v>
      </c>
      <c r="K76" s="138"/>
      <c r="L76" s="193">
        <f t="array" ref="L76">SUM(L12:M12*L25:M25)/L32</f>
        <v>0.22580101758299784</v>
      </c>
      <c r="M76" s="138"/>
      <c r="N76" s="193">
        <f t="array" ref="N76">SUM(N12:O12*N25:O25)/N32</f>
        <v>0.22670462826457918</v>
      </c>
      <c r="O76" s="138"/>
      <c r="P76" s="193">
        <f t="array" ref="P76">SUM(P12:Q12*P25:Q25)/P32</f>
        <v>0.22771470689451107</v>
      </c>
      <c r="Q76" s="138"/>
      <c r="R76" s="193">
        <f t="array" ref="R76">SUM(R12:S12*R25:S25)/R32</f>
        <v>0.22880725930960785</v>
      </c>
      <c r="S76" s="138"/>
      <c r="T76" s="193">
        <f t="array" ref="T76">SUM(T12:U12*T25:U25)/T32</f>
        <v>0.22993390972027844</v>
      </c>
      <c r="U76" s="138"/>
      <c r="V76" s="193">
        <f t="array" ref="V76">SUM(V12:W12*V25:W25)/V32</f>
        <v>0.23100323573454079</v>
      </c>
      <c r="W76" s="138"/>
      <c r="X76" s="193">
        <f t="array" ref="X76">SUM(X12:Y12*X25:Y25)/X32</f>
        <v>0.23184718173251423</v>
      </c>
      <c r="Y76" s="138"/>
      <c r="Z76" s="193">
        <f t="array" ref="Z76">SUM(Z12:AA12*Z25:AA25)/Z32</f>
        <v>0.2321631453007213</v>
      </c>
      <c r="AA76" s="138"/>
      <c r="AB76" s="193">
        <f t="array" ref="AB76">SUM(AB12:AC12*AB25:AC25)/AB32</f>
        <v>0.23143381578946232</v>
      </c>
      <c r="AC76" s="138"/>
      <c r="AD76" s="193">
        <f t="array" ref="AD76">SUM(AD12:AE12*AD25:AE25)/AD32</f>
        <v>0.22891337212703713</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0.14619517108781077</v>
      </c>
      <c r="E77" s="138"/>
      <c r="F77" s="193">
        <f t="array" ref="F77">SUM(F4:G4*F19:G19)/F32</f>
        <v>0.14663553984475144</v>
      </c>
      <c r="G77" s="138"/>
      <c r="H77" s="193">
        <f t="array" ref="H77">SUM(H4:I4*H19:I19)/H32</f>
        <v>0.14718763114192376</v>
      </c>
      <c r="I77" s="138"/>
      <c r="J77" s="193">
        <f t="array" ref="J77">SUM(J4:K4*J19:K19)/J32</f>
        <v>0.14785606324661446</v>
      </c>
      <c r="K77" s="138"/>
      <c r="L77" s="193">
        <f t="array" ref="L77">SUM(L4:M4*L19:M19)/L32</f>
        <v>0.14864314397756173</v>
      </c>
      <c r="M77" s="138"/>
      <c r="N77" s="193">
        <f t="array" ref="N77">SUM(N4:O4*N19:O19)/N32</f>
        <v>0.14954675495040648</v>
      </c>
      <c r="O77" s="138"/>
      <c r="P77" s="193">
        <f t="array" ref="P77">SUM(P4:Q4*P19:Q19)/P32</f>
        <v>0.15055683347169935</v>
      </c>
      <c r="Q77" s="138"/>
      <c r="R77" s="193">
        <f t="array" ref="R77">SUM(R4:S4*R19:S19)/R32</f>
        <v>0.15164938583983142</v>
      </c>
      <c r="S77" s="138"/>
      <c r="T77" s="193">
        <f t="array" ref="T77">SUM(T4:U4*T19:U19)/T32</f>
        <v>0.15277603624124492</v>
      </c>
      <c r="U77" s="138"/>
      <c r="V77" s="193">
        <f t="array" ref="V77">SUM(V4:W4*V19:W19)/V32</f>
        <v>0.15384536216713107</v>
      </c>
      <c r="W77" s="138"/>
      <c r="X77" s="193">
        <f t="array" ref="X77">SUM(X4:Y4*X19:Y19)/X32</f>
        <v>0.15468930809902223</v>
      </c>
      <c r="Y77" s="138"/>
      <c r="Z77" s="193">
        <f t="array" ref="Z77">SUM(Z4:AA4*Z19:AA19)/Z32</f>
        <v>0.15500527170791772</v>
      </c>
      <c r="AA77" s="138"/>
      <c r="AB77" s="193">
        <f t="array" ref="AB77">SUM(AB4:AC4*AB19:AC19)/AB32</f>
        <v>0.15427594219735735</v>
      </c>
      <c r="AC77" s="138"/>
      <c r="AD77" s="193">
        <f t="array" ref="AD77">SUM(AD4:AE4*AD19:AE19)/AD32</f>
        <v>0.15175549910495076</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0.33571209674252089</v>
      </c>
      <c r="E78" s="138"/>
      <c r="F78" s="193">
        <f t="array" ref="F78">SUM(F13:G13*F26:G26)/F32</f>
        <v>0.32425176909920189</v>
      </c>
      <c r="G78" s="138"/>
      <c r="H78" s="193">
        <f t="array" ref="H78">SUM(H13:I13*H26:I26)/H32</f>
        <v>0.31244426766161598</v>
      </c>
      <c r="I78" s="138"/>
      <c r="J78" s="193">
        <f t="array" ref="J78">SUM(J13:K13*J26:K26)/J32</f>
        <v>0.30021222198419473</v>
      </c>
      <c r="K78" s="138"/>
      <c r="L78" s="193">
        <f t="array" ref="L78">SUM(L13:M13*L26:M26)/L32</f>
        <v>0.28745552976281419</v>
      </c>
      <c r="M78" s="138"/>
      <c r="N78" s="193">
        <f t="array" ref="N78">SUM(N13:O13*N26:O26)/N32</f>
        <v>0.27403930196016957</v>
      </c>
      <c r="O78" s="138"/>
      <c r="P78" s="193">
        <f t="array" ref="P78">SUM(P13:Q13*P26:Q26)/P32</f>
        <v>0.2597741721738186</v>
      </c>
      <c r="Q78" s="138"/>
      <c r="R78" s="193">
        <f t="array" ref="R78">SUM(R13:S13*R26:S26)/R32</f>
        <v>0.24438346206959111</v>
      </c>
      <c r="S78" s="138"/>
      <c r="T78" s="193">
        <f t="array" ref="T78">SUM(T13:U13*T26:U26)/T32</f>
        <v>0.22744614469816596</v>
      </c>
      <c r="U78" s="138"/>
      <c r="V78" s="193">
        <f t="array" ref="V78">SUM(V13:W13*V26:W26)/V32</f>
        <v>0.20829429435688807</v>
      </c>
      <c r="W78" s="138"/>
      <c r="X78" s="193">
        <f t="array" ref="X78">SUM(X13:Y13*X26:Y26)/X32</f>
        <v>0.18582257292675827</v>
      </c>
      <c r="Y78" s="138"/>
      <c r="Z78" s="193">
        <f t="array" ref="Z78">SUM(Z13:AA13*Z26:AA26)/Z32</f>
        <v>0.15813027690565434</v>
      </c>
      <c r="AA78" s="138"/>
      <c r="AB78" s="193">
        <f t="array" ref="AB78">SUM(AB13:AC13*AB26:AC26)/AB32</f>
        <v>0.12188512938863921</v>
      </c>
      <c r="AC78" s="138"/>
      <c r="AD78" s="193">
        <f t="array" ref="AD78">SUM(AD13:AE13*AD26:AE26)/AD32</f>
        <v>7.1447549894794737E-2</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0.46594075286926473</v>
      </c>
      <c r="F79" s="193">
        <f t="array" ref="F79">SUM(F15:G15*F27:G27)/F32</f>
        <v>0.47756061655102799</v>
      </c>
      <c r="H79" s="193">
        <f t="array" ref="H79">SUM(H15:I15*H27:I27)/H32</f>
        <v>0.48953250077931726</v>
      </c>
      <c r="J79" s="193">
        <f t="array" ref="J79">SUM(J15:K15*J27:K27)/J32</f>
        <v>0.50193482751640139</v>
      </c>
      <c r="L79" s="193">
        <f t="array" ref="L79">SUM(L15:M15*L27:M27)/L32</f>
        <v>0.5148691087837427</v>
      </c>
      <c r="N79" s="193">
        <f t="array" ref="N79">SUM(N15:O15*N27:O27)/N32</f>
        <v>0.52847210178772486</v>
      </c>
      <c r="P79" s="193">
        <f t="array" ref="P79">SUM(P15:Q15*P27:Q27)/P32</f>
        <v>0.54293581708250693</v>
      </c>
      <c r="R79" s="193">
        <f t="array" ref="R79">SUM(R15:S15*R27:S27)/R32</f>
        <v>0.55854078182991895</v>
      </c>
      <c r="T79" s="193">
        <f t="array" ref="T79">SUM(T15:U15*T27:U27)/T32</f>
        <v>0.57571388414210711</v>
      </c>
      <c r="V79" s="193">
        <f t="array" ref="V79">SUM(V15:W15*V27:W27)/V32</f>
        <v>0.59513234784915336</v>
      </c>
      <c r="X79" s="193">
        <f t="array" ref="X79">SUM(X15:Y15*X27:Y27)/X32</f>
        <v>0.6179168994281159</v>
      </c>
      <c r="Z79" s="193">
        <f t="array" ref="Z79">SUM(Z15:AA15*Z27:AA27)/Z32</f>
        <v>0.64599469897423967</v>
      </c>
      <c r="AB79" s="193">
        <f t="array" ref="AB79">SUM(AB15:AC15*AB27:AC27)/AB32</f>
        <v>0.68274441802838814</v>
      </c>
      <c r="AD79" s="193">
        <f t="array" ref="AD79">SUM(AD15:AE15*AD27:AE27)/AD32</f>
        <v>0.7338841409652247</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0.19834714504265305</v>
      </c>
      <c r="F80" s="236">
        <f>F55</f>
        <v>0.19818760579391062</v>
      </c>
      <c r="H80" s="236">
        <f>H55</f>
        <v>0.19802323220717605</v>
      </c>
      <c r="J80" s="236">
        <f>J55</f>
        <v>0.1978529521420572</v>
      </c>
      <c r="L80" s="236">
        <f>L55</f>
        <v>0.19767536318225684</v>
      </c>
      <c r="N80" s="236">
        <f>N55</f>
        <v>0.19748859733445884</v>
      </c>
      <c r="P80" s="236">
        <f>P55</f>
        <v>0.19729001147494615</v>
      </c>
      <c r="R80" s="236">
        <f>R55</f>
        <v>0.19707575666889451</v>
      </c>
      <c r="T80" s="236">
        <f>T55</f>
        <v>0.19683997173688494</v>
      </c>
      <c r="V80" s="236">
        <f>V55</f>
        <v>0.19657335742005566</v>
      </c>
      <c r="X80" s="236">
        <f>X55</f>
        <v>0.19626052815329706</v>
      </c>
      <c r="Z80" s="236">
        <f>Z55</f>
        <v>0.19587502101145812</v>
      </c>
      <c r="AB80" s="236">
        <f>AB55</f>
        <v>0.19537045293421712</v>
      </c>
      <c r="AD80" s="236">
        <f>AD55</f>
        <v>0.19466831737505766</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-2.7699059521771804E-2</v>
      </c>
      <c r="F81" s="236">
        <f>F51/F$32</f>
        <v>-2.785859877051422E-2</v>
      </c>
      <c r="H81" s="236">
        <f>H51/H$32</f>
        <v>-2.802297235724879E-2</v>
      </c>
      <c r="J81" s="236">
        <f>J51/J$32</f>
        <v>-2.819325242236765E-2</v>
      </c>
      <c r="L81" s="236">
        <f>L51/L$32</f>
        <v>-2.837084138216801E-2</v>
      </c>
      <c r="N81" s="236">
        <f>N51/N$32</f>
        <v>-2.8557607229966014E-2</v>
      </c>
      <c r="P81" s="236">
        <f>P51/P$32</f>
        <v>-2.8756193089478677E-2</v>
      </c>
      <c r="R81" s="236">
        <f>R51/R$32</f>
        <v>-2.8970447895530341E-2</v>
      </c>
      <c r="T81" s="236">
        <f>T51/T$32</f>
        <v>-2.9206232827539896E-2</v>
      </c>
      <c r="V81" s="236">
        <f>V51/V$32</f>
        <v>-2.9472847144369173E-2</v>
      </c>
      <c r="X81" s="236">
        <f>X51/X$32</f>
        <v>-2.9785676411127775E-2</v>
      </c>
      <c r="Z81" s="236">
        <f>Z51/Z$32</f>
        <v>-3.0171183552966708E-2</v>
      </c>
      <c r="AB81" s="236">
        <f>AB51/AB$32</f>
        <v>-3.0675751630207727E-2</v>
      </c>
      <c r="AD81" s="236">
        <f>AD51/AD$32</f>
        <v>-3.1377887189367203E-2</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0.13459798009099122</v>
      </c>
      <c r="F82" s="236">
        <f>F52/F$32</f>
        <v>0.13000315921042355</v>
      </c>
      <c r="H82" s="236">
        <f>H52/H$32</f>
        <v>0.12526914497965413</v>
      </c>
      <c r="J82" s="236">
        <f>J52/J$32</f>
        <v>0.12036491705180444</v>
      </c>
      <c r="L82" s="236">
        <f>L52/L$32</f>
        <v>0.11525034113303088</v>
      </c>
      <c r="N82" s="236">
        <f>N52/N$32</f>
        <v>0.10987133578827697</v>
      </c>
      <c r="P82" s="236">
        <f>P52/P$32</f>
        <v>0.10415197782170571</v>
      </c>
      <c r="R82" s="236">
        <f>R52/R$32</f>
        <v>9.7981337823040901E-2</v>
      </c>
      <c r="T82" s="236">
        <f>T52/T$32</f>
        <v>9.1190612292222903E-2</v>
      </c>
      <c r="V82" s="236">
        <f>V52/V$32</f>
        <v>8.3512007928680868E-2</v>
      </c>
      <c r="X82" s="236">
        <f>X52/X$32</f>
        <v>7.4502358461141102E-2</v>
      </c>
      <c r="Z82" s="236">
        <f>Z52/Z$32</f>
        <v>6.3399609573956656E-2</v>
      </c>
      <c r="AB82" s="236">
        <f>AB52/AB$32</f>
        <v>4.8867742264951421E-2</v>
      </c>
      <c r="AD82" s="236">
        <f>AD52/AD$32</f>
        <v>2.8645663923350797E-2</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0.19064333939384437</v>
      </c>
      <c r="F83" s="236">
        <f>F53/F$32</f>
        <v>0.19539769840183216</v>
      </c>
      <c r="H83" s="236">
        <f>H53/H$32</f>
        <v>0.20029608939695931</v>
      </c>
      <c r="J83" s="236">
        <f>J53/J$32</f>
        <v>0.2053705993445249</v>
      </c>
      <c r="L83" s="236">
        <f>L53/L$32</f>
        <v>0.21066276268993001</v>
      </c>
      <c r="N83" s="236">
        <f>N53/N$32</f>
        <v>0.21622853472437986</v>
      </c>
      <c r="P83" s="236">
        <f>P53/P$32</f>
        <v>0.22214647808275523</v>
      </c>
      <c r="R83" s="236">
        <f>R53/R$32</f>
        <v>0.22853137266913751</v>
      </c>
      <c r="T83" s="236">
        <f>T53/T$32</f>
        <v>0.23555788312650097</v>
      </c>
      <c r="V83" s="236">
        <f>V53/V$32</f>
        <v>0.24350310093415684</v>
      </c>
      <c r="X83" s="236">
        <f>X53/X$32</f>
        <v>0.25282558018255064</v>
      </c>
      <c r="Z83" s="236">
        <f>Z53/Z$32</f>
        <v>0.26431383364684014</v>
      </c>
      <c r="AB83" s="236">
        <f>AB53/AB$32</f>
        <v>0.27935027147530861</v>
      </c>
      <c r="AD83" s="236">
        <f>AD53/AD$32</f>
        <v>0.30027449305566484</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c r="AB1" s="94"/>
      <c r="AD1" s="94"/>
      <c r="AF1" s="94"/>
      <c r="AH1" s="94"/>
      <c r="AJ1" s="94"/>
      <c r="AL1" s="94"/>
      <c r="AN1" s="94"/>
      <c r="AP1" s="94"/>
      <c r="AR1" s="94"/>
      <c r="AT1" s="94"/>
      <c r="AV1" s="94"/>
    </row>
    <row r="2" spans="1:49" x14ac:dyDescent="0.2">
      <c r="A2" s="229" t="s">
        <v>155</v>
      </c>
      <c r="B2" s="226">
        <v>5.7716594496607888E-3</v>
      </c>
      <c r="C2" s="227"/>
      <c r="D2" s="226">
        <v>3.4887949747467187E-2</v>
      </c>
      <c r="E2" s="227"/>
      <c r="F2" s="226">
        <v>6.4974668220133536E-2</v>
      </c>
      <c r="G2" s="227"/>
      <c r="H2" s="226">
        <v>9.5933182871647954E-2</v>
      </c>
      <c r="I2" s="227"/>
      <c r="J2" s="226">
        <v>0.12761657711332441</v>
      </c>
      <c r="K2" s="227"/>
      <c r="L2" s="226">
        <v>0.15981900263662782</v>
      </c>
      <c r="M2" s="227"/>
      <c r="N2" s="226">
        <v>0.19226147219898668</v>
      </c>
      <c r="O2" s="227"/>
      <c r="P2" s="226">
        <v>0.22457749022887025</v>
      </c>
      <c r="Q2" s="227"/>
      <c r="R2" s="226">
        <v>0.25629108360389857</v>
      </c>
      <c r="S2" s="227"/>
      <c r="T2" s="226">
        <v>0.28677539912445354</v>
      </c>
      <c r="U2" s="227"/>
      <c r="V2" s="226">
        <v>0.31514583404300911</v>
      </c>
      <c r="W2" s="227"/>
      <c r="X2" s="226">
        <v>0.33987571968301161</v>
      </c>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row>
    <row r="3" spans="1:49" x14ac:dyDescent="0.2">
      <c r="A3" t="s">
        <v>12</v>
      </c>
      <c r="B3" s="84">
        <v>1000</v>
      </c>
      <c r="C3" s="85">
        <v>1000</v>
      </c>
      <c r="D3" s="84">
        <v>999.1627505106635</v>
      </c>
      <c r="E3" s="85">
        <v>1012.3854259177346</v>
      </c>
      <c r="F3" s="84">
        <v>998.36108154532747</v>
      </c>
      <c r="G3" s="85">
        <v>1024.9131556236216</v>
      </c>
      <c r="H3" s="84">
        <v>997.59841211658079</v>
      </c>
      <c r="I3" s="85">
        <v>1037.5037401060267</v>
      </c>
      <c r="J3" s="84">
        <v>996.87810370094178</v>
      </c>
      <c r="K3" s="85">
        <v>1050.0646414080543</v>
      </c>
      <c r="L3" s="84">
        <v>996.20279560716995</v>
      </c>
      <c r="M3" s="85">
        <v>1062.4977112113095</v>
      </c>
      <c r="N3" s="84">
        <v>995.57309663988451</v>
      </c>
      <c r="O3" s="85">
        <v>1074.71839071573</v>
      </c>
      <c r="P3" s="84">
        <v>994.9849115063073</v>
      </c>
      <c r="Q3" s="85">
        <v>1086.698074766088</v>
      </c>
      <c r="R3" s="84">
        <v>994.42371746476999</v>
      </c>
      <c r="S3" s="85">
        <v>1098.5593992716235</v>
      </c>
      <c r="T3" s="84">
        <v>993.85120763617522</v>
      </c>
      <c r="U3" s="85">
        <v>1110.8025946425626</v>
      </c>
      <c r="V3" s="84">
        <v>993.16935577410459</v>
      </c>
      <c r="W3" s="85">
        <v>1124.9199574902789</v>
      </c>
      <c r="X3" s="84">
        <v>992.10120347654799</v>
      </c>
      <c r="Y3" s="85">
        <v>1145.4594293486718</v>
      </c>
      <c r="Z3" s="84"/>
      <c r="AA3" s="85"/>
      <c r="AB3" s="84"/>
      <c r="AC3" s="85"/>
      <c r="AD3" s="84"/>
      <c r="AE3" s="85"/>
      <c r="AF3" s="84"/>
      <c r="AG3" s="85"/>
      <c r="AH3" s="84"/>
      <c r="AI3" s="85"/>
      <c r="AJ3" s="84"/>
      <c r="AK3" s="85"/>
      <c r="AL3" s="84"/>
      <c r="AM3" s="85"/>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row>
    <row r="5" spans="1:49" x14ac:dyDescent="0.2">
      <c r="A5" t="s">
        <v>128</v>
      </c>
      <c r="B5" s="41">
        <v>1000</v>
      </c>
      <c r="C5" s="42">
        <v>1000</v>
      </c>
      <c r="D5" s="41">
        <v>999.1213252446596</v>
      </c>
      <c r="E5" s="42">
        <v>1010.8101887831002</v>
      </c>
      <c r="F5" s="41">
        <v>998.27970151411671</v>
      </c>
      <c r="G5" s="42">
        <v>1021.6132120203512</v>
      </c>
      <c r="H5" s="41">
        <v>997.47875702282261</v>
      </c>
      <c r="I5" s="42">
        <v>1032.3380882352178</v>
      </c>
      <c r="J5" s="41">
        <v>996.722062384271</v>
      </c>
      <c r="K5" s="42">
        <v>1042.9062119550219</v>
      </c>
      <c r="L5" s="41">
        <v>996.01243164042364</v>
      </c>
      <c r="M5" s="42">
        <v>1053.2381426899603</v>
      </c>
      <c r="N5" s="41">
        <v>995.35054493472944</v>
      </c>
      <c r="O5" s="42">
        <v>1063.2695055139523</v>
      </c>
      <c r="P5" s="41">
        <v>994.73213408438528</v>
      </c>
      <c r="Q5" s="42">
        <v>1072.9842356515267</v>
      </c>
      <c r="R5" s="41">
        <v>994.14195698806338</v>
      </c>
      <c r="S5" s="42">
        <v>1082.4876552464036</v>
      </c>
      <c r="T5" s="41">
        <v>993.53973416119481</v>
      </c>
      <c r="U5" s="42">
        <v>1092.1772591197116</v>
      </c>
      <c r="V5" s="41">
        <v>992.82230233533255</v>
      </c>
      <c r="W5" s="42">
        <v>1103.1998675030795</v>
      </c>
      <c r="X5" s="41">
        <v>991.6979913010382</v>
      </c>
      <c r="Y5" s="42">
        <v>1118.9511422664684</v>
      </c>
      <c r="Z5" s="41"/>
      <c r="AA5" s="42"/>
      <c r="AB5" s="41"/>
      <c r="AC5" s="42"/>
      <c r="AD5" s="41"/>
      <c r="AE5" s="42"/>
      <c r="AF5" s="41"/>
      <c r="AG5" s="42"/>
      <c r="AH5" s="41"/>
      <c r="AI5" s="42"/>
      <c r="AJ5" s="41"/>
      <c r="AK5" s="42"/>
      <c r="AL5" s="41"/>
      <c r="AM5" s="42"/>
      <c r="AN5" s="41"/>
      <c r="AO5" s="42"/>
      <c r="AP5" s="41"/>
      <c r="AQ5" s="42"/>
      <c r="AR5" s="41"/>
      <c r="AS5" s="42"/>
      <c r="AT5" s="41"/>
      <c r="AU5" s="42"/>
      <c r="AV5" s="41"/>
      <c r="AW5" s="42"/>
    </row>
    <row r="6" spans="1:49" x14ac:dyDescent="0.2">
      <c r="A6" t="s">
        <v>77</v>
      </c>
      <c r="B6" s="41">
        <v>999.99999999999943</v>
      </c>
      <c r="C6" s="42">
        <v>999.99999999999909</v>
      </c>
      <c r="D6" s="41">
        <v>999.05417905765307</v>
      </c>
      <c r="E6" s="42">
        <v>1013.3563400883797</v>
      </c>
      <c r="F6" s="41">
        <v>998.14835958295043</v>
      </c>
      <c r="G6" s="42">
        <v>1026.8407828844324</v>
      </c>
      <c r="H6" s="41">
        <v>997.28643043371437</v>
      </c>
      <c r="I6" s="42">
        <v>1040.3685299325191</v>
      </c>
      <c r="J6" s="41">
        <v>996.47221742291356</v>
      </c>
      <c r="K6" s="42">
        <v>1053.8413172897897</v>
      </c>
      <c r="L6" s="41">
        <v>995.70873137019646</v>
      </c>
      <c r="M6" s="42">
        <v>1067.1554571384238</v>
      </c>
      <c r="N6" s="41">
        <v>994.99668743550296</v>
      </c>
      <c r="O6" s="42">
        <v>1080.22231219072</v>
      </c>
      <c r="P6" s="41">
        <v>994.33147904061343</v>
      </c>
      <c r="Q6" s="42">
        <v>1093.0133108572923</v>
      </c>
      <c r="R6" s="41">
        <v>993.69669961855823</v>
      </c>
      <c r="S6" s="42">
        <v>1105.6610368598526</v>
      </c>
      <c r="T6" s="41">
        <v>993.04902316322227</v>
      </c>
      <c r="U6" s="42">
        <v>1118.6991326168556</v>
      </c>
      <c r="V6" s="41">
        <v>992.27751998438578</v>
      </c>
      <c r="W6" s="42">
        <v>1133.7128914339414</v>
      </c>
      <c r="X6" s="41">
        <v>991.06864219097304</v>
      </c>
      <c r="Y6" s="42">
        <v>1155.5201571964174</v>
      </c>
      <c r="Z6" s="41"/>
      <c r="AA6" s="42"/>
      <c r="AB6" s="41"/>
      <c r="AC6" s="42"/>
      <c r="AD6" s="41"/>
      <c r="AE6" s="42"/>
      <c r="AF6" s="41"/>
      <c r="AG6" s="42"/>
      <c r="AH6" s="41"/>
      <c r="AI6" s="42"/>
      <c r="AJ6" s="41"/>
      <c r="AK6" s="42"/>
      <c r="AL6" s="41"/>
      <c r="AM6" s="42"/>
      <c r="AN6" s="41"/>
      <c r="AO6" s="42"/>
      <c r="AP6" s="41"/>
      <c r="AQ6" s="42"/>
      <c r="AR6" s="41"/>
      <c r="AS6" s="42"/>
      <c r="AT6" s="41"/>
      <c r="AU6" s="42"/>
      <c r="AV6" s="41"/>
      <c r="AW6" s="42"/>
    </row>
    <row r="7" spans="1:49" x14ac:dyDescent="0.2">
      <c r="A7" t="s">
        <v>13</v>
      </c>
      <c r="B7" s="33">
        <v>1015.9116825427475</v>
      </c>
      <c r="C7" s="34">
        <v>1015.9116825427475</v>
      </c>
      <c r="D7" s="33">
        <v>1015.0190265936417</v>
      </c>
      <c r="E7" s="34">
        <v>1015.0190265936417</v>
      </c>
      <c r="F7" s="33">
        <v>1014.164011213478</v>
      </c>
      <c r="G7" s="34">
        <v>1014.164011213478</v>
      </c>
      <c r="H7" s="33">
        <v>1013.350322347704</v>
      </c>
      <c r="I7" s="34">
        <v>1013.350322347704</v>
      </c>
      <c r="J7" s="33">
        <v>1012.581587424282</v>
      </c>
      <c r="K7" s="34">
        <v>1012.581587424282</v>
      </c>
      <c r="L7" s="33">
        <v>1011.8606652613159</v>
      </c>
      <c r="M7" s="34">
        <v>1011.8606652613159</v>
      </c>
      <c r="N7" s="33">
        <v>1011.1882468244816</v>
      </c>
      <c r="O7" s="34">
        <v>1011.1882468244816</v>
      </c>
      <c r="P7" s="33">
        <v>1010.5599960170057</v>
      </c>
      <c r="Q7" s="34">
        <v>1010.5599960170057</v>
      </c>
      <c r="R7" s="33">
        <v>1009.9604282100831</v>
      </c>
      <c r="S7" s="34">
        <v>1009.9604282100831</v>
      </c>
      <c r="T7" s="33">
        <v>1009.3486230047735</v>
      </c>
      <c r="U7" s="34">
        <v>1009.3486230047735</v>
      </c>
      <c r="V7" s="33">
        <v>1008.6197756314519</v>
      </c>
      <c r="W7" s="34">
        <v>1008.6197756314519</v>
      </c>
      <c r="X7" s="33">
        <v>1007.4775749169006</v>
      </c>
      <c r="Y7" s="34">
        <v>1007.4775749169006</v>
      </c>
      <c r="Z7" s="33"/>
      <c r="AA7" s="34"/>
      <c r="AB7" s="33"/>
      <c r="AC7" s="34"/>
      <c r="AD7" s="33"/>
      <c r="AE7" s="34"/>
      <c r="AF7" s="33"/>
      <c r="AG7" s="34"/>
      <c r="AH7" s="33"/>
      <c r="AI7" s="34"/>
      <c r="AJ7" s="33"/>
      <c r="AK7" s="34"/>
      <c r="AL7" s="33"/>
      <c r="AM7" s="34"/>
      <c r="AN7" s="33"/>
      <c r="AO7" s="34"/>
      <c r="AP7" s="33"/>
      <c r="AQ7" s="34"/>
      <c r="AR7" s="33"/>
      <c r="AS7" s="34"/>
      <c r="AT7" s="33"/>
      <c r="AU7" s="34"/>
      <c r="AV7" s="33"/>
      <c r="AW7" s="34"/>
    </row>
    <row r="8" spans="1:49" x14ac:dyDescent="0.2">
      <c r="B8" s="35">
        <v>1005.7716594496609</v>
      </c>
      <c r="C8" s="36">
        <v>1005.7716594496609</v>
      </c>
      <c r="D8" s="35">
        <v>1046.075283853593</v>
      </c>
      <c r="E8" s="36">
        <v>1046.075283853593</v>
      </c>
      <c r="F8" s="35">
        <v>1087.9921915206785</v>
      </c>
      <c r="G8" s="36">
        <v>1087.9921915206785</v>
      </c>
      <c r="H8" s="35">
        <v>1131.3735668392544</v>
      </c>
      <c r="I8" s="36">
        <v>1131.3735668392544</v>
      </c>
      <c r="J8" s="35">
        <v>1175.998332974945</v>
      </c>
      <c r="K8" s="36">
        <v>1175.998332974945</v>
      </c>
      <c r="L8" s="35">
        <v>1221.565612193524</v>
      </c>
      <c r="M8" s="36">
        <v>1221.565612193524</v>
      </c>
      <c r="N8" s="35">
        <v>1267.6952659883532</v>
      </c>
      <c r="O8" s="36">
        <v>1267.6952659883532</v>
      </c>
      <c r="P8" s="35">
        <v>1313.9523423492892</v>
      </c>
      <c r="Q8" s="36">
        <v>1313.9523423492892</v>
      </c>
      <c r="R8" s="35">
        <v>1359.9195893973476</v>
      </c>
      <c r="S8" s="36">
        <v>1359.9195893973476</v>
      </c>
      <c r="T8" s="35">
        <v>1405.3868285184185</v>
      </c>
      <c r="U8" s="36">
        <v>1405.3868285184185</v>
      </c>
      <c r="V8" s="35">
        <v>1450.8687098634746</v>
      </c>
      <c r="W8" s="36">
        <v>1450.8687098634746</v>
      </c>
      <c r="X8" s="35">
        <v>1499.2554670344123</v>
      </c>
      <c r="Y8" s="36">
        <v>1499.2554670344123</v>
      </c>
      <c r="Z8" s="35"/>
      <c r="AA8" s="36"/>
      <c r="AB8" s="35"/>
      <c r="AC8" s="36"/>
      <c r="AD8" s="35"/>
      <c r="AE8" s="36"/>
      <c r="AF8" s="35"/>
      <c r="AG8" s="36"/>
      <c r="AH8" s="35"/>
      <c r="AI8" s="36"/>
      <c r="AJ8" s="35"/>
      <c r="AK8" s="36"/>
      <c r="AL8" s="35"/>
      <c r="AM8" s="36"/>
      <c r="AN8" s="35"/>
      <c r="AO8" s="36"/>
      <c r="AP8" s="35"/>
      <c r="AQ8" s="36"/>
      <c r="AR8" s="35"/>
      <c r="AS8" s="36"/>
      <c r="AT8" s="35"/>
      <c r="AU8" s="36"/>
      <c r="AV8" s="35"/>
      <c r="AW8" s="36"/>
    </row>
    <row r="9" spans="1:49" x14ac:dyDescent="0.2">
      <c r="A9" t="s">
        <v>14</v>
      </c>
      <c r="B9" s="41">
        <v>1015.9116825427475</v>
      </c>
      <c r="C9" s="42">
        <v>1005.7716594496609</v>
      </c>
      <c r="D9" s="41">
        <v>1015.0190265936417</v>
      </c>
      <c r="E9" s="42">
        <v>1046.075283853593</v>
      </c>
      <c r="F9" s="41">
        <v>1014.164011213478</v>
      </c>
      <c r="G9" s="42">
        <v>1087.9921915206785</v>
      </c>
      <c r="H9" s="41">
        <v>1013.350322347704</v>
      </c>
      <c r="I9" s="42">
        <v>1131.3735668392544</v>
      </c>
      <c r="J9" s="41">
        <v>1012.581587424282</v>
      </c>
      <c r="K9" s="42">
        <v>1175.998332974945</v>
      </c>
      <c r="L9" s="41">
        <v>1011.8606652613159</v>
      </c>
      <c r="M9" s="42">
        <v>1221.565612193524</v>
      </c>
      <c r="N9" s="41">
        <v>1011.1882468244816</v>
      </c>
      <c r="O9" s="42">
        <v>1267.6952659883532</v>
      </c>
      <c r="P9" s="41">
        <v>1010.5599960170057</v>
      </c>
      <c r="Q9" s="42">
        <v>1313.9523423492892</v>
      </c>
      <c r="R9" s="41">
        <v>1009.9604282100831</v>
      </c>
      <c r="S9" s="42">
        <v>1359.9195893973476</v>
      </c>
      <c r="T9" s="41">
        <v>1009.3486230047735</v>
      </c>
      <c r="U9" s="42">
        <v>1405.3868285184185</v>
      </c>
      <c r="V9" s="41">
        <v>1008.6197756314519</v>
      </c>
      <c r="W9" s="42">
        <v>1450.8687098634746</v>
      </c>
      <c r="X9" s="41">
        <v>1007.4775749169006</v>
      </c>
      <c r="Y9" s="42">
        <v>1499.2554670344123</v>
      </c>
      <c r="Z9" s="41"/>
      <c r="AA9" s="42"/>
      <c r="AB9" s="41"/>
      <c r="AC9" s="42"/>
      <c r="AD9" s="41"/>
      <c r="AE9" s="42"/>
      <c r="AF9" s="41"/>
      <c r="AG9" s="42"/>
      <c r="AH9" s="41"/>
      <c r="AI9" s="42"/>
      <c r="AJ9" s="41"/>
      <c r="AK9" s="42"/>
      <c r="AL9" s="41"/>
      <c r="AM9" s="42"/>
      <c r="AN9" s="41"/>
      <c r="AO9" s="42"/>
      <c r="AP9" s="41"/>
      <c r="AQ9" s="42"/>
      <c r="AR9" s="41"/>
      <c r="AS9" s="42"/>
      <c r="AT9" s="41"/>
      <c r="AU9" s="42"/>
      <c r="AV9" s="41"/>
      <c r="AW9" s="42"/>
    </row>
    <row r="10" spans="1:49" x14ac:dyDescent="0.2">
      <c r="A10" t="s">
        <v>15</v>
      </c>
      <c r="B10" s="41">
        <v>1015.9116825427475</v>
      </c>
      <c r="C10" s="42">
        <v>1005.7716594496609</v>
      </c>
      <c r="D10" s="41">
        <v>1015.0190265936417</v>
      </c>
      <c r="E10" s="42">
        <v>1046.075283853593</v>
      </c>
      <c r="F10" s="41">
        <v>1014.164011213478</v>
      </c>
      <c r="G10" s="42">
        <v>1087.9921915206785</v>
      </c>
      <c r="H10" s="41">
        <v>1013.350322347704</v>
      </c>
      <c r="I10" s="42">
        <v>1131.3735668392544</v>
      </c>
      <c r="J10" s="41">
        <v>1012.581587424282</v>
      </c>
      <c r="K10" s="42">
        <v>1175.998332974945</v>
      </c>
      <c r="L10" s="41">
        <v>1011.8606652613159</v>
      </c>
      <c r="M10" s="42">
        <v>1221.565612193524</v>
      </c>
      <c r="N10" s="41">
        <v>1011.1882468244816</v>
      </c>
      <c r="O10" s="42">
        <v>1267.6952659883532</v>
      </c>
      <c r="P10" s="41">
        <v>1010.5599960170057</v>
      </c>
      <c r="Q10" s="42">
        <v>1313.9523423492892</v>
      </c>
      <c r="R10" s="41">
        <v>1009.9604282100831</v>
      </c>
      <c r="S10" s="42">
        <v>1359.9195893973476</v>
      </c>
      <c r="T10" s="41">
        <v>1009.3486230047735</v>
      </c>
      <c r="U10" s="42">
        <v>1405.3868285184185</v>
      </c>
      <c r="V10" s="41">
        <v>1008.6197756314519</v>
      </c>
      <c r="W10" s="42">
        <v>1450.8687098634746</v>
      </c>
      <c r="X10" s="41">
        <v>1007.4775749169006</v>
      </c>
      <c r="Y10" s="42">
        <v>1499.2554670344123</v>
      </c>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row>
    <row r="11" spans="1:49" x14ac:dyDescent="0.2">
      <c r="A11" t="s">
        <v>29</v>
      </c>
      <c r="B11" s="41">
        <v>1015.9116825427475</v>
      </c>
      <c r="C11" s="42">
        <v>1005.7716594496609</v>
      </c>
      <c r="D11" s="41">
        <v>1015.0190265936417</v>
      </c>
      <c r="E11" s="42">
        <v>1046.075283853593</v>
      </c>
      <c r="F11" s="41">
        <v>1014.164011213478</v>
      </c>
      <c r="G11" s="42">
        <v>1087.9921915206785</v>
      </c>
      <c r="H11" s="41">
        <v>1013.350322347704</v>
      </c>
      <c r="I11" s="42">
        <v>1131.3735668392544</v>
      </c>
      <c r="J11" s="41">
        <v>1012.581587424282</v>
      </c>
      <c r="K11" s="42">
        <v>1175.998332974945</v>
      </c>
      <c r="L11" s="41">
        <v>1011.8606652613159</v>
      </c>
      <c r="M11" s="42">
        <v>1221.565612193524</v>
      </c>
      <c r="N11" s="41">
        <v>1011.1882468244816</v>
      </c>
      <c r="O11" s="42">
        <v>1267.6952659883532</v>
      </c>
      <c r="P11" s="41">
        <v>1010.5599960170057</v>
      </c>
      <c r="Q11" s="42">
        <v>1313.9523423492892</v>
      </c>
      <c r="R11" s="41">
        <v>1009.9604282100831</v>
      </c>
      <c r="S11" s="42">
        <v>1359.9195893973476</v>
      </c>
      <c r="T11" s="41">
        <v>1009.3486230047735</v>
      </c>
      <c r="U11" s="42">
        <v>1405.3868285184185</v>
      </c>
      <c r="V11" s="41">
        <v>1008.6197756314519</v>
      </c>
      <c r="W11" s="42">
        <v>1450.8687098634746</v>
      </c>
      <c r="X11" s="41">
        <v>1007.4775749169006</v>
      </c>
      <c r="Y11" s="42">
        <v>1499.2554670344123</v>
      </c>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row>
    <row r="13" spans="1:49" x14ac:dyDescent="0.2">
      <c r="A13" t="s">
        <v>17</v>
      </c>
      <c r="B13" s="97">
        <v>1000</v>
      </c>
      <c r="C13" s="98">
        <v>1000</v>
      </c>
      <c r="D13" s="97">
        <v>1001.3248617391544</v>
      </c>
      <c r="E13" s="98">
        <v>1001.3248617391544</v>
      </c>
      <c r="F13" s="97">
        <v>1002.7202006235425</v>
      </c>
      <c r="G13" s="98">
        <v>1002.7202006235425</v>
      </c>
      <c r="H13" s="97">
        <v>1004.1809104330076</v>
      </c>
      <c r="I13" s="98">
        <v>1004.1809104330076</v>
      </c>
      <c r="J13" s="97">
        <v>1005.6990702356521</v>
      </c>
      <c r="K13" s="98">
        <v>1005.6990702356521</v>
      </c>
      <c r="L13" s="97">
        <v>1007.2631497818498</v>
      </c>
      <c r="M13" s="98">
        <v>1007.2631497818498</v>
      </c>
      <c r="N13" s="97">
        <v>1008.8569158686961</v>
      </c>
      <c r="O13" s="98">
        <v>1008.8569158686961</v>
      </c>
      <c r="P13" s="97">
        <v>1010.4580269440872</v>
      </c>
      <c r="Q13" s="98">
        <v>1010.4580269440872</v>
      </c>
      <c r="R13" s="97">
        <v>1012.0355876119398</v>
      </c>
      <c r="S13" s="98">
        <v>1012.0355876119398</v>
      </c>
      <c r="T13" s="97">
        <v>1013.5449826144667</v>
      </c>
      <c r="U13" s="98">
        <v>1013.5449826144667</v>
      </c>
      <c r="V13" s="97">
        <v>1014.9139540513638</v>
      </c>
      <c r="W13" s="98">
        <v>1014.9139540513638</v>
      </c>
      <c r="X13" s="97">
        <v>1015.9928179984647</v>
      </c>
      <c r="Y13" s="98">
        <v>1015.9928179984647</v>
      </c>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row>
    <row r="14" spans="1:49" x14ac:dyDescent="0.2">
      <c r="A14" t="s">
        <v>36</v>
      </c>
      <c r="B14" s="41">
        <v>1457.0034251455234</v>
      </c>
      <c r="C14" s="42">
        <v>1457.0034251455236</v>
      </c>
      <c r="D14" s="41">
        <v>1458.9337532373154</v>
      </c>
      <c r="E14" s="42">
        <v>1458.9337532373156</v>
      </c>
      <c r="F14" s="41">
        <v>1460.9667667711076</v>
      </c>
      <c r="G14" s="42">
        <v>1460.9667667711078</v>
      </c>
      <c r="H14" s="41">
        <v>1463.095025966642</v>
      </c>
      <c r="I14" s="42">
        <v>1463.0950259666422</v>
      </c>
      <c r="J14" s="41">
        <v>1465.3069899990132</v>
      </c>
      <c r="K14" s="42">
        <v>1465.3069899990135</v>
      </c>
      <c r="L14" s="41">
        <v>1467.5858592550235</v>
      </c>
      <c r="M14" s="42">
        <v>1467.5858592550237</v>
      </c>
      <c r="N14" s="41">
        <v>1469.9079819024391</v>
      </c>
      <c r="O14" s="42">
        <v>1469.9079819024394</v>
      </c>
      <c r="P14" s="41">
        <v>1472.2408062233226</v>
      </c>
      <c r="Q14" s="42">
        <v>1472.2408062233228</v>
      </c>
      <c r="R14" s="41">
        <v>1474.5393175197587</v>
      </c>
      <c r="S14" s="42">
        <v>1474.5393175197589</v>
      </c>
      <c r="T14" s="41">
        <v>1476.7385112083377</v>
      </c>
      <c r="U14" s="42">
        <v>1476.738511208338</v>
      </c>
      <c r="V14" s="41">
        <v>1478.7331072808233</v>
      </c>
      <c r="W14" s="42">
        <v>1478.7331072808236</v>
      </c>
      <c r="X14" s="41">
        <v>1480.3050157470154</v>
      </c>
      <c r="Y14" s="42">
        <v>1480.3050157470157</v>
      </c>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row>
    <row r="15" spans="1:49" x14ac:dyDescent="0.2">
      <c r="A15" t="s">
        <v>18</v>
      </c>
      <c r="B15" s="154">
        <v>1000</v>
      </c>
      <c r="C15" s="155">
        <v>1000</v>
      </c>
      <c r="D15" s="154">
        <v>991.67622669381706</v>
      </c>
      <c r="E15" s="155">
        <v>991.67622669381706</v>
      </c>
      <c r="F15" s="154">
        <v>980.37630603982575</v>
      </c>
      <c r="G15" s="155">
        <v>980.37630603982575</v>
      </c>
      <c r="H15" s="154">
        <v>965.71709910216202</v>
      </c>
      <c r="I15" s="155">
        <v>965.71709910216202</v>
      </c>
      <c r="J15" s="154">
        <v>947.2886650442955</v>
      </c>
      <c r="K15" s="155">
        <v>947.2886650442955</v>
      </c>
      <c r="L15" s="154">
        <v>924.67058666161074</v>
      </c>
      <c r="M15" s="155">
        <v>924.67058666161074</v>
      </c>
      <c r="N15" s="154">
        <v>897.45004431590633</v>
      </c>
      <c r="O15" s="155">
        <v>897.45004431590633</v>
      </c>
      <c r="P15" s="154">
        <v>865.26091056191581</v>
      </c>
      <c r="Q15" s="155">
        <v>865.26091056191581</v>
      </c>
      <c r="R15" s="154">
        <v>827.83966876737804</v>
      </c>
      <c r="S15" s="155">
        <v>827.83966876737804</v>
      </c>
      <c r="T15" s="154">
        <v>785.12334101733131</v>
      </c>
      <c r="U15" s="155">
        <v>785.12334101733131</v>
      </c>
      <c r="V15" s="154">
        <v>737.45464390333962</v>
      </c>
      <c r="W15" s="155">
        <v>737.45464390333962</v>
      </c>
      <c r="X15" s="154">
        <v>686.13453530919026</v>
      </c>
      <c r="Y15" s="155">
        <v>686.13453530919026</v>
      </c>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row>
    <row r="16" spans="1:49" s="29" customFormat="1" x14ac:dyDescent="0.2">
      <c r="A16" t="s">
        <v>61</v>
      </c>
      <c r="B16" s="41">
        <v>1000</v>
      </c>
      <c r="C16" s="42">
        <v>1000</v>
      </c>
      <c r="D16" s="41">
        <v>997.43910950641509</v>
      </c>
      <c r="E16" s="42">
        <v>994.88524219666112</v>
      </c>
      <c r="F16" s="41">
        <v>994.88267298853816</v>
      </c>
      <c r="G16" s="42">
        <v>988.69674929554446</v>
      </c>
      <c r="H16" s="41">
        <v>992.34208831461012</v>
      </c>
      <c r="I16" s="42">
        <v>981.37786848560449</v>
      </c>
      <c r="J16" s="41">
        <v>989.83093944516952</v>
      </c>
      <c r="K16" s="42">
        <v>972.90674464992321</v>
      </c>
      <c r="L16" s="41">
        <v>987.36438051639459</v>
      </c>
      <c r="M16" s="42">
        <v>963.32533269959879</v>
      </c>
      <c r="N16" s="41">
        <v>984.95759176721378</v>
      </c>
      <c r="O16" s="42">
        <v>952.79513485093685</v>
      </c>
      <c r="P16" s="41">
        <v>982.62203676420495</v>
      </c>
      <c r="Q16" s="42">
        <v>941.69854498795291</v>
      </c>
      <c r="R16" s="41">
        <v>980.35711421436372</v>
      </c>
      <c r="S16" s="42">
        <v>930.85223939291927</v>
      </c>
      <c r="T16" s="41">
        <v>978.13040302802108</v>
      </c>
      <c r="U16" s="42">
        <v>922.00175034171821</v>
      </c>
      <c r="V16" s="41">
        <v>975.82474074828292</v>
      </c>
      <c r="W16" s="42">
        <v>919.17153425299307</v>
      </c>
      <c r="X16" s="41">
        <v>973.06582162494192</v>
      </c>
      <c r="Y16" s="42">
        <v>933.32881945769259</v>
      </c>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row>
    <row r="17" spans="1:49" x14ac:dyDescent="0.2">
      <c r="A17" t="s">
        <v>62</v>
      </c>
      <c r="B17" s="35">
        <v>1000.0000000000002</v>
      </c>
      <c r="C17" s="36">
        <v>999.99999999999977</v>
      </c>
      <c r="D17" s="35">
        <v>999.20127491778305</v>
      </c>
      <c r="E17" s="36">
        <v>1018.8686501240244</v>
      </c>
      <c r="F17" s="35">
        <v>998.43676292591647</v>
      </c>
      <c r="G17" s="36">
        <v>1037.9531116799772</v>
      </c>
      <c r="H17" s="35">
        <v>997.70968859002073</v>
      </c>
      <c r="I17" s="36">
        <v>1057.1329463609782</v>
      </c>
      <c r="J17" s="35">
        <v>997.02322032611721</v>
      </c>
      <c r="K17" s="36">
        <v>1076.2676311856342</v>
      </c>
      <c r="L17" s="35">
        <v>996.37983365763318</v>
      </c>
      <c r="M17" s="36">
        <v>1095.2081012129238</v>
      </c>
      <c r="N17" s="35">
        <v>995.78007207489622</v>
      </c>
      <c r="O17" s="36">
        <v>1113.8261426248894</v>
      </c>
      <c r="P17" s="35">
        <v>995.2199999546865</v>
      </c>
      <c r="Q17" s="36">
        <v>1132.0794578570687</v>
      </c>
      <c r="R17" s="35">
        <v>994.68576298560924</v>
      </c>
      <c r="S17" s="36">
        <v>1150.1580569068399</v>
      </c>
      <c r="T17" s="35">
        <v>994.14089031315552</v>
      </c>
      <c r="U17" s="36">
        <v>1168.8321750627931</v>
      </c>
      <c r="V17" s="35">
        <v>993.49213319611465</v>
      </c>
      <c r="W17" s="36">
        <v>1190.3973706290401</v>
      </c>
      <c r="X17" s="35">
        <v>992.47621850053474</v>
      </c>
      <c r="Y17" s="36">
        <v>1221.8524465587384</v>
      </c>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row>
    <row r="18" spans="1:49" x14ac:dyDescent="0.2">
      <c r="A18" t="s">
        <v>19</v>
      </c>
      <c r="B18" s="33">
        <v>27857.010133999996</v>
      </c>
      <c r="C18" s="34">
        <v>1236.7674480000003</v>
      </c>
      <c r="D18" s="33">
        <v>27263.587547697312</v>
      </c>
      <c r="E18" s="34">
        <v>1160.9375749001474</v>
      </c>
      <c r="F18" s="33">
        <v>26605.482336258337</v>
      </c>
      <c r="G18" s="34">
        <v>1086.5060751677943</v>
      </c>
      <c r="H18" s="33">
        <v>25876.074952486157</v>
      </c>
      <c r="I18" s="34">
        <v>1013.5632765699502</v>
      </c>
      <c r="J18" s="33">
        <v>25068.528743203235</v>
      </c>
      <c r="K18" s="34">
        <v>942.19279214725225</v>
      </c>
      <c r="L18" s="33">
        <v>24176.151159260997</v>
      </c>
      <c r="M18" s="34">
        <v>872.45986922169254</v>
      </c>
      <c r="N18" s="33">
        <v>23192.872141877622</v>
      </c>
      <c r="O18" s="34">
        <v>804.39620680308053</v>
      </c>
      <c r="P18" s="33">
        <v>22114.121451014733</v>
      </c>
      <c r="Q18" s="34">
        <v>737.97196248026751</v>
      </c>
      <c r="R18" s="33">
        <v>20938.203468020361</v>
      </c>
      <c r="S18" s="34">
        <v>673.04818846653302</v>
      </c>
      <c r="T18" s="33">
        <v>19668.831606332351</v>
      </c>
      <c r="U18" s="34">
        <v>609.28041135320007</v>
      </c>
      <c r="V18" s="33">
        <v>18320.823779867173</v>
      </c>
      <c r="W18" s="34">
        <v>545.88300936875874</v>
      </c>
      <c r="X18" s="33">
        <v>16936.894129862954</v>
      </c>
      <c r="Y18" s="34">
        <v>480.88291880834799</v>
      </c>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row>
    <row r="19" spans="1:49" x14ac:dyDescent="0.2">
      <c r="A19" t="s">
        <v>3</v>
      </c>
      <c r="B19" s="41">
        <v>1886.3937399999918</v>
      </c>
      <c r="C19" s="42">
        <v>262.78711299999759</v>
      </c>
      <c r="D19" s="41">
        <v>1842.317768161633</v>
      </c>
      <c r="E19" s="42">
        <v>260.61901496336043</v>
      </c>
      <c r="F19" s="41">
        <v>1794.213354257701</v>
      </c>
      <c r="G19" s="42">
        <v>257.62770786170591</v>
      </c>
      <c r="H19" s="41">
        <v>1741.6640432739207</v>
      </c>
      <c r="I19" s="42">
        <v>253.69435410423827</v>
      </c>
      <c r="J19" s="41">
        <v>1684.2375882911274</v>
      </c>
      <c r="K19" s="42">
        <v>248.69959388405147</v>
      </c>
      <c r="L19" s="41">
        <v>1621.5067334991957</v>
      </c>
      <c r="M19" s="42">
        <v>242.53345578788202</v>
      </c>
      <c r="N19" s="41">
        <v>1553.075659902566</v>
      </c>
      <c r="O19" s="42">
        <v>235.11240267914195</v>
      </c>
      <c r="P19" s="41">
        <v>1478.629272960975</v>
      </c>
      <c r="Q19" s="42">
        <v>226.40748710316447</v>
      </c>
      <c r="R19" s="41">
        <v>1398.0081460627753</v>
      </c>
      <c r="S19" s="42">
        <v>216.49462745577569</v>
      </c>
      <c r="T19" s="41">
        <v>1311.3433585862317</v>
      </c>
      <c r="U19" s="42">
        <v>205.65499938481091</v>
      </c>
      <c r="V19" s="41">
        <v>1219.3512556942028</v>
      </c>
      <c r="W19" s="42">
        <v>194.62152505802797</v>
      </c>
      <c r="X19" s="41">
        <v>1124.176764926917</v>
      </c>
      <c r="Y19" s="42">
        <v>185.3792368260151</v>
      </c>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row>
    <row r="20" spans="1:49" x14ac:dyDescent="0.2">
      <c r="A20" t="s">
        <v>127</v>
      </c>
      <c r="B20" s="82">
        <v>26548.356269999993</v>
      </c>
      <c r="C20" s="83">
        <v>1408.5418709999938</v>
      </c>
      <c r="D20" s="82">
        <v>25973.673312712486</v>
      </c>
      <c r="E20" s="83">
        <v>1338.1147774499941</v>
      </c>
      <c r="F20" s="82">
        <v>25338.149503652625</v>
      </c>
      <c r="G20" s="83">
        <v>1267.6876838999945</v>
      </c>
      <c r="H20" s="82">
        <v>24635.555845595729</v>
      </c>
      <c r="I20" s="83">
        <v>1197.2605903499943</v>
      </c>
      <c r="J20" s="82">
        <v>23859.454119581602</v>
      </c>
      <c r="K20" s="83">
        <v>1126.8334967999951</v>
      </c>
      <c r="L20" s="82">
        <v>23003.532289760882</v>
      </c>
      <c r="M20" s="83">
        <v>1056.4064032499953</v>
      </c>
      <c r="N20" s="82">
        <v>22062.046054834198</v>
      </c>
      <c r="O20" s="83">
        <v>985.97930969999561</v>
      </c>
      <c r="P20" s="82">
        <v>21030.630589886518</v>
      </c>
      <c r="Q20" s="83">
        <v>915.55221614999596</v>
      </c>
      <c r="R20" s="82">
        <v>19907.567001179912</v>
      </c>
      <c r="S20" s="83">
        <v>845.12512259999642</v>
      </c>
      <c r="T20" s="82">
        <v>18696.108982734135</v>
      </c>
      <c r="U20" s="83">
        <v>774.69802904999653</v>
      </c>
      <c r="V20" s="82">
        <v>17409.691343928163</v>
      </c>
      <c r="W20" s="83">
        <v>704.27093549999688</v>
      </c>
      <c r="X20" s="82">
        <v>16087.221007608438</v>
      </c>
      <c r="Y20" s="83">
        <v>633.84384194999711</v>
      </c>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row>
    <row r="21" spans="1:49" x14ac:dyDescent="0.2">
      <c r="A21" t="s">
        <v>76</v>
      </c>
      <c r="B21" s="82">
        <v>24661.962529999968</v>
      </c>
      <c r="C21" s="83">
        <v>1145.7547579999991</v>
      </c>
      <c r="D21" s="82">
        <v>24131.357078441164</v>
      </c>
      <c r="E21" s="83">
        <v>1077.568651906015</v>
      </c>
      <c r="F21" s="82">
        <v>23543.941885104981</v>
      </c>
      <c r="G21" s="83">
        <v>1010.3404451011554</v>
      </c>
      <c r="H21" s="82">
        <v>22893.903780657558</v>
      </c>
      <c r="I21" s="83">
        <v>944.16866032456574</v>
      </c>
      <c r="J21" s="82">
        <v>22175.236140793368</v>
      </c>
      <c r="K21" s="83">
        <v>879.14760040562032</v>
      </c>
      <c r="L21" s="82">
        <v>21382.053534188228</v>
      </c>
      <c r="M21" s="83">
        <v>815.35831089675264</v>
      </c>
      <c r="N21" s="82">
        <v>20509.006874913139</v>
      </c>
      <c r="O21" s="83">
        <v>752.85366939983032</v>
      </c>
      <c r="P21" s="82">
        <v>19552.045957156442</v>
      </c>
      <c r="Q21" s="83">
        <v>691.63440147350229</v>
      </c>
      <c r="R21" s="82">
        <v>18509.611110136273</v>
      </c>
      <c r="S21" s="83">
        <v>631.60666927391753</v>
      </c>
      <c r="T21" s="82">
        <v>17384.825307983167</v>
      </c>
      <c r="U21" s="83">
        <v>572.49760182035311</v>
      </c>
      <c r="V21" s="82">
        <v>16190.408694867177</v>
      </c>
      <c r="W21" s="83">
        <v>513.6486333913499</v>
      </c>
      <c r="X21" s="82">
        <v>14963.129053666678</v>
      </c>
      <c r="Y21" s="83">
        <v>453.35519041308095</v>
      </c>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row>
    <row r="22" spans="1:49" x14ac:dyDescent="0.2">
      <c r="A22" t="s">
        <v>28</v>
      </c>
      <c r="B22" s="41">
        <v>6533.6044688320644</v>
      </c>
      <c r="C22" s="42">
        <v>379.90788307663382</v>
      </c>
      <c r="D22" s="41">
        <v>6394.4645388384715</v>
      </c>
      <c r="E22" s="42">
        <v>362.81731473380898</v>
      </c>
      <c r="F22" s="41">
        <v>6240.0319992068853</v>
      </c>
      <c r="G22" s="42">
        <v>345.49284243350286</v>
      </c>
      <c r="H22" s="41">
        <v>6068.771818750125</v>
      </c>
      <c r="I22" s="42">
        <v>327.93098797941059</v>
      </c>
      <c r="J22" s="41">
        <v>5879.1009937866647</v>
      </c>
      <c r="K22" s="42">
        <v>310.12952182770016</v>
      </c>
      <c r="L22" s="41">
        <v>5669.4714521767655</v>
      </c>
      <c r="M22" s="42">
        <v>292.08881354968003</v>
      </c>
      <c r="N22" s="41">
        <v>5438.4789391076993</v>
      </c>
      <c r="O22" s="42">
        <v>273.8128797703547</v>
      </c>
      <c r="P22" s="41">
        <v>5185.0624482027488</v>
      </c>
      <c r="Q22" s="42">
        <v>255.31202673580023</v>
      </c>
      <c r="R22" s="41">
        <v>4908.8143618404483</v>
      </c>
      <c r="S22" s="42">
        <v>236.6067664193435</v>
      </c>
      <c r="T22" s="41">
        <v>4610.5491589258445</v>
      </c>
      <c r="U22" s="42">
        <v>217.7360115411507</v>
      </c>
      <c r="V22" s="41">
        <v>4293.575278558862</v>
      </c>
      <c r="W22" s="42">
        <v>198.77769836269073</v>
      </c>
      <c r="X22" s="41">
        <v>3967.4234979884568</v>
      </c>
      <c r="Y22" s="42">
        <v>179.91441891768201</v>
      </c>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row>
    <row r="23" spans="1:49" x14ac:dyDescent="0.2">
      <c r="A23" t="s">
        <v>7</v>
      </c>
      <c r="B23" s="116">
        <v>3278.5018080150408</v>
      </c>
      <c r="C23" s="8">
        <v>0</v>
      </c>
      <c r="D23" s="116">
        <v>3211.4403825066752</v>
      </c>
      <c r="E23" s="8">
        <v>0</v>
      </c>
      <c r="F23" s="116">
        <v>3136.6120015814508</v>
      </c>
      <c r="G23" s="8">
        <v>0</v>
      </c>
      <c r="H23" s="116">
        <v>3053.2088422931884</v>
      </c>
      <c r="I23" s="8">
        <v>0</v>
      </c>
      <c r="J23" s="116">
        <v>2960.3939599432438</v>
      </c>
      <c r="K23" s="8">
        <v>0</v>
      </c>
      <c r="L23" s="116">
        <v>2857.3440664532982</v>
      </c>
      <c r="M23" s="8">
        <v>0</v>
      </c>
      <c r="N23" s="116">
        <v>2743.3058806864019</v>
      </c>
      <c r="O23" s="8">
        <v>0</v>
      </c>
      <c r="P23" s="116">
        <v>2617.7000752186764</v>
      </c>
      <c r="Q23" s="8">
        <v>0</v>
      </c>
      <c r="R23" s="116">
        <v>2480.2832818201828</v>
      </c>
      <c r="S23" s="8">
        <v>0</v>
      </c>
      <c r="T23" s="116">
        <v>2331.4451612097678</v>
      </c>
      <c r="U23" s="8">
        <v>0</v>
      </c>
      <c r="V23" s="116">
        <v>2172.8715408895951</v>
      </c>
      <c r="W23" s="8">
        <v>0</v>
      </c>
      <c r="X23" s="116">
        <v>2009.4846226159259</v>
      </c>
      <c r="Y23" s="8">
        <v>0</v>
      </c>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row>
    <row r="24" spans="1:49" x14ac:dyDescent="0.2">
      <c r="A24" t="s">
        <v>8</v>
      </c>
      <c r="B24" s="97">
        <v>3196.3846373657216</v>
      </c>
      <c r="C24" s="8">
        <v>0</v>
      </c>
      <c r="D24" s="97">
        <v>3131.0029133829412</v>
      </c>
      <c r="E24" s="8">
        <v>0</v>
      </c>
      <c r="F24" s="97">
        <v>3058.048768791497</v>
      </c>
      <c r="G24" s="8">
        <v>0</v>
      </c>
      <c r="H24" s="97">
        <v>2976.7346201699329</v>
      </c>
      <c r="I24" s="8">
        <v>0</v>
      </c>
      <c r="J24" s="97">
        <v>2886.244487338925</v>
      </c>
      <c r="K24" s="8">
        <v>0</v>
      </c>
      <c r="L24" s="97">
        <v>2785.7757007636096</v>
      </c>
      <c r="M24" s="8">
        <v>0</v>
      </c>
      <c r="N24" s="97">
        <v>2674.5938496796966</v>
      </c>
      <c r="O24" s="8">
        <v>0</v>
      </c>
      <c r="P24" s="97">
        <v>2552.1341148542601</v>
      </c>
      <c r="Q24" s="8">
        <v>0</v>
      </c>
      <c r="R24" s="97">
        <v>2418.1592200807436</v>
      </c>
      <c r="S24" s="8">
        <v>0</v>
      </c>
      <c r="T24" s="97">
        <v>2273.0490741286271</v>
      </c>
      <c r="U24" s="8">
        <v>0</v>
      </c>
      <c r="V24" s="97">
        <v>2118.4472752239803</v>
      </c>
      <c r="W24" s="8">
        <v>0</v>
      </c>
      <c r="X24" s="97">
        <v>1959.1527312153319</v>
      </c>
      <c r="Y24" s="8">
        <v>0</v>
      </c>
      <c r="Z24" s="97"/>
      <c r="AA24" s="8"/>
      <c r="AB24" s="97"/>
      <c r="AC24" s="8"/>
      <c r="AD24" s="97"/>
      <c r="AE24" s="8"/>
      <c r="AF24" s="97"/>
      <c r="AG24" s="8"/>
      <c r="AH24" s="97"/>
      <c r="AI24" s="8"/>
      <c r="AJ24" s="97"/>
      <c r="AK24" s="8"/>
      <c r="AL24" s="97"/>
      <c r="AM24" s="8"/>
      <c r="AN24" s="97"/>
      <c r="AO24" s="8"/>
      <c r="AP24" s="97"/>
      <c r="AQ24" s="8"/>
      <c r="AR24" s="97"/>
      <c r="AS24" s="8"/>
      <c r="AT24" s="97"/>
      <c r="AU24" s="8"/>
      <c r="AV24" s="97"/>
      <c r="AW24" s="8"/>
    </row>
    <row r="25" spans="1:49" x14ac:dyDescent="0.2">
      <c r="A25" t="s">
        <v>0</v>
      </c>
      <c r="B25" s="41">
        <v>3195.0476040000012</v>
      </c>
      <c r="C25" s="42">
        <v>91.012690000004397</v>
      </c>
      <c r="D25" s="41">
        <v>3132.2279766832939</v>
      </c>
      <c r="E25" s="42">
        <v>83.354874787416705</v>
      </c>
      <c r="F25" s="41">
        <v>3061.5311465009831</v>
      </c>
      <c r="G25" s="42">
        <v>76.115293842818133</v>
      </c>
      <c r="H25" s="41">
        <v>2982.1517078966954</v>
      </c>
      <c r="I25" s="42">
        <v>69.292372206954226</v>
      </c>
      <c r="J25" s="41">
        <v>2893.2606705861576</v>
      </c>
      <c r="K25" s="42">
        <v>62.881314610851149</v>
      </c>
      <c r="L25" s="41">
        <v>2794.0519785270671</v>
      </c>
      <c r="M25" s="42">
        <v>56.872636020285782</v>
      </c>
      <c r="N25" s="41">
        <v>2683.8056357534765</v>
      </c>
      <c r="O25" s="42">
        <v>51.250081150672393</v>
      </c>
      <c r="P25" s="41">
        <v>2562.002396374296</v>
      </c>
      <c r="Q25" s="42">
        <v>45.987094516970373</v>
      </c>
      <c r="R25" s="41">
        <v>2428.5066612421297</v>
      </c>
      <c r="S25" s="42">
        <v>41.040531437693751</v>
      </c>
      <c r="T25" s="41">
        <v>2283.9082519868648</v>
      </c>
      <c r="U25" s="42">
        <v>36.33769281656717</v>
      </c>
      <c r="V25" s="41">
        <v>2130.3021545828983</v>
      </c>
      <c r="W25" s="42">
        <v>31.744627714109047</v>
      </c>
      <c r="X25" s="41">
        <v>1973.6250600310577</v>
      </c>
      <c r="Y25" s="42">
        <v>26.970800237153998</v>
      </c>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row>
    <row r="26" spans="1:49" x14ac:dyDescent="0.2">
      <c r="A26" t="s">
        <v>27</v>
      </c>
      <c r="B26" s="33">
        <v>5036.2953101960647</v>
      </c>
      <c r="C26" s="34">
        <v>74.905331803938267</v>
      </c>
      <c r="D26" s="33">
        <v>4840.5900811808724</v>
      </c>
      <c r="E26" s="34">
        <v>69.326010492046692</v>
      </c>
      <c r="F26" s="33">
        <v>4637.6725659046169</v>
      </c>
      <c r="G26" s="34">
        <v>63.968228726626172</v>
      </c>
      <c r="H26" s="33">
        <v>4427.3672594941854</v>
      </c>
      <c r="I26" s="34">
        <v>58.835625929977667</v>
      </c>
      <c r="J26" s="33">
        <v>4209.5785485590641</v>
      </c>
      <c r="K26" s="34">
        <v>53.930757600312603</v>
      </c>
      <c r="L26" s="33">
        <v>3984.3333986132338</v>
      </c>
      <c r="M26" s="34">
        <v>49.254003436786675</v>
      </c>
      <c r="N26" s="33">
        <v>3751.8383367075071</v>
      </c>
      <c r="O26" s="34">
        <v>44.802703281434312</v>
      </c>
      <c r="P26" s="33">
        <v>3512.5705279049675</v>
      </c>
      <c r="Q26" s="34">
        <v>40.569037807246112</v>
      </c>
      <c r="R26" s="33">
        <v>3267.4341485093255</v>
      </c>
      <c r="S26" s="34">
        <v>36.536890040796798</v>
      </c>
      <c r="T26" s="33">
        <v>3018.0790855680311</v>
      </c>
      <c r="U26" s="34">
        <v>32.67539994592908</v>
      </c>
      <c r="V26" s="33">
        <v>2767.6995224215038</v>
      </c>
      <c r="W26" s="34">
        <v>28.923353380608038</v>
      </c>
      <c r="X26" s="33">
        <v>2523.6296359355742</v>
      </c>
      <c r="Y26" s="34">
        <v>25.141251563087508</v>
      </c>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row>
    <row r="27" spans="1:49" x14ac:dyDescent="0.2">
      <c r="A27" t="s">
        <v>2</v>
      </c>
      <c r="B27" s="35">
        <v>6425.1981590000069</v>
      </c>
      <c r="C27" s="36">
        <v>273.22915400000028</v>
      </c>
      <c r="D27" s="35">
        <v>6438.5859852679077</v>
      </c>
      <c r="E27" s="36">
        <v>259.83900017852199</v>
      </c>
      <c r="F27" s="35">
        <v>6451.6043749522469</v>
      </c>
      <c r="G27" s="36">
        <v>246.82009554160791</v>
      </c>
      <c r="H27" s="35">
        <v>6464.2123845866545</v>
      </c>
      <c r="I27" s="36">
        <v>234.21573099223122</v>
      </c>
      <c r="J27" s="35">
        <v>6476.3521817644705</v>
      </c>
      <c r="K27" s="36">
        <v>222.07641306669981</v>
      </c>
      <c r="L27" s="35">
        <v>6487.9690669252223</v>
      </c>
      <c r="M27" s="36">
        <v>210.46238836536702</v>
      </c>
      <c r="N27" s="35">
        <v>6498.9813783065247</v>
      </c>
      <c r="O27" s="36">
        <v>199.44702477515182</v>
      </c>
      <c r="P27" s="35">
        <v>6509.2995997976986</v>
      </c>
      <c r="Q27" s="36">
        <v>189.12538404474262</v>
      </c>
      <c r="R27" s="35">
        <v>6518.7977284622712</v>
      </c>
      <c r="S27" s="36">
        <v>179.63178273299212</v>
      </c>
      <c r="T27" s="35">
        <v>6527.2429456725658</v>
      </c>
      <c r="U27" s="36">
        <v>171.18258591202738</v>
      </c>
      <c r="V27" s="35">
        <v>6534.2290226186269</v>
      </c>
      <c r="W27" s="36">
        <v>164.19425505687624</v>
      </c>
      <c r="X27" s="35">
        <v>6538.7723633776523</v>
      </c>
      <c r="Y27" s="36">
        <v>159.65122352306599</v>
      </c>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row>
    <row r="28" spans="1:49" x14ac:dyDescent="0.2">
      <c r="A28" t="s">
        <v>35</v>
      </c>
      <c r="B28" s="41">
        <v>13763.097676000007</v>
      </c>
      <c r="C28" s="42">
        <v>382.36647900000003</v>
      </c>
      <c r="D28" s="41">
        <v>13481.621362625279</v>
      </c>
      <c r="E28" s="42">
        <v>360.66315750563382</v>
      </c>
      <c r="F28" s="41">
        <v>13167.873707942856</v>
      </c>
      <c r="G28" s="42">
        <v>339.26707500261875</v>
      </c>
      <c r="H28" s="41">
        <v>12818.420823673452</v>
      </c>
      <c r="I28" s="42">
        <v>318.19362966053092</v>
      </c>
      <c r="J28" s="41">
        <v>12429.696791772754</v>
      </c>
      <c r="K28" s="42">
        <v>297.45451599028439</v>
      </c>
      <c r="L28" s="41">
        <v>11998.185669880157</v>
      </c>
      <c r="M28" s="42">
        <v>277.05349262320402</v>
      </c>
      <c r="N28" s="41">
        <v>11520.665722766847</v>
      </c>
      <c r="O28" s="42">
        <v>256.98026449999514</v>
      </c>
      <c r="P28" s="41">
        <v>10994.659094541621</v>
      </c>
      <c r="Q28" s="42">
        <v>237.19934123997774</v>
      </c>
      <c r="R28" s="41">
        <v>10419.139539121015</v>
      </c>
      <c r="S28" s="42">
        <v>217.62995551174498</v>
      </c>
      <c r="T28" s="41">
        <v>9795.8368414048091</v>
      </c>
      <c r="U28" s="42">
        <v>198.10430438731547</v>
      </c>
      <c r="V28" s="41">
        <v>9132.16182223742</v>
      </c>
      <c r="W28" s="42">
        <v>178.26471213116807</v>
      </c>
      <c r="X28" s="41">
        <v>8449.8103490947924</v>
      </c>
      <c r="Y28" s="42">
        <v>157.24263190211599</v>
      </c>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row>
    <row r="29" spans="1:49" x14ac:dyDescent="0.2">
      <c r="A29" t="s">
        <v>53</v>
      </c>
      <c r="B29" s="35">
        <v>14362.768558000003</v>
      </c>
      <c r="C29" s="36">
        <v>817.26651000000004</v>
      </c>
      <c r="D29" s="35">
        <v>14056.616700878329</v>
      </c>
      <c r="E29" s="36">
        <v>766.30095826899458</v>
      </c>
      <c r="F29" s="35">
        <v>13717.130635328102</v>
      </c>
      <c r="G29" s="36">
        <v>716.38576591521496</v>
      </c>
      <c r="H29" s="35">
        <v>13340.899311557643</v>
      </c>
      <c r="I29" s="36">
        <v>667.57802819421727</v>
      </c>
      <c r="J29" s="35">
        <v>12924.399704106376</v>
      </c>
      <c r="K29" s="36">
        <v>619.92934046630353</v>
      </c>
      <c r="L29" s="35">
        <v>12464.182863489228</v>
      </c>
      <c r="M29" s="36">
        <v>573.47779089052551</v>
      </c>
      <c r="N29" s="35">
        <v>11957.120237372628</v>
      </c>
      <c r="O29" s="36">
        <v>528.23745709518107</v>
      </c>
      <c r="P29" s="35">
        <v>11400.855480675951</v>
      </c>
      <c r="Q29" s="36">
        <v>484.17918688265274</v>
      </c>
      <c r="R29" s="35">
        <v>10794.512313366302</v>
      </c>
      <c r="S29" s="36">
        <v>441.19783189197557</v>
      </c>
      <c r="T29" s="35">
        <v>10139.999268302819</v>
      </c>
      <c r="U29" s="36">
        <v>399.04575907480273</v>
      </c>
      <c r="V29" s="35">
        <v>9444.9413404870684</v>
      </c>
      <c r="W29" s="36">
        <v>357.17037098007876</v>
      </c>
      <c r="X29" s="35">
        <v>8731.3216337577305</v>
      </c>
      <c r="Y29" s="36">
        <v>314.20144179002534</v>
      </c>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row>
    <row r="30" spans="1:49" x14ac:dyDescent="0.2">
      <c r="A30" t="s">
        <v>48</v>
      </c>
      <c r="B30" s="119">
        <v>2924829.9599999995</v>
      </c>
      <c r="D30" s="119">
        <v>2861290.8116907417</v>
      </c>
      <c r="F30" s="119">
        <v>2791106.1580327963</v>
      </c>
      <c r="H30" s="119">
        <v>2713590.2631875398</v>
      </c>
      <c r="J30" s="119">
        <v>2628033.0829753135</v>
      </c>
      <c r="L30" s="119">
        <v>2533734.0769213876</v>
      </c>
      <c r="N30" s="119">
        <v>2430050.1177300094</v>
      </c>
      <c r="P30" s="119">
        <v>2316478.9920521202</v>
      </c>
      <c r="R30" s="119">
        <v>2192791.9332304136</v>
      </c>
      <c r="T30" s="119">
        <v>2059273.6716825501</v>
      </c>
      <c r="V30" s="119">
        <v>1917250.2959431405</v>
      </c>
      <c r="X30" s="119">
        <v>1770625.5761064303</v>
      </c>
      <c r="Z30" s="119"/>
      <c r="AB30" s="119"/>
      <c r="AD30" s="119"/>
      <c r="AF30" s="119"/>
      <c r="AH30" s="119"/>
      <c r="AJ30" s="119"/>
      <c r="AL30" s="119"/>
      <c r="AN30" s="119"/>
      <c r="AP30" s="119"/>
      <c r="AR30" s="119"/>
      <c r="AT30" s="119"/>
      <c r="AV30" s="119"/>
    </row>
    <row r="31" spans="1:49" x14ac:dyDescent="0.2">
      <c r="A31" t="s">
        <v>47</v>
      </c>
      <c r="B31" s="80">
        <v>1</v>
      </c>
      <c r="D31" s="80">
        <v>0.97738974502732823</v>
      </c>
      <c r="F31" s="80">
        <v>0.95248623605545135</v>
      </c>
      <c r="H31" s="80">
        <v>0.92507226763515416</v>
      </c>
      <c r="J31" s="80">
        <v>0.89492553739385217</v>
      </c>
      <c r="L31" s="80">
        <v>0.86183086119569285</v>
      </c>
      <c r="N31" s="80">
        <v>0.82559591787403452</v>
      </c>
      <c r="P31" s="80">
        <v>0.78608000411273626</v>
      </c>
      <c r="R31" s="80">
        <v>0.74323849191588209</v>
      </c>
      <c r="T31" s="80">
        <v>0.6972044274990119</v>
      </c>
      <c r="V31" s="80">
        <v>0.64847162578220041</v>
      </c>
      <c r="X31" s="80">
        <v>0.59843304916264728</v>
      </c>
      <c r="Z31" s="80"/>
      <c r="AB31" s="80"/>
      <c r="AD31" s="80"/>
      <c r="AF31" s="80"/>
      <c r="AH31" s="80"/>
      <c r="AJ31" s="80"/>
      <c r="AL31" s="80"/>
      <c r="AN31" s="80"/>
      <c r="AP31" s="80"/>
      <c r="AR31" s="80"/>
      <c r="AT31" s="80"/>
      <c r="AV31" s="80"/>
    </row>
    <row r="32" spans="1:49" x14ac:dyDescent="0.2">
      <c r="A32" t="s">
        <v>64</v>
      </c>
      <c r="B32" s="86">
        <v>14734457.915000005</v>
      </c>
      <c r="D32" s="86">
        <v>14420384.086061515</v>
      </c>
      <c r="F32" s="86">
        <v>14072516.790422644</v>
      </c>
      <c r="H32" s="86">
        <v>13687335.164483411</v>
      </c>
      <c r="J32" s="86">
        <v>13261184.460658513</v>
      </c>
      <c r="L32" s="86">
        <v>12790456.152683973</v>
      </c>
      <c r="N32" s="86">
        <v>12271821.459421864</v>
      </c>
      <c r="P32" s="86">
        <v>11702664.871918956</v>
      </c>
      <c r="R32" s="86">
        <v>11081751.937469414</v>
      </c>
      <c r="T32" s="86">
        <v>10410442.2704763</v>
      </c>
      <c r="V32" s="86">
        <v>9695368.2999061719</v>
      </c>
      <c r="X32" s="86">
        <v>8956180.876060212</v>
      </c>
      <c r="Z32" s="86"/>
      <c r="AB32" s="86"/>
      <c r="AD32" s="86"/>
      <c r="AF32" s="86"/>
      <c r="AH32" s="86"/>
      <c r="AJ32" s="86"/>
      <c r="AL32" s="86"/>
      <c r="AN32" s="86"/>
      <c r="AP32" s="86"/>
      <c r="AR32" s="86"/>
      <c r="AT32" s="86"/>
      <c r="AV32" s="86"/>
    </row>
    <row r="33" spans="1:49 16319:16321" x14ac:dyDescent="0.2">
      <c r="A33" t="s">
        <v>54</v>
      </c>
      <c r="B33" s="117">
        <v>7019665.6909999885</v>
      </c>
      <c r="D33" s="117">
        <v>6870037.3972965507</v>
      </c>
      <c r="F33" s="117">
        <v>6704309.3972100476</v>
      </c>
      <c r="H33" s="117">
        <v>6520804.330332486</v>
      </c>
      <c r="J33" s="117">
        <v>6317781.217591865</v>
      </c>
      <c r="L33" s="117">
        <v>6093520.805618315</v>
      </c>
      <c r="N33" s="117">
        <v>5846437.2752796961</v>
      </c>
      <c r="P33" s="117">
        <v>5575284.5225631427</v>
      </c>
      <c r="R33" s="117">
        <v>5279474.4315258106</v>
      </c>
      <c r="T33" s="117">
        <v>4959654.7675716849</v>
      </c>
      <c r="V33" s="117">
        <v>4618985.2768898932</v>
      </c>
      <c r="X33" s="117">
        <v>4266827.8805823904</v>
      </c>
      <c r="Z33" s="117"/>
      <c r="AB33" s="117"/>
      <c r="AD33" s="117"/>
      <c r="AF33" s="117"/>
      <c r="AH33" s="117"/>
      <c r="AJ33" s="117"/>
      <c r="AL33" s="117"/>
      <c r="AN33" s="117"/>
      <c r="AP33" s="117"/>
      <c r="AR33" s="117"/>
      <c r="AT33" s="117"/>
      <c r="AV33" s="117"/>
    </row>
    <row r="34" spans="1:49 16319:16321" x14ac:dyDescent="0.2">
      <c r="A34" t="s">
        <v>75</v>
      </c>
      <c r="B34" s="117">
        <v>1136879.4410000162</v>
      </c>
      <c r="D34" s="117">
        <v>1112646.0683457172</v>
      </c>
      <c r="F34" s="117">
        <v>1085805.3782243945</v>
      </c>
      <c r="H34" s="117">
        <v>1056085.6827254908</v>
      </c>
      <c r="J34" s="117">
        <v>1023204.8030218298</v>
      </c>
      <c r="L34" s="117">
        <v>986884.42526027537</v>
      </c>
      <c r="N34" s="117">
        <v>946867.65432244085</v>
      </c>
      <c r="P34" s="117">
        <v>902952.73082712677</v>
      </c>
      <c r="R34" s="117">
        <v>855044.41916127247</v>
      </c>
      <c r="T34" s="117">
        <v>803247.58683238947</v>
      </c>
      <c r="V34" s="117">
        <v>748074.00154477637</v>
      </c>
      <c r="X34" s="117">
        <v>691039.85851527983</v>
      </c>
      <c r="Z34" s="117"/>
      <c r="AB34" s="117"/>
      <c r="AD34" s="117"/>
      <c r="AF34" s="117"/>
      <c r="AH34" s="117"/>
      <c r="AJ34" s="117"/>
      <c r="AL34" s="117"/>
      <c r="AN34" s="117"/>
      <c r="AP34" s="117"/>
      <c r="AR34" s="117"/>
      <c r="AT34" s="117"/>
      <c r="AV34" s="117"/>
    </row>
    <row r="35" spans="1:49 16319:16321" x14ac:dyDescent="0.2">
      <c r="A35" t="s">
        <v>78</v>
      </c>
      <c r="B35" s="233">
        <v>1</v>
      </c>
      <c r="D35" s="233">
        <v>1.0013248631914609</v>
      </c>
      <c r="F35" s="233">
        <v>1.0027202017438104</v>
      </c>
      <c r="H35" s="233">
        <v>1.0041809101723425</v>
      </c>
      <c r="J35" s="233">
        <v>1.0056990699232338</v>
      </c>
      <c r="L35" s="233">
        <v>1.007263149057182</v>
      </c>
      <c r="N35" s="233">
        <v>1.0088569157324541</v>
      </c>
      <c r="P35" s="233">
        <v>1.010458027167938</v>
      </c>
      <c r="R35" s="233">
        <v>1.0120355874705551</v>
      </c>
      <c r="T35" s="233">
        <v>1.0135449826994163</v>
      </c>
      <c r="V35" s="233">
        <v>1.0149139541800201</v>
      </c>
      <c r="X35" s="233">
        <v>1.0159928179525453</v>
      </c>
      <c r="Z35" s="233"/>
      <c r="AB35" s="233"/>
      <c r="AD35" s="233"/>
      <c r="AF35" s="233"/>
      <c r="AH35" s="233"/>
      <c r="AJ35" s="233"/>
      <c r="AL35" s="233"/>
      <c r="AN35" s="233"/>
      <c r="AP35" s="233"/>
      <c r="AR35" s="233"/>
      <c r="AT35" s="233"/>
      <c r="AV35" s="233"/>
    </row>
    <row r="36" spans="1:49 16319:16321" x14ac:dyDescent="0.2">
      <c r="A36" t="s">
        <v>21</v>
      </c>
      <c r="B36" s="37">
        <v>0.4719576767198812</v>
      </c>
      <c r="C36" s="38">
        <v>0.31738834428178975</v>
      </c>
      <c r="D36" s="37">
        <v>0.47196452555593615</v>
      </c>
      <c r="E36" s="38">
        <v>0.31812171330490074</v>
      </c>
      <c r="F36" s="37">
        <v>0.47197114236232013</v>
      </c>
      <c r="G36" s="38">
        <v>0.31885414548883312</v>
      </c>
      <c r="H36" s="37">
        <v>0.47197749113823306</v>
      </c>
      <c r="I36" s="38">
        <v>0.31958105519184682</v>
      </c>
      <c r="J36" s="37">
        <v>0.47198353586591885</v>
      </c>
      <c r="K36" s="38">
        <v>0.32029732915718057</v>
      </c>
      <c r="L36" s="37">
        <v>0.47198924590599378</v>
      </c>
      <c r="M36" s="38">
        <v>0.32099778925993866</v>
      </c>
      <c r="N36" s="37">
        <v>0.47199460799344761</v>
      </c>
      <c r="O36" s="38">
        <v>0.32167827604884486</v>
      </c>
      <c r="P36" s="37">
        <v>0.4719996494827482</v>
      </c>
      <c r="Q36" s="38">
        <v>0.32233796147380867</v>
      </c>
      <c r="R36" s="37">
        <v>0.47200448930797823</v>
      </c>
      <c r="S36" s="38">
        <v>0.32298445711971002</v>
      </c>
      <c r="T36" s="37">
        <v>0.47200945680365602</v>
      </c>
      <c r="U36" s="38">
        <v>0.32364582697306571</v>
      </c>
      <c r="V36" s="37">
        <v>0.47201541271890279</v>
      </c>
      <c r="W36" s="38">
        <v>0.32440290964129082</v>
      </c>
      <c r="X36" s="37">
        <v>0.47202483011183427</v>
      </c>
      <c r="Y36" s="38">
        <v>0.32549627451840429</v>
      </c>
      <c r="Z36" s="37"/>
      <c r="AA36" s="38"/>
      <c r="AB36" s="37"/>
      <c r="AC36" s="38"/>
      <c r="AD36" s="37"/>
      <c r="AE36" s="38"/>
      <c r="AF36" s="37"/>
      <c r="AG36" s="38"/>
      <c r="AH36" s="37"/>
      <c r="AI36" s="38"/>
      <c r="AJ36" s="37"/>
      <c r="AK36" s="38"/>
      <c r="AL36" s="37"/>
      <c r="AM36" s="38"/>
      <c r="AN36" s="37"/>
      <c r="AO36" s="38"/>
      <c r="AP36" s="37"/>
      <c r="AQ36" s="38"/>
      <c r="AR36" s="37"/>
      <c r="AS36" s="38"/>
      <c r="AT36" s="37"/>
      <c r="AU36" s="38"/>
      <c r="AV36" s="37"/>
      <c r="AW36" s="38"/>
    </row>
    <row r="37" spans="1:49 16319:16321" x14ac:dyDescent="0.2">
      <c r="B37" s="39">
        <v>2.1403217525954435E-2</v>
      </c>
      <c r="C37" s="40">
        <v>0.34962461301992531</v>
      </c>
      <c r="D37" s="39">
        <v>2.0978185485437683E-2</v>
      </c>
      <c r="E37" s="40">
        <v>0.34744055166548876</v>
      </c>
      <c r="F37" s="39">
        <v>2.0561965809840464E-2</v>
      </c>
      <c r="G37" s="40">
        <v>0.34526612350344121</v>
      </c>
      <c r="H37" s="39">
        <v>2.0156303501624864E-2</v>
      </c>
      <c r="I37" s="40">
        <v>0.34310990308638928</v>
      </c>
      <c r="J37" s="39">
        <v>1.9763138769030516E-2</v>
      </c>
      <c r="K37" s="40">
        <v>0.34098242697927539</v>
      </c>
      <c r="L37" s="39">
        <v>1.938455416861817E-2</v>
      </c>
      <c r="M37" s="40">
        <v>0.33889666617124986</v>
      </c>
      <c r="N37" s="39">
        <v>1.9022668771965626E-2</v>
      </c>
      <c r="O37" s="40">
        <v>0.3368689668979053</v>
      </c>
      <c r="P37" s="39">
        <v>1.8679385845772487E-2</v>
      </c>
      <c r="Q37" s="40">
        <v>0.3349205295281556</v>
      </c>
      <c r="R37" s="39">
        <v>1.8355873182552825E-2</v>
      </c>
      <c r="S37" s="40">
        <v>0.33308070438480303</v>
      </c>
      <c r="T37" s="39">
        <v>1.8051383500084915E-2</v>
      </c>
      <c r="U37" s="40">
        <v>0.33139484179056244</v>
      </c>
      <c r="V37" s="39">
        <v>1.7760186775750718E-2</v>
      </c>
      <c r="W37" s="40">
        <v>0.32994609998395263</v>
      </c>
      <c r="X37" s="39">
        <v>1.7461982548973826E-2</v>
      </c>
      <c r="Y37" s="40">
        <v>0.32893174833696448</v>
      </c>
      <c r="Z37" s="39"/>
      <c r="AA37" s="40"/>
      <c r="AB37" s="39"/>
      <c r="AC37" s="40"/>
      <c r="AD37" s="39"/>
      <c r="AE37" s="40"/>
      <c r="AF37" s="39"/>
      <c r="AG37" s="40"/>
      <c r="AH37" s="39"/>
      <c r="AI37" s="40"/>
      <c r="AJ37" s="39"/>
      <c r="AK37" s="40"/>
      <c r="AL37" s="39"/>
      <c r="AM37" s="40"/>
      <c r="AN37" s="39"/>
      <c r="AO37" s="40"/>
      <c r="AP37" s="39"/>
      <c r="AQ37" s="40"/>
      <c r="AR37" s="39"/>
      <c r="AS37" s="40"/>
      <c r="AT37" s="39"/>
      <c r="AU37" s="40"/>
      <c r="AV37" s="39"/>
      <c r="AW37" s="40"/>
    </row>
    <row r="38" spans="1:49 16319:16321" x14ac:dyDescent="0.2">
      <c r="A38" t="s">
        <v>22</v>
      </c>
      <c r="B38" s="37">
        <v>0.18079094942242827</v>
      </c>
      <c r="C38" s="38">
        <v>6.0565413429233668E-2</v>
      </c>
      <c r="D38" s="37">
        <v>0.177547803373724</v>
      </c>
      <c r="E38" s="38">
        <v>5.9715536813432404E-2</v>
      </c>
      <c r="F38" s="37">
        <v>0.17431266636291459</v>
      </c>
      <c r="G38" s="38">
        <v>5.8875168937041845E-2</v>
      </c>
      <c r="H38" s="37">
        <v>0.17109887290185047</v>
      </c>
      <c r="I38" s="38">
        <v>5.8048300772188817E-2</v>
      </c>
      <c r="J38" s="37">
        <v>0.16792284029434301</v>
      </c>
      <c r="K38" s="38">
        <v>5.7239620224014555E-2</v>
      </c>
      <c r="L38" s="37">
        <v>0.16480428883681023</v>
      </c>
      <c r="M38" s="38">
        <v>5.6454176489201022E-2</v>
      </c>
      <c r="N38" s="37">
        <v>0.16176687017271549</v>
      </c>
      <c r="O38" s="38">
        <v>5.5697307996384171E-2</v>
      </c>
      <c r="P38" s="37">
        <v>0.15883834841396283</v>
      </c>
      <c r="Q38" s="38">
        <v>5.4973684462071792E-2</v>
      </c>
      <c r="R38" s="37">
        <v>0.15605131326093905</v>
      </c>
      <c r="S38" s="38">
        <v>5.4285697022737882E-2</v>
      </c>
      <c r="T38" s="37">
        <v>0.15344475696239959</v>
      </c>
      <c r="U38" s="38">
        <v>5.362949364046949E-2</v>
      </c>
      <c r="V38" s="37">
        <v>0.15106850847301637</v>
      </c>
      <c r="W38" s="38">
        <v>5.2984527607946724E-2</v>
      </c>
      <c r="X38" s="37">
        <v>0.14900191360858406</v>
      </c>
      <c r="Y38" s="38">
        <v>5.2281440200431302E-2</v>
      </c>
      <c r="Z38" s="37"/>
      <c r="AA38" s="38"/>
      <c r="AB38" s="37"/>
      <c r="AC38" s="38"/>
      <c r="AD38" s="37"/>
      <c r="AE38" s="38"/>
      <c r="AF38" s="37"/>
      <c r="AG38" s="38"/>
      <c r="AH38" s="37"/>
      <c r="AI38" s="38"/>
      <c r="AJ38" s="37"/>
      <c r="AK38" s="38"/>
      <c r="AL38" s="37"/>
      <c r="AM38" s="38"/>
      <c r="AN38" s="37"/>
      <c r="AO38" s="38"/>
      <c r="AP38" s="37"/>
      <c r="AQ38" s="38"/>
      <c r="AR38" s="37"/>
      <c r="AS38" s="38"/>
      <c r="AT38" s="37"/>
      <c r="AU38" s="38"/>
      <c r="AV38" s="37"/>
      <c r="AW38" s="38"/>
    </row>
    <row r="39" spans="1:49 16319:16321" x14ac:dyDescent="0.2">
      <c r="A39" t="s">
        <v>23</v>
      </c>
      <c r="B39" s="39">
        <v>0.23064923795098646</v>
      </c>
      <c r="C39" s="40">
        <v>0.22092201281804777</v>
      </c>
      <c r="D39" s="39">
        <v>0.23616062904427676</v>
      </c>
      <c r="E39" s="40">
        <v>0.22381823605017764</v>
      </c>
      <c r="F39" s="39">
        <v>0.24249153965383693</v>
      </c>
      <c r="G39" s="40">
        <v>0.22716862904194099</v>
      </c>
      <c r="H39" s="39">
        <v>0.24981425492298542</v>
      </c>
      <c r="I39" s="40">
        <v>0.23108150858114385</v>
      </c>
      <c r="J39" s="39">
        <v>0.25834592241558602</v>
      </c>
      <c r="K39" s="40">
        <v>0.23570166840333057</v>
      </c>
      <c r="L39" s="39">
        <v>0.2683623635617417</v>
      </c>
      <c r="M39" s="40">
        <v>0.24122873244945597</v>
      </c>
      <c r="N39" s="39">
        <v>0.28021459949204841</v>
      </c>
      <c r="O39" s="40">
        <v>0.24794625221794123</v>
      </c>
      <c r="P39" s="39">
        <v>0.2943503595300645</v>
      </c>
      <c r="Q39" s="40">
        <v>0.25627719433825996</v>
      </c>
      <c r="R39" s="39">
        <v>0.31133510276651266</v>
      </c>
      <c r="S39" s="40">
        <v>0.26689289981191922</v>
      </c>
      <c r="T39" s="39">
        <v>0.33185717770704437</v>
      </c>
      <c r="U39" s="40">
        <v>0.28095862384913073</v>
      </c>
      <c r="V39" s="39">
        <v>0.35665585244038633</v>
      </c>
      <c r="W39" s="40">
        <v>0.30078652795357214</v>
      </c>
      <c r="X39" s="39">
        <v>0.38606679083200723</v>
      </c>
      <c r="Y39" s="40">
        <v>0.3319960374527125</v>
      </c>
      <c r="Z39" s="39"/>
      <c r="AA39" s="40"/>
      <c r="AB39" s="39"/>
      <c r="AC39" s="40"/>
      <c r="AD39" s="39"/>
      <c r="AE39" s="40"/>
      <c r="AF39" s="39"/>
      <c r="AG39" s="40"/>
      <c r="AH39" s="39"/>
      <c r="AI39" s="40"/>
      <c r="AJ39" s="39"/>
      <c r="AK39" s="40"/>
      <c r="AL39" s="39"/>
      <c r="AM39" s="40"/>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0.14312791445054751</v>
      </c>
      <c r="E42" s="135"/>
      <c r="F42" s="177">
        <f>10.8%+(1-10.8%)*(1-SUM(F26:G26)/SUM($B$26:$C$26))</f>
        <v>0.17947584480463333</v>
      </c>
      <c r="G42" s="135"/>
      <c r="H42" s="177">
        <f>10.8%+(1-10.8%)*(1-SUM(H26:I26)/SUM($B$26:$C$26))</f>
        <v>0.21707378479423206</v>
      </c>
      <c r="I42" s="135"/>
      <c r="J42" s="177">
        <f>10.8%+(1-10.8%)*(1-SUM(J26:K26)/SUM($B$26:$C$26))</f>
        <v>0.25593797476006785</v>
      </c>
      <c r="K42" s="135"/>
      <c r="L42" s="177">
        <f>10.8%+(1-10.8%)*(1-SUM(L26:M26)/SUM($B$26:$C$26))</f>
        <v>0.29606364245158201</v>
      </c>
      <c r="M42" s="135"/>
      <c r="N42" s="177">
        <f>10.8%+(1-10.8%)*(1-SUM(N26:O26)/SUM($B$26:$C$26))</f>
        <v>0.33741520928731072</v>
      </c>
      <c r="O42" s="135"/>
      <c r="P42" s="177">
        <f>10.8%+(1-10.8%)*(1-SUM(P26:Q26)/SUM($B$26:$C$26))</f>
        <v>0.37991076566794413</v>
      </c>
      <c r="Q42" s="135"/>
      <c r="R42" s="177">
        <f>10.8%+(1-10.8%)*(1-SUM(R26:S26)/SUM($B$26:$C$26))</f>
        <v>0.42339532864953278</v>
      </c>
      <c r="S42" s="135"/>
      <c r="T42" s="177">
        <f>10.8%+(1-10.8%)*(1-SUM(T26:U26)/SUM($B$26:$C$26))</f>
        <v>0.46758634777177854</v>
      </c>
      <c r="U42" s="135"/>
      <c r="V42" s="177">
        <f>10.8%+(1-10.8%)*(1-SUM(V26:W26)/SUM($B$26:$C$26))</f>
        <v>0.51193706137911343</v>
      </c>
      <c r="W42" s="135"/>
      <c r="X42" s="177">
        <f>10.8%+(1-10.8%)*(1-SUM(X26:Y26)/SUM($B$26:$C$26))</f>
        <v>0.55519186373415608</v>
      </c>
      <c r="Y42" s="162"/>
      <c r="Z42" s="177">
        <f>10.8%+(1-10.8%)*(1-SUM(Z26:AA26)/SUM($B$26:$C$26))</f>
        <v>1</v>
      </c>
      <c r="AA42" s="135"/>
      <c r="AB42" s="177">
        <f>10.8%+(1-10.8%)*(1-SUM(AB26:AC26)/SUM($B$26:$C$26))</f>
        <v>1</v>
      </c>
      <c r="AC42" s="135"/>
      <c r="AD42" s="177">
        <f>10.8%+(1-10.8%)*(1-SUM(AD26:AE26)/SUM($B$26:$C$26))</f>
        <v>1</v>
      </c>
      <c r="AE42" s="135"/>
      <c r="AF42" s="177">
        <f>10.8%+(1-10.8%)*(1-SUM(AF26:AG26)/SUM($B$26:$C$26))</f>
        <v>1</v>
      </c>
      <c r="AG42" s="135"/>
      <c r="AH42" s="177">
        <f>10.8%+(1-10.8%)*(1-SUM(AH26:AI26)/SUM($B$26:$C$26))</f>
        <v>1</v>
      </c>
      <c r="AI42" s="135"/>
      <c r="AJ42" s="177">
        <f>10.8%+(1-10.8%)*(1-SUM(AJ26:AK26)/SUM($B$26:$C$26))</f>
        <v>1</v>
      </c>
      <c r="AK42" s="135"/>
      <c r="AL42" s="177">
        <f>10.8%+(1-10.8%)*(1-SUM(AL26:AM26)/SUM($B$26:$C$26))</f>
        <v>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0.56058995943839085</v>
      </c>
      <c r="C43" s="135"/>
      <c r="D43" s="162">
        <f t="array" ref="D43">SUM(D15:E15*D27:E27)/SUM(D15:E15*D27:E27,D13:E13*D26:E26)</f>
        <v>0.57467057453159953</v>
      </c>
      <c r="E43" s="135"/>
      <c r="F43" s="162">
        <f t="array" ref="F43">SUM(F15:G15*F27:G27)/SUM(F15:G15*F27:G27,F13:G13*F26:G26)</f>
        <v>0.58210617984837976</v>
      </c>
      <c r="G43" s="135"/>
      <c r="H43" s="162">
        <f t="array" ref="H43">SUM(H15:I15*H27:I27)/SUM(H15:I15*H27:I27,H13:I13*H26:I26)</f>
        <v>0.58947843764537433</v>
      </c>
      <c r="I43" s="135"/>
      <c r="J43" s="162">
        <f t="array" ref="J43">SUM(J15:K15*J27:K27)/SUM(J15:K15*J27:K27,J13:K13*J26:K26)</f>
        <v>0.59675108455096071</v>
      </c>
      <c r="K43" s="135"/>
      <c r="L43" s="162">
        <f t="array" ref="L43">SUM(L15:M15*L27:M27)/SUM(L15:M15*L27:M27,L13:M13*L26:M26)</f>
        <v>0.60388102836751467</v>
      </c>
      <c r="M43" s="135"/>
      <c r="N43" s="162">
        <f t="array" ref="N43">SUM(N15:O15*N27:O27)/SUM(N15:O15*N27:O27,N13:O13*N26:O26)</f>
        <v>0.61081526781839346</v>
      </c>
      <c r="O43" s="135"/>
      <c r="P43" s="162">
        <f t="array" ref="P43">SUM(P15:Q15*P27:Q27)/SUM(P15:Q15*P27:Q27,P13:Q13*P26:Q26)</f>
        <v>0.61749114322110266</v>
      </c>
      <c r="Q43" s="135"/>
      <c r="R43" s="162">
        <f t="array" ref="R43">SUM(R15:S15*R27:S27)/SUM(R15:S15*R27:S27,R13:S13*R26:S26)</f>
        <v>0.62383276086681805</v>
      </c>
      <c r="S43" s="135"/>
      <c r="T43" s="162">
        <f t="array" ref="T43">SUM(T15:U15*T27:U27)/SUM(T15:U15*T27:U27,T13:U13*T26:U26)</f>
        <v>0.62974314224161132</v>
      </c>
      <c r="U43" s="135"/>
      <c r="V43" s="162">
        <f t="array" ref="V43">SUM(V15:W15*V27:W27)/SUM(V15:W15*V27:W27,V13:W13*V26:W26)</f>
        <v>0.63508747234777452</v>
      </c>
      <c r="W43" s="135"/>
      <c r="X43" s="162">
        <f t="array" ref="X43">SUM(X15:Y15*X27:Y27)/SUM(X15:Y15*X27:Y27,X13:Y13*X26:Y26)</f>
        <v>0.63961952061332139</v>
      </c>
      <c r="Y43" s="135"/>
      <c r="Z43" s="162" t="e">
        <f t="array" ref="Z43">SUM(Z15:AA15*Z27:AA27)/SUM(Z15:AA15*Z27:AA27,Z13:AA13*Z26:AA26)</f>
        <v>#DIV/0!</v>
      </c>
      <c r="AA43" s="135"/>
      <c r="AB43" s="162" t="e">
        <f t="array" ref="AB43">SUM(AB15:AC15*AB27:AC27)/SUM(AB15:AC15*AB27:AC27,AB13:AC13*AB26:AC26)</f>
        <v>#DIV/0!</v>
      </c>
      <c r="AC43" s="135"/>
      <c r="AD43" s="162" t="e">
        <f t="array" ref="AD43">SUM(AD15:AE15*AD27:AE27)/SUM(AD15:AE15*AD27:AE27,AD13:AE13*AD26:AE26)</f>
        <v>#DIV/0!</v>
      </c>
      <c r="AE43" s="135"/>
      <c r="AF43" s="162" t="e">
        <f t="array" ref="AF43">SUM(AF15:AG15*AF27:AG27)/SUM(AF15:AG15*AF27:AG27,AF13:AG13*AF26:AG26)</f>
        <v>#DIV/0!</v>
      </c>
      <c r="AG43" s="135"/>
      <c r="AH43" s="162" t="e">
        <f t="array" ref="AH43">SUM(AH15:AI15*AH27:AI27)/SUM(AH15:AI15*AH27:AI27,AH13:AI13*AH26:AI26)</f>
        <v>#DIV/0!</v>
      </c>
      <c r="AI43" s="135"/>
      <c r="AJ43" s="162" t="e">
        <f t="array" ref="AJ43">SUM(AJ15:AK15*AJ27:AK27)/SUM(AJ15:AK15*AJ27:AK27,AJ13:AK13*AJ26:AK26)</f>
        <v>#DIV/0!</v>
      </c>
      <c r="AK43" s="135"/>
      <c r="AL43" s="162" t="e">
        <f t="array" ref="AL43">SUM(AL15:AM15*AL27:AM27)/SUM(AL15:AM15*AL27:AM27,AL13:AM13*AL26:AM26)</f>
        <v>#DIV/0!</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0.29754226190682465</v>
      </c>
      <c r="D44" s="193">
        <f>(SUM(D11:E11*D24:E24)+D34)/D32</f>
        <v>0.29754225491794034</v>
      </c>
      <c r="F44" s="193">
        <f>(SUM(F11:G11*F24:G24)+F34)/F32</f>
        <v>0.29754225533545536</v>
      </c>
      <c r="H44" s="193">
        <f>(SUM(H11:I11*H24:I24)+H34)/H32</f>
        <v>0.29754226229412056</v>
      </c>
      <c r="J44" s="193">
        <f>(SUM(J11:K11*J24:K24)+J34)/J32</f>
        <v>0.29754226248883092</v>
      </c>
      <c r="L44" s="193">
        <f>(SUM(L11:M11*L24:M24)+L34)/L32</f>
        <v>0.297542263831236</v>
      </c>
      <c r="N44" s="193">
        <f>(SUM(N11:O11*N24:O24)+N34)/N32</f>
        <v>0.29754226234640918</v>
      </c>
      <c r="P44" s="193">
        <f>(SUM(P11:Q11*P24:Q24)+P34)/P32</f>
        <v>0.29754226151723867</v>
      </c>
      <c r="R44" s="193">
        <f>(SUM(R11:S11*R24:S24)+R34)/R32</f>
        <v>0.29754226219461261</v>
      </c>
      <c r="T44" s="193">
        <f>(SUM(T11:U11*T24:U24)+T34)/T32</f>
        <v>0.29754226183175159</v>
      </c>
      <c r="V44" s="193">
        <f>(SUM(V11:W11*V24:W24)+V34)/V32</f>
        <v>0.29754226221567737</v>
      </c>
      <c r="X44" s="193">
        <f>(SUM(X11:Y11*X24:Y24)+X34)/X32</f>
        <v>0.29754226024789465</v>
      </c>
      <c r="Z44" s="193" t="e">
        <f>(SUM(Z11:AA11*Z24:AA24)+Z34)/Z32</f>
        <v>#DIV/0!</v>
      </c>
      <c r="AB44" s="193" t="e">
        <f>(SUM(AB11:AC11*AB24:AC24)+AB34)/AB32</f>
        <v>#DIV/0!</v>
      </c>
      <c r="AD44" s="193" t="e">
        <f>(SUM(AD11:AE11*AD24:AE24)+AD34)/AD32</f>
        <v>#DIV/0!</v>
      </c>
      <c r="AF44" s="193" t="e">
        <f>(SUM(AF11:AG11*AF24:AG24)+AF34)/AF32</f>
        <v>#DIV/0!</v>
      </c>
      <c r="AH44" s="193" t="e">
        <f>(SUM(AH11:AI11*AH24:AI24)+AH34)/AH32</f>
        <v>#DIV/0!</v>
      </c>
      <c r="AJ44" s="193" t="e">
        <f>(SUM(AJ11:AK11*AJ24:AK24)+AJ34)/AJ32</f>
        <v>#DIV/0!</v>
      </c>
      <c r="AL44" s="193" t="e">
        <f>(SUM(AL11:AM11*AL24:AM24)+AL34)/AL32</f>
        <v>#DIV/0!</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0.22038438854590797</v>
      </c>
      <c r="F45" s="193">
        <f>SUM(F11:G11*F24:G24)/F32</f>
        <v>0.22038438838138194</v>
      </c>
      <c r="H45" s="193">
        <f>SUM(H11:I11*H24:I24)/H32</f>
        <v>0.22038438824235659</v>
      </c>
      <c r="J45" s="193">
        <f>SUM(J11:K11*J24:K24)/J32</f>
        <v>0.22038438823880938</v>
      </c>
      <c r="L45" s="193">
        <f>SUM(L11:M11*L24:M24)/L32</f>
        <v>0.22038438818712255</v>
      </c>
      <c r="N45" s="193">
        <f>SUM(N11:O11*N24:O24)/N32</f>
        <v>0.22038438831333565</v>
      </c>
      <c r="P45" s="193">
        <f>SUM(P11:Q11*P24:Q24)/P32</f>
        <v>0.22038438844220937</v>
      </c>
      <c r="R45" s="193">
        <f>SUM(R11:S11*R24:S24)/R32</f>
        <v>0.22038438824237119</v>
      </c>
      <c r="T45" s="193">
        <f>SUM(T11:U11*T24:U24)/T32</f>
        <v>0.22038438842320535</v>
      </c>
      <c r="V45" s="193">
        <f>SUM(V11:W11*V24:W24)/V32</f>
        <v>0.22038438864092971</v>
      </c>
      <c r="X45" s="193">
        <f>SUM(X11:Y11*X24:Y24)/X32</f>
        <v>0.22038438815060116</v>
      </c>
      <c r="Z45" s="193" t="e">
        <f>SUM(Z11:AA11*Z24:AA24)/Z32</f>
        <v>#DIV/0!</v>
      </c>
      <c r="AB45" s="193" t="e">
        <f>SUM(AB11:AC11*AB24:AC24)/AB32</f>
        <v>#DIV/0!</v>
      </c>
      <c r="AD45" s="193" t="e">
        <f>SUM(AD11:AE11*AD24:AE24)/AD32</f>
        <v>#DIV/0!</v>
      </c>
      <c r="AF45" s="193" t="e">
        <f>SUM(AF11:AG11*AF24:AG24)/AF32</f>
        <v>#DIV/0!</v>
      </c>
      <c r="AH45" s="193" t="e">
        <f>SUM(AH11:AI11*AH24:AI24)/AH32</f>
        <v>#DIV/0!</v>
      </c>
      <c r="AJ45" s="193" t="e">
        <f>SUM(AJ11:AK11*AJ24:AK24)/AJ32</f>
        <v>#DIV/0!</v>
      </c>
      <c r="AL45" s="193" t="e">
        <f>SUM(AL11:AM11*AL24:AM24)/AL32</f>
        <v>#DIV/0!</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7.7157873574883795E-2</v>
      </c>
      <c r="D46" s="193">
        <f>D34/D32</f>
        <v>7.715786637203241E-2</v>
      </c>
      <c r="F46" s="193">
        <f>F34/F32</f>
        <v>7.7157866954073409E-2</v>
      </c>
      <c r="H46" s="193">
        <f>H34/H32</f>
        <v>7.7157874051763942E-2</v>
      </c>
      <c r="J46" s="193">
        <f>J34/J32</f>
        <v>7.7157874250021574E-2</v>
      </c>
      <c r="L46" s="193">
        <f>L34/L32</f>
        <v>7.7157875644113416E-2</v>
      </c>
      <c r="N46" s="193">
        <f>N34/N32</f>
        <v>7.7157874033073545E-2</v>
      </c>
      <c r="P46" s="193">
        <f>P34/P32</f>
        <v>7.715787307502929E-2</v>
      </c>
      <c r="R46" s="193">
        <f>R34/R32</f>
        <v>7.7157873952241454E-2</v>
      </c>
      <c r="T46" s="193">
        <f>T34/T32</f>
        <v>7.7157873408546282E-2</v>
      </c>
      <c r="V46" s="193">
        <f>V34/V32</f>
        <v>7.715787357474764E-2</v>
      </c>
      <c r="X46" s="193">
        <f>X34/X32</f>
        <v>7.7157872097293495E-2</v>
      </c>
      <c r="Z46" s="193" t="e">
        <f>Z34/Z32</f>
        <v>#DIV/0!</v>
      </c>
      <c r="AB46" s="193" t="e">
        <f>AB34/AB32</f>
        <v>#DIV/0!</v>
      </c>
      <c r="AD46" s="193" t="e">
        <f>AD34/AD32</f>
        <v>#DIV/0!</v>
      </c>
      <c r="AF46" s="193" t="e">
        <f>AF34/AF32</f>
        <v>#DIV/0!</v>
      </c>
      <c r="AH46" s="193" t="e">
        <f>AH34/AH32</f>
        <v>#DIV/0!</v>
      </c>
      <c r="AJ46" s="193" t="e">
        <f>AJ34/AJ32</f>
        <v>#DIV/0!</v>
      </c>
      <c r="AL46" s="193" t="e">
        <f>AL34/AL32</f>
        <v>#DIV/0!</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0.97954510129398431</v>
      </c>
      <c r="E48" s="191"/>
      <c r="F48" s="191">
        <f>F24/$B$24</f>
        <v>0.9567211445840782</v>
      </c>
      <c r="G48" s="191"/>
      <c r="H48" s="191">
        <f>H24/$B$24</f>
        <v>0.93128173167018735</v>
      </c>
      <c r="I48" s="191"/>
      <c r="J48" s="191">
        <f>J24/$B$24</f>
        <v>0.9029715803282059</v>
      </c>
      <c r="K48" s="191"/>
      <c r="L48" s="191">
        <f>L24/$B$24</f>
        <v>0.87153957261523052</v>
      </c>
      <c r="M48" s="191"/>
      <c r="N48" s="191">
        <f>N24/$B$24</f>
        <v>0.83675594558105026</v>
      </c>
      <c r="O48" s="191"/>
      <c r="P48" s="191">
        <f>P24/$B$24</f>
        <v>0.79844399357318396</v>
      </c>
      <c r="Q48" s="191"/>
      <c r="R48" s="191">
        <f>R24/$B$24</f>
        <v>0.75652948390893682</v>
      </c>
      <c r="S48" s="191"/>
      <c r="T48" s="191">
        <f>T24/$B$24</f>
        <v>0.71113127236212248</v>
      </c>
      <c r="U48" s="191"/>
      <c r="V48" s="191">
        <f>V24/$B$24</f>
        <v>0.6627635643280666</v>
      </c>
      <c r="W48" s="191"/>
      <c r="X48" s="191">
        <f>X24/$B$24</f>
        <v>0.61292771474147556</v>
      </c>
      <c r="Y48" s="191"/>
      <c r="Z48" s="191">
        <f>Z24/$B$24</f>
        <v>0</v>
      </c>
      <c r="AA48" s="191"/>
      <c r="AB48" s="191">
        <f>AB24/$B$24</f>
        <v>0</v>
      </c>
      <c r="AC48" s="191"/>
      <c r="AD48" s="191">
        <f>AD24/$B$24</f>
        <v>0</v>
      </c>
      <c r="AE48" s="191"/>
      <c r="AF48" s="191">
        <f>AF24/$B$24</f>
        <v>0</v>
      </c>
      <c r="AG48" s="191"/>
      <c r="AH48" s="191">
        <f>AH24/$B$24</f>
        <v>0</v>
      </c>
      <c r="AI48" s="191"/>
      <c r="AJ48" s="191">
        <f>AJ24/$B$24</f>
        <v>0</v>
      </c>
      <c r="AK48" s="191"/>
      <c r="AL48" s="191">
        <f>AL24/$B$24</f>
        <v>0</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0.99999999854961508</v>
      </c>
      <c r="E49" s="191"/>
      <c r="F49" s="191">
        <f>F13/F35/$B$13*$B$35</f>
        <v>0.99999999888277125</v>
      </c>
      <c r="G49" s="191"/>
      <c r="H49" s="191">
        <f>H13/H35/$B$13*$B$35</f>
        <v>1.0000000002595799</v>
      </c>
      <c r="I49" s="191"/>
      <c r="J49" s="191">
        <f>J13/J35/$B$13*$B$35</f>
        <v>1.000000000310648</v>
      </c>
      <c r="K49" s="191"/>
      <c r="L49" s="191">
        <f>L13/L35/$B$13*$B$35</f>
        <v>1.0000000007194425</v>
      </c>
      <c r="M49" s="191"/>
      <c r="N49" s="191">
        <f>N13/N35/$B$13*$B$35</f>
        <v>1.000000000135046</v>
      </c>
      <c r="O49" s="191"/>
      <c r="P49" s="191">
        <f>P13/P35/$B$13*$B$35</f>
        <v>0.9999999997784661</v>
      </c>
      <c r="Q49" s="191"/>
      <c r="R49" s="191">
        <f>R13/R35/$B$13*$B$35</f>
        <v>1.0000000001397034</v>
      </c>
      <c r="S49" s="191"/>
      <c r="T49" s="191">
        <f>T13/T35/$B$13*$B$35</f>
        <v>0.9999999999161856</v>
      </c>
      <c r="U49" s="191"/>
      <c r="V49" s="191">
        <f>V13/V35/$B$13*$B$35</f>
        <v>0.99999999987323429</v>
      </c>
      <c r="W49" s="191"/>
      <c r="X49" s="191">
        <f>X13/X35/$B$13*$B$35</f>
        <v>1.0000000000451967</v>
      </c>
      <c r="Y49" s="191"/>
      <c r="Z49" s="191" t="e">
        <f>Z13/Z35/$B$13*$B$35</f>
        <v>#DIV/0!</v>
      </c>
      <c r="AA49" s="191"/>
      <c r="AB49" s="191" t="e">
        <f>AB13/AB35/$B$13*$B$35</f>
        <v>#DIV/0!</v>
      </c>
      <c r="AC49" s="191"/>
      <c r="AD49" s="191" t="e">
        <f>AD13/AD35/$B$13*$B$35</f>
        <v>#DIV/0!</v>
      </c>
      <c r="AE49" s="191"/>
      <c r="AF49" s="191" t="e">
        <f>AF13/AF35/$B$13*$B$35</f>
        <v>#DIV/0!</v>
      </c>
      <c r="AG49" s="191"/>
      <c r="AH49" s="191" t="e">
        <f>AH13/AH35/$B$13*$B$35</f>
        <v>#DIV/0!</v>
      </c>
      <c r="AI49" s="191"/>
      <c r="AJ49" s="191" t="e">
        <f>AJ13/AJ35/$B$13*$B$35</f>
        <v>#DIV/0!</v>
      </c>
      <c r="AK49" s="191"/>
      <c r="AL49" s="191" t="e">
        <f>AL13/AL35/$B$13*$B$35</f>
        <v>#DIV/0!</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-398382.27932469593</v>
      </c>
      <c r="F51" s="29">
        <f>F30-F10*F23</f>
        <v>-389932.85111138411</v>
      </c>
      <c r="H51" s="29">
        <f>H30-H10*H23</f>
        <v>-380379.90134512307</v>
      </c>
      <c r="J51" s="29">
        <f>J30-J10*J23</f>
        <v>-369607.33238527272</v>
      </c>
      <c r="L51" s="29">
        <f>L30-L10*L23</f>
        <v>-357499.99104052037</v>
      </c>
      <c r="N51" s="29">
        <f>N30-N10*N23</f>
        <v>-343948.54626456369</v>
      </c>
      <c r="P51" s="29">
        <f>P30-P10*P23</f>
        <v>-328863.98553458089</v>
      </c>
      <c r="R51" s="29">
        <f>R30-R10*R23</f>
        <v>-312196.03215900855</v>
      </c>
      <c r="T51" s="29">
        <f>T30-T10*T23</f>
        <v>-293967.2913956712</v>
      </c>
      <c r="V51" s="29">
        <f>V30-V10*V23</f>
        <v>-274350.91010488989</v>
      </c>
      <c r="X51" s="29">
        <f>X30-X10*X23</f>
        <v>-253885.11831946601</v>
      </c>
      <c r="Z51" s="29">
        <f>Z30-Z10*Z23</f>
        <v>0</v>
      </c>
      <c r="AB51" s="29">
        <f>AB30-AB10*AB23</f>
        <v>0</v>
      </c>
      <c r="AD51" s="29">
        <f>AD30-AD10*AD23</f>
        <v>0</v>
      </c>
      <c r="AF51" s="29">
        <f>AF30-AF10*AF23</f>
        <v>0</v>
      </c>
      <c r="AH51" s="29">
        <f>AH30-AH10*AH23</f>
        <v>0</v>
      </c>
      <c r="AJ51" s="29">
        <f>AJ30-AJ10*AJ23</f>
        <v>0</v>
      </c>
      <c r="AL51" s="29">
        <f>AL30-AL10*AL23</f>
        <v>0</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1971154.2993215597</v>
      </c>
      <c r="F52" s="29">
        <f t="array" ref="F52">Calibration!sL*SUM(F13:G13*F26:G26)</f>
        <v>1890169.5484669646</v>
      </c>
      <c r="H52" s="29">
        <f t="array" ref="H52">Calibration!sL*SUM(H13:I13*H26:I26)</f>
        <v>1806185.7995865224</v>
      </c>
      <c r="J52" s="29">
        <f t="array" ref="J52">Calibration!sL*SUM(J13:K13*J26:K26)</f>
        <v>1719122.4661723843</v>
      </c>
      <c r="L52" s="29">
        <f t="array" ref="L52">Calibration!sL*SUM(L13:M13*L26:M26)</f>
        <v>1628943.307445589</v>
      </c>
      <c r="N52" s="29">
        <f t="array" ref="N52">Calibration!sL*SUM(N13:O13*N26:O26)</f>
        <v>1535679.7779048656</v>
      </c>
      <c r="P52" s="29">
        <f t="array" ref="P52">Calibration!sL*SUM(P13:Q13*P26:Q26)</f>
        <v>1439468.2723188619</v>
      </c>
      <c r="R52" s="29">
        <f t="array" ref="R52">Calibration!sL*SUM(R13:S13*R26:S26)</f>
        <v>1340613.4377087655</v>
      </c>
      <c r="T52" s="29">
        <f t="array" ref="T52">Calibration!sL*SUM(T13:U13*T26:U26)</f>
        <v>1239714.9501940266</v>
      </c>
      <c r="V52" s="29">
        <f t="array" ref="V52">Calibration!sL*SUM(V13:W13*V26:W26)</f>
        <v>1137980.1363150999</v>
      </c>
      <c r="X52" s="29">
        <f t="array" ref="X52">Calibration!sL*SUM(X13:Y13*X26:Y26)</f>
        <v>1038228.5991823693</v>
      </c>
      <c r="Z52" s="29">
        <f t="array" ref="Z52">Calibration!sL*SUM(Z13:AA13*Z26:AA26)</f>
        <v>0</v>
      </c>
      <c r="AB52" s="29">
        <f t="array" ref="AB52">Calibration!sL*SUM(AB13:AC13*AB26:AC26)</f>
        <v>0</v>
      </c>
      <c r="AD52" s="29">
        <f t="array" ref="AD52">Calibration!sL*SUM(AD13:AE13*AD26:AE26)</f>
        <v>0</v>
      </c>
      <c r="AF52" s="29">
        <f t="array" ref="AF52">Calibration!sL*SUM(AF13:AG13*AF26:AG26)</f>
        <v>0</v>
      </c>
      <c r="AH52" s="29">
        <f t="array" ref="AH52">Calibration!sL*SUM(AH13:AI13*AH26:AI26)</f>
        <v>0</v>
      </c>
      <c r="AJ52" s="29">
        <f t="array" ref="AJ52">Calibration!sL*SUM(AJ13:AK13*AJ26:AK26)</f>
        <v>0</v>
      </c>
      <c r="AL52" s="29">
        <f t="array" ref="AL52">Calibration!sL*SUM(AL13:AM13*AL26:AM26)</f>
        <v>0</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2740714.4444297305</v>
      </c>
      <c r="D53" s="29">
        <f t="array" ref="D53">Calibration!sK*SUM(D15:E15*D27:E27)</f>
        <v>2717900.4142874223</v>
      </c>
      <c r="F53" s="29">
        <f t="array" ref="F53">Calibration!sK*SUM(F15:G15*F27:G27)</f>
        <v>2686930.3627291885</v>
      </c>
      <c r="H53" s="29">
        <f t="array" ref="H53">Calibration!sK*SUM(H15:I15*H27:I27)</f>
        <v>2646755.1198656908</v>
      </c>
      <c r="J53" s="29">
        <f t="array" ref="J53">Calibration!sK*SUM(J15:K15*J27:K27)</f>
        <v>2596248.2241572184</v>
      </c>
      <c r="L53" s="29">
        <f t="array" ref="L53">Calibration!sK*SUM(L15:M15*L27:M27)</f>
        <v>2534259.6003815755</v>
      </c>
      <c r="N53" s="29">
        <f t="array" ref="N53">Calibration!sK*SUM(N15:O15*N27:O27)</f>
        <v>2459654.69988736</v>
      </c>
      <c r="P53" s="29">
        <f t="array" ref="P53">Calibration!sK*SUM(P15:Q15*P27:Q27)</f>
        <v>2371432.2511896868</v>
      </c>
      <c r="R53" s="29">
        <f t="array" ref="R53">Calibration!sK*SUM(R15:S15*R27:S27)</f>
        <v>2268872.8824290861</v>
      </c>
      <c r="T53" s="29">
        <f t="array" ref="T53">Calibration!sK*SUM(T15:U15*T27:U27)</f>
        <v>2151798.3091242812</v>
      </c>
      <c r="V53" s="29">
        <f t="array" ref="V53">Calibration!sK*SUM(V15:W15*V27:W27)</f>
        <v>2021151.3770574431</v>
      </c>
      <c r="X53" s="29">
        <f t="array" ref="X53">Calibration!sK*SUM(X15:Y15*X27:Y27)</f>
        <v>1880497.7856886841</v>
      </c>
      <c r="Z53" s="29">
        <f t="array" ref="Z53">Calibration!sK*SUM(Z15:AA15*Z27:AA27)</f>
        <v>0</v>
      </c>
      <c r="AB53" s="29">
        <f t="array" ref="AB53">Calibration!sK*SUM(AB15:AC15*AB27:AC27)</f>
        <v>0</v>
      </c>
      <c r="AD53" s="29">
        <f t="array" ref="AD53">Calibration!sK*SUM(AD15:AE15*AD27:AE27)</f>
        <v>0</v>
      </c>
      <c r="AF53" s="29">
        <f t="array" ref="AF53">Calibration!sK*SUM(AF15:AG15*AF27:AG27)</f>
        <v>0</v>
      </c>
      <c r="AH53" s="29">
        <f t="array" ref="AH53">Calibration!sK*SUM(AH15:AI15*AH27:AI27)</f>
        <v>0</v>
      </c>
      <c r="AJ53" s="29">
        <f t="array" ref="AJ53">Calibration!sK*SUM(AJ15:AK15*AJ27:AK27)</f>
        <v>0</v>
      </c>
      <c r="AL53" s="29">
        <f t="array" ref="AL53">Calibration!sK*SUM(AL15:AM15*AL27:AM27)</f>
        <v>0</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0.19841987526923185</v>
      </c>
      <c r="F55" s="193">
        <f>F30/F32</f>
        <v>0.19833738339771206</v>
      </c>
      <c r="H55" s="193">
        <f>H30/H32</f>
        <v>0.19825555746080514</v>
      </c>
      <c r="J55" s="193">
        <f>J30/J32</f>
        <v>0.19817483806003952</v>
      </c>
      <c r="L55" s="193">
        <f>L30/L32</f>
        <v>0.19809567748603743</v>
      </c>
      <c r="N55" s="193">
        <f>N30/N32</f>
        <v>0.19801869883498868</v>
      </c>
      <c r="P55" s="193">
        <f>P30/P32</f>
        <v>0.19794457223248446</v>
      </c>
      <c r="R55" s="193">
        <f>R30/R32</f>
        <v>0.19787412185398107</v>
      </c>
      <c r="T55" s="193">
        <f>T30/T32</f>
        <v>0.19780847135789686</v>
      </c>
      <c r="V55" s="193">
        <f>V30/V32</f>
        <v>0.1977490938597655</v>
      </c>
      <c r="X55" s="193">
        <f>X30/X32</f>
        <v>0.19769872902403032</v>
      </c>
      <c r="Z55" s="193" t="e">
        <f>Z30/Z32</f>
        <v>#DIV/0!</v>
      </c>
      <c r="AB55" s="193" t="e">
        <f>AB30/AB32</f>
        <v>#DIV/0!</v>
      </c>
      <c r="AD55" s="193" t="e">
        <f>AD30/AD32</f>
        <v>#DIV/0!</v>
      </c>
      <c r="AF55" s="193" t="e">
        <f>AF30/AF32</f>
        <v>#DIV/0!</v>
      </c>
      <c r="AH55" s="193" t="e">
        <f>AH30/AH32</f>
        <v>#DIV/0!</v>
      </c>
      <c r="AJ55" s="193" t="e">
        <f>AJ30/AJ32</f>
        <v>#DIV/0!</v>
      </c>
      <c r="AL55" s="193" t="e">
        <f>AL30/AL32</f>
        <v>#DIV/0!</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3.1906948064460497E-2</v>
      </c>
      <c r="F56" s="193">
        <f>(Model!$C$52*F5*F20+F2*G5*G20)/F32</f>
        <v>3.4579943016187199E-2</v>
      </c>
      <c r="H56" s="193">
        <f>(Model!$C$52*H5*H20+H2*I5*I20)/H32</f>
        <v>3.722975315308099E-2</v>
      </c>
      <c r="J56" s="193">
        <f>(Model!$C$52*J5*J20+J2*K5*K20)/J32</f>
        <v>3.98435201428207E-2</v>
      </c>
      <c r="L56" s="193">
        <f>(Model!$C$52*L5*L20+L2*M5*M20)/L32</f>
        <v>4.240564714703237E-2</v>
      </c>
      <c r="N56" s="193">
        <f>(Model!$C$52*N5*N20+N2*O5*O20)/N32</f>
        <v>4.4897302369802397E-2</v>
      </c>
      <c r="P56" s="193">
        <f>(Model!$C$52*P5*P20+P2*Q5*Q20)/P32</f>
        <v>4.7295962714389427E-2</v>
      </c>
      <c r="R56" s="193">
        <f>(Model!$C$52*R5*R20+R2*S5*S20)/R32</f>
        <v>4.957446946755234E-2</v>
      </c>
      <c r="T56" s="193">
        <f>(Model!$C$52*T5*T20+T2*U5*U20)/T32</f>
        <v>5.1698816517583839E-2</v>
      </c>
      <c r="V56" s="193">
        <f>(Model!$C$52*V5*V20+V2*W5*W20)/V32</f>
        <v>5.3621706661496869E-2</v>
      </c>
      <c r="X56" s="193">
        <f>(Model!$C$52*X5*X20+X2*Y5*Y20)/X32</f>
        <v>5.5258285892863288E-2</v>
      </c>
      <c r="Z56" s="193" t="e">
        <f>(Model!$C$52*Z5*Z20+Z2*AA5*AA20)/Z32</f>
        <v>#DIV/0!</v>
      </c>
      <c r="AB56" s="193" t="e">
        <f>(Model!$C$52*AB5*AB20+AB2*AC5*AC20)/AB32</f>
        <v>#DIV/0!</v>
      </c>
      <c r="AD56" s="193" t="e">
        <f>(Model!$C$52*AD5*AD20+AD2*AE5*AE20)/AD32</f>
        <v>#DIV/0!</v>
      </c>
      <c r="AF56" s="193" t="e">
        <f>(Model!$C$52*AF5*AF20+AF2*AG5*AG20)/AF32</f>
        <v>#DIV/0!</v>
      </c>
      <c r="AH56" s="193" t="e">
        <f>(Model!$C$52*AH5*AH20+AH2*AI5*AI20)/AH32</f>
        <v>#DIV/0!</v>
      </c>
      <c r="AJ56" s="193" t="e">
        <f>(Model!$C$52*AJ5*AJ20+AJ2*AK5*AK20)/AJ32</f>
        <v>#DIV/0!</v>
      </c>
      <c r="AL56" s="193" t="e">
        <f>(Model!$C$52*AL5*AL20+AL2*AM5*AM20)/AL32</f>
        <v>#DIV/0!</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0.15580869737243447</v>
      </c>
      <c r="F57" s="193">
        <f t="array" ref="F57">SUM(Model!tauL*F13:G13*F26:G26)/F32</f>
        <v>0.15310059895365524</v>
      </c>
      <c r="H57" s="193">
        <f t="array" ref="H57">SUM(Model!tauL*H13:I13*H26:I26)/H32</f>
        <v>0.1504150957456715</v>
      </c>
      <c r="J57" s="193">
        <f t="array" ref="J57">SUM(Model!tauL*J13:K13*J26:K26)/J32</f>
        <v>0.14776528061342853</v>
      </c>
      <c r="L57" s="193">
        <f t="array" ref="L57">SUM(Model!tauL*L13:M13*L26:M26)/L32</f>
        <v>0.14516697916351487</v>
      </c>
      <c r="N57" s="193">
        <f t="array" ref="N57">SUM(Model!tauL*N13:O13*N26:O26)/N32</f>
        <v>0.14263941213799455</v>
      </c>
      <c r="P57" s="193">
        <f t="array" ref="P57">SUM(Model!tauL*P13:Q13*P26:Q26)/P32</f>
        <v>0.14020555845863106</v>
      </c>
      <c r="R57" s="193">
        <f t="array" ref="R57">SUM(Model!tauL*R13:S13*R26:S26)/R32</f>
        <v>0.13789326249670522</v>
      </c>
      <c r="T57" s="193">
        <f t="array" ref="T57">SUM(Model!tauL*T13:U13*T26:U26)/T32</f>
        <v>0.13573772355726627</v>
      </c>
      <c r="V57" s="193">
        <f t="array" ref="V57">SUM(Model!tauL*V13:W13*V26:W26)/V32</f>
        <v>0.13378834243658641</v>
      </c>
      <c r="X57" s="193">
        <f t="array" ref="X57">SUM(Model!tauL*X13:Y13*X26:Y26)/X32</f>
        <v>0.13213505049851243</v>
      </c>
      <c r="Y57" s="193"/>
      <c r="Z57" s="193" t="e">
        <f t="array" ref="Z57">SUM(Model!tauL*Z13:AA13*Z26:AA26)/Z32</f>
        <v>#DIV/0!</v>
      </c>
      <c r="AB57" s="193" t="e">
        <f t="array" ref="AB57">SUM(Model!tauL*AB13:AC13*AB26:AC26)/AB32</f>
        <v>#DIV/0!</v>
      </c>
      <c r="AD57" s="193" t="e">
        <f t="array" ref="AD57">SUM(Model!tauL*AD13:AE13*AD26:AE26)/AD32</f>
        <v>#DIV/0!</v>
      </c>
      <c r="AF57" s="193" t="e">
        <f t="array" ref="AF57">SUM(Model!tauL*AF13:AG13*AF26:AG26)/AF32</f>
        <v>#DIV/0!</v>
      </c>
      <c r="AH57" s="193" t="e">
        <f t="array" ref="AH57">SUM(Model!tauL*AH13:AI13*AH26:AI26)/AH32</f>
        <v>#DIV/0!</v>
      </c>
      <c r="AJ57" s="193" t="e">
        <f t="array" ref="AJ57">SUM(Model!tauL*AJ13:AK13*AJ26:AK26)/AJ32</f>
        <v>#DIV/0!</v>
      </c>
      <c r="AL57" s="193" t="e">
        <f t="array" ref="AL57">SUM(Model!tauL*AL13:AM13*AL26:AM26)/AL32</f>
        <v>#DIV/0!</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1.0704229832336886E-2</v>
      </c>
      <c r="F58" s="193">
        <f t="array" ref="F58">SUM(Model!tauY/(1+Model!tauY)*F3:G3*F18:G18)/F32</f>
        <v>1.0656841427869591E-2</v>
      </c>
      <c r="H58" s="193">
        <f t="array" ref="H58">SUM(Model!tauY/(1+Model!tauY)*H3:I3*H18:I18)/H32</f>
        <v>1.0610708562052654E-2</v>
      </c>
      <c r="J58" s="193">
        <f t="array" ref="J58">SUM(Model!tauY/(1+Model!tauY)*J3:K3*J18:K18)/J32</f>
        <v>1.0566037303790292E-2</v>
      </c>
      <c r="L58" s="193">
        <f t="array" ref="L58">SUM(Model!tauY/(1+Model!tauY)*L3:M3*L18:M18)/L32</f>
        <v>1.0523051175490192E-2</v>
      </c>
      <c r="N58" s="193">
        <f t="array" ref="N58">SUM(Model!tauY/(1+Model!tauY)*N3:O3*N18:O18)/N32</f>
        <v>1.0481984327191734E-2</v>
      </c>
      <c r="P58" s="193">
        <f t="array" ref="P58">SUM(Model!tauY/(1+Model!tauY)*P3:Q3*P18:Q18)/P32</f>
        <v>1.0443051059463941E-2</v>
      </c>
      <c r="R58" s="193">
        <f t="array" ref="R58">SUM(Model!tauY/(1+Model!tauY)*R3:S3*R18:S18)/R32</f>
        <v>1.0406389889723498E-2</v>
      </c>
      <c r="T58" s="193">
        <f t="array" ref="T58">SUM(Model!tauY/(1+Model!tauY)*T3:U3*T18:U18)/T32</f>
        <v>1.0371931283046774E-2</v>
      </c>
      <c r="V58" s="193">
        <f t="array" ref="V58">SUM(Model!tauY/(1+Model!tauY)*V3:W3*V18:W18)/V32</f>
        <v>1.0339044761682176E-2</v>
      </c>
      <c r="X58" s="193">
        <f t="array" ref="X58">SUM(Model!tauY/(1+Model!tauY)*X3:Y3*X18:Y18)/X32</f>
        <v>1.0305392632654573E-2</v>
      </c>
      <c r="Y58" s="193"/>
      <c r="Z58" s="193" t="e">
        <f t="array" ref="Z58">SUM(Model!tauY/(1+Model!tauY)*Z3:AA3*Z18:AA18)/Z32</f>
        <v>#DIV/0!</v>
      </c>
      <c r="AB58" s="193" t="e">
        <f t="array" ref="AB58">SUM(Model!tauY/(1+Model!tauY)*AB3:AC3*AB18:AC18)/AB32</f>
        <v>#DIV/0!</v>
      </c>
      <c r="AD58" s="193" t="e">
        <f t="array" ref="AD58">SUM(Model!tauY/(1+Model!tauY)*AD3:AE3*AD18:AE18)/AD32</f>
        <v>#DIV/0!</v>
      </c>
      <c r="AF58" s="193" t="e">
        <f t="array" ref="AF58">SUM(Model!tauY/(1+Model!tauY)*AF3:AG3*AF18:AG18)/AF32</f>
        <v>#DIV/0!</v>
      </c>
      <c r="AH58" s="193" t="e">
        <f t="array" ref="AH58">SUM(Model!tauY/(1+Model!tauY)*AH3:AI3*AH18:AI18)/AH32</f>
        <v>#DIV/0!</v>
      </c>
      <c r="AJ58" s="193" t="e">
        <f t="array" ref="AJ58">SUM(Model!tauY/(1+Model!tauY)*AJ3:AK3*AJ18:AK18)/AJ32</f>
        <v>#DIV/0!</v>
      </c>
      <c r="AL58" s="193" t="e">
        <f t="array" ref="AL58">SUM(Model!tauY/(1+Model!tauY)*AL3:AM3*AL18:AM18)/AL32</f>
        <v>#DIV/0!</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3.2723639370754978E-3</v>
      </c>
      <c r="F59" s="193">
        <f>(F2*G5*G20)/F32</f>
        <v>5.9795853176514736E-3</v>
      </c>
      <c r="H59" s="193">
        <f>(H2*I5*I20)/H32</f>
        <v>8.6628459195430413E-3</v>
      </c>
      <c r="J59" s="193">
        <f>(J2*K5*K20)/J32</f>
        <v>1.1309145164998398E-2</v>
      </c>
      <c r="L59" s="193">
        <f>(L2*M5*M20)/L32</f>
        <v>1.3902726728719405E-2</v>
      </c>
      <c r="N59" s="193">
        <f>(N2*O5*O20)/N32</f>
        <v>1.6424584635942239E-2</v>
      </c>
      <c r="P59" s="193">
        <f>(P2*Q5*Q20)/P32</f>
        <v>1.885202101599864E-2</v>
      </c>
      <c r="R59" s="193">
        <f>(R2*S5*S20)/R32</f>
        <v>2.1157728370520837E-2</v>
      </c>
      <c r="T59" s="193">
        <f>(T2*U5*U20)/T32</f>
        <v>2.3307639559262929E-2</v>
      </c>
      <c r="V59" s="193">
        <f>(V2*W5*W20)/V32</f>
        <v>2.5254642555015267E-2</v>
      </c>
      <c r="X59" s="193">
        <f>(X2*Y5*Y20)/X32</f>
        <v>2.6914770665859025E-2</v>
      </c>
      <c r="Z59" s="193" t="e">
        <f>(Z2*AA5*AA20)/Z32</f>
        <v>#DIV/0!</v>
      </c>
      <c r="AB59" s="193" t="e">
        <f>(AB2*AC5*AC20)/AB32</f>
        <v>#DIV/0!</v>
      </c>
      <c r="AD59" s="193" t="e">
        <f>(AD2*AE5*AE20)/AD32</f>
        <v>#DIV/0!</v>
      </c>
      <c r="AF59" s="193" t="e">
        <f>(AF2*AG5*AG20)/AF32</f>
        <v>#DIV/0!</v>
      </c>
      <c r="AH59" s="193" t="e">
        <f>(AH2*AI5*AI20)/AH32</f>
        <v>#DIV/0!</v>
      </c>
      <c r="AJ59" s="193" t="e">
        <f>(AJ2*AK5*AK20)/AJ32</f>
        <v>#DIV/0!</v>
      </c>
      <c r="AL59" s="193" t="e">
        <f>(AL2*AM5*AM20)/AL32</f>
        <v>#DIV/0!</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2.8634584127384996E-2</v>
      </c>
      <c r="F60" s="193">
        <f>Model!$C$52*F5*F20/F32</f>
        <v>2.8600357698535729E-2</v>
      </c>
      <c r="H60" s="193">
        <f>Model!$C$52*H5*H20/H32</f>
        <v>2.8566907233537952E-2</v>
      </c>
      <c r="J60" s="193">
        <f>Model!$C$52*J5*J20/J32</f>
        <v>2.8534374977822304E-2</v>
      </c>
      <c r="L60" s="193">
        <f>Model!$C$52*L5*L20/L32</f>
        <v>2.8502920418312969E-2</v>
      </c>
      <c r="N60" s="193">
        <f>Model!$C$52*N5*N20/N32</f>
        <v>2.8472717733860155E-2</v>
      </c>
      <c r="P60" s="193">
        <f>Model!$C$52*P5*P20/P32</f>
        <v>2.8443941698390787E-2</v>
      </c>
      <c r="R60" s="193">
        <f>Model!$C$52*R5*R20/R32</f>
        <v>2.8416741097031503E-2</v>
      </c>
      <c r="T60" s="193">
        <f>Model!$C$52*T5*T20/T32</f>
        <v>2.8391176958320913E-2</v>
      </c>
      <c r="V60" s="193">
        <f>Model!$C$52*V5*V20/V32</f>
        <v>2.8367064106481602E-2</v>
      </c>
      <c r="X60" s="193">
        <f>Model!$C$52*X5*X20/X32</f>
        <v>2.8343515227004266E-2</v>
      </c>
      <c r="Z60" s="193" t="e">
        <f>Model!$C$52*Z5*Z20/Z32</f>
        <v>#DIV/0!</v>
      </c>
      <c r="AB60" s="193" t="e">
        <f>Model!$C$52*AB5*AB20/AB32</f>
        <v>#DIV/0!</v>
      </c>
      <c r="AD60" s="193" t="e">
        <f>Model!$C$52*AD5*AD20/AD32</f>
        <v>#DIV/0!</v>
      </c>
      <c r="AF60" s="193" t="e">
        <f>Model!$C$52*AF5*AF20/AF32</f>
        <v>#DIV/0!</v>
      </c>
      <c r="AH60" s="193" t="e">
        <f>Model!$C$52*AH5*AH20/AH32</f>
        <v>#DIV/0!</v>
      </c>
      <c r="AJ60" s="193" t="e">
        <f>Model!$C$52*AJ5*AJ20/AJ32</f>
        <v>#DIV/0!</v>
      </c>
      <c r="AL60" s="193" t="e">
        <f>Model!$C$52*AL5*AL20/AL32</f>
        <v>#DIV/0!</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1.0097296222150098</v>
      </c>
      <c r="F62">
        <f>F13/F15</f>
        <v>1.0227911409588974</v>
      </c>
      <c r="H62">
        <f>H13/H15</f>
        <v>1.0398292743978603</v>
      </c>
      <c r="J62">
        <f>J13/J15</f>
        <v>1.061660618718187</v>
      </c>
      <c r="L62">
        <f>L13/L15</f>
        <v>1.0893210666713511</v>
      </c>
      <c r="N62">
        <f>N13/N15</f>
        <v>1.1241371285882673</v>
      </c>
      <c r="P62">
        <f>P13/P15</f>
        <v>1.1678073221727743</v>
      </c>
      <c r="R62">
        <f>R13/R15</f>
        <v>1.2225019237346073</v>
      </c>
      <c r="T62">
        <f>T13/T15</f>
        <v>1.2909372701888544</v>
      </c>
      <c r="V62">
        <f>V13/V15</f>
        <v>1.3762391523896778</v>
      </c>
      <c r="X62">
        <f>X13/X15</f>
        <v>1.4807486953569997</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0.99920073660276065</v>
      </c>
      <c r="E65" s="191"/>
      <c r="F65" s="191">
        <f t="array" ref="F65">SQRT((F9:G9*$B$22:$C$22+F10:G10*$B$23:$C$23+F11:G11*$B$24:$C$24+F4:G4*($B$25:$C$25-$B$19:$C$19))/($B$9:$C$9*$B$22:$C$22+$B$10:$C$10*$B$23:$C$23+$B$11:$C$11*$B$24:$C$24+$B$4:$C$4*($B$25:$C$25-$B$19:$C$19))*(F9:G9*F22:G22+F10:G10*F23:G23+F11:G11*F24:G24+F4:G4*(F25:G25-F19:G19))/($B$9:$C$9*F22:G22+$B$10:$C$10*F23:G23+$B$11:$C$11*F24:G24+$B$4:$C$4*(F25:G25-F19:G19)))</f>
        <v>0.99843562665798924</v>
      </c>
      <c r="G65" s="191"/>
      <c r="H65" s="191">
        <f t="array" ref="H65">SQRT((H9:I9*$B$22:$C$22+H10:I10*$B$23:$C$23+H11:I11*$B$24:$C$24+H4:I4*($B$25:$C$25-$B$19:$C$19))/($B$9:$C$9*$B$22:$C$22+$B$10:$C$10*$B$23:$C$23+$B$11:$C$11*$B$24:$C$24+$B$4:$C$4*($B$25:$C$25-$B$19:$C$19))*(H9:I9*H22:I22+H10:I10*H23:I23+H11:I11*H24:I24+H4:I4*(H25:I25-H19:I19))/($B$9:$C$9*H22:I22+$B$10:$C$10*H23:I23+$B$11:$C$11*H24:I24+$B$4:$C$4*(H25:I25-H19:I19)))</f>
        <v>0.99770790606033477</v>
      </c>
      <c r="I65" s="191"/>
      <c r="J65" s="191">
        <f t="array" ref="J65">SQRT((J9:K9*$B$22:$C$22+J10:K10*$B$23:$C$23+J11:K11*$B$24:$C$24+J4:K4*($B$25:$C$25-$B$19:$C$19))/($B$9:$C$9*$B$22:$C$22+$B$10:$C$10*$B$23:$C$23+$B$11:$C$11*$B$24:$C$24+$B$4:$C$4*($B$25:$C$25-$B$19:$C$19))*(J9:K9*J22:K22+J10:K10*J23:K23+J11:K11*J24:K24+J4:K4*(J25:K25-J19:K19))/($B$9:$C$9*J22:K22+$B$10:$C$10*J23:K23+$B$11:$C$11*J24:K24+$B$4:$C$4*(J25:K25-J19:K19)))</f>
        <v>0.99702075425753989</v>
      </c>
      <c r="K65" s="191"/>
      <c r="L65" s="191">
        <f t="array" ref="L65">SQRT((L9:M9*$B$22:$C$22+L10:M10*$B$23:$C$23+L11:M11*$B$24:$C$24+L4:M4*($B$25:$C$25-$B$19:$C$19))/($B$9:$C$9*$B$22:$C$22+$B$10:$C$10*$B$23:$C$23+$B$11:$C$11*$B$24:$C$24+$B$4:$C$4*($B$25:$C$25-$B$19:$C$19))*(L9:M9*L22:M22+L10:M10*L23:M23+L11:M11*L24:M24+L4:M4*(L25:M25-L19:M19))/($B$9:$C$9*L22:M22+$B$10:$C$10*L23:M23+$B$11:$C$11*L24:M24+$B$4:$C$4*(L25:M25-L19:M19)))</f>
        <v>0.99637666123802593</v>
      </c>
      <c r="M65" s="191"/>
      <c r="N65" s="191">
        <f t="array" ref="N65">SQRT((N9:O9*$B$22:$C$22+N10:O10*$B$23:$C$23+N11:O11*$B$24:$C$24+N4:O4*($B$25:$C$25-$B$19:$C$19))/($B$9:$C$9*$B$22:$C$22+$B$10:$C$10*$B$23:$C$23+$B$11:$C$11*$B$24:$C$24+$B$4:$C$4*($B$25:$C$25-$B$19:$C$19))*(N9:O9*N22:O22+N10:O10*N23:O23+N11:O11*N24:O24+N4:O4*(N25:O25-N19:O19))/($B$9:$C$9*N22:O22+$B$10:$C$10*N23:O23+$B$11:$C$11*N24:O24+$B$4:$C$4*(N25:O25-N19:O19)))</f>
        <v>0.99577618121150191</v>
      </c>
      <c r="O65" s="191"/>
      <c r="P65" s="191">
        <f t="array" ref="P65">SQRT((P9:Q9*$B$22:$C$22+P10:Q10*$B$23:$C$23+P11:Q11*$B$24:$C$24+P4:Q4*($B$25:$C$25-$B$19:$C$19))/($B$9:$C$9*$B$22:$C$22+$B$10:$C$10*$B$23:$C$23+$B$11:$C$11*$B$24:$C$24+$B$4:$C$4*($B$25:$C$25-$B$19:$C$19))*(P9:Q9*P22:Q22+P10:Q10*P23:Q23+P11:Q11*P24:Q24+P4:Q4*(P25:Q25-P19:Q19))/($B$9:$C$9*P22:Q22+$B$10:$C$10*P23:Q23+$B$11:$C$11*P24:Q24+$B$4:$C$4*(P25:Q25-P19:Q19)))</f>
        <v>0.99521538661165099</v>
      </c>
      <c r="Q65" s="191"/>
      <c r="R65" s="191">
        <f t="array" ref="R65">SQRT((R9:S9*$B$22:$C$22+R10:S10*$B$23:$C$23+R11:S11*$B$24:$C$24+R4:S4*($B$25:$C$25-$B$19:$C$19))/($B$9:$C$9*$B$22:$C$22+$B$10:$C$10*$B$23:$C$23+$B$11:$C$11*$B$24:$C$24+$B$4:$C$4*($B$25:$C$25-$B$19:$C$19))*(R9:S9*R22:S22+R10:S10*R23:S23+R11:S11*R24:S24+R4:S4*(R25:S25-R19:S19))/($B$9:$C$9*R22:S22+$B$10:$C$10*R23:S23+$B$11:$C$11*R24:S24+$B$4:$C$4*(R25:S25-R19:S19)))</f>
        <v>0.99468041801482598</v>
      </c>
      <c r="S65" s="191"/>
      <c r="T65" s="191">
        <f t="array" ref="T65">SQRT((T9:U9*$B$22:$C$22+T10:U10*$B$23:$C$23+T11:U11*$B$24:$C$24+T4:U4*($B$25:$C$25-$B$19:$C$19))/($B$9:$C$9*$B$22:$C$22+$B$10:$C$10*$B$23:$C$23+$B$11:$C$11*$B$24:$C$24+$B$4:$C$4*($B$25:$C$25-$B$19:$C$19))*(T9:U9*T22:U22+T10:U10*T23:U23+T11:U11*T24:U24+T4:U4*(T25:U25-T19:U19))/($B$9:$C$9*T22:U22+$B$10:$C$10*T23:U23+$B$11:$C$11*T24:U24+$B$4:$C$4*(T25:U25-T19:U19)))</f>
        <v>0.99413476657679978</v>
      </c>
      <c r="U65" s="191"/>
      <c r="V65" s="191">
        <f t="array" ref="V65">SQRT((V9:W9*$B$22:$C$22+V10:W10*$B$23:$C$23+V11:W11*$B$24:$C$24+V4:W4*($B$25:$C$25-$B$19:$C$19))/($B$9:$C$9*$B$22:$C$22+$B$10:$C$10*$B$23:$C$23+$B$11:$C$11*$B$24:$C$24+$B$4:$C$4*($B$25:$C$25-$B$19:$C$19))*(V9:W9*V22:W22+V10:W10*V23:W23+V11:W11*V24:W24+V4:W4*(V25:W25-V19:W19))/($B$9:$C$9*V22:W22+$B$10:$C$10*V23:W23+$B$11:$C$11*V24:W24+$B$4:$C$4*(V25:W25-V19:W19)))</f>
        <v>0.9934850661684641</v>
      </c>
      <c r="W65" s="191"/>
      <c r="X65" s="191">
        <f t="array" ref="X65">SQRT((X9:Y9*$B$22:$C$22+X10:Y10*$B$23:$C$23+X11:Y11*$B$24:$C$24+X4:Y4*($B$25:$C$25-$B$19:$C$19))/($B$9:$C$9*$B$22:$C$22+$B$10:$C$10*$B$23:$C$23+$B$11:$C$11*$B$24:$C$24+$B$4:$C$4*($B$25:$C$25-$B$19:$C$19))*(X9:Y9*X22:Y22+X10:Y10*X23:Y23+X11:Y11*X24:Y24+X4:Y4*(X25:Y25-X19:Y19))/($B$9:$C$9*X22:Y22+$B$10:$C$10*X23:Y23+$B$11:$C$11*X24:Y24+$B$4:$C$4*(X25:Y25-X19:Y19)))</f>
        <v>0.99246766800198882</v>
      </c>
      <c r="Y65" s="191"/>
      <c r="Z65" s="191" t="e">
        <f t="array" ref="Z65">SQRT((Z9:AA9*$B$22:$C$22+Z10:AA10*$B$23:$C$23+Z11:AA11*$B$24:$C$24+Z4:AA4*($B$25:$C$25-$B$19:$C$19))/($B$9:$C$9*$B$22:$C$22+$B$10:$C$10*$B$23:$C$23+$B$11:$C$11*$B$24:$C$24+$B$4:$C$4*($B$25:$C$25-$B$19:$C$19))*(Z9:AA9*Z22:AA22+Z10:AA10*Z23:AA23+Z11:AA11*Z24:AA24+Z4:AA4*(Z25:AA25-Z19:AA19))/($B$9:$C$9*Z22:AA22+$B$10:$C$10*Z23:AA23+$B$11:$C$11*Z24:AA24+$B$4:$C$4*(Z25:AA25-Z19:AA19)))</f>
        <v>#DIV/0!</v>
      </c>
      <c r="AA65" s="191"/>
      <c r="AB65" s="19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91"/>
      <c r="AD65" s="19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91"/>
      <c r="AF65" s="19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91"/>
      <c r="AH65" s="19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91"/>
      <c r="AJ65" s="19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91"/>
      <c r="AL65" s="19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0.99912132524465946</v>
      </c>
      <c r="E66" s="191"/>
      <c r="F66" s="191">
        <f t="array" ref="F66">SQRT((F9:G9*$B$22:$C$22)/($B$9:$C$9*$B$22:$C$22)*(F9:G9*F22:G22)/($B$9:$C$9*F22:G22))</f>
        <v>0.99827970151411671</v>
      </c>
      <c r="G66" s="191"/>
      <c r="H66" s="191">
        <f t="array" ref="H66">SQRT((H9:I9*$B$22:$C$22)/($B$9:$C$9*$B$22:$C$22)*(H9:I9*H22:I22)/($B$9:$C$9*H22:I22))</f>
        <v>0.99747875702282252</v>
      </c>
      <c r="I66" s="191"/>
      <c r="J66" s="191">
        <f t="array" ref="J66">SQRT((J9:K9*$B$22:$C$22)/($B$9:$C$9*$B$22:$C$22)*(J9:K9*J22:K22)/($B$9:$C$9*J22:K22))</f>
        <v>0.99672206238427097</v>
      </c>
      <c r="K66" s="191"/>
      <c r="L66" s="191">
        <f t="array" ref="L66">SQRT((L9:M9*$B$22:$C$22)/($B$9:$C$9*$B$22:$C$22)*(L9:M9*L22:M22)/($B$9:$C$9*L22:M22))</f>
        <v>0.99601243164042352</v>
      </c>
      <c r="M66" s="191"/>
      <c r="N66" s="191">
        <f t="array" ref="N66">SQRT((N9:O9*$B$22:$C$22)/($B$9:$C$9*$B$22:$C$22)*(N9:O9*N22:O22)/($B$9:$C$9*N22:O22))</f>
        <v>0.99535054493472941</v>
      </c>
      <c r="O66" s="191"/>
      <c r="P66" s="191">
        <f t="array" ref="P66">SQRT((P9:Q9*$B$22:$C$22)/($B$9:$C$9*$B$22:$C$22)*(P9:Q9*P22:Q22)/($B$9:$C$9*P22:Q22))</f>
        <v>0.99473213408438521</v>
      </c>
      <c r="Q66" s="191"/>
      <c r="R66" s="191">
        <f t="array" ref="R66">SQRT((R9:S9*$B$22:$C$22)/($B$9:$C$9*$B$22:$C$22)*(R9:S9*R22:S22)/($B$9:$C$9*R22:S22))</f>
        <v>0.99414195698806329</v>
      </c>
      <c r="S66" s="191"/>
      <c r="T66" s="191">
        <f t="array" ref="T66">SQRT((T9:U9*$B$22:$C$22)/($B$9:$C$9*$B$22:$C$22)*(T9:U9*T22:U22)/($B$9:$C$9*T22:U22))</f>
        <v>0.99353973416119479</v>
      </c>
      <c r="U66" s="191"/>
      <c r="V66" s="191">
        <f t="array" ref="V66">SQRT((V9:W9*$B$22:$C$22)/($B$9:$C$9*$B$22:$C$22)*(V9:W9*V22:W22)/($B$9:$C$9*V22:W22))</f>
        <v>0.99282230233533253</v>
      </c>
      <c r="W66" s="191"/>
      <c r="X66" s="191">
        <f t="array" ref="X66">SQRT((X9:Y9*$B$22:$C$22)/($B$9:$C$9*$B$22:$C$22)*(X9:Y9*X22:Y22)/($B$9:$C$9*X22:Y22))</f>
        <v>0.99169799130103808</v>
      </c>
      <c r="Y66" s="191"/>
      <c r="Z66" s="191" t="e">
        <f t="array" ref="Z66">SQRT((Z9:AA9*$B$22:$C$22)/($B$9:$C$9*$B$22:$C$22)*(Z9:AA9*Z22:AA22)/($B$9:$C$9*Z22:AA22))</f>
        <v>#DIV/0!</v>
      </c>
      <c r="AA66" s="191"/>
      <c r="AB66" s="191" t="e">
        <f t="array" ref="AB66">SQRT((AB9:AC9*$B$22:$C$22)/($B$9:$C$9*$B$22:$C$22)*(AB9:AC9*AB22:AC22)/($B$9:$C$9*AB22:AC22))</f>
        <v>#DIV/0!</v>
      </c>
      <c r="AC66" s="191"/>
      <c r="AD66" s="191" t="e">
        <f t="array" ref="AD66">SQRT((AD9:AE9*$B$22:$C$22)/($B$9:$C$9*$B$22:$C$22)*(AD9:AE9*AD22:AE22)/($B$9:$C$9*AD22:AE22))</f>
        <v>#DIV/0!</v>
      </c>
      <c r="AE66" s="191"/>
      <c r="AF66" s="191" t="e">
        <f t="array" ref="AF66">SQRT((AF9:AG9*$B$22:$C$22)/($B$9:$C$9*$B$22:$C$22)*(AF9:AG9*AF22:AG22)/($B$9:$C$9*AF22:AG22))</f>
        <v>#DIV/0!</v>
      </c>
      <c r="AG66" s="191"/>
      <c r="AH66" s="191" t="e">
        <f t="array" ref="AH66">SQRT((AH9:AI9*$B$22:$C$22)/($B$9:$C$9*$B$22:$C$22)*(AH9:AI9*AH22:AI22)/($B$9:$C$9*AH22:AI22))</f>
        <v>#DIV/0!</v>
      </c>
      <c r="AI66" s="191"/>
      <c r="AJ66" s="191" t="e">
        <f t="array" ref="AJ66">SQRT((AJ9:AK9*$B$22:$C$22)/($B$9:$C$9*$B$22:$C$22)*(AJ9:AK9*AJ22:AK22)/($B$9:$C$9*AJ22:AK22))</f>
        <v>#DIV/0!</v>
      </c>
      <c r="AK66" s="191"/>
      <c r="AL66" s="191" t="e">
        <f t="array" ref="AL66">SQRT((AL9:AM9*$B$22:$C$22)/($B$9:$C$9*$B$22:$C$22)*(AL9:AM9*AL22:AM22)/($B$9:$C$9*AL22:AM22))</f>
        <v>#DIV/0!</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t="e">
        <f t="array" ref="Z67">SQRT((Z4:AA4*$B$19:$C$19)/($B$4:$C$4*$B$19:$C$19)*(Z4:AA4*Z19:AA19)/($B$4:$C$4*Z19:AA19))</f>
        <v>#DIV/0!</v>
      </c>
      <c r="AA67" s="191"/>
      <c r="AB67" s="191" t="e">
        <f t="array" ref="AB67">SQRT((AB4:AC4*$B$19:$C$19)/($B$4:$C$4*$B$19:$C$19)*(AB4:AC4*AB19:AC19)/($B$4:$C$4*AB19:AC19))</f>
        <v>#DIV/0!</v>
      </c>
      <c r="AC67" s="191"/>
      <c r="AD67" s="191" t="e">
        <f t="array" ref="AD67">SQRT((AD4:AE4*$B$19:$C$19)/($B$4:$C$4*$B$19:$C$19)*(AD4:AE4*AD19:AE19)/($B$4:$C$4*AD19:AE19))</f>
        <v>#DIV/0!</v>
      </c>
      <c r="AE67" s="191"/>
      <c r="AF67" s="191" t="e">
        <f t="array" ref="AF67">SQRT((AF4:AG4*$B$19:$C$19)/($B$4:$C$4*$B$19:$C$19)*(AF4:AG4*AF19:AG19)/($B$4:$C$4*AF19:AG19))</f>
        <v>#DIV/0!</v>
      </c>
      <c r="AG67" s="191"/>
      <c r="AH67" s="191" t="e">
        <f t="array" ref="AH67">SQRT((AH4:AI4*$B$19:$C$19)/($B$4:$C$4*$B$19:$C$19)*(AH4:AI4*AH19:AI19)/($B$4:$C$4*AH19:AI19))</f>
        <v>#DIV/0!</v>
      </c>
      <c r="AI67" s="191"/>
      <c r="AJ67" s="191" t="e">
        <f t="array" ref="AJ67">SQRT((AJ4:AK4*$B$19:$C$19)/($B$4:$C$4*$B$19:$C$19)*(AJ4:AK4*AJ19:AK19)/($B$4:$C$4*AJ19:AK19))</f>
        <v>#DIV/0!</v>
      </c>
      <c r="AK67" s="191"/>
      <c r="AL67" s="191" t="e">
        <f t="array" ref="AL67">SQRT((AL4:AM4*$B$19:$C$19)/($B$4:$C$4*$B$19:$C$19)*(AL4:AM4*AL19:AM19)/($B$4:$C$4*AL19:AM19))</f>
        <v>#DIV/0!</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0.99912132524465946</v>
      </c>
      <c r="E68" s="191"/>
      <c r="F68" s="191">
        <f>F66/F67</f>
        <v>0.99827970151411671</v>
      </c>
      <c r="G68" s="191"/>
      <c r="H68" s="191">
        <f>H66/H67</f>
        <v>0.99747875702282252</v>
      </c>
      <c r="I68" s="191"/>
      <c r="J68" s="191">
        <f>J66/J67</f>
        <v>0.99672206238427097</v>
      </c>
      <c r="K68" s="191"/>
      <c r="L68" s="191">
        <f>L66/L67</f>
        <v>0.99601243164042352</v>
      </c>
      <c r="M68" s="191"/>
      <c r="N68" s="191">
        <f>N66/N67</f>
        <v>0.99535054493472941</v>
      </c>
      <c r="O68" s="191"/>
      <c r="P68" s="191">
        <f>P66/P67</f>
        <v>0.99473213408438521</v>
      </c>
      <c r="Q68" s="191"/>
      <c r="R68" s="191">
        <f>R66/R67</f>
        <v>0.99414195698806329</v>
      </c>
      <c r="S68" s="191"/>
      <c r="T68" s="191">
        <f>T66/T67</f>
        <v>0.99353973416119479</v>
      </c>
      <c r="U68" s="191"/>
      <c r="V68" s="191">
        <f>V66/V67</f>
        <v>0.99282230233533253</v>
      </c>
      <c r="W68" s="191"/>
      <c r="X68" s="191">
        <f>X66/X67</f>
        <v>0.99169799130103808</v>
      </c>
      <c r="Y68" s="191"/>
      <c r="Z68" s="191" t="e">
        <f>Z66/Z67</f>
        <v>#DIV/0!</v>
      </c>
      <c r="AA68" s="191"/>
      <c r="AB68" s="191" t="e">
        <f>AB66/AB67</f>
        <v>#DIV/0!</v>
      </c>
      <c r="AC68" s="191"/>
      <c r="AD68" s="191" t="e">
        <f>AD66/AD67</f>
        <v>#DIV/0!</v>
      </c>
      <c r="AE68" s="191"/>
      <c r="AF68" s="191" t="e">
        <f>AF66/AF67</f>
        <v>#DIV/0!</v>
      </c>
      <c r="AG68" s="191"/>
      <c r="AH68" s="191" t="e">
        <f>AH66/AH67</f>
        <v>#DIV/0!</v>
      </c>
      <c r="AI68" s="191"/>
      <c r="AJ68" s="191" t="e">
        <f>AJ66/AJ67</f>
        <v>#DIV/0!</v>
      </c>
      <c r="AK68" s="191"/>
      <c r="AL68" s="191" t="e">
        <f>AL66/AL67</f>
        <v>#DIV/0!</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0.97946725111418331</v>
      </c>
      <c r="E69" s="191"/>
      <c r="F69" s="191">
        <f>F32/F65/($B$32)</f>
        <v>0.95657173375338056</v>
      </c>
      <c r="G69" s="191"/>
      <c r="H69" s="191">
        <f>H32/H65/($B$32)</f>
        <v>0.93106783947431948</v>
      </c>
      <c r="I69" s="191"/>
      <c r="J69" s="191">
        <f>J32/J65/($B$32)</f>
        <v>0.90270106450258003</v>
      </c>
      <c r="K69" s="191"/>
      <c r="L69" s="191">
        <f>L32/L65/($B$32)</f>
        <v>0.87122097830269996</v>
      </c>
      <c r="M69" s="191"/>
      <c r="N69" s="191">
        <f>N32/N65/($B$32)</f>
        <v>0.83639828125682492</v>
      </c>
      <c r="O69" s="191"/>
      <c r="P69" s="191">
        <f>P32/P65/($B$32)</f>
        <v>0.79805628807710804</v>
      </c>
      <c r="Q69" s="191"/>
      <c r="R69" s="191">
        <f>R32/R65/($B$32)</f>
        <v>0.75611994399075499</v>
      </c>
      <c r="S69" s="191"/>
      <c r="T69" s="191">
        <f>T32/T65/($B$32)</f>
        <v>0.71070562941549187</v>
      </c>
      <c r="U69" s="191"/>
      <c r="V69" s="191">
        <f>V32/V65/($B$32)</f>
        <v>0.66232142719096498</v>
      </c>
      <c r="W69" s="191"/>
      <c r="X69" s="191">
        <f>X32/X65/($B$32)</f>
        <v>0.61245237867113</v>
      </c>
      <c r="Y69" s="191"/>
      <c r="Z69" s="191" t="e">
        <f>Z32/Z65/($B$32)</f>
        <v>#DIV/0!</v>
      </c>
      <c r="AA69" s="191"/>
      <c r="AB69" s="191" t="e">
        <f>AB32/AB65/($B$32)</f>
        <v>#DIV/0!</v>
      </c>
      <c r="AC69" s="191"/>
      <c r="AD69" s="191" t="e">
        <f>AD32/AD65/($B$32)</f>
        <v>#DIV/0!</v>
      </c>
      <c r="AE69" s="191"/>
      <c r="AF69" s="191" t="e">
        <f>AF32/AF65/($B$32)</f>
        <v>#DIV/0!</v>
      </c>
      <c r="AG69" s="191"/>
      <c r="AH69" s="191" t="e">
        <f>AH32/AH65/($B$32)</f>
        <v>#DIV/0!</v>
      </c>
      <c r="AI69" s="191"/>
      <c r="AJ69" s="191" t="e">
        <f>AJ32/AJ65/($B$32)</f>
        <v>#DIV/0!</v>
      </c>
      <c r="AK69" s="191"/>
      <c r="AL69" s="191" t="e">
        <f>AL32/AL65/($B$32)</f>
        <v>#DIV/0!</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0.97869754925427543</v>
      </c>
      <c r="E70" s="138"/>
      <c r="F70" s="138">
        <f>F18/$B$18</f>
        <v>0.95507314705628998</v>
      </c>
      <c r="G70" s="138"/>
      <c r="H70" s="138">
        <f>H18/$B$18</f>
        <v>0.92888916750272232</v>
      </c>
      <c r="I70" s="138"/>
      <c r="J70" s="138">
        <f>J18/$B$18</f>
        <v>0.89990019110509756</v>
      </c>
      <c r="K70" s="138"/>
      <c r="L70" s="138">
        <f>L18/$B$18</f>
        <v>0.86786597136472865</v>
      </c>
      <c r="M70" s="138"/>
      <c r="N70" s="138">
        <f>N18/$B$18</f>
        <v>0.83256860769743168</v>
      </c>
      <c r="O70" s="138"/>
      <c r="P70" s="138">
        <f>P18/$B$18</f>
        <v>0.79384403942273896</v>
      </c>
      <c r="Q70" s="138"/>
      <c r="R70" s="138">
        <f>R18/$B$18</f>
        <v>0.75163139788878119</v>
      </c>
      <c r="S70" s="138"/>
      <c r="T70" s="138">
        <f>T18/$B$18</f>
        <v>0.70606398575151386</v>
      </c>
      <c r="U70" s="138"/>
      <c r="V70" s="138">
        <f>V18/$B$18</f>
        <v>0.65767373066021428</v>
      </c>
      <c r="W70" s="138"/>
      <c r="X70" s="138">
        <f>X18/$B$18</f>
        <v>0.60799396806734696</v>
      </c>
      <c r="Y70" s="138"/>
      <c r="Z70" s="138">
        <f>Z18/$B$18</f>
        <v>0</v>
      </c>
      <c r="AA70" s="138"/>
      <c r="AB70" s="138">
        <f>AB18/$B$18</f>
        <v>0</v>
      </c>
      <c r="AC70" s="138"/>
      <c r="AD70" s="138">
        <f>AD18/$B$18</f>
        <v>0</v>
      </c>
      <c r="AE70" s="138"/>
      <c r="AF70" s="138">
        <f>AF18/$B$18</f>
        <v>0</v>
      </c>
      <c r="AG70" s="138"/>
      <c r="AH70" s="138">
        <f>AH18/$B$18</f>
        <v>0</v>
      </c>
      <c r="AI70" s="138"/>
      <c r="AJ70" s="138">
        <f>AJ18/$B$18</f>
        <v>0</v>
      </c>
      <c r="AK70" s="138"/>
      <c r="AL70" s="138">
        <f>AL18/$B$18</f>
        <v>0</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0.9386870399746704</v>
      </c>
      <c r="E71" s="138"/>
      <c r="F71" s="138">
        <f>G18/$C$18</f>
        <v>0.87850474794174405</v>
      </c>
      <c r="G71" s="138"/>
      <c r="H71" s="138">
        <f>I18/$C$18</f>
        <v>0.81952615927028338</v>
      </c>
      <c r="I71" s="138"/>
      <c r="J71" s="138">
        <f>K18/$C$18</f>
        <v>0.76181888007392962</v>
      </c>
      <c r="K71" s="138"/>
      <c r="L71" s="138">
        <f>M18/$C$18</f>
        <v>0.70543566669106927</v>
      </c>
      <c r="M71" s="138"/>
      <c r="N71" s="138">
        <f>O18/$C$18</f>
        <v>0.65040214965544629</v>
      </c>
      <c r="O71" s="138"/>
      <c r="P71" s="138">
        <f>Q18/$C$18</f>
        <v>0.5966941996036973</v>
      </c>
      <c r="Q71" s="138"/>
      <c r="R71" s="138">
        <f>S18/$C$18</f>
        <v>0.5441994689906593</v>
      </c>
      <c r="S71" s="138"/>
      <c r="T71" s="138">
        <f>U18/$C$18</f>
        <v>0.49263943058857085</v>
      </c>
      <c r="U71" s="138"/>
      <c r="V71" s="138">
        <f>W18/$C$18</f>
        <v>0.44137886249473685</v>
      </c>
      <c r="W71" s="138"/>
      <c r="X71" s="138">
        <f>Y18/$C$18</f>
        <v>0.38882242541715722</v>
      </c>
      <c r="Y71" s="138"/>
      <c r="Z71" s="138">
        <f>AA18/$C$18</f>
        <v>0</v>
      </c>
      <c r="AA71" s="138"/>
      <c r="AB71" s="138">
        <f>AC18/$C$18</f>
        <v>0</v>
      </c>
      <c r="AC71" s="138"/>
      <c r="AD71" s="138">
        <f>AE18/$C$18</f>
        <v>0</v>
      </c>
      <c r="AE71" s="138"/>
      <c r="AF71" s="138">
        <f>AG18/$C$18</f>
        <v>0</v>
      </c>
      <c r="AG71" s="138"/>
      <c r="AH71" s="138">
        <f>AI18/$C$18</f>
        <v>0</v>
      </c>
      <c r="AI71" s="138"/>
      <c r="AJ71" s="138">
        <f>AK18/$C$18</f>
        <v>0</v>
      </c>
      <c r="AK71" s="138"/>
      <c r="AL71" s="138">
        <f>AM18/$C$18</f>
        <v>0</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0.99174960289381775</v>
      </c>
      <c r="E72" s="138"/>
      <c r="F72" s="138">
        <f>G19/$C$19</f>
        <v>0.98036659758771461</v>
      </c>
      <c r="G72" s="138"/>
      <c r="H72" s="138">
        <f>I19/$C$19</f>
        <v>0.96539876407196801</v>
      </c>
      <c r="I72" s="138"/>
      <c r="J72" s="138">
        <f>K19/$C$19</f>
        <v>0.94639189511570054</v>
      </c>
      <c r="K72" s="138"/>
      <c r="L72" s="138">
        <f>M19/$C$19</f>
        <v>0.92292750972108839</v>
      </c>
      <c r="M72" s="138"/>
      <c r="N72" s="138">
        <f>O19/$C$19</f>
        <v>0.8946877188728205</v>
      </c>
      <c r="O72" s="138"/>
      <c r="P72" s="138">
        <f>Q19/$C$19</f>
        <v>0.86156236703725475</v>
      </c>
      <c r="Q72" s="138"/>
      <c r="R72" s="138">
        <f>S19/$C$19</f>
        <v>0.82384035116584153</v>
      </c>
      <c r="S72" s="138"/>
      <c r="T72" s="138">
        <f>U19/$C$19</f>
        <v>0.78259164628370792</v>
      </c>
      <c r="U72" s="138"/>
      <c r="V72" s="138">
        <f>W19/$C$19</f>
        <v>0.74060528629510747</v>
      </c>
      <c r="W72" s="138"/>
      <c r="X72" s="138">
        <f>Y19/$C$19</f>
        <v>0.70543503716644129</v>
      </c>
      <c r="Y72" s="138"/>
      <c r="Z72" s="138">
        <f>AA19/$C$19</f>
        <v>0</v>
      </c>
      <c r="AA72" s="138"/>
      <c r="AB72" s="138">
        <f>AC19/$C$19</f>
        <v>0</v>
      </c>
      <c r="AC72" s="138"/>
      <c r="AD72" s="138">
        <f>AE19/$C$19</f>
        <v>0</v>
      </c>
      <c r="AE72" s="138"/>
      <c r="AF72" s="138">
        <f>AG19/$C$19</f>
        <v>0</v>
      </c>
      <c r="AG72" s="138"/>
      <c r="AH72" s="138">
        <f>AI19/$C$19</f>
        <v>0</v>
      </c>
      <c r="AI72" s="138"/>
      <c r="AJ72" s="138">
        <f>AK19/$C$19</f>
        <v>0</v>
      </c>
      <c r="AK72" s="138"/>
      <c r="AL72" s="138">
        <f>AM19/$C$19</f>
        <v>0</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0.47641153352875065</v>
      </c>
      <c r="D73" s="193">
        <f t="array" ref="D73">SUM(D9:E9*D22:E22)/D32</f>
        <v>0.47641154051763485</v>
      </c>
      <c r="E73" s="138"/>
      <c r="F73" s="193">
        <f t="array" ref="F73">SUM(F9:G9*F22:G22)/F32</f>
        <v>0.47641154010011993</v>
      </c>
      <c r="G73" s="138"/>
      <c r="H73" s="193">
        <f t="array" ref="H73">SUM(H9:I9*H22:I22)/H32</f>
        <v>0.47641153314145473</v>
      </c>
      <c r="I73" s="138"/>
      <c r="J73" s="193">
        <f t="array" ref="J73">SUM(J9:K9*J22:K22)/J32</f>
        <v>0.47641153294674432</v>
      </c>
      <c r="K73" s="138"/>
      <c r="L73" s="193">
        <f t="array" ref="L73">SUM(L9:M9*L22:M22)/L32</f>
        <v>0.47641153160433924</v>
      </c>
      <c r="M73" s="138"/>
      <c r="N73" s="193">
        <f t="array" ref="N73">SUM(N9:O9*N22:O22)/N32</f>
        <v>0.47641153308916601</v>
      </c>
      <c r="O73" s="138"/>
      <c r="P73" s="193">
        <f t="array" ref="P73">SUM(P9:Q9*P22:Q22)/P32</f>
        <v>0.47641153391833668</v>
      </c>
      <c r="Q73" s="138"/>
      <c r="R73" s="193">
        <f t="array" ref="R73">SUM(R9:S9*R22:S22)/R32</f>
        <v>0.4764115332409628</v>
      </c>
      <c r="S73" s="138"/>
      <c r="T73" s="193">
        <f t="array" ref="T73">SUM(T9:U9*T22:U22)/T32</f>
        <v>0.4764115336038236</v>
      </c>
      <c r="U73" s="138"/>
      <c r="V73" s="193">
        <f t="array" ref="V73">SUM(V9:W9*V22:W22)/V32</f>
        <v>0.4764115332198981</v>
      </c>
      <c r="W73" s="138"/>
      <c r="X73" s="193">
        <f t="array" ref="X73">SUM(X9:Y9*X22:Y22)/X32</f>
        <v>0.47641153518768053</v>
      </c>
      <c r="Y73" s="138"/>
      <c r="Z73" s="193" t="e">
        <f t="array" ref="Z73">SUM(Z9:AA9*Z22:AA22)/Z32</f>
        <v>#DIV/0!</v>
      </c>
      <c r="AA73" s="138"/>
      <c r="AB73" s="193" t="e">
        <f t="array" ref="AB73">SUM(AB9:AC9*AB22:AC22)/AB32</f>
        <v>#DIV/0!</v>
      </c>
      <c r="AC73" s="138"/>
      <c r="AD73" s="193" t="e">
        <f t="array" ref="AD73">SUM(AD9:AE9*AD22:AE22)/AD32</f>
        <v>#DIV/0!</v>
      </c>
      <c r="AE73" s="138"/>
      <c r="AF73" s="193" t="e">
        <f t="array" ref="AF73">SUM(AF9:AG9*AF22:AG22)/AF32</f>
        <v>#DIV/0!</v>
      </c>
      <c r="AG73" s="138"/>
      <c r="AH73" s="193" t="e">
        <f t="array" ref="AH73">SUM(AH9:AI9*AH22:AI22)/AH32</f>
        <v>#DIV/0!</v>
      </c>
      <c r="AI73" s="138"/>
      <c r="AJ73" s="193" t="e">
        <f t="array" ref="AJ73">SUM(AJ9:AK9*AJ22:AK22)/AJ32</f>
        <v>#DIV/0!</v>
      </c>
      <c r="AK73" s="138"/>
      <c r="AL73" s="193" t="e">
        <f t="array" ref="AL73">SUM(AL9:AM9*AL22:AM22)/AL32</f>
        <v>#DIV/0!</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0.22604620456442487</v>
      </c>
      <c r="M74" s="138"/>
      <c r="N74" s="193">
        <f t="array" ref="N74">SUM(N10:O10*N23:O23)/N32</f>
        <v>0.22604620456442484</v>
      </c>
      <c r="O74" s="138"/>
      <c r="P74" s="193">
        <f t="array" ref="P74">SUM(P10:Q10*P23:Q23)/P32</f>
        <v>0.22604620456442484</v>
      </c>
      <c r="Q74" s="138"/>
      <c r="R74" s="193">
        <f t="array" ref="R74">SUM(R10:S10*R23:S23)/R32</f>
        <v>0.22604620456442481</v>
      </c>
      <c r="S74" s="138"/>
      <c r="T74" s="193">
        <f t="array" ref="T74">SUM(T10:U10*T23:U23)/T32</f>
        <v>0.22604620456442484</v>
      </c>
      <c r="U74" s="138"/>
      <c r="V74" s="193">
        <f t="array" ref="V74">SUM(V10:W10*V23:W23)/V32</f>
        <v>0.22604620456442484</v>
      </c>
      <c r="W74" s="138"/>
      <c r="X74" s="193">
        <f t="array" ref="X74">SUM(X10:Y10*X23:Y23)/X32</f>
        <v>0.22604620456442484</v>
      </c>
      <c r="Y74" s="138"/>
      <c r="Z74" s="193" t="e">
        <f t="array" ref="Z74">SUM(Z10:AA10*Z23:AA23)/Z32</f>
        <v>#DIV/0!</v>
      </c>
      <c r="AA74" s="138"/>
      <c r="AB74" s="193" t="e">
        <f t="array" ref="AB74">SUM(AB10:AC10*AB23:AC23)/AB32</f>
        <v>#DIV/0!</v>
      </c>
      <c r="AC74" s="138"/>
      <c r="AD74" s="193" t="e">
        <f t="array" ref="AD74">SUM(AD10:AE10*AD23:AE23)/AD32</f>
        <v>#DIV/0!</v>
      </c>
      <c r="AE74" s="138"/>
      <c r="AF74" s="193" t="e">
        <f t="array" ref="AF74">SUM(AF10:AG10*AF23:AG23)/AF32</f>
        <v>#DIV/0!</v>
      </c>
      <c r="AG74" s="138"/>
      <c r="AH74" s="193" t="e">
        <f t="array" ref="AH74">SUM(AH10:AI10*AH23:AI23)/AH32</f>
        <v>#DIV/0!</v>
      </c>
      <c r="AI74" s="138"/>
      <c r="AJ74" s="193" t="e">
        <f t="array" ref="AJ74">SUM(AJ10:AK10*AJ23:AK23)/AJ32</f>
        <v>#DIV/0!</v>
      </c>
      <c r="AK74" s="138"/>
      <c r="AL74" s="193" t="e">
        <f t="array" ref="AL74">SUM(AL10:AM10*AL23:AM23)/AL32</f>
        <v>#DIV/0!</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0.22038438854590797</v>
      </c>
      <c r="E75" s="138"/>
      <c r="F75" s="193">
        <f t="array" ref="F75">SUM(F11:G11*F24:G24)/F32</f>
        <v>0.22038438838138194</v>
      </c>
      <c r="G75" s="138"/>
      <c r="H75" s="193">
        <f t="array" ref="H75">SUM(H11:I11*H24:I24)/H32</f>
        <v>0.22038438824235659</v>
      </c>
      <c r="I75" s="138"/>
      <c r="J75" s="193">
        <f t="array" ref="J75">SUM(J11:K11*J24:K24)/J32</f>
        <v>0.22038438823880938</v>
      </c>
      <c r="K75" s="138"/>
      <c r="L75" s="193">
        <f t="array" ref="L75">SUM(L11:M11*L24:M24)/L32</f>
        <v>0.22038438818712255</v>
      </c>
      <c r="M75" s="138"/>
      <c r="N75" s="193">
        <f t="array" ref="N75">SUM(N11:O11*N24:O24)/N32</f>
        <v>0.22038438831333565</v>
      </c>
      <c r="O75" s="138"/>
      <c r="P75" s="193">
        <f t="array" ref="P75">SUM(P11:Q11*P24:Q24)/P32</f>
        <v>0.22038438844220937</v>
      </c>
      <c r="Q75" s="138"/>
      <c r="R75" s="193">
        <f t="array" ref="R75">SUM(R11:S11*R24:S24)/R32</f>
        <v>0.22038438824237119</v>
      </c>
      <c r="S75" s="138"/>
      <c r="T75" s="193">
        <f t="array" ref="T75">SUM(T11:U11*T24:U24)/T32</f>
        <v>0.22038438842320535</v>
      </c>
      <c r="U75" s="138"/>
      <c r="V75" s="193">
        <f t="array" ref="V75">SUM(V11:W11*V24:W24)/V32</f>
        <v>0.22038438864092971</v>
      </c>
      <c r="W75" s="138"/>
      <c r="X75" s="193">
        <f t="array" ref="X75">SUM(X11:Y11*X24:Y24)/X32</f>
        <v>0.22038438815060116</v>
      </c>
      <c r="Y75" s="138"/>
      <c r="Z75" s="193" t="e">
        <f t="array" ref="Z75">SUM(Z11:AA11*Z24:AA24)/Z32</f>
        <v>#DIV/0!</v>
      </c>
      <c r="AA75" s="138"/>
      <c r="AB75" s="193" t="e">
        <f t="array" ref="AB75">SUM(AB11:AC11*AB24:AC24)/AB32</f>
        <v>#DIV/0!</v>
      </c>
      <c r="AC75" s="138"/>
      <c r="AD75" s="193" t="e">
        <f t="array" ref="AD75">SUM(AD11:AE11*AD24:AE24)/AD32</f>
        <v>#DIV/0!</v>
      </c>
      <c r="AE75" s="138"/>
      <c r="AF75" s="193" t="e">
        <f t="array" ref="AF75">SUM(AF11:AG11*AF24:AG24)/AF32</f>
        <v>#DIV/0!</v>
      </c>
      <c r="AG75" s="138"/>
      <c r="AH75" s="193" t="e">
        <f t="array" ref="AH75">SUM(AH11:AI11*AH24:AI24)/AH32</f>
        <v>#DIV/0!</v>
      </c>
      <c r="AI75" s="138"/>
      <c r="AJ75" s="193" t="e">
        <f t="array" ref="AJ75">SUM(AJ11:AK11*AJ24:AK24)/AJ32</f>
        <v>#DIV/0!</v>
      </c>
      <c r="AK75" s="138"/>
      <c r="AL75" s="193" t="e">
        <f t="array" ref="AL75">SUM(AL11:AM11*AL24:AM24)/AL32</f>
        <v>#DIV/0!</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0.22298871044487889</v>
      </c>
      <c r="E76" s="138"/>
      <c r="F76" s="193">
        <f t="array" ref="F76">SUM(F12:G12*F25:G25)/F32</f>
        <v>0.22296270717397151</v>
      </c>
      <c r="G76" s="138"/>
      <c r="H76" s="193">
        <f t="array" ref="H76">SUM(H12:I12*H25:I25)/H32</f>
        <v>0.22293923860516626</v>
      </c>
      <c r="I76" s="138"/>
      <c r="J76" s="193">
        <f t="array" ref="J76">SUM(J12:K12*J25:K25)/J32</f>
        <v>0.2229168890582052</v>
      </c>
      <c r="K76" s="138"/>
      <c r="L76" s="193">
        <f t="array" ref="L76">SUM(L12:M12*L25:M25)/L32</f>
        <v>0.22289467869753105</v>
      </c>
      <c r="M76" s="138"/>
      <c r="N76" s="193">
        <f t="array" ref="N76">SUM(N12:O12*N25:O25)/N32</f>
        <v>0.22287284132578961</v>
      </c>
      <c r="O76" s="138"/>
      <c r="P76" s="193">
        <f t="array" ref="P76">SUM(P12:Q12*P25:Q25)/P32</f>
        <v>0.22285432586805493</v>
      </c>
      <c r="Q76" s="138"/>
      <c r="R76" s="193">
        <f t="array" ref="R76">SUM(R12:S12*R25:S25)/R32</f>
        <v>0.22284808454607583</v>
      </c>
      <c r="S76" s="138"/>
      <c r="T76" s="193">
        <f t="array" ref="T76">SUM(T12:U12*T25:U25)/T32</f>
        <v>0.22287678895099197</v>
      </c>
      <c r="U76" s="138"/>
      <c r="V76" s="193">
        <f t="array" ref="V76">SUM(V12:W12*V25:W25)/V32</f>
        <v>0.22299790120587071</v>
      </c>
      <c r="W76" s="138"/>
      <c r="X76" s="193">
        <f t="array" ref="X76">SUM(X12:Y12*X25:Y25)/X32</f>
        <v>0.22337600010019737</v>
      </c>
      <c r="Y76" s="138"/>
      <c r="Z76" s="193" t="e">
        <f t="array" ref="Z76">SUM(Z12:AA12*Z25:AA25)/Z32</f>
        <v>#DIV/0!</v>
      </c>
      <c r="AA76" s="138"/>
      <c r="AB76" s="193" t="e">
        <f t="array" ref="AB76">SUM(AB12:AC12*AB25:AC25)/AB32</f>
        <v>#DIV/0!</v>
      </c>
      <c r="AC76" s="138"/>
      <c r="AD76" s="193" t="e">
        <f t="array" ref="AD76">SUM(AD12:AE12*AD25:AE25)/AD32</f>
        <v>#DIV/0!</v>
      </c>
      <c r="AE76" s="138"/>
      <c r="AF76" s="193" t="e">
        <f t="array" ref="AF76">SUM(AF12:AG12*AF25:AG25)/AF32</f>
        <v>#DIV/0!</v>
      </c>
      <c r="AG76" s="138"/>
      <c r="AH76" s="193" t="e">
        <f t="array" ref="AH76">SUM(AH12:AI12*AH25:AI25)/AH32</f>
        <v>#DIV/0!</v>
      </c>
      <c r="AI76" s="138"/>
      <c r="AJ76" s="193" t="e">
        <f t="array" ref="AJ76">SUM(AJ12:AK12*AJ25:AK25)/AJ32</f>
        <v>#DIV/0!</v>
      </c>
      <c r="AK76" s="138"/>
      <c r="AL76" s="193" t="e">
        <f t="array" ref="AL76">SUM(AL12:AM12*AL25:AM25)/AL32</f>
        <v>#DIV/0!</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0.14586087017236485</v>
      </c>
      <c r="D77" s="193">
        <f t="array" ref="D77">SUM(D4:E4*D19:E19)/D32</f>
        <v>0.14583084407284647</v>
      </c>
      <c r="E77" s="138"/>
      <c r="F77" s="193">
        <f t="array" ref="F77">SUM(F4:G4*F19:G19)/F32</f>
        <v>0.14580484021989809</v>
      </c>
      <c r="G77" s="138"/>
      <c r="H77" s="193">
        <f t="array" ref="H77">SUM(H4:I4*H19:I19)/H32</f>
        <v>0.14578136455340232</v>
      </c>
      <c r="I77" s="138"/>
      <c r="J77" s="193">
        <f t="array" ref="J77">SUM(J4:K4*J19:K19)/J32</f>
        <v>0.14575901480818365</v>
      </c>
      <c r="K77" s="138"/>
      <c r="L77" s="193">
        <f t="array" ref="L77">SUM(L4:M4*L19:M19)/L32</f>
        <v>0.1457368030534176</v>
      </c>
      <c r="M77" s="138"/>
      <c r="N77" s="193">
        <f t="array" ref="N77">SUM(N4:O4*N19:O19)/N32</f>
        <v>0.14571496729271607</v>
      </c>
      <c r="O77" s="138"/>
      <c r="P77" s="193">
        <f t="array" ref="P77">SUM(P4:Q4*P19:Q19)/P32</f>
        <v>0.14569645279302562</v>
      </c>
      <c r="Q77" s="138"/>
      <c r="R77" s="193">
        <f t="array" ref="R77">SUM(R4:S4*R19:S19)/R32</f>
        <v>0.14569021059383436</v>
      </c>
      <c r="S77" s="138"/>
      <c r="T77" s="193">
        <f t="array" ref="T77">SUM(T4:U4*T19:U19)/T32</f>
        <v>0.1457189155424457</v>
      </c>
      <c r="U77" s="138"/>
      <c r="V77" s="193">
        <f t="array" ref="V77">SUM(V4:W4*V19:W19)/V32</f>
        <v>0.14584002763112308</v>
      </c>
      <c r="W77" s="138"/>
      <c r="X77" s="193">
        <f t="array" ref="X77">SUM(X4:Y4*X19:Y19)/X32</f>
        <v>0.1462181280029039</v>
      </c>
      <c r="Y77" s="138"/>
      <c r="Z77" s="193" t="e">
        <f t="array" ref="Z77">SUM(Z4:AA4*Z19:AA19)/Z32</f>
        <v>#DIV/0!</v>
      </c>
      <c r="AA77" s="138"/>
      <c r="AB77" s="193" t="e">
        <f t="array" ref="AB77">SUM(AB4:AC4*AB19:AC19)/AB32</f>
        <v>#DIV/0!</v>
      </c>
      <c r="AC77" s="138"/>
      <c r="AD77" s="193" t="e">
        <f t="array" ref="AD77">SUM(AD4:AE4*AD19:AE19)/AD32</f>
        <v>#DIV/0!</v>
      </c>
      <c r="AE77" s="138"/>
      <c r="AF77" s="193" t="e">
        <f t="array" ref="AF77">SUM(AF4:AG4*AF19:AG19)/AF32</f>
        <v>#DIV/0!</v>
      </c>
      <c r="AG77" s="138"/>
      <c r="AH77" s="193" t="e">
        <f t="array" ref="AH77">SUM(AH4:AI4*AH19:AI19)/AH32</f>
        <v>#DIV/0!</v>
      </c>
      <c r="AI77" s="138"/>
      <c r="AJ77" s="193" t="e">
        <f t="array" ref="AJ77">SUM(AJ4:AK4*AJ19:AK19)/AJ32</f>
        <v>#DIV/0!</v>
      </c>
      <c r="AK77" s="138"/>
      <c r="AL77" s="193" t="e">
        <f t="array" ref="AL77">SUM(AL4:AM4*AL19:AM19)/AL32</f>
        <v>#DIV/0!</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0.34093551338881184</v>
      </c>
      <c r="E78" s="138"/>
      <c r="F78" s="193">
        <f t="array" ref="F78">SUM(F13:G13*F26:G26)/F32</f>
        <v>0.33500974069265127</v>
      </c>
      <c r="G78" s="138"/>
      <c r="H78" s="193">
        <f t="array" ref="H78">SUM(H13:I13*H26:I26)/H32</f>
        <v>0.32913341010031799</v>
      </c>
      <c r="I78" s="138"/>
      <c r="J78" s="193">
        <f t="array" ref="J78">SUM(J13:K13*J26:K26)/J32</f>
        <v>0.32333517099215542</v>
      </c>
      <c r="K78" s="138"/>
      <c r="L78" s="193">
        <f t="array" ref="L78">SUM(L13:M13*L26:M26)/L32</f>
        <v>0.31764965244470422</v>
      </c>
      <c r="M78" s="138"/>
      <c r="N78" s="193">
        <f t="array" ref="N78">SUM(N13:O13*N26:O26)/N32</f>
        <v>0.31211891265929564</v>
      </c>
      <c r="O78" s="138"/>
      <c r="P78" s="193">
        <f t="array" ref="P78">SUM(P13:Q13*P26:Q26)/P32</f>
        <v>0.30679323336359127</v>
      </c>
      <c r="Q78" s="138"/>
      <c r="R78" s="193">
        <f t="array" ref="R78">SUM(R13:S13*R26:S26)/R32</f>
        <v>0.30173354270330893</v>
      </c>
      <c r="S78" s="138"/>
      <c r="T78" s="193">
        <f t="array" ref="T78">SUM(T13:U13*T26:U26)/T32</f>
        <v>0.29701686265052252</v>
      </c>
      <c r="U78" s="138"/>
      <c r="V78" s="193">
        <f t="array" ref="V78">SUM(V13:W13*V26:W26)/V32</f>
        <v>0.29275129041753745</v>
      </c>
      <c r="W78" s="138"/>
      <c r="X78" s="193">
        <f t="array" ref="X78">SUM(X13:Y13*X26:Y26)/X32</f>
        <v>0.28913361088363132</v>
      </c>
      <c r="Y78" s="138"/>
      <c r="Z78" s="193" t="e">
        <f t="array" ref="Z78">SUM(Z13:AA13*Z26:AA26)/Z32</f>
        <v>#DIV/0!</v>
      </c>
      <c r="AA78" s="138"/>
      <c r="AB78" s="193" t="e">
        <f t="array" ref="AB78">SUM(AB13:AC13*AB26:AC26)/AB32</f>
        <v>#DIV/0!</v>
      </c>
      <c r="AC78" s="138"/>
      <c r="AD78" s="193" t="e">
        <f t="array" ref="AD78">SUM(AD13:AE13*AD26:AE26)/AD32</f>
        <v>#DIV/0!</v>
      </c>
      <c r="AE78" s="138"/>
      <c r="AF78" s="193" t="e">
        <f t="array" ref="AF78">SUM(AF13:AG13*AF26:AG26)/AF32</f>
        <v>#DIV/0!</v>
      </c>
      <c r="AG78" s="138"/>
      <c r="AH78" s="193" t="e">
        <f t="array" ref="AH78">SUM(AH13:AI13*AH26:AI26)/AH32</f>
        <v>#DIV/0!</v>
      </c>
      <c r="AI78" s="138"/>
      <c r="AJ78" s="193" t="e">
        <f t="array" ref="AJ78">SUM(AJ13:AK13*AJ26:AK26)/AJ32</f>
        <v>#DIV/0!</v>
      </c>
      <c r="AK78" s="138"/>
      <c r="AL78" s="193" t="e">
        <f t="array" ref="AL78">SUM(AL13:AM13*AL26:AM26)/AL32</f>
        <v>#DIV/0!</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0.45460968782440642</v>
      </c>
      <c r="D79" s="193">
        <f t="array" ref="D79">SUM(D15:E15*D27:E27)/D32</f>
        <v>0.46064437498442129</v>
      </c>
      <c r="F79" s="193">
        <f t="array" ref="F79">SUM(F15:G15*F27:G27)/F32</f>
        <v>0.46665260638657324</v>
      </c>
      <c r="H79" s="193">
        <f t="array" ref="H79">SUM(H15:I15*H27:I27)/H32</f>
        <v>0.47261110293453884</v>
      </c>
      <c r="J79" s="193">
        <f t="array" ref="J79">SUM(J15:K15*J27:K27)/J32</f>
        <v>0.47849010021063104</v>
      </c>
      <c r="L79" s="193">
        <f t="array" ref="L79">SUM(L15:M15*L27:M27)/L32</f>
        <v>0.48425501557865924</v>
      </c>
      <c r="N79" s="193">
        <f t="array" ref="N79">SUM(N15:O15*N27:O27)/N32</f>
        <v>0.48986247779681957</v>
      </c>
      <c r="P79" s="193">
        <f t="array" ref="P79">SUM(P15:Q15*P27:Q27)/P32</f>
        <v>0.49526200778060997</v>
      </c>
      <c r="R79" s="193">
        <f t="array" ref="R79">SUM(R15:S15*R27:S27)/R32</f>
        <v>0.5003925100561134</v>
      </c>
      <c r="T79" s="193">
        <f t="array" ref="T79">SUM(T15:U15*T27:U27)/T32</f>
        <v>0.50517452537325047</v>
      </c>
      <c r="V79" s="193">
        <f t="array" ref="V79">SUM(V15:W15*V27:W27)/V32</f>
        <v>0.50949929906219593</v>
      </c>
      <c r="X79" s="193">
        <f t="array" ref="X79">SUM(X15:Y15*X27:Y27)/X32</f>
        <v>0.51316736661575946</v>
      </c>
      <c r="Z79" s="193" t="e">
        <f t="array" ref="Z79">SUM(Z15:AA15*Z27:AA27)/Z32</f>
        <v>#DIV/0!</v>
      </c>
      <c r="AB79" s="193" t="e">
        <f t="array" ref="AB79">SUM(AB15:AC15*AB27:AC27)/AB32</f>
        <v>#DIV/0!</v>
      </c>
      <c r="AD79" s="193" t="e">
        <f t="array" ref="AD79">SUM(AD15:AE15*AD27:AE27)/AD32</f>
        <v>#DIV/0!</v>
      </c>
      <c r="AF79" s="193" t="e">
        <f t="array" ref="AF79">SUM(AF15:AG15*AF27:AG27)/AF32</f>
        <v>#DIV/0!</v>
      </c>
      <c r="AH79" s="193" t="e">
        <f t="array" ref="AH79">SUM(AH15:AI15*AH27:AI27)/AH32</f>
        <v>#DIV/0!</v>
      </c>
      <c r="AJ79" s="193" t="e">
        <f t="array" ref="AJ79">SUM(AJ15:AK15*AJ27:AK27)/AJ32</f>
        <v>#DIV/0!</v>
      </c>
      <c r="AL79" s="193" t="e">
        <f t="array" ref="AL79">SUM(AL15:AM15*AL27:AM27)/AL32</f>
        <v>#DIV/0!</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0.19841987526923185</v>
      </c>
      <c r="F80" s="236">
        <f>F55</f>
        <v>0.19833738339771206</v>
      </c>
      <c r="H80" s="236">
        <f>H55</f>
        <v>0.19825555746080514</v>
      </c>
      <c r="J80" s="236">
        <f>J55</f>
        <v>0.19817483806003952</v>
      </c>
      <c r="L80" s="236">
        <f>L55</f>
        <v>0.19809567748603743</v>
      </c>
      <c r="N80" s="236">
        <f>N55</f>
        <v>0.19801869883498868</v>
      </c>
      <c r="P80" s="236">
        <f>P55</f>
        <v>0.19794457223248446</v>
      </c>
      <c r="R80" s="236">
        <f>R55</f>
        <v>0.19787412185398107</v>
      </c>
      <c r="T80" s="236">
        <f>T55</f>
        <v>0.19780847135789686</v>
      </c>
      <c r="V80" s="236">
        <f>V55</f>
        <v>0.1977490938597655</v>
      </c>
      <c r="X80" s="236">
        <f>X55</f>
        <v>0.19769872902403032</v>
      </c>
      <c r="Z80" s="236" t="e">
        <f>Z55</f>
        <v>#DIV/0!</v>
      </c>
      <c r="AB80" s="236" t="e">
        <f>AB55</f>
        <v>#DIV/0!</v>
      </c>
      <c r="AD80" s="236" t="e">
        <f>AD55</f>
        <v>#DIV/0!</v>
      </c>
      <c r="AF80" s="236" t="e">
        <f>AF55</f>
        <v>#DIV/0!</v>
      </c>
      <c r="AH80" s="236" t="e">
        <f>AH55</f>
        <v>#DIV/0!</v>
      </c>
      <c r="AJ80" s="236" t="e">
        <f>AJ55</f>
        <v>#DIV/0!</v>
      </c>
      <c r="AL80" s="236" t="e">
        <f>AL55</f>
        <v>#DIV/0!</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-2.7626329295192983E-2</v>
      </c>
      <c r="F81" s="236">
        <f>F51/F$32</f>
        <v>-2.7708821166712791E-2</v>
      </c>
      <c r="H81" s="236">
        <f>H51/H$32</f>
        <v>-2.7790647103619705E-2</v>
      </c>
      <c r="J81" s="236">
        <f>J51/J$32</f>
        <v>-2.7871366504385316E-2</v>
      </c>
      <c r="L81" s="236">
        <f>L51/L$32</f>
        <v>-2.7950527078387421E-2</v>
      </c>
      <c r="N81" s="236">
        <f>N51/N$32</f>
        <v>-2.8027505729436141E-2</v>
      </c>
      <c r="P81" s="236">
        <f>P51/P$32</f>
        <v>-2.81016323319404E-2</v>
      </c>
      <c r="R81" s="236">
        <f>R51/R$32</f>
        <v>-2.8172082710443747E-2</v>
      </c>
      <c r="T81" s="236">
        <f>T51/T$32</f>
        <v>-2.8237733206527983E-2</v>
      </c>
      <c r="V81" s="236">
        <f>V51/V$32</f>
        <v>-2.8297110704659352E-2</v>
      </c>
      <c r="X81" s="236">
        <f>X51/X$32</f>
        <v>-2.8347475540394518E-2</v>
      </c>
      <c r="Z81" s="236" t="e">
        <f>Z51/Z$32</f>
        <v>#DIV/0!</v>
      </c>
      <c r="AB81" s="236" t="e">
        <f>AB51/AB$32</f>
        <v>#DIV/0!</v>
      </c>
      <c r="AD81" s="236" t="e">
        <f>AD51/AD$32</f>
        <v>#DIV/0!</v>
      </c>
      <c r="AF81" s="236" t="e">
        <f>AF51/AF$32</f>
        <v>#DIV/0!</v>
      </c>
      <c r="AH81" s="236" t="e">
        <f>AH51/AH$32</f>
        <v>#DIV/0!</v>
      </c>
      <c r="AJ81" s="236" t="e">
        <f>AJ51/AJ$32</f>
        <v>#DIV/0!</v>
      </c>
      <c r="AL81" s="236" t="e">
        <f>AL51/AL$32</f>
        <v>#DIV/0!</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0.13669221898373998</v>
      </c>
      <c r="F82" s="236">
        <f>F52/F$32</f>
        <v>0.13431638253601946</v>
      </c>
      <c r="H82" s="236">
        <f>H52/H$32</f>
        <v>0.13196036904782638</v>
      </c>
      <c r="J82" s="236">
        <f>J52/J$32</f>
        <v>0.12963566499451418</v>
      </c>
      <c r="L82" s="236">
        <f>L52/L$32</f>
        <v>0.12735615430758257</v>
      </c>
      <c r="N82" s="236">
        <f>N52/N$32</f>
        <v>0.12513869949809495</v>
      </c>
      <c r="P82" s="236">
        <f>P52/P$32</f>
        <v>0.12300346015828648</v>
      </c>
      <c r="R82" s="236">
        <f>R52/R$32</f>
        <v>0.12097486437824946</v>
      </c>
      <c r="T82" s="236">
        <f>T52/T$32</f>
        <v>0.11908379279041974</v>
      </c>
      <c r="V82" s="236">
        <f>V52/V$32</f>
        <v>0.11737358510930553</v>
      </c>
      <c r="X82" s="236">
        <f>X52/X$32</f>
        <v>0.11592313884119343</v>
      </c>
      <c r="Z82" s="236" t="e">
        <f>Z52/Z$32</f>
        <v>#DIV/0!</v>
      </c>
      <c r="AB82" s="236" t="e">
        <f>AB52/AB$32</f>
        <v>#DIV/0!</v>
      </c>
      <c r="AD82" s="236" t="e">
        <f>AD52/AD$32</f>
        <v>#DIV/0!</v>
      </c>
      <c r="AF82" s="236" t="e">
        <f>AF52/AF$32</f>
        <v>#DIV/0!</v>
      </c>
      <c r="AH82" s="236" t="e">
        <f>AH52/AH$32</f>
        <v>#DIV/0!</v>
      </c>
      <c r="AJ82" s="236" t="e">
        <f>AJ52/AJ$32</f>
        <v>#DIV/0!</v>
      </c>
      <c r="AL82" s="236" t="e">
        <f>AL52/AL$32</f>
        <v>#DIV/0!</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0.18600714462929935</v>
      </c>
      <c r="D83" s="236">
        <f>D53/D$32</f>
        <v>0.18847628454740648</v>
      </c>
      <c r="F83" s="236">
        <f>F53/F$32</f>
        <v>0.19093459988321612</v>
      </c>
      <c r="H83" s="236">
        <f>H53/H$32</f>
        <v>0.19337256581059145</v>
      </c>
      <c r="J83" s="236">
        <f>J53/J$32</f>
        <v>0.19577800398293352</v>
      </c>
      <c r="L83" s="236">
        <f>L53/L$32</f>
        <v>0.1981367646414848</v>
      </c>
      <c r="N83" s="236">
        <f>N53/N$32</f>
        <v>0.20043110210008191</v>
      </c>
      <c r="P83" s="236">
        <f>P53/P$32</f>
        <v>0.20264036244257833</v>
      </c>
      <c r="R83" s="236">
        <f>R53/R$32</f>
        <v>0.20473954797324198</v>
      </c>
      <c r="T83" s="236">
        <f>T53/T$32</f>
        <v>0.20669614731227282</v>
      </c>
      <c r="V83" s="236">
        <f>V53/V$32</f>
        <v>0.20846566262748401</v>
      </c>
      <c r="X83" s="236">
        <f>X53/X$32</f>
        <v>0.209966481440235</v>
      </c>
      <c r="Z83" s="236" t="e">
        <f>Z53/Z$32</f>
        <v>#DIV/0!</v>
      </c>
      <c r="AB83" s="236" t="e">
        <f>AB53/AB$32</f>
        <v>#DIV/0!</v>
      </c>
      <c r="AD83" s="236" t="e">
        <f>AD53/AD$32</f>
        <v>#DIV/0!</v>
      </c>
      <c r="AF83" s="236" t="e">
        <f>AF53/AF$32</f>
        <v>#DIV/0!</v>
      </c>
      <c r="AH83" s="236" t="e">
        <f>AH53/AH$32</f>
        <v>#DIV/0!</v>
      </c>
      <c r="AJ83" s="236" t="e">
        <f>AJ53/AJ$32</f>
        <v>#DIV/0!</v>
      </c>
      <c r="AL83" s="236" t="e">
        <f>AL53/AL$32</f>
        <v>#DIV/0!</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c r="AP1" s="94"/>
      <c r="AR1" s="94"/>
      <c r="AT1" s="94"/>
      <c r="AV1" s="94"/>
    </row>
    <row r="2" spans="1:49" x14ac:dyDescent="0.2">
      <c r="A2" s="229" t="s">
        <v>155</v>
      </c>
      <c r="B2" s="226">
        <v>5.7716594496607888E-3</v>
      </c>
      <c r="C2" s="227"/>
      <c r="D2" s="226">
        <v>6.4985953093049581E-2</v>
      </c>
      <c r="E2" s="227"/>
      <c r="F2" s="226">
        <v>0.12969371766314849</v>
      </c>
      <c r="G2" s="227"/>
      <c r="H2" s="226">
        <v>0.20071403028392631</v>
      </c>
      <c r="I2" s="227"/>
      <c r="J2" s="226">
        <v>0.27902583167200923</v>
      </c>
      <c r="K2" s="227"/>
      <c r="L2" s="226">
        <v>0.36581542347599516</v>
      </c>
      <c r="M2" s="227"/>
      <c r="N2" s="226">
        <v>0.46253073257453503</v>
      </c>
      <c r="O2" s="227"/>
      <c r="P2" s="226">
        <v>0.57096616360979158</v>
      </c>
      <c r="Q2" s="227"/>
      <c r="R2" s="226">
        <v>0.69337830677308021</v>
      </c>
      <c r="S2" s="227"/>
      <c r="T2" s="226">
        <v>0.83265467356713141</v>
      </c>
      <c r="U2" s="227"/>
      <c r="V2" s="226">
        <v>0.99256655100833457</v>
      </c>
      <c r="W2" s="227"/>
      <c r="X2" s="226">
        <v>1.1781574285789937</v>
      </c>
      <c r="Y2" s="227"/>
      <c r="Z2" s="226">
        <v>1.3963608508933858</v>
      </c>
      <c r="AA2" s="227"/>
      <c r="AB2" s="226">
        <v>1.6570044834799456</v>
      </c>
      <c r="AC2" s="227"/>
      <c r="AD2" s="226">
        <v>1.9744706074160967</v>
      </c>
      <c r="AE2" s="227"/>
      <c r="AF2" s="226">
        <v>2.3703517016036724</v>
      </c>
      <c r="AG2" s="227"/>
      <c r="AH2" s="226">
        <v>2.8770151166975677</v>
      </c>
      <c r="AI2" s="227"/>
      <c r="AJ2" s="226">
        <v>3.5377911409322786</v>
      </c>
      <c r="AK2" s="227"/>
      <c r="AL2" s="226">
        <v>4.3743779865493186</v>
      </c>
      <c r="AM2" s="227"/>
      <c r="AN2" s="226"/>
      <c r="AO2" s="227"/>
      <c r="AP2" s="226"/>
      <c r="AQ2" s="227"/>
      <c r="AR2" s="226"/>
      <c r="AS2" s="227"/>
      <c r="AT2" s="226"/>
      <c r="AU2" s="227"/>
      <c r="AV2" s="226"/>
      <c r="AW2" s="227"/>
    </row>
    <row r="3" spans="1:49" x14ac:dyDescent="0.2">
      <c r="A3" t="s">
        <v>12</v>
      </c>
      <c r="B3" s="84">
        <v>1000</v>
      </c>
      <c r="C3" s="85">
        <v>1000</v>
      </c>
      <c r="D3" s="84">
        <v>999.03020795242435</v>
      </c>
      <c r="E3" s="85">
        <v>1026.4442048969033</v>
      </c>
      <c r="F3" s="84">
        <v>998.08230570936382</v>
      </c>
      <c r="G3" s="85">
        <v>1056.0803772336963</v>
      </c>
      <c r="H3" s="84">
        <v>997.15106359240497</v>
      </c>
      <c r="I3" s="85">
        <v>1089.5151814849994</v>
      </c>
      <c r="J3" s="84">
        <v>996.2306325337031</v>
      </c>
      <c r="K3" s="85">
        <v>1127.5051569197137</v>
      </c>
      <c r="L3" s="84">
        <v>995.31432065397405</v>
      </c>
      <c r="M3" s="85">
        <v>1171.0098796801699</v>
      </c>
      <c r="N3" s="84">
        <v>994.39410665799653</v>
      </c>
      <c r="O3" s="85">
        <v>1221.2563874017353</v>
      </c>
      <c r="P3" s="84">
        <v>993.46026317607982</v>
      </c>
      <c r="Q3" s="85">
        <v>1279.8412768588817</v>
      </c>
      <c r="R3" s="84">
        <v>992.50079441096636</v>
      </c>
      <c r="S3" s="85">
        <v>1348.8753504503175</v>
      </c>
      <c r="T3" s="84">
        <v>991.50076448231187</v>
      </c>
      <c r="U3" s="85">
        <v>1431.2000123393709</v>
      </c>
      <c r="V3" s="84">
        <v>990.44151101516763</v>
      </c>
      <c r="W3" s="85">
        <v>1530.718729005582</v>
      </c>
      <c r="X3" s="84">
        <v>989.29977565351373</v>
      </c>
      <c r="Y3" s="85">
        <v>1652.9156702017108</v>
      </c>
      <c r="Z3" s="84">
        <v>988.04694459177449</v>
      </c>
      <c r="AA3" s="85">
        <v>1805.6926822485161</v>
      </c>
      <c r="AB3" s="84">
        <v>986.6488502290739</v>
      </c>
      <c r="AC3" s="85">
        <v>2000.7480383535703</v>
      </c>
      <c r="AD3" s="84">
        <v>985.06740550877862</v>
      </c>
      <c r="AE3" s="85">
        <v>2255.8879120587585</v>
      </c>
      <c r="AF3" s="84">
        <v>983.26708404363376</v>
      </c>
      <c r="AG3" s="85">
        <v>2598.8225944186361</v>
      </c>
      <c r="AH3" s="84">
        <v>981.23379559458147</v>
      </c>
      <c r="AI3" s="85">
        <v>3072.6368414565854</v>
      </c>
      <c r="AJ3" s="84">
        <v>979.02228099090325</v>
      </c>
      <c r="AK3" s="85">
        <v>3738.4359414709324</v>
      </c>
      <c r="AL3" s="84">
        <v>976.8498351756017</v>
      </c>
      <c r="AM3" s="85">
        <v>4642.5030097529552</v>
      </c>
      <c r="AN3" s="84"/>
      <c r="AO3" s="85"/>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c r="AO4" s="102"/>
      <c r="AP4" s="101"/>
      <c r="AQ4" s="102"/>
      <c r="AR4" s="101"/>
      <c r="AS4" s="102"/>
      <c r="AT4" s="101"/>
      <c r="AU4" s="102"/>
      <c r="AV4" s="101"/>
      <c r="AW4" s="102"/>
    </row>
    <row r="5" spans="1:49" x14ac:dyDescent="0.2">
      <c r="A5" t="s">
        <v>128</v>
      </c>
      <c r="B5" s="41">
        <v>1000</v>
      </c>
      <c r="C5" s="42">
        <v>1000</v>
      </c>
      <c r="D5" s="41">
        <v>998.98223574086751</v>
      </c>
      <c r="E5" s="42">
        <v>1023.0496970206542</v>
      </c>
      <c r="F5" s="41">
        <v>997.98711840644592</v>
      </c>
      <c r="G5" s="42">
        <v>1048.4929634191701</v>
      </c>
      <c r="H5" s="41">
        <v>997.00917631279162</v>
      </c>
      <c r="I5" s="42">
        <v>1076.7299333767</v>
      </c>
      <c r="J5" s="41">
        <v>996.04227972469209</v>
      </c>
      <c r="K5" s="42">
        <v>1108.2452365303943</v>
      </c>
      <c r="L5" s="41">
        <v>995.07940533516978</v>
      </c>
      <c r="M5" s="42">
        <v>1143.6332920127895</v>
      </c>
      <c r="N5" s="41">
        <v>994.11212317767968</v>
      </c>
      <c r="O5" s="42">
        <v>1183.6273303717644</v>
      </c>
      <c r="P5" s="41">
        <v>993.13019831957399</v>
      </c>
      <c r="Q5" s="42">
        <v>1229.1425915891032</v>
      </c>
      <c r="R5" s="41">
        <v>992.12099590201422</v>
      </c>
      <c r="S5" s="42">
        <v>1281.3328497716877</v>
      </c>
      <c r="T5" s="41">
        <v>991.06876934615491</v>
      </c>
      <c r="U5" s="42">
        <v>1341.6676223589457</v>
      </c>
      <c r="V5" s="41">
        <v>989.9538251373765</v>
      </c>
      <c r="W5" s="42">
        <v>1412.0377378545209</v>
      </c>
      <c r="X5" s="41">
        <v>988.75159627197081</v>
      </c>
      <c r="Y5" s="42">
        <v>1494.8996658795222</v>
      </c>
      <c r="Z5" s="41">
        <v>987.4318262005786</v>
      </c>
      <c r="AA5" s="42">
        <v>1593.4684867524966</v>
      </c>
      <c r="AB5" s="41">
        <v>985.95833690809093</v>
      </c>
      <c r="AC5" s="42">
        <v>1711.9633625130159</v>
      </c>
      <c r="AD5" s="41">
        <v>984.29072166313438</v>
      </c>
      <c r="AE5" s="42">
        <v>1855.8655322491472</v>
      </c>
      <c r="AF5" s="41">
        <v>982.39114838689818</v>
      </c>
      <c r="AG5" s="42">
        <v>2032.0211490140287</v>
      </c>
      <c r="AH5" s="41">
        <v>980.24427475806715</v>
      </c>
      <c r="AI5" s="42">
        <v>2247.8983001633983</v>
      </c>
      <c r="AJ5" s="41">
        <v>977.90740938229578</v>
      </c>
      <c r="AK5" s="42">
        <v>2507.6542275530169</v>
      </c>
      <c r="AL5" s="41">
        <v>975.60997509664003</v>
      </c>
      <c r="AM5" s="42">
        <v>2797.8671565378013</v>
      </c>
      <c r="AN5" s="41"/>
      <c r="AO5" s="42"/>
      <c r="AP5" s="41"/>
      <c r="AQ5" s="42"/>
      <c r="AR5" s="41"/>
      <c r="AS5" s="42"/>
      <c r="AT5" s="41"/>
      <c r="AU5" s="42"/>
      <c r="AV5" s="41"/>
      <c r="AW5" s="42"/>
    </row>
    <row r="6" spans="1:49" x14ac:dyDescent="0.2">
      <c r="A6" t="s">
        <v>77</v>
      </c>
      <c r="B6" s="41">
        <v>999.99999999999943</v>
      </c>
      <c r="C6" s="42">
        <v>999.99999999999909</v>
      </c>
      <c r="D6" s="41">
        <v>998.90443000215703</v>
      </c>
      <c r="E6" s="42">
        <v>1028.4870714591777</v>
      </c>
      <c r="F6" s="41">
        <v>997.83332161939802</v>
      </c>
      <c r="G6" s="42">
        <v>1060.2859659992728</v>
      </c>
      <c r="H6" s="41">
        <v>996.78078043543576</v>
      </c>
      <c r="I6" s="42">
        <v>1096.0186835104075</v>
      </c>
      <c r="J6" s="41">
        <v>995.74020576880503</v>
      </c>
      <c r="K6" s="42">
        <v>1136.4599838391616</v>
      </c>
      <c r="L6" s="41">
        <v>994.70403730162047</v>
      </c>
      <c r="M6" s="42">
        <v>1182.5918624283183</v>
      </c>
      <c r="N6" s="41">
        <v>993.66320353205663</v>
      </c>
      <c r="O6" s="42">
        <v>1235.6691908145237</v>
      </c>
      <c r="P6" s="41">
        <v>992.60669365963179</v>
      </c>
      <c r="Q6" s="42">
        <v>1297.3242639340044</v>
      </c>
      <c r="R6" s="41">
        <v>991.52091836749844</v>
      </c>
      <c r="S6" s="42">
        <v>1369.7148103040865</v>
      </c>
      <c r="T6" s="41">
        <v>990.38894534764245</v>
      </c>
      <c r="U6" s="42">
        <v>1455.7455703634298</v>
      </c>
      <c r="V6" s="41">
        <v>989.18960270281411</v>
      </c>
      <c r="W6" s="42">
        <v>1559.4078843794057</v>
      </c>
      <c r="X6" s="41">
        <v>987.89648508952325</v>
      </c>
      <c r="Y6" s="42">
        <v>1686.3112639463629</v>
      </c>
      <c r="Z6" s="41">
        <v>986.47707997805094</v>
      </c>
      <c r="AA6" s="42">
        <v>1844.5415739480252</v>
      </c>
      <c r="AB6" s="41">
        <v>984.89252386608985</v>
      </c>
      <c r="AC6" s="42">
        <v>2046.0750643535387</v>
      </c>
      <c r="AD6" s="41">
        <v>983.09942987875752</v>
      </c>
      <c r="AE6" s="42">
        <v>2309.1494380565682</v>
      </c>
      <c r="AF6" s="41">
        <v>981.05721019177031</v>
      </c>
      <c r="AG6" s="42">
        <v>2662.1582918844888</v>
      </c>
      <c r="AH6" s="41">
        <v>978.74948656221022</v>
      </c>
      <c r="AI6" s="42">
        <v>3149.2634401061209</v>
      </c>
      <c r="AJ6" s="41">
        <v>976.23798016867045</v>
      </c>
      <c r="AK6" s="42">
        <v>3833.1107123537477</v>
      </c>
      <c r="AL6" s="41">
        <v>973.76930350478108</v>
      </c>
      <c r="AM6" s="42">
        <v>4761.1421198743419</v>
      </c>
      <c r="AN6" s="41"/>
      <c r="AO6" s="42"/>
      <c r="AP6" s="41"/>
      <c r="AQ6" s="42"/>
      <c r="AR6" s="41"/>
      <c r="AS6" s="42"/>
      <c r="AT6" s="41"/>
      <c r="AU6" s="42"/>
      <c r="AV6" s="41"/>
      <c r="AW6" s="42"/>
    </row>
    <row r="7" spans="1:49" x14ac:dyDescent="0.2">
      <c r="A7" t="s">
        <v>13</v>
      </c>
      <c r="B7" s="33">
        <v>1015.9116825427475</v>
      </c>
      <c r="C7" s="34">
        <v>1015.9116825427475</v>
      </c>
      <c r="D7" s="33">
        <v>1014.8777239418202</v>
      </c>
      <c r="E7" s="34">
        <v>1014.8777239418202</v>
      </c>
      <c r="F7" s="33">
        <v>1013.8667726162806</v>
      </c>
      <c r="G7" s="34">
        <v>1013.8667726162806</v>
      </c>
      <c r="H7" s="33">
        <v>1012.8732698184868</v>
      </c>
      <c r="I7" s="34">
        <v>1012.8732698184868</v>
      </c>
      <c r="J7" s="33">
        <v>1011.8909882788258</v>
      </c>
      <c r="K7" s="34">
        <v>1011.8909882788258</v>
      </c>
      <c r="L7" s="33">
        <v>1010.9127929376889</v>
      </c>
      <c r="M7" s="34">
        <v>1010.9127929376889</v>
      </c>
      <c r="N7" s="33">
        <v>1009.9301196935795</v>
      </c>
      <c r="O7" s="34">
        <v>1009.9301196935795</v>
      </c>
      <c r="P7" s="33">
        <v>1008.9325707588508</v>
      </c>
      <c r="Q7" s="34">
        <v>1008.9325707588508</v>
      </c>
      <c r="R7" s="33">
        <v>1007.9073102328015</v>
      </c>
      <c r="S7" s="34">
        <v>1007.9073102328015</v>
      </c>
      <c r="T7" s="33">
        <v>1006.8383409820223</v>
      </c>
      <c r="U7" s="34">
        <v>1006.8383409820223</v>
      </c>
      <c r="V7" s="33">
        <v>1005.7056561349409</v>
      </c>
      <c r="W7" s="34">
        <v>1005.7056561349409</v>
      </c>
      <c r="X7" s="33">
        <v>1004.4842977854852</v>
      </c>
      <c r="Y7" s="34">
        <v>1004.4842977854852</v>
      </c>
      <c r="Z7" s="33">
        <v>1003.1435279516876</v>
      </c>
      <c r="AA7" s="34">
        <v>1003.1435279516876</v>
      </c>
      <c r="AB7" s="33">
        <v>1001.6465929653477</v>
      </c>
      <c r="AC7" s="34">
        <v>1001.6465929653477</v>
      </c>
      <c r="AD7" s="33">
        <v>999.95244315600996</v>
      </c>
      <c r="AE7" s="34">
        <v>999.95244315600996</v>
      </c>
      <c r="AF7" s="33">
        <v>998.02264447283562</v>
      </c>
      <c r="AG7" s="34">
        <v>998.02264447283562</v>
      </c>
      <c r="AH7" s="33">
        <v>995.84161047236319</v>
      </c>
      <c r="AI7" s="34">
        <v>995.84161047236319</v>
      </c>
      <c r="AJ7" s="33">
        <v>993.46756163658745</v>
      </c>
      <c r="AK7" s="34">
        <v>993.46756163658745</v>
      </c>
      <c r="AL7" s="33">
        <v>991.13357130591555</v>
      </c>
      <c r="AM7" s="34">
        <v>991.13357130591555</v>
      </c>
      <c r="AN7" s="33"/>
      <c r="AO7" s="34"/>
      <c r="AP7" s="33"/>
      <c r="AQ7" s="34"/>
      <c r="AR7" s="33"/>
      <c r="AS7" s="34"/>
      <c r="AT7" s="33"/>
      <c r="AU7" s="34"/>
      <c r="AV7" s="33"/>
      <c r="AW7" s="34"/>
    </row>
    <row r="8" spans="1:49" x14ac:dyDescent="0.2">
      <c r="B8" s="35">
        <v>1005.7716594496609</v>
      </c>
      <c r="C8" s="36">
        <v>1005.7716594496609</v>
      </c>
      <c r="D8" s="35">
        <v>1089.5335566430972</v>
      </c>
      <c r="E8" s="36">
        <v>1089.5335566430972</v>
      </c>
      <c r="F8" s="35">
        <v>1184.4759137886538</v>
      </c>
      <c r="G8" s="36">
        <v>1184.4759137886538</v>
      </c>
      <c r="H8" s="35">
        <v>1292.8447378320809</v>
      </c>
      <c r="I8" s="36">
        <v>1292.8447378320809</v>
      </c>
      <c r="J8" s="35">
        <v>1417.4742853498303</v>
      </c>
      <c r="K8" s="36">
        <v>1417.4742853498303</v>
      </c>
      <c r="L8" s="35">
        <v>1561.9919890316946</v>
      </c>
      <c r="M8" s="36">
        <v>1561.9919890316946</v>
      </c>
      <c r="N8" s="35">
        <v>1731.0913465838576</v>
      </c>
      <c r="O8" s="36">
        <v>1731.0913465838576</v>
      </c>
      <c r="P8" s="35">
        <v>1930.9414216381304</v>
      </c>
      <c r="Q8" s="36">
        <v>1930.9414216381304</v>
      </c>
      <c r="R8" s="35">
        <v>2169.7812515591063</v>
      </c>
      <c r="S8" s="36">
        <v>2169.7812515591063</v>
      </c>
      <c r="T8" s="35">
        <v>2458.8134384898231</v>
      </c>
      <c r="U8" s="36">
        <v>2458.8134384898231</v>
      </c>
      <c r="V8" s="35">
        <v>2813.5791652103935</v>
      </c>
      <c r="W8" s="36">
        <v>2813.5791652103935</v>
      </c>
      <c r="X8" s="35">
        <v>3256.1268122157371</v>
      </c>
      <c r="Y8" s="36">
        <v>3256.1268122157371</v>
      </c>
      <c r="Z8" s="35">
        <v>3818.525498786008</v>
      </c>
      <c r="AA8" s="36">
        <v>3818.525498786008</v>
      </c>
      <c r="AB8" s="35">
        <v>4548.6943297504868</v>
      </c>
      <c r="AC8" s="36">
        <v>4548.6943297504868</v>
      </c>
      <c r="AD8" s="35">
        <v>5520.2174769917183</v>
      </c>
      <c r="AE8" s="36">
        <v>5520.2174769917183</v>
      </c>
      <c r="AF8" s="35">
        <v>6848.6259372740806</v>
      </c>
      <c r="AG8" s="36">
        <v>6848.6259372740806</v>
      </c>
      <c r="AH8" s="35">
        <v>8715.1356905322609</v>
      </c>
      <c r="AI8" s="36">
        <v>8715.1356905322609</v>
      </c>
      <c r="AJ8" s="35">
        <v>11379.211138311457</v>
      </c>
      <c r="AK8" s="36">
        <v>11379.211138311457</v>
      </c>
      <c r="AL8" s="35">
        <v>15036.795655386095</v>
      </c>
      <c r="AM8" s="36">
        <v>15036.795655386095</v>
      </c>
      <c r="AN8" s="35"/>
      <c r="AO8" s="36"/>
      <c r="AP8" s="35"/>
      <c r="AQ8" s="36"/>
      <c r="AR8" s="35"/>
      <c r="AS8" s="36"/>
      <c r="AT8" s="35"/>
      <c r="AU8" s="36"/>
      <c r="AV8" s="35"/>
      <c r="AW8" s="36"/>
    </row>
    <row r="9" spans="1:49" x14ac:dyDescent="0.2">
      <c r="A9" t="s">
        <v>14</v>
      </c>
      <c r="B9" s="41">
        <v>1015.9116825427475</v>
      </c>
      <c r="C9" s="42">
        <v>1005.7716594496609</v>
      </c>
      <c r="D9" s="41">
        <v>1014.8777239418202</v>
      </c>
      <c r="E9" s="42">
        <v>1089.5335566430972</v>
      </c>
      <c r="F9" s="41">
        <v>1013.8667726162806</v>
      </c>
      <c r="G9" s="42">
        <v>1184.4759137886538</v>
      </c>
      <c r="H9" s="41">
        <v>1012.8732698184868</v>
      </c>
      <c r="I9" s="42">
        <v>1292.8447378320809</v>
      </c>
      <c r="J9" s="41">
        <v>1011.8909882788258</v>
      </c>
      <c r="K9" s="42">
        <v>1417.4742853498303</v>
      </c>
      <c r="L9" s="41">
        <v>1010.9127929376889</v>
      </c>
      <c r="M9" s="42">
        <v>1561.9919890316946</v>
      </c>
      <c r="N9" s="41">
        <v>1009.9301196935795</v>
      </c>
      <c r="O9" s="42">
        <v>1731.0913465838576</v>
      </c>
      <c r="P9" s="41">
        <v>1008.9325707588508</v>
      </c>
      <c r="Q9" s="42">
        <v>1930.9414216381304</v>
      </c>
      <c r="R9" s="41">
        <v>1007.9073102328015</v>
      </c>
      <c r="S9" s="42">
        <v>2169.7812515591063</v>
      </c>
      <c r="T9" s="41">
        <v>1006.8383409820223</v>
      </c>
      <c r="U9" s="42">
        <v>2458.8134384898231</v>
      </c>
      <c r="V9" s="41">
        <v>1005.7056561349409</v>
      </c>
      <c r="W9" s="42">
        <v>2813.5791652103935</v>
      </c>
      <c r="X9" s="41">
        <v>1004.4842977854852</v>
      </c>
      <c r="Y9" s="42">
        <v>3256.1268122157371</v>
      </c>
      <c r="Z9" s="41">
        <v>1003.1435279516876</v>
      </c>
      <c r="AA9" s="42">
        <v>3818.525498786008</v>
      </c>
      <c r="AB9" s="41">
        <v>1001.6465929653477</v>
      </c>
      <c r="AC9" s="42">
        <v>4548.6943297504868</v>
      </c>
      <c r="AD9" s="41">
        <v>999.95244315600996</v>
      </c>
      <c r="AE9" s="42">
        <v>5520.2174769917183</v>
      </c>
      <c r="AF9" s="41">
        <v>998.02264447283562</v>
      </c>
      <c r="AG9" s="42">
        <v>6848.6259372740806</v>
      </c>
      <c r="AH9" s="41">
        <v>995.84161047236319</v>
      </c>
      <c r="AI9" s="42">
        <v>8715.1356905322609</v>
      </c>
      <c r="AJ9" s="41">
        <v>993.46756163658745</v>
      </c>
      <c r="AK9" s="42">
        <v>11379.211138311457</v>
      </c>
      <c r="AL9" s="41">
        <v>991.13357130591555</v>
      </c>
      <c r="AM9" s="42">
        <v>15036.795655386095</v>
      </c>
      <c r="AN9" s="41"/>
      <c r="AO9" s="42"/>
      <c r="AP9" s="41"/>
      <c r="AQ9" s="42"/>
      <c r="AR9" s="41"/>
      <c r="AS9" s="42"/>
      <c r="AT9" s="41"/>
      <c r="AU9" s="42"/>
      <c r="AV9" s="41"/>
      <c r="AW9" s="42"/>
    </row>
    <row r="10" spans="1:49" x14ac:dyDescent="0.2">
      <c r="A10" t="s">
        <v>15</v>
      </c>
      <c r="B10" s="41">
        <v>1015.9116825427475</v>
      </c>
      <c r="C10" s="42">
        <v>1005.7716594496609</v>
      </c>
      <c r="D10" s="41">
        <v>1014.8777239418202</v>
      </c>
      <c r="E10" s="42">
        <v>1089.5335566430972</v>
      </c>
      <c r="F10" s="41">
        <v>1013.8667726162806</v>
      </c>
      <c r="G10" s="42">
        <v>1184.4759137886538</v>
      </c>
      <c r="H10" s="41">
        <v>1012.8732698184868</v>
      </c>
      <c r="I10" s="42">
        <v>1292.8447378320809</v>
      </c>
      <c r="J10" s="41">
        <v>1011.8909882788258</v>
      </c>
      <c r="K10" s="42">
        <v>1417.4742853498303</v>
      </c>
      <c r="L10" s="41">
        <v>1010.9127929376889</v>
      </c>
      <c r="M10" s="42">
        <v>1561.9919890316946</v>
      </c>
      <c r="N10" s="41">
        <v>1009.9301196935795</v>
      </c>
      <c r="O10" s="42">
        <v>1731.0913465838576</v>
      </c>
      <c r="P10" s="41">
        <v>1008.9325707588508</v>
      </c>
      <c r="Q10" s="42">
        <v>1930.9414216381304</v>
      </c>
      <c r="R10" s="41">
        <v>1007.9073102328015</v>
      </c>
      <c r="S10" s="42">
        <v>2169.7812515591063</v>
      </c>
      <c r="T10" s="41">
        <v>1006.8383409820223</v>
      </c>
      <c r="U10" s="42">
        <v>2458.8134384898231</v>
      </c>
      <c r="V10" s="41">
        <v>1005.7056561349409</v>
      </c>
      <c r="W10" s="42">
        <v>2813.5791652103935</v>
      </c>
      <c r="X10" s="41">
        <v>1004.4842977854852</v>
      </c>
      <c r="Y10" s="42">
        <v>3256.1268122157371</v>
      </c>
      <c r="Z10" s="41">
        <v>1003.1435279516876</v>
      </c>
      <c r="AA10" s="42">
        <v>3818.525498786008</v>
      </c>
      <c r="AB10" s="41">
        <v>1001.6465929653477</v>
      </c>
      <c r="AC10" s="42">
        <v>4548.6943297504868</v>
      </c>
      <c r="AD10" s="41">
        <v>999.95244315600996</v>
      </c>
      <c r="AE10" s="42">
        <v>5520.2174769917183</v>
      </c>
      <c r="AF10" s="41">
        <v>998.02264447283562</v>
      </c>
      <c r="AG10" s="42">
        <v>6848.6259372740806</v>
      </c>
      <c r="AH10" s="41">
        <v>995.84161047236319</v>
      </c>
      <c r="AI10" s="42">
        <v>8715.1356905322609</v>
      </c>
      <c r="AJ10" s="41">
        <v>993.46756163658745</v>
      </c>
      <c r="AK10" s="42">
        <v>11379.211138311457</v>
      </c>
      <c r="AL10" s="41">
        <v>991.13357130591555</v>
      </c>
      <c r="AM10" s="42">
        <v>15036.795655386095</v>
      </c>
      <c r="AN10" s="41"/>
      <c r="AO10" s="42"/>
      <c r="AP10" s="41"/>
      <c r="AQ10" s="42"/>
      <c r="AR10" s="41"/>
      <c r="AS10" s="42"/>
      <c r="AT10" s="41"/>
      <c r="AU10" s="42"/>
      <c r="AV10" s="41"/>
      <c r="AW10" s="42"/>
    </row>
    <row r="11" spans="1:49" x14ac:dyDescent="0.2">
      <c r="A11" t="s">
        <v>29</v>
      </c>
      <c r="B11" s="41">
        <v>1015.9116825427475</v>
      </c>
      <c r="C11" s="42">
        <v>1005.7716594496609</v>
      </c>
      <c r="D11" s="41">
        <v>1014.8777239418202</v>
      </c>
      <c r="E11" s="42">
        <v>1089.5335566430972</v>
      </c>
      <c r="F11" s="41">
        <v>1013.8667726162806</v>
      </c>
      <c r="G11" s="42">
        <v>1184.4759137886538</v>
      </c>
      <c r="H11" s="41">
        <v>1012.8732698184868</v>
      </c>
      <c r="I11" s="42">
        <v>1292.8447378320809</v>
      </c>
      <c r="J11" s="41">
        <v>1011.8909882788258</v>
      </c>
      <c r="K11" s="42">
        <v>1417.4742853498303</v>
      </c>
      <c r="L11" s="41">
        <v>1010.9127929376889</v>
      </c>
      <c r="M11" s="42">
        <v>1561.9919890316946</v>
      </c>
      <c r="N11" s="41">
        <v>1009.9301196935795</v>
      </c>
      <c r="O11" s="42">
        <v>1731.0913465838576</v>
      </c>
      <c r="P11" s="41">
        <v>1008.9325707588508</v>
      </c>
      <c r="Q11" s="42">
        <v>1930.9414216381304</v>
      </c>
      <c r="R11" s="41">
        <v>1007.9073102328015</v>
      </c>
      <c r="S11" s="42">
        <v>2169.7812515591063</v>
      </c>
      <c r="T11" s="41">
        <v>1006.8383409820223</v>
      </c>
      <c r="U11" s="42">
        <v>2458.8134384898231</v>
      </c>
      <c r="V11" s="41">
        <v>1005.7056561349409</v>
      </c>
      <c r="W11" s="42">
        <v>2813.5791652103935</v>
      </c>
      <c r="X11" s="41">
        <v>1004.4842977854852</v>
      </c>
      <c r="Y11" s="42">
        <v>3256.1268122157371</v>
      </c>
      <c r="Z11" s="41">
        <v>1003.1435279516876</v>
      </c>
      <c r="AA11" s="42">
        <v>3818.525498786008</v>
      </c>
      <c r="AB11" s="41">
        <v>1001.6465929653477</v>
      </c>
      <c r="AC11" s="42">
        <v>4548.6943297504868</v>
      </c>
      <c r="AD11" s="41">
        <v>999.95244315600996</v>
      </c>
      <c r="AE11" s="42">
        <v>5520.2174769917183</v>
      </c>
      <c r="AF11" s="41">
        <v>998.02264447283562</v>
      </c>
      <c r="AG11" s="42">
        <v>6848.6259372740806</v>
      </c>
      <c r="AH11" s="41">
        <v>995.84161047236319</v>
      </c>
      <c r="AI11" s="42">
        <v>8715.1356905322609</v>
      </c>
      <c r="AJ11" s="41">
        <v>993.46756163658745</v>
      </c>
      <c r="AK11" s="42">
        <v>11379.211138311457</v>
      </c>
      <c r="AL11" s="41">
        <v>991.13357130591555</v>
      </c>
      <c r="AM11" s="42">
        <v>15036.795655386095</v>
      </c>
      <c r="AN11" s="41"/>
      <c r="AO11" s="42"/>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c r="AO12" s="42"/>
      <c r="AP12" s="41"/>
      <c r="AQ12" s="42"/>
      <c r="AR12" s="41"/>
      <c r="AS12" s="42"/>
      <c r="AT12" s="41"/>
      <c r="AU12" s="42"/>
      <c r="AV12" s="41"/>
      <c r="AW12" s="42"/>
    </row>
    <row r="13" spans="1:49" x14ac:dyDescent="0.2">
      <c r="A13" t="s">
        <v>17</v>
      </c>
      <c r="B13" s="97">
        <v>1000</v>
      </c>
      <c r="C13" s="98">
        <v>1000</v>
      </c>
      <c r="D13" s="97">
        <v>1003.4659785663713</v>
      </c>
      <c r="E13" s="98">
        <v>1003.4659785663713</v>
      </c>
      <c r="F13" s="97">
        <v>1007.3215917034821</v>
      </c>
      <c r="G13" s="98">
        <v>1007.3215917034821</v>
      </c>
      <c r="H13" s="97">
        <v>1011.6338511114111</v>
      </c>
      <c r="I13" s="98">
        <v>1011.6338511114111</v>
      </c>
      <c r="J13" s="97">
        <v>1016.4863876392795</v>
      </c>
      <c r="K13" s="98">
        <v>1016.4863876392795</v>
      </c>
      <c r="L13" s="97">
        <v>1021.9851456766213</v>
      </c>
      <c r="M13" s="98">
        <v>1021.9851456766213</v>
      </c>
      <c r="N13" s="97">
        <v>1028.2654215247703</v>
      </c>
      <c r="O13" s="98">
        <v>1028.2654215247703</v>
      </c>
      <c r="P13" s="97">
        <v>1035.5028134253469</v>
      </c>
      <c r="Q13" s="98">
        <v>1035.5028134253469</v>
      </c>
      <c r="R13" s="97">
        <v>1043.9287002558717</v>
      </c>
      <c r="S13" s="98">
        <v>1043.9287002558717</v>
      </c>
      <c r="T13" s="97">
        <v>1053.8531931218165</v>
      </c>
      <c r="U13" s="98">
        <v>1053.8531931218165</v>
      </c>
      <c r="V13" s="97">
        <v>1065.6998498890091</v>
      </c>
      <c r="W13" s="98">
        <v>1065.6998498890091</v>
      </c>
      <c r="X13" s="97">
        <v>1080.0591901228493</v>
      </c>
      <c r="Y13" s="98">
        <v>1080.0591901228493</v>
      </c>
      <c r="Z13" s="97">
        <v>1097.7730978263164</v>
      </c>
      <c r="AA13" s="98">
        <v>1097.7730978263164</v>
      </c>
      <c r="AB13" s="97">
        <v>1120.0697720949302</v>
      </c>
      <c r="AC13" s="98">
        <v>1120.0697720949302</v>
      </c>
      <c r="AD13" s="97">
        <v>1148.7797834784228</v>
      </c>
      <c r="AE13" s="98">
        <v>1148.7797834784228</v>
      </c>
      <c r="AF13" s="97">
        <v>1186.6660654453162</v>
      </c>
      <c r="AG13" s="98">
        <v>1186.6660654453162</v>
      </c>
      <c r="AH13" s="97">
        <v>1237.8240802094313</v>
      </c>
      <c r="AI13" s="98">
        <v>1237.8240802094313</v>
      </c>
      <c r="AJ13" s="97">
        <v>1307.5635454495043</v>
      </c>
      <c r="AK13" s="98">
        <v>1307.5635454495043</v>
      </c>
      <c r="AL13" s="97">
        <v>1398.3512642604685</v>
      </c>
      <c r="AM13" s="98">
        <v>1398.3512642604685</v>
      </c>
      <c r="AN13" s="97"/>
      <c r="AO13" s="98"/>
      <c r="AP13" s="97"/>
      <c r="AQ13" s="98"/>
      <c r="AR13" s="97"/>
      <c r="AS13" s="98"/>
      <c r="AT13" s="97"/>
      <c r="AU13" s="98"/>
      <c r="AV13" s="97"/>
      <c r="AW13" s="98"/>
    </row>
    <row r="14" spans="1:49" x14ac:dyDescent="0.2">
      <c r="A14" t="s">
        <v>36</v>
      </c>
      <c r="B14" s="41">
        <v>1457.0034251455234</v>
      </c>
      <c r="C14" s="42">
        <v>1457.0034251455236</v>
      </c>
      <c r="D14" s="41">
        <v>1462.0533677882072</v>
      </c>
      <c r="E14" s="42">
        <v>1462.0533677882074</v>
      </c>
      <c r="F14" s="41">
        <v>1467.6710093350139</v>
      </c>
      <c r="G14" s="42">
        <v>1467.6710093350139</v>
      </c>
      <c r="H14" s="41">
        <v>1473.9539860624823</v>
      </c>
      <c r="I14" s="42">
        <v>1473.9539860624825</v>
      </c>
      <c r="J14" s="41">
        <v>1481.0241484042303</v>
      </c>
      <c r="K14" s="42">
        <v>1481.0241484042306</v>
      </c>
      <c r="L14" s="41">
        <v>1489.0358576986839</v>
      </c>
      <c r="M14" s="42">
        <v>1489.0358576986841</v>
      </c>
      <c r="N14" s="41">
        <v>1498.1862411202956</v>
      </c>
      <c r="O14" s="42">
        <v>1498.1862411202958</v>
      </c>
      <c r="P14" s="41">
        <v>1508.7311459085561</v>
      </c>
      <c r="Q14" s="42">
        <v>1508.7311459085563</v>
      </c>
      <c r="R14" s="41">
        <v>1521.0076918805194</v>
      </c>
      <c r="S14" s="42">
        <v>1521.0076918805196</v>
      </c>
      <c r="T14" s="41">
        <v>1535.4677119790333</v>
      </c>
      <c r="U14" s="42">
        <v>1535.4677119790335</v>
      </c>
      <c r="V14" s="41">
        <v>1552.7283314653562</v>
      </c>
      <c r="W14" s="42">
        <v>1552.7283314653564</v>
      </c>
      <c r="X14" s="41">
        <v>1573.6499393688912</v>
      </c>
      <c r="Y14" s="42">
        <v>1573.6499393688916</v>
      </c>
      <c r="Z14" s="41">
        <v>1599.4591635655547</v>
      </c>
      <c r="AA14" s="42">
        <v>1599.4591635655549</v>
      </c>
      <c r="AB14" s="41">
        <v>1631.9454943442788</v>
      </c>
      <c r="AC14" s="42">
        <v>1631.945494344279</v>
      </c>
      <c r="AD14" s="41">
        <v>1673.7760792659947</v>
      </c>
      <c r="AE14" s="42">
        <v>1673.7760792659949</v>
      </c>
      <c r="AF14" s="41">
        <v>1728.9765218577875</v>
      </c>
      <c r="AG14" s="42">
        <v>1728.9765218577877</v>
      </c>
      <c r="AH14" s="41">
        <v>1803.5139245927483</v>
      </c>
      <c r="AI14" s="42">
        <v>1803.5139245927485</v>
      </c>
      <c r="AJ14" s="41">
        <v>1905.1245643153518</v>
      </c>
      <c r="AK14" s="42">
        <v>1905.1245643153522</v>
      </c>
      <c r="AL14" s="41">
        <v>2037.4025815840753</v>
      </c>
      <c r="AM14" s="42">
        <v>2037.4025815840757</v>
      </c>
      <c r="AN14" s="41"/>
      <c r="AO14" s="42"/>
      <c r="AP14" s="41"/>
      <c r="AQ14" s="42"/>
      <c r="AR14" s="41"/>
      <c r="AS14" s="42"/>
      <c r="AT14" s="41"/>
      <c r="AU14" s="42"/>
      <c r="AV14" s="41"/>
      <c r="AW14" s="42"/>
    </row>
    <row r="15" spans="1:49" x14ac:dyDescent="0.2">
      <c r="A15" t="s">
        <v>18</v>
      </c>
      <c r="B15" s="154">
        <v>1000</v>
      </c>
      <c r="C15" s="155">
        <v>1000</v>
      </c>
      <c r="D15" s="154">
        <v>986.22035372411665</v>
      </c>
      <c r="E15" s="155">
        <v>986.22035372411665</v>
      </c>
      <c r="F15" s="154">
        <v>971.13522087890794</v>
      </c>
      <c r="G15" s="155">
        <v>971.13522087890794</v>
      </c>
      <c r="H15" s="154">
        <v>954.60604344198305</v>
      </c>
      <c r="I15" s="155">
        <v>954.60604344198305</v>
      </c>
      <c r="J15" s="154">
        <v>936.45912584978748</v>
      </c>
      <c r="K15" s="155">
        <v>936.45912584978748</v>
      </c>
      <c r="L15" s="154">
        <v>916.47664661138015</v>
      </c>
      <c r="M15" s="155">
        <v>916.47664661138015</v>
      </c>
      <c r="N15" s="154">
        <v>894.38737356109732</v>
      </c>
      <c r="O15" s="155">
        <v>894.38737356109732</v>
      </c>
      <c r="P15" s="154">
        <v>869.85136604945887</v>
      </c>
      <c r="Q15" s="155">
        <v>869.85136604945887</v>
      </c>
      <c r="R15" s="154">
        <v>842.44037593177006</v>
      </c>
      <c r="S15" s="155">
        <v>842.44037593177006</v>
      </c>
      <c r="T15" s="154">
        <v>811.6108468284242</v>
      </c>
      <c r="U15" s="155">
        <v>811.6108468284242</v>
      </c>
      <c r="V15" s="154">
        <v>776.66657704230749</v>
      </c>
      <c r="W15" s="155">
        <v>776.66657704230749</v>
      </c>
      <c r="X15" s="154">
        <v>736.70710980322917</v>
      </c>
      <c r="Y15" s="155">
        <v>736.70710980322917</v>
      </c>
      <c r="Z15" s="154">
        <v>690.55684210751394</v>
      </c>
      <c r="AA15" s="155">
        <v>690.55684210751394</v>
      </c>
      <c r="AB15" s="154">
        <v>636.67172229607934</v>
      </c>
      <c r="AC15" s="155">
        <v>636.67172229607934</v>
      </c>
      <c r="AD15" s="154">
        <v>573.03290391667554</v>
      </c>
      <c r="AE15" s="155">
        <v>573.03290391667554</v>
      </c>
      <c r="AF15" s="154">
        <v>497.08777457522336</v>
      </c>
      <c r="AG15" s="155">
        <v>497.08777457522336</v>
      </c>
      <c r="AH15" s="154">
        <v>406.00410040399726</v>
      </c>
      <c r="AI15" s="155">
        <v>406.00410040399726</v>
      </c>
      <c r="AJ15" s="154">
        <v>298.21893551829612</v>
      </c>
      <c r="AK15" s="155">
        <v>298.21893551829612</v>
      </c>
      <c r="AL15" s="154">
        <v>179.24383388538206</v>
      </c>
      <c r="AM15" s="155">
        <v>179.24383388538206</v>
      </c>
      <c r="AN15" s="154"/>
      <c r="AO15" s="155"/>
      <c r="AP15" s="154"/>
      <c r="AQ15" s="155"/>
      <c r="AR15" s="154"/>
      <c r="AS15" s="155"/>
      <c r="AT15" s="154"/>
      <c r="AU15" s="155"/>
      <c r="AV15" s="154"/>
      <c r="AW15" s="155"/>
    </row>
    <row r="16" spans="1:49" s="29" customFormat="1" x14ac:dyDescent="0.2">
      <c r="A16" t="s">
        <v>61</v>
      </c>
      <c r="B16" s="41">
        <v>1000</v>
      </c>
      <c r="C16" s="42">
        <v>1000</v>
      </c>
      <c r="D16" s="41">
        <v>995.48332165725094</v>
      </c>
      <c r="E16" s="42">
        <v>991.18435954947176</v>
      </c>
      <c r="F16" s="41">
        <v>990.68677411372653</v>
      </c>
      <c r="G16" s="42">
        <v>981.61972158537799</v>
      </c>
      <c r="H16" s="41">
        <v>985.55861091165877</v>
      </c>
      <c r="I16" s="42">
        <v>971.21054802341212</v>
      </c>
      <c r="J16" s="41">
        <v>980.03732377014944</v>
      </c>
      <c r="K16" s="42">
        <v>959.83994926890307</v>
      </c>
      <c r="L16" s="41">
        <v>974.04873136476397</v>
      </c>
      <c r="M16" s="42">
        <v>947.36428947086813</v>
      </c>
      <c r="N16" s="41">
        <v>967.50243213948613</v>
      </c>
      <c r="O16" s="42">
        <v>933.60647056642551</v>
      </c>
      <c r="P16" s="41">
        <v>960.28679881049186</v>
      </c>
      <c r="Q16" s="42">
        <v>918.3464876515493</v>
      </c>
      <c r="R16" s="41">
        <v>952.26228665529493</v>
      </c>
      <c r="S16" s="42">
        <v>901.30893836421819</v>
      </c>
      <c r="T16" s="41">
        <v>943.25218991297072</v>
      </c>
      <c r="U16" s="42">
        <v>882.14600778887382</v>
      </c>
      <c r="V16" s="41">
        <v>933.02969379858109</v>
      </c>
      <c r="W16" s="42">
        <v>860.41414191917318</v>
      </c>
      <c r="X16" s="41">
        <v>921.29952585751118</v>
      </c>
      <c r="Y16" s="42">
        <v>835.54236185711648</v>
      </c>
      <c r="Z16" s="41">
        <v>907.67177430887864</v>
      </c>
      <c r="AA16" s="42">
        <v>806.78930858131855</v>
      </c>
      <c r="AB16" s="41">
        <v>891.62486095818167</v>
      </c>
      <c r="AC16" s="42">
        <v>773.18871580985524</v>
      </c>
      <c r="AD16" s="41">
        <v>872.45593658621726</v>
      </c>
      <c r="AE16" s="42">
        <v>733.49186299994699</v>
      </c>
      <c r="AF16" s="41">
        <v>849.22667423699772</v>
      </c>
      <c r="AG16" s="42">
        <v>686.15543609898555</v>
      </c>
      <c r="AH16" s="41">
        <v>820.76286970881256</v>
      </c>
      <c r="AI16" s="42">
        <v>629.57581230978144</v>
      </c>
      <c r="AJ16" s="41">
        <v>785.98544694370901</v>
      </c>
      <c r="AK16" s="42">
        <v>563.40887198365851</v>
      </c>
      <c r="AL16" s="41">
        <v>745.73412472263192</v>
      </c>
      <c r="AM16" s="42">
        <v>496.07889596110209</v>
      </c>
      <c r="AN16" s="41"/>
      <c r="AO16" s="42"/>
      <c r="AP16" s="41"/>
      <c r="AQ16" s="42"/>
      <c r="AR16" s="41"/>
      <c r="AS16" s="42"/>
      <c r="AT16" s="41"/>
      <c r="AU16" s="42"/>
      <c r="AV16" s="41"/>
      <c r="AW16" s="42"/>
    </row>
    <row r="17" spans="1:49" x14ac:dyDescent="0.2">
      <c r="A17" t="s">
        <v>62</v>
      </c>
      <c r="B17" s="35">
        <v>1000.0000000000002</v>
      </c>
      <c r="C17" s="36">
        <v>999.99999999999977</v>
      </c>
      <c r="D17" s="35">
        <v>999.07482585927346</v>
      </c>
      <c r="E17" s="36">
        <v>1039.9382914901423</v>
      </c>
      <c r="F17" s="35">
        <v>998.17083742931482</v>
      </c>
      <c r="G17" s="36">
        <v>1084.8415998976552</v>
      </c>
      <c r="H17" s="35">
        <v>997.2830319818105</v>
      </c>
      <c r="I17" s="36">
        <v>1135.6861968417638</v>
      </c>
      <c r="J17" s="35">
        <v>996.40581291184492</v>
      </c>
      <c r="K17" s="36">
        <v>1193.6971080266592</v>
      </c>
      <c r="L17" s="35">
        <v>995.53281329449328</v>
      </c>
      <c r="M17" s="36">
        <v>1260.4346246534906</v>
      </c>
      <c r="N17" s="35">
        <v>994.65638558757428</v>
      </c>
      <c r="O17" s="36">
        <v>1337.9079780436855</v>
      </c>
      <c r="P17" s="35">
        <v>993.76727370555716</v>
      </c>
      <c r="Q17" s="36">
        <v>1428.7469526218608</v>
      </c>
      <c r="R17" s="35">
        <v>992.85407655651557</v>
      </c>
      <c r="S17" s="36">
        <v>1536.4500681331249</v>
      </c>
      <c r="T17" s="35">
        <v>991.90261270491237</v>
      </c>
      <c r="U17" s="36">
        <v>1665.7573364388054</v>
      </c>
      <c r="V17" s="35">
        <v>990.89518147438469</v>
      </c>
      <c r="W17" s="36">
        <v>1823.2233988936439</v>
      </c>
      <c r="X17" s="35">
        <v>989.80974239154727</v>
      </c>
      <c r="Y17" s="36">
        <v>2018.1210983525066</v>
      </c>
      <c r="Z17" s="35">
        <v>988.61921189158591</v>
      </c>
      <c r="AA17" s="36">
        <v>2263.9051706075397</v>
      </c>
      <c r="AB17" s="35">
        <v>987.29129147511139</v>
      </c>
      <c r="AC17" s="36">
        <v>2580.6415479716779</v>
      </c>
      <c r="AD17" s="35">
        <v>985.79006138699424</v>
      </c>
      <c r="AE17" s="36">
        <v>2999.1016462369739</v>
      </c>
      <c r="AF17" s="35">
        <v>984.08214478402294</v>
      </c>
      <c r="AG17" s="36">
        <v>3567.5703597068232</v>
      </c>
      <c r="AH17" s="35">
        <v>982.15461957531932</v>
      </c>
      <c r="AI17" s="36">
        <v>4361.8349586306495</v>
      </c>
      <c r="AJ17" s="35">
        <v>980.05984392440098</v>
      </c>
      <c r="AK17" s="36">
        <v>5490.8446034478256</v>
      </c>
      <c r="AL17" s="35">
        <v>978.00382119924029</v>
      </c>
      <c r="AM17" s="36">
        <v>7041.1498228839964</v>
      </c>
      <c r="AN17" s="35"/>
      <c r="AO17" s="36"/>
      <c r="AP17" s="35"/>
      <c r="AQ17" s="36"/>
      <c r="AR17" s="35"/>
      <c r="AS17" s="36"/>
      <c r="AT17" s="35"/>
      <c r="AU17" s="36"/>
      <c r="AV17" s="35"/>
      <c r="AW17" s="36"/>
    </row>
    <row r="18" spans="1:49" x14ac:dyDescent="0.2">
      <c r="A18" t="s">
        <v>19</v>
      </c>
      <c r="B18" s="33">
        <v>27857.010133999996</v>
      </c>
      <c r="C18" s="34">
        <v>1236.7674480000003</v>
      </c>
      <c r="D18" s="33">
        <v>28005.284737410697</v>
      </c>
      <c r="E18" s="34">
        <v>1157.9258465562782</v>
      </c>
      <c r="F18" s="33">
        <v>28133.708185254352</v>
      </c>
      <c r="G18" s="34">
        <v>1079.8513120383793</v>
      </c>
      <c r="H18" s="33">
        <v>28240.845056318136</v>
      </c>
      <c r="I18" s="34">
        <v>1002.5728062146397</v>
      </c>
      <c r="J18" s="33">
        <v>28324.628213313666</v>
      </c>
      <c r="K18" s="34">
        <v>926.12656483908916</v>
      </c>
      <c r="L18" s="33">
        <v>28382.196258674907</v>
      </c>
      <c r="M18" s="34">
        <v>850.55906399097591</v>
      </c>
      <c r="N18" s="33">
        <v>28409.653939648848</v>
      </c>
      <c r="O18" s="34">
        <v>775.92707083582775</v>
      </c>
      <c r="P18" s="33">
        <v>28401.716983756814</v>
      </c>
      <c r="Q18" s="34">
        <v>702.30220482189338</v>
      </c>
      <c r="R18" s="33">
        <v>28351.18163690107</v>
      </c>
      <c r="S18" s="34">
        <v>629.77624040799742</v>
      </c>
      <c r="T18" s="33">
        <v>28248.114865772091</v>
      </c>
      <c r="U18" s="34">
        <v>558.4693820885617</v>
      </c>
      <c r="V18" s="33">
        <v>28078.58626195796</v>
      </c>
      <c r="W18" s="34">
        <v>488.54273480330681</v>
      </c>
      <c r="X18" s="33">
        <v>27822.620678222313</v>
      </c>
      <c r="Y18" s="34">
        <v>420.21843120429253</v>
      </c>
      <c r="Z18" s="33">
        <v>27450.767052039882</v>
      </c>
      <c r="AA18" s="34">
        <v>353.80898584940076</v>
      </c>
      <c r="AB18" s="33">
        <v>26918.103665191753</v>
      </c>
      <c r="AC18" s="34">
        <v>289.763588615272</v>
      </c>
      <c r="AD18" s="33">
        <v>26153.240733950428</v>
      </c>
      <c r="AE18" s="34">
        <v>228.73317778460421</v>
      </c>
      <c r="AF18" s="33">
        <v>25037.116272125346</v>
      </c>
      <c r="AG18" s="34">
        <v>171.67322244118162</v>
      </c>
      <c r="AH18" s="33">
        <v>23360.110285410265</v>
      </c>
      <c r="AI18" s="34">
        <v>119.96588558896126</v>
      </c>
      <c r="AJ18" s="33">
        <v>20734.510884998163</v>
      </c>
      <c r="AK18" s="34">
        <v>75.524723978807799</v>
      </c>
      <c r="AL18" s="33">
        <v>16444.234813944578</v>
      </c>
      <c r="AM18" s="34">
        <v>40.607109615850796</v>
      </c>
      <c r="AN18" s="33"/>
      <c r="AO18" s="34"/>
      <c r="AP18" s="33"/>
      <c r="AQ18" s="34"/>
      <c r="AR18" s="33"/>
      <c r="AS18" s="34"/>
      <c r="AT18" s="33"/>
      <c r="AU18" s="34"/>
      <c r="AV18" s="33"/>
      <c r="AW18" s="34"/>
    </row>
    <row r="19" spans="1:49" x14ac:dyDescent="0.2">
      <c r="A19" t="s">
        <v>3</v>
      </c>
      <c r="B19" s="41">
        <v>1886.3937400000138</v>
      </c>
      <c r="C19" s="42">
        <v>262.7871129999973</v>
      </c>
      <c r="D19" s="41">
        <v>1893.8590480710109</v>
      </c>
      <c r="E19" s="42">
        <v>261.28906885558098</v>
      </c>
      <c r="F19" s="41">
        <v>1900.0135491967264</v>
      </c>
      <c r="G19" s="42">
        <v>260.0026648744884</v>
      </c>
      <c r="H19" s="41">
        <v>1904.7526285820393</v>
      </c>
      <c r="I19" s="42">
        <v>258.96246366899737</v>
      </c>
      <c r="J19" s="41">
        <v>1907.9275091245963</v>
      </c>
      <c r="K19" s="42">
        <v>258.20570327472831</v>
      </c>
      <c r="L19" s="41">
        <v>1909.3340536347043</v>
      </c>
      <c r="M19" s="42">
        <v>257.77389818826606</v>
      </c>
      <c r="N19" s="41">
        <v>1908.6958077064803</v>
      </c>
      <c r="O19" s="42">
        <v>257.71051173978503</v>
      </c>
      <c r="P19" s="41">
        <v>1905.6397755059218</v>
      </c>
      <c r="Q19" s="42">
        <v>258.06079599319503</v>
      </c>
      <c r="R19" s="41">
        <v>1899.6602908343482</v>
      </c>
      <c r="S19" s="42">
        <v>258.86855651230917</v>
      </c>
      <c r="T19" s="41">
        <v>1890.0644707630358</v>
      </c>
      <c r="U19" s="42">
        <v>260.16964979747866</v>
      </c>
      <c r="V19" s="41">
        <v>1875.8877091315383</v>
      </c>
      <c r="W19" s="42">
        <v>261.97915513682852</v>
      </c>
      <c r="X19" s="41">
        <v>1855.7586478898438</v>
      </c>
      <c r="Y19" s="42">
        <v>264.26572741569242</v>
      </c>
      <c r="Z19" s="41">
        <v>1827.6752777700244</v>
      </c>
      <c r="AA19" s="42">
        <v>266.90172472220348</v>
      </c>
      <c r="AB19" s="41">
        <v>1788.6175521683115</v>
      </c>
      <c r="AC19" s="42">
        <v>269.56348520223003</v>
      </c>
      <c r="AD19" s="41">
        <v>1733.8429811460996</v>
      </c>
      <c r="AE19" s="42">
        <v>271.53038504332352</v>
      </c>
      <c r="AF19" s="41">
        <v>1655.5377716876492</v>
      </c>
      <c r="AG19" s="42">
        <v>271.26927194429004</v>
      </c>
      <c r="AH19" s="41">
        <v>1540.100617211333</v>
      </c>
      <c r="AI19" s="42">
        <v>265.57516533994749</v>
      </c>
      <c r="AJ19" s="41">
        <v>1362.6023826842193</v>
      </c>
      <c r="AK19" s="42">
        <v>247.87379146854346</v>
      </c>
      <c r="AL19" s="41">
        <v>1077.2306448870349</v>
      </c>
      <c r="AM19" s="42">
        <v>205.71134198939248</v>
      </c>
      <c r="AN19" s="41"/>
      <c r="AO19" s="42"/>
      <c r="AP19" s="41"/>
      <c r="AQ19" s="42"/>
      <c r="AR19" s="41"/>
      <c r="AS19" s="42"/>
      <c r="AT19" s="41"/>
      <c r="AU19" s="42"/>
      <c r="AV19" s="41"/>
      <c r="AW19" s="42"/>
    </row>
    <row r="20" spans="1:49" x14ac:dyDescent="0.2">
      <c r="A20" t="s">
        <v>127</v>
      </c>
      <c r="B20" s="82">
        <v>26548.356269999993</v>
      </c>
      <c r="C20" s="83">
        <v>1408.5418709999938</v>
      </c>
      <c r="D20" s="82">
        <v>26680.846271683207</v>
      </c>
      <c r="E20" s="83">
        <v>1338.1147774499941</v>
      </c>
      <c r="F20" s="82">
        <v>26794.50902326802</v>
      </c>
      <c r="G20" s="83">
        <v>1267.6876838999945</v>
      </c>
      <c r="H20" s="82">
        <v>26887.952056530088</v>
      </c>
      <c r="I20" s="83">
        <v>1197.2605903499946</v>
      </c>
      <c r="J20" s="82">
        <v>26959.175693821351</v>
      </c>
      <c r="K20" s="83">
        <v>1126.8334967999949</v>
      </c>
      <c r="L20" s="82">
        <v>27005.41736534566</v>
      </c>
      <c r="M20" s="83">
        <v>1056.4064032499953</v>
      </c>
      <c r="N20" s="82">
        <v>27022.920677884966</v>
      </c>
      <c r="O20" s="83">
        <v>985.97930969999561</v>
      </c>
      <c r="P20" s="82">
        <v>27006.596137914959</v>
      </c>
      <c r="Q20" s="83">
        <v>915.55221614999596</v>
      </c>
      <c r="R20" s="82">
        <v>26949.514656588926</v>
      </c>
      <c r="S20" s="83">
        <v>845.1251225999963</v>
      </c>
      <c r="T20" s="82">
        <v>26842.136477447624</v>
      </c>
      <c r="U20" s="83">
        <v>774.69802904999653</v>
      </c>
      <c r="V20" s="82">
        <v>26671.106955762341</v>
      </c>
      <c r="W20" s="83">
        <v>704.27093549999688</v>
      </c>
      <c r="X20" s="82">
        <v>26417.317386478466</v>
      </c>
      <c r="Y20" s="83">
        <v>633.84384194999711</v>
      </c>
      <c r="Z20" s="82">
        <v>26052.663836420885</v>
      </c>
      <c r="AA20" s="83">
        <v>563.41674839999746</v>
      </c>
      <c r="AB20" s="82">
        <v>25534.398366768284</v>
      </c>
      <c r="AC20" s="83">
        <v>492.98965484999781</v>
      </c>
      <c r="AD20" s="82">
        <v>24794.789753287721</v>
      </c>
      <c r="AE20" s="83">
        <v>422.56256129999809</v>
      </c>
      <c r="AF20" s="82">
        <v>23721.224253212036</v>
      </c>
      <c r="AG20" s="83">
        <v>352.13546774999827</v>
      </c>
      <c r="AH20" s="82">
        <v>22116.007466405783</v>
      </c>
      <c r="AI20" s="83">
        <v>281.70837419999856</v>
      </c>
      <c r="AJ20" s="82">
        <v>19614.340962540056</v>
      </c>
      <c r="AK20" s="83">
        <v>211.28128064999879</v>
      </c>
      <c r="AL20" s="82">
        <v>15543.363219754738</v>
      </c>
      <c r="AM20" s="83">
        <v>140.85418709999902</v>
      </c>
      <c r="AN20" s="82"/>
      <c r="AO20" s="83"/>
      <c r="AP20" s="82"/>
      <c r="AQ20" s="83"/>
      <c r="AR20" s="82"/>
      <c r="AS20" s="83"/>
      <c r="AT20" s="82"/>
      <c r="AU20" s="83"/>
      <c r="AV20" s="82"/>
      <c r="AW20" s="83"/>
    </row>
    <row r="21" spans="1:49" x14ac:dyDescent="0.2">
      <c r="A21" t="s">
        <v>76</v>
      </c>
      <c r="B21" s="82">
        <v>24661.962530000252</v>
      </c>
      <c r="C21" s="83">
        <v>1145.7547579999959</v>
      </c>
      <c r="D21" s="82">
        <v>24786.988291912192</v>
      </c>
      <c r="E21" s="83">
        <v>1076.9887662093201</v>
      </c>
      <c r="F21" s="82">
        <v>24894.499673381684</v>
      </c>
      <c r="G21" s="83">
        <v>1008.3687513769828</v>
      </c>
      <c r="H21" s="82">
        <v>24983.208737454588</v>
      </c>
      <c r="I21" s="83">
        <v>939.91484479891938</v>
      </c>
      <c r="J21" s="82">
        <v>25051.264540530261</v>
      </c>
      <c r="K21" s="83">
        <v>871.65603200063299</v>
      </c>
      <c r="L21" s="82">
        <v>25096.108654218813</v>
      </c>
      <c r="M21" s="83">
        <v>803.63116867171004</v>
      </c>
      <c r="N21" s="82">
        <v>25114.261203274473</v>
      </c>
      <c r="O21" s="83">
        <v>735.89406795139882</v>
      </c>
      <c r="P21" s="82">
        <v>25101.005828174508</v>
      </c>
      <c r="Q21" s="83">
        <v>668.51715549842982</v>
      </c>
      <c r="R21" s="82">
        <v>25049.91934015826</v>
      </c>
      <c r="S21" s="83">
        <v>601.59830554222106</v>
      </c>
      <c r="T21" s="82">
        <v>24952.155222097976</v>
      </c>
      <c r="U21" s="83">
        <v>535.27046847607062</v>
      </c>
      <c r="V21" s="82">
        <v>24795.323945279546</v>
      </c>
      <c r="W21" s="83">
        <v>469.71549997484487</v>
      </c>
      <c r="X21" s="82">
        <v>24561.68885440857</v>
      </c>
      <c r="Y21" s="83">
        <v>405.18463392578263</v>
      </c>
      <c r="Z21" s="82">
        <v>24225.148902698606</v>
      </c>
      <c r="AA21" s="83">
        <v>342.02833756841284</v>
      </c>
      <c r="AB21" s="82">
        <v>23745.977178918198</v>
      </c>
      <c r="AC21" s="83">
        <v>280.74080648677233</v>
      </c>
      <c r="AD21" s="82">
        <v>23061.185704707026</v>
      </c>
      <c r="AE21" s="83">
        <v>222.0250426786545</v>
      </c>
      <c r="AF21" s="82">
        <v>22065.974072331293</v>
      </c>
      <c r="AG21" s="83">
        <v>166.88621210293059</v>
      </c>
      <c r="AH21" s="82">
        <v>20576.244849954295</v>
      </c>
      <c r="AI21" s="83">
        <v>116.75005216118775</v>
      </c>
      <c r="AJ21" s="82">
        <v>18252.114071244094</v>
      </c>
      <c r="AK21" s="83">
        <v>73.555557078722757</v>
      </c>
      <c r="AL21" s="82">
        <v>14466.495820062324</v>
      </c>
      <c r="AM21" s="83">
        <v>39.56612806783297</v>
      </c>
      <c r="AN21" s="82"/>
      <c r="AO21" s="83"/>
      <c r="AP21" s="82"/>
      <c r="AQ21" s="83"/>
      <c r="AR21" s="82"/>
      <c r="AS21" s="83"/>
      <c r="AT21" s="82"/>
      <c r="AU21" s="83"/>
      <c r="AV21" s="82"/>
      <c r="AW21" s="83"/>
    </row>
    <row r="22" spans="1:49" x14ac:dyDescent="0.2">
      <c r="A22" t="s">
        <v>28</v>
      </c>
      <c r="B22" s="41">
        <v>6533.6044688320853</v>
      </c>
      <c r="C22" s="42">
        <v>379.90788307663502</v>
      </c>
      <c r="D22" s="41">
        <v>6569.8721709930505</v>
      </c>
      <c r="E22" s="42">
        <v>363.59715804486143</v>
      </c>
      <c r="F22" s="41">
        <v>6600.8449195495623</v>
      </c>
      <c r="G22" s="42">
        <v>346.94835570834044</v>
      </c>
      <c r="H22" s="41">
        <v>6626.1078543007698</v>
      </c>
      <c r="I22" s="42">
        <v>329.96797725385551</v>
      </c>
      <c r="J22" s="41">
        <v>6645.0818290645875</v>
      </c>
      <c r="K22" s="42">
        <v>312.66236301810244</v>
      </c>
      <c r="L22" s="41">
        <v>6656.9843354978957</v>
      </c>
      <c r="M22" s="42">
        <v>295.0372026925009</v>
      </c>
      <c r="N22" s="41">
        <v>6660.7662070098795</v>
      </c>
      <c r="O22" s="42">
        <v>277.09881638938651</v>
      </c>
      <c r="P22" s="41">
        <v>6655.0255391081128</v>
      </c>
      <c r="Q22" s="42">
        <v>258.85374142102285</v>
      </c>
      <c r="R22" s="41">
        <v>6637.8775775128352</v>
      </c>
      <c r="S22" s="42">
        <v>240.30899889900726</v>
      </c>
      <c r="T22" s="41">
        <v>6606.7591326276497</v>
      </c>
      <c r="U22" s="42">
        <v>221.47223042762599</v>
      </c>
      <c r="V22" s="41">
        <v>6558.1268763081634</v>
      </c>
      <c r="W22" s="42">
        <v>202.35174206069391</v>
      </c>
      <c r="X22" s="41">
        <v>6486.9767931628703</v>
      </c>
      <c r="Y22" s="42">
        <v>182.956494880452</v>
      </c>
      <c r="Z22" s="41">
        <v>6386.0528393448767</v>
      </c>
      <c r="AA22" s="42">
        <v>163.29601006086872</v>
      </c>
      <c r="AB22" s="41">
        <v>6244.4872708198618</v>
      </c>
      <c r="AC22" s="42">
        <v>143.38036604126685</v>
      </c>
      <c r="AD22" s="41">
        <v>6045.3552973244232</v>
      </c>
      <c r="AE22" s="42">
        <v>123.22077057399159</v>
      </c>
      <c r="AF22" s="41">
        <v>5761.0524784650088</v>
      </c>
      <c r="AG22" s="42">
        <v>102.83177535972712</v>
      </c>
      <c r="AH22" s="41">
        <v>5344.164669917167</v>
      </c>
      <c r="AI22" s="42">
        <v>82.238773719669965</v>
      </c>
      <c r="AJ22" s="41">
        <v>4709.3400750836699</v>
      </c>
      <c r="AK22" s="42">
        <v>61.49833438626888</v>
      </c>
      <c r="AL22" s="41">
        <v>3703.5299452150612</v>
      </c>
      <c r="AM22" s="42">
        <v>40.743630661554533</v>
      </c>
      <c r="AN22" s="41"/>
      <c r="AO22" s="42"/>
      <c r="AP22" s="41"/>
      <c r="AQ22" s="42"/>
      <c r="AR22" s="41"/>
      <c r="AS22" s="42"/>
      <c r="AT22" s="41"/>
      <c r="AU22" s="42"/>
      <c r="AV22" s="41"/>
      <c r="AW22" s="42"/>
    </row>
    <row r="23" spans="1:49" x14ac:dyDescent="0.2">
      <c r="A23" t="s">
        <v>7</v>
      </c>
      <c r="B23" s="116">
        <v>3278.5018080150408</v>
      </c>
      <c r="C23" s="8">
        <v>0</v>
      </c>
      <c r="D23" s="116">
        <v>3302.4606438229162</v>
      </c>
      <c r="E23" s="8">
        <v>0</v>
      </c>
      <c r="F23" s="116">
        <v>3324.2676077258075</v>
      </c>
      <c r="G23" s="8">
        <v>0</v>
      </c>
      <c r="H23" s="116">
        <v>3343.7718945316014</v>
      </c>
      <c r="I23" s="8">
        <v>0</v>
      </c>
      <c r="J23" s="116">
        <v>3360.7495800543293</v>
      </c>
      <c r="K23" s="8">
        <v>0</v>
      </c>
      <c r="L23" s="116">
        <v>3374.884551204897</v>
      </c>
      <c r="M23" s="8">
        <v>0</v>
      </c>
      <c r="N23" s="116">
        <v>3385.7395398881431</v>
      </c>
      <c r="O23" s="8">
        <v>0</v>
      </c>
      <c r="P23" s="116">
        <v>3392.7136847048573</v>
      </c>
      <c r="Q23" s="8">
        <v>0</v>
      </c>
      <c r="R23" s="116">
        <v>3394.9784522487212</v>
      </c>
      <c r="S23" s="8">
        <v>0</v>
      </c>
      <c r="T23" s="116">
        <v>3391.3793698885161</v>
      </c>
      <c r="U23" s="8">
        <v>0</v>
      </c>
      <c r="V23" s="116">
        <v>3380.2813841713346</v>
      </c>
      <c r="W23" s="8">
        <v>0</v>
      </c>
      <c r="X23" s="116">
        <v>3359.3176949769777</v>
      </c>
      <c r="Y23" s="8">
        <v>0</v>
      </c>
      <c r="Z23" s="116">
        <v>3324.9664784801098</v>
      </c>
      <c r="AA23" s="8">
        <v>0</v>
      </c>
      <c r="AB23" s="116">
        <v>3271.8060699208258</v>
      </c>
      <c r="AC23" s="8">
        <v>0</v>
      </c>
      <c r="AD23" s="116">
        <v>3191.1376574147939</v>
      </c>
      <c r="AE23" s="8">
        <v>0</v>
      </c>
      <c r="AF23" s="116">
        <v>3068.3008687815559</v>
      </c>
      <c r="AG23" s="8">
        <v>0</v>
      </c>
      <c r="AH23" s="116">
        <v>2877.1699798934501</v>
      </c>
      <c r="AI23" s="8">
        <v>0</v>
      </c>
      <c r="AJ23" s="116">
        <v>2568.6957955889457</v>
      </c>
      <c r="AK23" s="8">
        <v>0</v>
      </c>
      <c r="AL23" s="116">
        <v>2050.5292780290401</v>
      </c>
      <c r="AM23" s="8">
        <v>0</v>
      </c>
      <c r="AN23" s="116"/>
      <c r="AO23" s="8"/>
      <c r="AP23" s="116"/>
      <c r="AQ23" s="8"/>
      <c r="AR23" s="116"/>
      <c r="AS23" s="8"/>
      <c r="AT23" s="116"/>
      <c r="AU23" s="8"/>
      <c r="AV23" s="116"/>
      <c r="AW23" s="8"/>
    </row>
    <row r="24" spans="1:49" x14ac:dyDescent="0.2">
      <c r="A24" t="s">
        <v>8</v>
      </c>
      <c r="B24" s="97">
        <v>3196.3846373657216</v>
      </c>
      <c r="C24" s="8">
        <v>0</v>
      </c>
      <c r="D24" s="97">
        <v>3219.7433760007066</v>
      </c>
      <c r="E24" s="8">
        <v>0</v>
      </c>
      <c r="F24" s="97">
        <v>3241.0041391508844</v>
      </c>
      <c r="G24" s="8">
        <v>0</v>
      </c>
      <c r="H24" s="97">
        <v>3260.0199002960712</v>
      </c>
      <c r="I24" s="8">
        <v>0</v>
      </c>
      <c r="J24" s="97">
        <v>3276.5723368188792</v>
      </c>
      <c r="K24" s="8">
        <v>0</v>
      </c>
      <c r="L24" s="97">
        <v>3290.3532660387832</v>
      </c>
      <c r="M24" s="8">
        <v>0</v>
      </c>
      <c r="N24" s="97">
        <v>3300.9363680839724</v>
      </c>
      <c r="O24" s="8">
        <v>0</v>
      </c>
      <c r="P24" s="97">
        <v>3307.7358304846975</v>
      </c>
      <c r="Q24" s="8">
        <v>0</v>
      </c>
      <c r="R24" s="97">
        <v>3309.9438721225342</v>
      </c>
      <c r="S24" s="8">
        <v>0</v>
      </c>
      <c r="T24" s="97">
        <v>3306.4349364891796</v>
      </c>
      <c r="U24" s="8">
        <v>0</v>
      </c>
      <c r="V24" s="97">
        <v>3295.6149239606666</v>
      </c>
      <c r="W24" s="8">
        <v>0</v>
      </c>
      <c r="X24" s="97">
        <v>3275.1763158969625</v>
      </c>
      <c r="Y24" s="8">
        <v>0</v>
      </c>
      <c r="Z24" s="97">
        <v>3241.6855001161107</v>
      </c>
      <c r="AA24" s="8">
        <v>0</v>
      </c>
      <c r="AB24" s="97">
        <v>3189.8566086251562</v>
      </c>
      <c r="AC24" s="8">
        <v>0</v>
      </c>
      <c r="AD24" s="97">
        <v>3111.2087109449831</v>
      </c>
      <c r="AE24" s="8">
        <v>0</v>
      </c>
      <c r="AF24" s="97">
        <v>2991.4486369883384</v>
      </c>
      <c r="AG24" s="8">
        <v>0</v>
      </c>
      <c r="AH24" s="97">
        <v>2805.1050326467544</v>
      </c>
      <c r="AI24" s="8">
        <v>0</v>
      </c>
      <c r="AJ24" s="97">
        <v>2504.3572522468767</v>
      </c>
      <c r="AK24" s="8">
        <v>0</v>
      </c>
      <c r="AL24" s="97">
        <v>1999.1693360847185</v>
      </c>
      <c r="AM24" s="8">
        <v>0</v>
      </c>
      <c r="AN24" s="97"/>
      <c r="AO24" s="8"/>
      <c r="AP24" s="97"/>
      <c r="AQ24" s="8"/>
      <c r="AR24" s="97"/>
      <c r="AS24" s="8"/>
      <c r="AT24" s="97"/>
      <c r="AU24" s="8"/>
      <c r="AV24" s="97"/>
      <c r="AW24" s="8"/>
    </row>
    <row r="25" spans="1:49" x14ac:dyDescent="0.2">
      <c r="A25" t="s">
        <v>0</v>
      </c>
      <c r="B25" s="41">
        <v>3195.0476040000012</v>
      </c>
      <c r="C25" s="42">
        <v>91.012690000004397</v>
      </c>
      <c r="D25" s="41">
        <v>3218.2930180007888</v>
      </c>
      <c r="E25" s="42">
        <v>80.876799834251102</v>
      </c>
      <c r="F25" s="41">
        <v>3239.1950253801811</v>
      </c>
      <c r="G25" s="42">
        <v>71.249844137966349</v>
      </c>
      <c r="H25" s="41">
        <v>3257.6063692940352</v>
      </c>
      <c r="I25" s="42">
        <v>62.153165585271751</v>
      </c>
      <c r="J25" s="41">
        <v>3273.3109713949439</v>
      </c>
      <c r="K25" s="42">
        <v>53.610168531475374</v>
      </c>
      <c r="L25" s="41">
        <v>3286.0057897882575</v>
      </c>
      <c r="M25" s="42">
        <v>45.645425866030557</v>
      </c>
      <c r="N25" s="41">
        <v>3295.2752090452577</v>
      </c>
      <c r="O25" s="42">
        <v>38.28433539947077</v>
      </c>
      <c r="P25" s="41">
        <v>3300.5508271889785</v>
      </c>
      <c r="Q25" s="42">
        <v>31.551914115082262</v>
      </c>
      <c r="R25" s="41">
        <v>3301.0512680132474</v>
      </c>
      <c r="S25" s="42">
        <v>25.471618408054674</v>
      </c>
      <c r="T25" s="41">
        <v>3295.6887900543402</v>
      </c>
      <c r="U25" s="42">
        <v>20.063773209737793</v>
      </c>
      <c r="V25" s="41">
        <v>3282.9207619422668</v>
      </c>
      <c r="W25" s="42">
        <v>15.343543604827797</v>
      </c>
      <c r="X25" s="41">
        <v>3260.5063073194024</v>
      </c>
      <c r="Y25" s="42">
        <v>11.318466972221964</v>
      </c>
      <c r="Z25" s="41">
        <v>3225.092359794734</v>
      </c>
      <c r="AA25" s="42">
        <v>7.9853707995734178</v>
      </c>
      <c r="AB25" s="41">
        <v>3171.4806362224226</v>
      </c>
      <c r="AC25" s="42">
        <v>5.3268800409435668</v>
      </c>
      <c r="AD25" s="41">
        <v>3091.2664767697174</v>
      </c>
      <c r="AE25" s="42">
        <v>3.3075623073902309</v>
      </c>
      <c r="AF25" s="41">
        <v>2970.1893423369061</v>
      </c>
      <c r="AG25" s="42">
        <v>1.8705236180348308</v>
      </c>
      <c r="AH25" s="41">
        <v>2782.7405998401268</v>
      </c>
      <c r="AI25" s="42">
        <v>0.93508093407937265</v>
      </c>
      <c r="AJ25" s="41">
        <v>2481.141166931367</v>
      </c>
      <c r="AK25" s="42">
        <v>0.39767030713499202</v>
      </c>
      <c r="AL25" s="41">
        <v>1976.5185086529898</v>
      </c>
      <c r="AM25" s="42">
        <v>0.1386473568268444</v>
      </c>
      <c r="AN25" s="41"/>
      <c r="AO25" s="42"/>
      <c r="AP25" s="41"/>
      <c r="AQ25" s="42"/>
      <c r="AR25" s="41"/>
      <c r="AS25" s="42"/>
      <c r="AT25" s="41"/>
      <c r="AU25" s="42"/>
      <c r="AV25" s="41"/>
      <c r="AW25" s="42"/>
    </row>
    <row r="26" spans="1:49" x14ac:dyDescent="0.2">
      <c r="A26" t="s">
        <v>27</v>
      </c>
      <c r="B26" s="33">
        <v>5036.2953101960647</v>
      </c>
      <c r="C26" s="34">
        <v>74.905331803938267</v>
      </c>
      <c r="D26" s="33">
        <v>5092.7619274229919</v>
      </c>
      <c r="E26" s="34">
        <v>70.941683884878628</v>
      </c>
      <c r="F26" s="33">
        <v>5144.8472172865631</v>
      </c>
      <c r="G26" s="34">
        <v>66.945493036738952</v>
      </c>
      <c r="H26" s="33">
        <v>5192.1171783768295</v>
      </c>
      <c r="I26" s="34">
        <v>62.918740445934574</v>
      </c>
      <c r="J26" s="33">
        <v>5233.9668527086269</v>
      </c>
      <c r="K26" s="34">
        <v>58.863223832938935</v>
      </c>
      <c r="L26" s="33">
        <v>5269.5753744177146</v>
      </c>
      <c r="M26" s="34">
        <v>54.780541158806557</v>
      </c>
      <c r="N26" s="33">
        <v>5297.8346086691163</v>
      </c>
      <c r="O26" s="34">
        <v>50.672214042946251</v>
      </c>
      <c r="P26" s="33">
        <v>5317.2528749644862</v>
      </c>
      <c r="Q26" s="34">
        <v>46.539781428891722</v>
      </c>
      <c r="R26" s="33">
        <v>5325.8122165402374</v>
      </c>
      <c r="S26" s="34">
        <v>42.385045111779341</v>
      </c>
      <c r="T26" s="33">
        <v>5320.7582757094515</v>
      </c>
      <c r="U26" s="34">
        <v>38.210509816826843</v>
      </c>
      <c r="V26" s="33">
        <v>5298.2850496260626</v>
      </c>
      <c r="W26" s="34">
        <v>34.020155636921579</v>
      </c>
      <c r="X26" s="33">
        <v>5253.0525961983712</v>
      </c>
      <c r="Y26" s="34">
        <v>29.820785878115149</v>
      </c>
      <c r="Z26" s="33">
        <v>5177.4305487932943</v>
      </c>
      <c r="AA26" s="34">
        <v>25.624321173555941</v>
      </c>
      <c r="AB26" s="33">
        <v>5060.2828178639929</v>
      </c>
      <c r="AC26" s="34">
        <v>21.451689647403928</v>
      </c>
      <c r="AD26" s="33">
        <v>4884.9580518894663</v>
      </c>
      <c r="AE26" s="34">
        <v>17.339167220843379</v>
      </c>
      <c r="AF26" s="33">
        <v>4625.902867217078</v>
      </c>
      <c r="AG26" s="34">
        <v>13.348720211602156</v>
      </c>
      <c r="AH26" s="33">
        <v>4242.8945717336019</v>
      </c>
      <c r="AI26" s="34">
        <v>9.5829069300375274</v>
      </c>
      <c r="AJ26" s="33">
        <v>3671.8137962720593</v>
      </c>
      <c r="AK26" s="34">
        <v>6.2015262598695395</v>
      </c>
      <c r="AL26" s="33">
        <v>2815.094744865497</v>
      </c>
      <c r="AM26" s="34">
        <v>3.41445426817788</v>
      </c>
      <c r="AN26" s="33"/>
      <c r="AO26" s="34"/>
      <c r="AP26" s="33"/>
      <c r="AQ26" s="34"/>
      <c r="AR26" s="33"/>
      <c r="AS26" s="34"/>
      <c r="AT26" s="33"/>
      <c r="AU26" s="34"/>
      <c r="AV26" s="33"/>
      <c r="AW26" s="34"/>
    </row>
    <row r="27" spans="1:49" x14ac:dyDescent="0.2">
      <c r="A27" t="s">
        <v>2</v>
      </c>
      <c r="B27" s="35">
        <v>6425.1981590000414</v>
      </c>
      <c r="C27" s="36">
        <v>273.22915400000028</v>
      </c>
      <c r="D27" s="35">
        <v>6441.119411068843</v>
      </c>
      <c r="E27" s="36">
        <v>257.3076713141806</v>
      </c>
      <c r="F27" s="35">
        <v>6456.8409029807744</v>
      </c>
      <c r="G27" s="36">
        <v>241.58610274671778</v>
      </c>
      <c r="H27" s="35">
        <v>6472.3741537796386</v>
      </c>
      <c r="I27" s="36">
        <v>226.05282808064905</v>
      </c>
      <c r="J27" s="35">
        <v>6487.729665307902</v>
      </c>
      <c r="K27" s="36">
        <v>210.69761554222248</v>
      </c>
      <c r="L27" s="35">
        <v>6502.9153671632939</v>
      </c>
      <c r="M27" s="36">
        <v>195.51193360773195</v>
      </c>
      <c r="N27" s="35">
        <v>6517.9395208165861</v>
      </c>
      <c r="O27" s="36">
        <v>180.48777837847791</v>
      </c>
      <c r="P27" s="35">
        <v>6532.8092458156443</v>
      </c>
      <c r="Q27" s="36">
        <v>165.61805806742908</v>
      </c>
      <c r="R27" s="35">
        <v>6547.5306123012297</v>
      </c>
      <c r="S27" s="36">
        <v>150.89669781808536</v>
      </c>
      <c r="T27" s="35">
        <v>6562.1081064722021</v>
      </c>
      <c r="U27" s="36">
        <v>136.31920647955701</v>
      </c>
      <c r="V27" s="35">
        <v>6576.5434044589438</v>
      </c>
      <c r="W27" s="36">
        <v>121.88390947679316</v>
      </c>
      <c r="X27" s="35">
        <v>6590.8325720364946</v>
      </c>
      <c r="Y27" s="36">
        <v>107.59473913533698</v>
      </c>
      <c r="Z27" s="35">
        <v>6604.9613034064041</v>
      </c>
      <c r="AA27" s="36">
        <v>93.465975916203732</v>
      </c>
      <c r="AB27" s="35">
        <v>6618.8957609675299</v>
      </c>
      <c r="AC27" s="36">
        <v>79.5315359738034</v>
      </c>
      <c r="AD27" s="35">
        <v>6632.5669107405474</v>
      </c>
      <c r="AE27" s="36">
        <v>65.860318394194763</v>
      </c>
      <c r="AF27" s="35">
        <v>6645.8397993285653</v>
      </c>
      <c r="AG27" s="36">
        <v>52.587987738698892</v>
      </c>
      <c r="AH27" s="35">
        <v>6658.4546732849903</v>
      </c>
      <c r="AI27" s="36">
        <v>39.972202582919898</v>
      </c>
      <c r="AJ27" s="35">
        <v>6669.9142739301706</v>
      </c>
      <c r="AK27" s="36">
        <v>28.51294481000313</v>
      </c>
      <c r="AL27" s="35">
        <v>6678.9461414354073</v>
      </c>
      <c r="AM27" s="36">
        <v>19.481438673652455</v>
      </c>
      <c r="AN27" s="35"/>
      <c r="AO27" s="36"/>
      <c r="AP27" s="35"/>
      <c r="AQ27" s="36"/>
      <c r="AR27" s="35"/>
      <c r="AS27" s="36"/>
      <c r="AT27" s="35"/>
      <c r="AU27" s="36"/>
      <c r="AV27" s="35"/>
      <c r="AW27" s="36"/>
    </row>
    <row r="28" spans="1:49" x14ac:dyDescent="0.2">
      <c r="A28" t="s">
        <v>35</v>
      </c>
      <c r="B28" s="41">
        <v>13763.097676000029</v>
      </c>
      <c r="C28" s="42">
        <v>382.36647899999997</v>
      </c>
      <c r="D28" s="41">
        <v>13860.858186738289</v>
      </c>
      <c r="E28" s="42">
        <v>360.66209078925641</v>
      </c>
      <c r="F28" s="41">
        <v>13951.341225553768</v>
      </c>
      <c r="G28" s="42">
        <v>339.09952129130426</v>
      </c>
      <c r="H28" s="41">
        <v>14034.182983620973</v>
      </c>
      <c r="I28" s="42">
        <v>317.67650873668123</v>
      </c>
      <c r="J28" s="41">
        <v>14108.773901394232</v>
      </c>
      <c r="K28" s="42">
        <v>296.39062929162452</v>
      </c>
      <c r="L28" s="41">
        <v>14174.195133984955</v>
      </c>
      <c r="M28" s="42">
        <v>275.23974596453337</v>
      </c>
      <c r="N28" s="41">
        <v>14229.117480165451</v>
      </c>
      <c r="O28" s="42">
        <v>254.22102749710368</v>
      </c>
      <c r="P28" s="41">
        <v>14271.651053971162</v>
      </c>
      <c r="Q28" s="42">
        <v>233.33143474246532</v>
      </c>
      <c r="R28" s="41">
        <v>14299.112445496587</v>
      </c>
      <c r="S28" s="42">
        <v>212.56800653697533</v>
      </c>
      <c r="T28" s="41">
        <v>14307.658966259187</v>
      </c>
      <c r="U28" s="42">
        <v>191.92871608308616</v>
      </c>
      <c r="V28" s="41">
        <v>14291.698159332187</v>
      </c>
      <c r="W28" s="42">
        <v>171.41421403932605</v>
      </c>
      <c r="X28" s="41">
        <v>14242.902248632026</v>
      </c>
      <c r="Y28" s="42">
        <v>151.03157226301522</v>
      </c>
      <c r="Z28" s="41">
        <v>14148.495334808389</v>
      </c>
      <c r="AA28" s="42">
        <v>130.80069955183129</v>
      </c>
      <c r="AB28" s="41">
        <v>13988.135652968558</v>
      </c>
      <c r="AC28" s="42">
        <v>110.76658517590782</v>
      </c>
      <c r="AD28" s="41">
        <v>13727.919621221556</v>
      </c>
      <c r="AE28" s="42">
        <v>91.019428914319334</v>
      </c>
      <c r="AF28" s="41">
        <v>13308.158453474576</v>
      </c>
      <c r="AG28" s="42">
        <v>71.733703159062173</v>
      </c>
      <c r="AH28" s="41">
        <v>12616.895436838209</v>
      </c>
      <c r="AI28" s="42">
        <v>53.229149114447665</v>
      </c>
      <c r="AJ28" s="41">
        <v>11430.691833848403</v>
      </c>
      <c r="AK28" s="42">
        <v>36.062228228801978</v>
      </c>
      <c r="AL28" s="41">
        <v>9296.3979458598642</v>
      </c>
      <c r="AM28" s="42">
        <v>21.062264640824488</v>
      </c>
      <c r="AN28" s="41"/>
      <c r="AO28" s="42"/>
      <c r="AP28" s="41"/>
      <c r="AQ28" s="42"/>
      <c r="AR28" s="41"/>
      <c r="AS28" s="42"/>
      <c r="AT28" s="41"/>
      <c r="AU28" s="42"/>
      <c r="AV28" s="41"/>
      <c r="AW28" s="42"/>
    </row>
    <row r="29" spans="1:49" x14ac:dyDescent="0.2">
      <c r="A29" t="s">
        <v>53</v>
      </c>
      <c r="B29" s="35">
        <v>14362.768558000025</v>
      </c>
      <c r="C29" s="36">
        <v>817.26650999999993</v>
      </c>
      <c r="D29" s="35">
        <v>14438.765948416594</v>
      </c>
      <c r="E29" s="36">
        <v>761.67746116384114</v>
      </c>
      <c r="F29" s="35">
        <v>14504.530481561073</v>
      </c>
      <c r="G29" s="36">
        <v>706.89564108137938</v>
      </c>
      <c r="H29" s="35">
        <v>14559.32090175922</v>
      </c>
      <c r="I29" s="36">
        <v>652.95424972658179</v>
      </c>
      <c r="J29" s="35">
        <v>14602.069985895274</v>
      </c>
      <c r="K29" s="36">
        <v>599.89401577592309</v>
      </c>
      <c r="L29" s="35">
        <v>14631.300516853735</v>
      </c>
      <c r="M29" s="36">
        <v>547.76491344124088</v>
      </c>
      <c r="N29" s="35">
        <v>14645.001836407715</v>
      </c>
      <c r="O29" s="36">
        <v>496.62635492126219</v>
      </c>
      <c r="P29" s="35">
        <v>14640.446528530863</v>
      </c>
      <c r="Q29" s="36">
        <v>446.54985779945389</v>
      </c>
      <c r="R29" s="35">
        <v>14613.916864926703</v>
      </c>
      <c r="S29" s="36">
        <v>397.62217569615615</v>
      </c>
      <c r="T29" s="35">
        <v>14560.287287784313</v>
      </c>
      <c r="U29" s="36">
        <v>349.95002873408049</v>
      </c>
      <c r="V29" s="35">
        <v>14472.370762665927</v>
      </c>
      <c r="W29" s="36">
        <v>303.66702594608671</v>
      </c>
      <c r="X29" s="35">
        <v>14339.863775394193</v>
      </c>
      <c r="Y29" s="36">
        <v>258.94465264468528</v>
      </c>
      <c r="Z29" s="35">
        <v>14147.578699501013</v>
      </c>
      <c r="AA29" s="36">
        <v>216.00779978904143</v>
      </c>
      <c r="AB29" s="35">
        <v>13872.3563737846</v>
      </c>
      <c r="AC29" s="36">
        <v>175.15886138690814</v>
      </c>
      <c r="AD29" s="35">
        <v>13477.403512344887</v>
      </c>
      <c r="AE29" s="36">
        <v>136.81037266756016</v>
      </c>
      <c r="AF29" s="35">
        <v>12901.377136792917</v>
      </c>
      <c r="AG29" s="36">
        <v>101.53590228999417</v>
      </c>
      <c r="AH29" s="35">
        <v>12036.31078238882</v>
      </c>
      <c r="AI29" s="36">
        <v>70.125846403616521</v>
      </c>
      <c r="AJ29" s="35">
        <v>10682.562480667073</v>
      </c>
      <c r="AK29" s="36">
        <v>43.624712776285172</v>
      </c>
      <c r="AL29" s="35">
        <v>8471.4628153613903</v>
      </c>
      <c r="AM29" s="36">
        <v>23.193471010486505</v>
      </c>
      <c r="AN29" s="35"/>
      <c r="AO29" s="36"/>
      <c r="AP29" s="35"/>
      <c r="AQ29" s="36"/>
      <c r="AR29" s="35"/>
      <c r="AS29" s="36"/>
      <c r="AT29" s="35"/>
      <c r="AU29" s="36"/>
      <c r="AV29" s="35"/>
      <c r="AW29" s="36"/>
    </row>
    <row r="30" spans="1:49" x14ac:dyDescent="0.2">
      <c r="A30" t="s">
        <v>48</v>
      </c>
      <c r="B30" s="119">
        <v>2924829.9599999995</v>
      </c>
      <c r="D30" s="119">
        <v>3039303.4967436213</v>
      </c>
      <c r="F30" s="119">
        <v>3155039.2173304195</v>
      </c>
      <c r="H30" s="119">
        <v>3272322.6143870987</v>
      </c>
      <c r="J30" s="119">
        <v>3391430.3932192749</v>
      </c>
      <c r="L30" s="119">
        <v>3512628.9347523041</v>
      </c>
      <c r="N30" s="119">
        <v>3636146.9361171406</v>
      </c>
      <c r="P30" s="119">
        <v>3762148.8015364939</v>
      </c>
      <c r="R30" s="119">
        <v>3890676.7343967934</v>
      </c>
      <c r="T30" s="119">
        <v>4021549.3587358911</v>
      </c>
      <c r="V30" s="119">
        <v>4154180.5902795871</v>
      </c>
      <c r="X30" s="119">
        <v>4287246.3932207748</v>
      </c>
      <c r="Z30" s="119">
        <v>4418054.3492999496</v>
      </c>
      <c r="AB30" s="119">
        <v>4541295.4515075367</v>
      </c>
      <c r="AD30" s="119">
        <v>4646441.4787822692</v>
      </c>
      <c r="AF30" s="119">
        <v>4711988.4691686314</v>
      </c>
      <c r="AH30" s="119">
        <v>4691901.6614183318</v>
      </c>
      <c r="AJ30" s="119">
        <v>4482518.8263702327</v>
      </c>
      <c r="AL30" s="119">
        <v>3848936.2322277138</v>
      </c>
      <c r="AN30" s="119"/>
      <c r="AP30" s="119"/>
      <c r="AR30" s="119"/>
      <c r="AT30" s="119"/>
      <c r="AV30" s="119"/>
    </row>
    <row r="31" spans="1:49" x14ac:dyDescent="0.2">
      <c r="A31" t="s">
        <v>47</v>
      </c>
      <c r="B31" s="80">
        <v>1.0000000000000027</v>
      </c>
      <c r="D31" s="80">
        <v>1.0028090194360666</v>
      </c>
      <c r="F31" s="80">
        <v>1.0045809972679478</v>
      </c>
      <c r="H31" s="80">
        <v>1.0052286510626642</v>
      </c>
      <c r="J31" s="80">
        <v>1.0046362430902582</v>
      </c>
      <c r="L31" s="80">
        <v>1.0026530370101709</v>
      </c>
      <c r="N31" s="80">
        <v>0.9990834955410105</v>
      </c>
      <c r="P31" s="80">
        <v>0.99367379469359551</v>
      </c>
      <c r="R31" s="80">
        <v>0.98609214024050285</v>
      </c>
      <c r="T31" s="80">
        <v>0.97589990028358753</v>
      </c>
      <c r="V31" s="80">
        <v>0.96250827132541006</v>
      </c>
      <c r="X31" s="80">
        <v>0.94511131015342142</v>
      </c>
      <c r="Z31" s="80">
        <v>0.9225792542523128</v>
      </c>
      <c r="AB31" s="80">
        <v>0.89328199966438693</v>
      </c>
      <c r="AD31" s="80">
        <v>0.85478516745877842</v>
      </c>
      <c r="AF31" s="80">
        <v>0.80330439253217223</v>
      </c>
      <c r="AH31" s="80">
        <v>0.73269489385777875</v>
      </c>
      <c r="AJ31" s="80">
        <v>0.63261534969308053</v>
      </c>
      <c r="AL31" s="80">
        <v>0.48599610349998562</v>
      </c>
      <c r="AN31" s="80"/>
      <c r="AP31" s="80"/>
      <c r="AR31" s="80"/>
      <c r="AT31" s="80"/>
      <c r="AV31" s="80"/>
    </row>
    <row r="32" spans="1:49" x14ac:dyDescent="0.2">
      <c r="A32" t="s">
        <v>64</v>
      </c>
      <c r="B32" s="86">
        <v>14734457.915000005</v>
      </c>
      <c r="D32" s="86">
        <v>14827029.491907308</v>
      </c>
      <c r="F32" s="86">
        <v>14910068.838591048</v>
      </c>
      <c r="H32" s="86">
        <v>14982853.522657188</v>
      </c>
      <c r="J32" s="86">
        <v>15044323.440297341</v>
      </c>
      <c r="L32" s="86">
        <v>15092993.815467658</v>
      </c>
      <c r="N32" s="86">
        <v>15126820.400985649</v>
      </c>
      <c r="P32" s="86">
        <v>15143007.361499047</v>
      </c>
      <c r="R32" s="86">
        <v>15137717.559549127</v>
      </c>
      <c r="T32" s="86">
        <v>15105631.987932943</v>
      </c>
      <c r="V32" s="86">
        <v>15039262.056797136</v>
      </c>
      <c r="X32" s="86">
        <v>14927841.333941001</v>
      </c>
      <c r="Z32" s="86">
        <v>14755472.713955777</v>
      </c>
      <c r="AB32" s="86">
        <v>14497891.743391406</v>
      </c>
      <c r="AD32" s="86">
        <v>14116520.572101066</v>
      </c>
      <c r="AF32" s="86">
        <v>13546937.24232343</v>
      </c>
      <c r="AH32" s="86">
        <v>12675309.421367548</v>
      </c>
      <c r="AJ32" s="86">
        <v>11289355.437518923</v>
      </c>
      <c r="AL32" s="86">
        <v>8990853.928808298</v>
      </c>
      <c r="AN32" s="86"/>
      <c r="AP32" s="86"/>
      <c r="AR32" s="86"/>
      <c r="AT32" s="86"/>
      <c r="AV32" s="86"/>
    </row>
    <row r="33" spans="1:49 16319:16321" x14ac:dyDescent="0.2">
      <c r="A33" t="s">
        <v>54</v>
      </c>
      <c r="B33" s="117">
        <v>7019665.6910000108</v>
      </c>
      <c r="D33" s="117">
        <v>7063768.2202760708</v>
      </c>
      <c r="F33" s="117">
        <v>7103329.3057893934</v>
      </c>
      <c r="H33" s="117">
        <v>7138004.8916013185</v>
      </c>
      <c r="J33" s="117">
        <v>7167289.2787807044</v>
      </c>
      <c r="L33" s="117">
        <v>7190476.3742126264</v>
      </c>
      <c r="N33" s="117">
        <v>7206591.7758967327</v>
      </c>
      <c r="P33" s="117">
        <v>7214303.4370940104</v>
      </c>
      <c r="R33" s="117">
        <v>7211783.2951975875</v>
      </c>
      <c r="T33" s="117">
        <v>7196497.3007904058</v>
      </c>
      <c r="V33" s="117">
        <v>7164877.9386596847</v>
      </c>
      <c r="X33" s="117">
        <v>7111795.8772801962</v>
      </c>
      <c r="Z33" s="117">
        <v>7029677.5532137547</v>
      </c>
      <c r="AB33" s="117">
        <v>6906962.857641655</v>
      </c>
      <c r="AD33" s="117">
        <v>6725273.2505566161</v>
      </c>
      <c r="AF33" s="117">
        <v>6453917.1934089996</v>
      </c>
      <c r="AH33" s="117">
        <v>6038663.6235097172</v>
      </c>
      <c r="AJ33" s="117">
        <v>5378379.132946671</v>
      </c>
      <c r="AL33" s="117">
        <v>4283346.5095557226</v>
      </c>
      <c r="AN33" s="117"/>
      <c r="AP33" s="117"/>
      <c r="AR33" s="117"/>
      <c r="AT33" s="117"/>
      <c r="AV33" s="117"/>
    </row>
    <row r="34" spans="1:49 16319:16321" x14ac:dyDescent="0.2">
      <c r="A34" t="s">
        <v>75</v>
      </c>
      <c r="B34" s="117">
        <v>1136879.4409999943</v>
      </c>
      <c r="D34" s="117">
        <v>1144021.7009084481</v>
      </c>
      <c r="F34" s="117">
        <v>1150428.6554469327</v>
      </c>
      <c r="H34" s="117">
        <v>1156044.4426282702</v>
      </c>
      <c r="J34" s="117">
        <v>1160787.9275270947</v>
      </c>
      <c r="L34" s="117">
        <v>1164543.2638313174</v>
      </c>
      <c r="N34" s="117">
        <v>1167153.2249984632</v>
      </c>
      <c r="P34" s="117">
        <v>1168402.169804944</v>
      </c>
      <c r="R34" s="117">
        <v>1167994.0390746447</v>
      </c>
      <c r="T34" s="117">
        <v>1165518.4427035637</v>
      </c>
      <c r="V34" s="117">
        <v>1160397.4412787282</v>
      </c>
      <c r="X34" s="117">
        <v>1151800.3989860879</v>
      </c>
      <c r="Z34" s="117">
        <v>1138500.7281020796</v>
      </c>
      <c r="AB34" s="117">
        <v>1118626.4788928246</v>
      </c>
      <c r="AD34" s="117">
        <v>1089200.6728876843</v>
      </c>
      <c r="AF34" s="117">
        <v>1045252.8223230017</v>
      </c>
      <c r="AH34" s="117">
        <v>977999.89822292584</v>
      </c>
      <c r="AJ34" s="117">
        <v>871062.66308573936</v>
      </c>
      <c r="AL34" s="117">
        <v>693715.16913338914</v>
      </c>
      <c r="AN34" s="117"/>
      <c r="AP34" s="117"/>
      <c r="AR34" s="117"/>
      <c r="AT34" s="117"/>
      <c r="AV34" s="117"/>
    </row>
    <row r="35" spans="1:49 16319:16321" x14ac:dyDescent="0.2">
      <c r="A35" t="s">
        <v>78</v>
      </c>
      <c r="B35" s="233">
        <v>1</v>
      </c>
      <c r="D35" s="233">
        <v>1.003465988603004</v>
      </c>
      <c r="F35" s="233">
        <v>1.0073216030961809</v>
      </c>
      <c r="H35" s="233">
        <v>1.0116338603853254</v>
      </c>
      <c r="J35" s="233">
        <v>1.0164863881374748</v>
      </c>
      <c r="L35" s="233">
        <v>1.0219851454402971</v>
      </c>
      <c r="N35" s="233">
        <v>1.028265420570265</v>
      </c>
      <c r="P35" s="233">
        <v>1.0355028117047633</v>
      </c>
      <c r="R35" s="233">
        <v>1.0439286984117846</v>
      </c>
      <c r="T35" s="233">
        <v>1.0538531930784858</v>
      </c>
      <c r="V35" s="233">
        <v>1.0656998477604938</v>
      </c>
      <c r="X35" s="233">
        <v>1.0800591837370273</v>
      </c>
      <c r="Z35" s="233">
        <v>1.0977730839191284</v>
      </c>
      <c r="AB35" s="233">
        <v>1.1200697742062944</v>
      </c>
      <c r="AD35" s="233">
        <v>1.1487797794087704</v>
      </c>
      <c r="AF35" s="233">
        <v>1.1866660615409368</v>
      </c>
      <c r="AH35" s="233">
        <v>1.2378240753814416</v>
      </c>
      <c r="AJ35" s="233">
        <v>1.3075635469966755</v>
      </c>
      <c r="AL35" s="233">
        <v>1.3983512646509619</v>
      </c>
      <c r="AN35" s="233"/>
      <c r="AP35" s="233"/>
      <c r="AR35" s="233"/>
      <c r="AT35" s="233"/>
      <c r="AV35" s="233"/>
    </row>
    <row r="36" spans="1:49 16319:16321" x14ac:dyDescent="0.2">
      <c r="A36" t="s">
        <v>21</v>
      </c>
      <c r="B36" s="37">
        <v>0.47195767671988198</v>
      </c>
      <c r="C36" s="38">
        <v>0.31738834428178964</v>
      </c>
      <c r="D36" s="37">
        <v>0.471973542230059</v>
      </c>
      <c r="E36" s="38">
        <v>0.32041519611516672</v>
      </c>
      <c r="F36" s="37">
        <v>0.47198918803873974</v>
      </c>
      <c r="G36" s="38">
        <v>0.32373611347802494</v>
      </c>
      <c r="H36" s="37">
        <v>0.47200469321793054</v>
      </c>
      <c r="I36" s="38">
        <v>0.32739939032733784</v>
      </c>
      <c r="J36" s="37">
        <v>0.47202014856442071</v>
      </c>
      <c r="K36" s="38">
        <v>0.33146313521156412</v>
      </c>
      <c r="L36" s="37">
        <v>0.47203566686741127</v>
      </c>
      <c r="M36" s="38">
        <v>0.33599820396767377</v>
      </c>
      <c r="N36" s="37">
        <v>0.47205138360204008</v>
      </c>
      <c r="O36" s="38">
        <v>0.34109156656640649</v>
      </c>
      <c r="P36" s="37">
        <v>0.47206746932842303</v>
      </c>
      <c r="Q36" s="38">
        <v>0.34685138725317816</v>
      </c>
      <c r="R36" s="37">
        <v>0.47208414021070272</v>
      </c>
      <c r="S36" s="38">
        <v>0.35341377749649039</v>
      </c>
      <c r="T36" s="37">
        <v>0.47210167184017904</v>
      </c>
      <c r="U36" s="38">
        <v>0.3609522578898815</v>
      </c>
      <c r="V36" s="37">
        <v>0.47212041678698047</v>
      </c>
      <c r="W36" s="38">
        <v>0.36969121081854089</v>
      </c>
      <c r="X36" s="37">
        <v>0.47214082425259035</v>
      </c>
      <c r="Y36" s="38">
        <v>0.37992526558127915</v>
      </c>
      <c r="Z36" s="37">
        <v>0.47216346146242211</v>
      </c>
      <c r="AA36" s="38">
        <v>0.3920475825603143</v>
      </c>
      <c r="AB36" s="37">
        <v>0.47218902660689349</v>
      </c>
      <c r="AC36" s="38">
        <v>0.40659104698040344</v>
      </c>
      <c r="AD36" s="37">
        <v>0.47221833459665929</v>
      </c>
      <c r="AE36" s="38">
        <v>0.42428620064032463</v>
      </c>
      <c r="AF36" s="37">
        <v>0.47225220789925576</v>
      </c>
      <c r="AG36" s="38">
        <v>0.44613184814011464</v>
      </c>
      <c r="AH36" s="37">
        <v>0.47229112322821526</v>
      </c>
      <c r="AI36" s="38">
        <v>0.47342685430798459</v>
      </c>
      <c r="AJ36" s="37">
        <v>0.47233425389913863</v>
      </c>
      <c r="AK36" s="38">
        <v>0.5074908852618919</v>
      </c>
      <c r="AL36" s="37">
        <v>0.47237745000420944</v>
      </c>
      <c r="AM36" s="38">
        <v>0.54790789770557791</v>
      </c>
      <c r="AN36" s="37"/>
      <c r="AO36" s="38"/>
      <c r="AP36" s="37"/>
      <c r="AQ36" s="38"/>
      <c r="AR36" s="37"/>
      <c r="AS36" s="38"/>
      <c r="AT36" s="37"/>
      <c r="AU36" s="38"/>
      <c r="AV36" s="37"/>
      <c r="AW36" s="38"/>
    </row>
    <row r="37" spans="1:49 16319:16321" x14ac:dyDescent="0.2">
      <c r="B37" s="39">
        <v>2.1403217525954466E-2</v>
      </c>
      <c r="C37" s="40">
        <v>0.3496246130199252</v>
      </c>
      <c r="D37" s="39">
        <v>2.0553883415130838E-2</v>
      </c>
      <c r="E37" s="40">
        <v>0.34449528847507249</v>
      </c>
      <c r="F37" s="39">
        <v>1.9703397572585265E-2</v>
      </c>
      <c r="G37" s="40">
        <v>0.33931460872317593</v>
      </c>
      <c r="H37" s="39">
        <v>1.8850573238767803E-2</v>
      </c>
      <c r="I37" s="40">
        <v>0.33407656874531977</v>
      </c>
      <c r="J37" s="39">
        <v>1.7994336658896326E-2</v>
      </c>
      <c r="K37" s="40">
        <v>0.32877600702588994</v>
      </c>
      <c r="L37" s="39">
        <v>1.7133670962915407E-2</v>
      </c>
      <c r="M37" s="40">
        <v>0.32340840655208303</v>
      </c>
      <c r="N37" s="39">
        <v>1.6267661761357178E-2</v>
      </c>
      <c r="O37" s="40">
        <v>0.31797034194163076</v>
      </c>
      <c r="P37" s="39">
        <v>1.5395458428127191E-2</v>
      </c>
      <c r="Q37" s="40">
        <v>0.31245945327585611</v>
      </c>
      <c r="R37" s="39">
        <v>1.4516278969850764E-2</v>
      </c>
      <c r="S37" s="40">
        <v>0.30687473928150166</v>
      </c>
      <c r="T37" s="39">
        <v>1.3629417771767379E-2</v>
      </c>
      <c r="U37" s="40">
        <v>0.30121694190700304</v>
      </c>
      <c r="V37" s="39">
        <v>1.2734263533095492E-2</v>
      </c>
      <c r="W37" s="40">
        <v>0.29548909229525011</v>
      </c>
      <c r="X37" s="39">
        <v>1.1830342005453654E-2</v>
      </c>
      <c r="Y37" s="40">
        <v>0.28969734727191249</v>
      </c>
      <c r="Z37" s="39">
        <v>1.0917404754568096E-2</v>
      </c>
      <c r="AA37" s="40">
        <v>0.2838522879401838</v>
      </c>
      <c r="AB37" s="39">
        <v>9.9956295987091662E-3</v>
      </c>
      <c r="AC37" s="40">
        <v>0.27797115087619839</v>
      </c>
      <c r="AD37" s="39">
        <v>9.0660883275567577E-3</v>
      </c>
      <c r="AE37" s="40">
        <v>0.27208199419094553</v>
      </c>
      <c r="AF37" s="39">
        <v>8.1318773499710582E-3</v>
      </c>
      <c r="AG37" s="40">
        <v>0.26623217418470529</v>
      </c>
      <c r="AH37" s="39">
        <v>7.2010605301463153E-3</v>
      </c>
      <c r="AI37" s="40">
        <v>0.26050754799494252</v>
      </c>
      <c r="AJ37" s="39">
        <v>6.2947279974640957E-3</v>
      </c>
      <c r="AK37" s="40">
        <v>0.25507997960653983</v>
      </c>
      <c r="AL37" s="39">
        <v>5.4696869192602873E-3</v>
      </c>
      <c r="AM37" s="40">
        <v>0.2503438530419369</v>
      </c>
      <c r="AN37" s="39"/>
      <c r="AO37" s="40"/>
      <c r="AP37" s="39"/>
      <c r="AQ37" s="40"/>
      <c r="AR37" s="39"/>
      <c r="AS37" s="40"/>
      <c r="AT37" s="39"/>
      <c r="AU37" s="40"/>
      <c r="AV37" s="39"/>
      <c r="AW37" s="40"/>
    </row>
    <row r="38" spans="1:49 16319:16321" x14ac:dyDescent="0.2">
      <c r="A38" t="s">
        <v>22</v>
      </c>
      <c r="B38" s="37">
        <v>0.18079094942242827</v>
      </c>
      <c r="C38" s="38">
        <v>6.0565413429233668E-2</v>
      </c>
      <c r="D38" s="37">
        <v>0.18185003206269335</v>
      </c>
      <c r="E38" s="38">
        <v>6.1266171832904739E-2</v>
      </c>
      <c r="F38" s="37">
        <v>0.18287127965531108</v>
      </c>
      <c r="G38" s="38">
        <v>6.1995102742774297E-2</v>
      </c>
      <c r="H38" s="37">
        <v>0.18385133900995757</v>
      </c>
      <c r="I38" s="38">
        <v>6.2757278130745914E-2</v>
      </c>
      <c r="J38" s="37">
        <v>0.18478501512152101</v>
      </c>
      <c r="K38" s="38">
        <v>6.3558509244539582E-2</v>
      </c>
      <c r="L38" s="37">
        <v>0.1856648205230802</v>
      </c>
      <c r="M38" s="38">
        <v>6.4405334653382468E-2</v>
      </c>
      <c r="N38" s="37">
        <v>0.18648008243688585</v>
      </c>
      <c r="O38" s="38">
        <v>6.5305382358115435E-2</v>
      </c>
      <c r="P38" s="37">
        <v>0.18721589536313837</v>
      </c>
      <c r="Q38" s="38">
        <v>6.6267457384238726E-2</v>
      </c>
      <c r="R38" s="37">
        <v>0.18785150773427783</v>
      </c>
      <c r="S38" s="38">
        <v>6.7301753213681731E-2</v>
      </c>
      <c r="T38" s="37">
        <v>0.18835799489602584</v>
      </c>
      <c r="U38" s="38">
        <v>6.8420062123956238E-2</v>
      </c>
      <c r="V38" s="37">
        <v>0.18869486519712711</v>
      </c>
      <c r="W38" s="38">
        <v>6.9635987219456866E-2</v>
      </c>
      <c r="X38" s="37">
        <v>0.1888050970090718</v>
      </c>
      <c r="Y38" s="38">
        <v>7.0964964084637067E-2</v>
      </c>
      <c r="Z38" s="37">
        <v>0.1886078643623387</v>
      </c>
      <c r="AA38" s="38">
        <v>7.2424167272175974E-2</v>
      </c>
      <c r="AB38" s="37">
        <v>0.18798808715517093</v>
      </c>
      <c r="AC38" s="38">
        <v>7.403169511365347E-2</v>
      </c>
      <c r="AD38" s="37">
        <v>0.18678213157530926</v>
      </c>
      <c r="AE38" s="38">
        <v>7.5805212819504059E-2</v>
      </c>
      <c r="AF38" s="37">
        <v>0.18476180790705715</v>
      </c>
      <c r="AG38" s="38">
        <v>7.7756565769455818E-2</v>
      </c>
      <c r="AH38" s="37">
        <v>0.18162990327933229</v>
      </c>
      <c r="AI38" s="38">
        <v>7.9880266652399931E-2</v>
      </c>
      <c r="AJ38" s="37">
        <v>0.17708707076030863</v>
      </c>
      <c r="AK38" s="38">
        <v>8.2112531276641074E-2</v>
      </c>
      <c r="AL38" s="37">
        <v>0.17119037624531605</v>
      </c>
      <c r="AM38" s="38">
        <v>8.4085134363886455E-2</v>
      </c>
      <c r="AN38" s="37"/>
      <c r="AO38" s="38"/>
      <c r="AP38" s="37"/>
      <c r="AQ38" s="38"/>
      <c r="AR38" s="37"/>
      <c r="AS38" s="38"/>
      <c r="AT38" s="37"/>
      <c r="AU38" s="38"/>
      <c r="AV38" s="37"/>
      <c r="AW38" s="38"/>
    </row>
    <row r="39" spans="1:49 16319:16321" x14ac:dyDescent="0.2">
      <c r="A39" t="s">
        <v>23</v>
      </c>
      <c r="B39" s="39">
        <v>0.23064923795098771</v>
      </c>
      <c r="C39" s="40">
        <v>0.22092201281804777</v>
      </c>
      <c r="D39" s="39">
        <v>0.22999656927124584</v>
      </c>
      <c r="E39" s="40">
        <v>0.22221429125139991</v>
      </c>
      <c r="F39" s="39">
        <v>0.22950550494317637</v>
      </c>
      <c r="G39" s="40">
        <v>0.22372163653780094</v>
      </c>
      <c r="H39" s="39">
        <v>0.22918486117792772</v>
      </c>
      <c r="I39" s="40">
        <v>0.22547273043854496</v>
      </c>
      <c r="J39" s="39">
        <v>0.22904906699740613</v>
      </c>
      <c r="K39" s="40">
        <v>0.22750412691037575</v>
      </c>
      <c r="L39" s="39">
        <v>0.22911952647694428</v>
      </c>
      <c r="M39" s="40">
        <v>0.22986285360402231</v>
      </c>
      <c r="N39" s="39">
        <v>0.22942692419495025</v>
      </c>
      <c r="O39" s="40">
        <v>0.23260920408931821</v>
      </c>
      <c r="P39" s="39">
        <v>0.23001458853884835</v>
      </c>
      <c r="Q39" s="40">
        <v>0.23582164049937801</v>
      </c>
      <c r="R39" s="39">
        <v>0.23094383493981624</v>
      </c>
      <c r="S39" s="40">
        <v>0.23960366894808174</v>
      </c>
      <c r="T39" s="39">
        <v>0.23230251426170145</v>
      </c>
      <c r="U39" s="40">
        <v>0.24409432432938571</v>
      </c>
      <c r="V39" s="39">
        <v>0.23421917838396014</v>
      </c>
      <c r="W39" s="40">
        <v>0.24948464237394727</v>
      </c>
      <c r="X39" s="39">
        <v>0.23688755449249818</v>
      </c>
      <c r="Y39" s="40">
        <v>0.25604478800937919</v>
      </c>
      <c r="Z39" s="39">
        <v>0.24061117457610662</v>
      </c>
      <c r="AA39" s="40">
        <v>0.2641707239057734</v>
      </c>
      <c r="AB39" s="39">
        <v>0.24589012076383873</v>
      </c>
      <c r="AC39" s="40">
        <v>0.2744704272675193</v>
      </c>
      <c r="AD39" s="39">
        <v>0.25360401711634084</v>
      </c>
      <c r="AE39" s="40">
        <v>0.28793513486799355</v>
      </c>
      <c r="AF39" s="39">
        <v>0.26543950697419572</v>
      </c>
      <c r="AG39" s="40">
        <v>0.30632609437221053</v>
      </c>
      <c r="AH39" s="39">
        <v>0.28503524135515657</v>
      </c>
      <c r="AI39" s="40">
        <v>0.33319641151882573</v>
      </c>
      <c r="AJ39" s="39">
        <v>0.32168177541897014</v>
      </c>
      <c r="AK39" s="40">
        <v>0.37753126801236436</v>
      </c>
      <c r="AL39" s="39">
        <v>0.40615730783482334</v>
      </c>
      <c r="AM39" s="40">
        <v>0.47975437941655336</v>
      </c>
      <c r="AN39" s="39"/>
      <c r="AO39" s="40"/>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9.8837250989956993E-2</v>
      </c>
      <c r="E42" s="135"/>
      <c r="F42" s="177">
        <f>10.8%+(1-10.8%)*(1-SUM(F26:G26)/SUM($B$26:$C$26))</f>
        <v>9.0444804806318127E-2</v>
      </c>
      <c r="G42" s="135"/>
      <c r="H42" s="177">
        <f>10.8%+(1-10.8%)*(1-SUM(H26:I26)/SUM($B$26:$C$26))</f>
        <v>8.2898057049136206E-2</v>
      </c>
      <c r="I42" s="135"/>
      <c r="J42" s="177">
        <f>10.8%+(1-10.8%)*(1-SUM(J26:K26)/SUM($B$26:$C$26))</f>
        <v>7.6302270452901111E-2</v>
      </c>
      <c r="K42" s="135"/>
      <c r="L42" s="177">
        <f>10.8%+(1-10.8%)*(1-SUM(L26:M26)/SUM($B$26:$C$26))</f>
        <v>7.0800422572365504E-2</v>
      </c>
      <c r="M42" s="135"/>
      <c r="N42" s="177">
        <f>10.8%+(1-10.8%)*(1-SUM(N26:O26)/SUM($B$26:$C$26))</f>
        <v>6.658563808750656E-2</v>
      </c>
      <c r="O42" s="135"/>
      <c r="P42" s="177">
        <f>10.8%+(1-10.8%)*(1-SUM(P26:Q26)/SUM($B$26:$C$26))</f>
        <v>6.3917974538615308E-2</v>
      </c>
      <c r="Q42" s="135"/>
      <c r="R42" s="177">
        <f>10.8%+(1-10.8%)*(1-SUM(R26:S26)/SUM($B$26:$C$26))</f>
        <v>6.3149288633698619E-2</v>
      </c>
      <c r="S42" s="135"/>
      <c r="T42" s="177">
        <f>10.8%+(1-10.8%)*(1-SUM(T26:U26)/SUM($B$26:$C$26))</f>
        <v>6.4759830124971052E-2</v>
      </c>
      <c r="U42" s="135"/>
      <c r="V42" s="177">
        <f>10.8%+(1-10.8%)*(1-SUM(V26:W26)/SUM($B$26:$C$26))</f>
        <v>6.9413123012638051E-2</v>
      </c>
      <c r="W42" s="135"/>
      <c r="X42" s="177">
        <f>10.8%+(1-10.8%)*(1-SUM(X26:Y26)/SUM($B$26:$C$26))</f>
        <v>7.8039899649037681E-2</v>
      </c>
      <c r="Y42" s="162"/>
      <c r="Z42" s="177">
        <f>10.8%+(1-10.8%)*(1-SUM(Z26:AA26)/SUM($B$26:$C$26))</f>
        <v>9.1969721189742462E-2</v>
      </c>
      <c r="AA42" s="135"/>
      <c r="AB42" s="177">
        <f>10.8%+(1-10.8%)*(1-SUM(AB26:AC26)/SUM($B$26:$C$26))</f>
        <v>0.11314239095758763</v>
      </c>
      <c r="AC42" s="135"/>
      <c r="AD42" s="177">
        <f>10.8%+(1-10.8%)*(1-SUM(AD26:AE26)/SUM($B$26:$C$26))</f>
        <v>0.14445755004927596</v>
      </c>
      <c r="AE42" s="135"/>
      <c r="AF42" s="177">
        <f>10.8%+(1-10.8%)*(1-SUM(AF26:AG26)/SUM($B$26:$C$26))</f>
        <v>0.19036392702300425</v>
      </c>
      <c r="AG42" s="135"/>
      <c r="AH42" s="177">
        <f>10.8%+(1-10.8%)*(1-SUM(AH26:AI26)/SUM($B$26:$C$26))</f>
        <v>0.25786323475579898</v>
      </c>
      <c r="AI42" s="135"/>
      <c r="AJ42" s="177">
        <f>10.8%+(1-10.8%)*(1-SUM(AJ26:AK26)/SUM($B$26:$C$26))</f>
        <v>0.35811761316129553</v>
      </c>
      <c r="AK42" s="135"/>
      <c r="AL42" s="177">
        <f>10.8%+(1-10.8%)*(1-SUM(AL26:AM26)/SUM($B$26:$C$26))</f>
        <v>0.50811748907523391</v>
      </c>
      <c r="AM42" s="135"/>
      <c r="AN42" s="177">
        <f>10.8%+(1-10.8%)*(1-SUM(AN26:AO26)/SUM($B$26:$C$26))</f>
        <v>1</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0.56042404728203077</v>
      </c>
      <c r="E43" s="135"/>
      <c r="F43" s="162">
        <f t="array" ref="F43">SUM(F15:G15*F27:G27)/SUM(F15:G15*F27:G27,F13:G13*F26:G26)</f>
        <v>0.55338680935866624</v>
      </c>
      <c r="G43" s="135"/>
      <c r="H43" s="162">
        <f t="array" ref="H43">SUM(H15:I15*H27:I27)/SUM(H15:I15*H27:I27,H13:I13*H26:I26)</f>
        <v>0.54603491697742945</v>
      </c>
      <c r="I43" s="135"/>
      <c r="J43" s="162">
        <f t="array" ref="J43">SUM(J15:K15*J27:K27)/SUM(J15:K15*J27:K27,J13:K13*J26:K26)</f>
        <v>0.53830437750112647</v>
      </c>
      <c r="K43" s="135"/>
      <c r="L43" s="162">
        <f t="array" ref="L43">SUM(L15:M15*L27:M27)/SUM(L15:M15*L27:M27,L13:M13*L26:M26)</f>
        <v>0.53011733841854158</v>
      </c>
      <c r="M43" s="135"/>
      <c r="N43" s="162">
        <f t="array" ref="N43">SUM(N15:O15*N27:O27)/SUM(N15:O15*N27:O27,N13:O13*N26:O26)</f>
        <v>0.52137838917278023</v>
      </c>
      <c r="O43" s="135"/>
      <c r="P43" s="162">
        <f t="array" ref="P43">SUM(P15:Q15*P27:Q27)/SUM(P15:Q15*P27:Q27,P13:Q13*P26:Q26)</f>
        <v>0.51196806698255937</v>
      </c>
      <c r="Q43" s="135"/>
      <c r="R43" s="162">
        <f t="array" ref="R43">SUM(R15:S15*R27:S27)/SUM(R15:S15*R27:S27,R13:S13*R26:S26)</f>
        <v>0.50173425311907915</v>
      </c>
      <c r="S43" s="135"/>
      <c r="T43" s="162">
        <f t="array" ref="T43">SUM(T15:U15*T27:U27)/SUM(T15:U15*T27:U27,T13:U13*T26:U26)</f>
        <v>0.49047958637525441</v>
      </c>
      <c r="U43" s="135"/>
      <c r="V43" s="162">
        <f t="array" ref="V43">SUM(V15:W15*V27:W27)/SUM(V15:W15*V27:W27,V13:W13*V26:W26)</f>
        <v>0.47794264357871258</v>
      </c>
      <c r="W43" s="135"/>
      <c r="X43" s="162">
        <f t="array" ref="X43">SUM(X15:Y15*X27:Y27)/SUM(X15:Y15*X27:Y27,X13:Y13*X26:Y26)</f>
        <v>0.46376908791223476</v>
      </c>
      <c r="Y43" s="135"/>
      <c r="Z43" s="162">
        <f t="array" ref="Z43">SUM(Z15:AA15*Z27:AA27)/SUM(Z15:AA15*Z27:AA27,Z13:AA13*Z26:AA26)</f>
        <v>0.44746614550209224</v>
      </c>
      <c r="AA43" s="135"/>
      <c r="AB43" s="162">
        <f t="array" ref="AB43">SUM(AB15:AC15*AB27:AC27)/SUM(AB15:AC15*AB27:AC27,AB13:AC13*AB26:AC26)</f>
        <v>0.42832902416824326</v>
      </c>
      <c r="AC43" s="135"/>
      <c r="AD43" s="162">
        <f t="array" ref="AD43">SUM(AD15:AE15*AD27:AE27)/SUM(AD15:AE15*AD27:AE27,AD13:AE13*AD26:AE26)</f>
        <v>0.40532071043281515</v>
      </c>
      <c r="AE43" s="135"/>
      <c r="AF43" s="162">
        <f t="array" ref="AF43">SUM(AF15:AG15*AF27:AG27)/SUM(AF15:AG15*AF27:AG27,AF13:AG13*AF26:AG26)</f>
        <v>0.37687897980071383</v>
      </c>
      <c r="AG43" s="135"/>
      <c r="AH43" s="162">
        <f t="array" ref="AH43">SUM(AH15:AI15*AH27:AI27)/SUM(AH15:AI15*AH27:AI27,AH13:AI13*AH26:AI26)</f>
        <v>0.3406551244130106</v>
      </c>
      <c r="AI43" s="135"/>
      <c r="AJ43" s="162">
        <f t="array" ref="AJ43">SUM(AJ15:AK15*AJ27:AK27)/SUM(AJ15:AK15*AJ27:AK27,AJ13:AK13*AJ26:AK26)</f>
        <v>0.29346933900325761</v>
      </c>
      <c r="AK43" s="135"/>
      <c r="AL43" s="162">
        <f t="array" ref="AL43">SUM(AL15:AM15*AL27:AM27)/SUM(AL15:AM15*AL27:AM27,AL13:AM13*AL26:AM26)</f>
        <v>0.23350273197909391</v>
      </c>
      <c r="AM43" s="135"/>
      <c r="AN43" s="162" t="e">
        <f t="array" ref="AN43">SUM(AN15:AO15*AN27:AO27)/SUM(AN15:AO15*AN27:AO27,AN13:AO13*AN26:AO26)</f>
        <v>#DIV/0!</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0.29754226190682309</v>
      </c>
      <c r="D44" s="193">
        <f>(SUM(D11:E11*D24:E24)+D34)/D32</f>
        <v>0.2975422374676408</v>
      </c>
      <c r="F44" s="193">
        <f>(SUM(F11:G11*F24:G24)+F34)/F32</f>
        <v>0.29754222532905955</v>
      </c>
      <c r="H44" s="193">
        <f>(SUM(H11:I11*H24:I24)+H34)/H32</f>
        <v>0.29754221730680475</v>
      </c>
      <c r="J44" s="193">
        <f>(SUM(J11:K11*J24:K24)+J34)/J32</f>
        <v>0.29754225674300855</v>
      </c>
      <c r="L44" s="193">
        <f>(SUM(L11:M11*L24:M24)+L34)/L32</f>
        <v>0.29754225892227881</v>
      </c>
      <c r="N44" s="193">
        <f>(SUM(N11:O11*N24:O24)+N34)/N32</f>
        <v>0.29754225719670252</v>
      </c>
      <c r="P44" s="193">
        <f>(SUM(P11:Q11*P24:Q24)+P34)/P32</f>
        <v>0.29754225677144508</v>
      </c>
      <c r="R44" s="193">
        <f>(SUM(R11:S11*R24:S24)+R34)/R32</f>
        <v>0.29754225804047607</v>
      </c>
      <c r="T44" s="193">
        <f>(SUM(T11:U11*T24:U24)+T34)/T32</f>
        <v>0.29754226187383531</v>
      </c>
      <c r="V44" s="193">
        <f>(SUM(V11:W11*V24:W24)+V34)/V32</f>
        <v>0.29754225931093864</v>
      </c>
      <c r="X44" s="193">
        <f>(SUM(X11:Y11*X24:Y24)+X34)/X32</f>
        <v>0.29754225553594399</v>
      </c>
      <c r="Z44" s="193">
        <f>(SUM(Z11:AA11*Z24:AA24)+Z34)/Z32</f>
        <v>0.29754225041166948</v>
      </c>
      <c r="AB44" s="193">
        <f>(SUM(AB11:AC11*AB24:AC24)+AB34)/AB32</f>
        <v>0.29754226057982175</v>
      </c>
      <c r="AD44" s="193">
        <f>(SUM(AD11:AE11*AD24:AE24)+AD34)/AD32</f>
        <v>0.29754225930619849</v>
      </c>
      <c r="AF44" s="193">
        <f>(SUM(AF11:AG11*AF24:AG24)+AF34)/AF32</f>
        <v>0.29754225842441745</v>
      </c>
      <c r="AH44" s="193">
        <f>(SUM(AH11:AI11*AH24:AI24)+AH34)/AH32</f>
        <v>0.29754226000355083</v>
      </c>
      <c r="AJ44" s="193">
        <f>(SUM(AJ11:AK11*AJ24:AK24)+AJ34)/AJ32</f>
        <v>0.29754226222507646</v>
      </c>
      <c r="AL44" s="193">
        <f>(SUM(AL11:AM11*AL24:AM24)+AL34)/AL32</f>
        <v>0.29754226172895837</v>
      </c>
      <c r="AN44" s="193" t="e">
        <f>(SUM(AN11:AO11*AN24:AO24)+AN34)/AN32</f>
        <v>#DIV/0!</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0.22038438858544473</v>
      </c>
      <c r="F45" s="193">
        <f>SUM(F11:G11*F24:G24)/F32</f>
        <v>0.22038438870865903</v>
      </c>
      <c r="H45" s="193">
        <f>SUM(H11:I11*H24:I24)/H32</f>
        <v>0.22038438880103373</v>
      </c>
      <c r="J45" s="193">
        <f>SUM(J11:K11*J24:K24)/J32</f>
        <v>0.22038438838597507</v>
      </c>
      <c r="L45" s="193">
        <f>SUM(L11:M11*L24:M24)/L32</f>
        <v>0.22038438831890877</v>
      </c>
      <c r="N45" s="193">
        <f>SUM(N11:O11*N24:O24)/N32</f>
        <v>0.2203843883214687</v>
      </c>
      <c r="P45" s="193">
        <f>SUM(P11:Q11*P24:Q24)/P32</f>
        <v>0.22038438833009466</v>
      </c>
      <c r="R45" s="193">
        <f>SUM(R11:S11*R24:S24)/R32</f>
        <v>0.22038438833654209</v>
      </c>
      <c r="T45" s="193">
        <f>SUM(T11:U11*T24:U24)/T32</f>
        <v>0.22038438833139551</v>
      </c>
      <c r="V45" s="193">
        <f>SUM(V11:W11*V24:W24)/V32</f>
        <v>0.22038438833985097</v>
      </c>
      <c r="X45" s="193">
        <f>SUM(X11:Y11*X24:Y24)/X32</f>
        <v>0.22038438835207511</v>
      </c>
      <c r="Z45" s="193">
        <f>SUM(Z11:AA11*Z24:AA24)/Z32</f>
        <v>0.22038438836464186</v>
      </c>
      <c r="AB45" s="193">
        <f>SUM(AB11:AC11*AB24:AC24)/AB32</f>
        <v>0.22038438833934718</v>
      </c>
      <c r="AD45" s="193">
        <f>SUM(AD11:AE11*AD24:AE24)/AD32</f>
        <v>0.22038438833335358</v>
      </c>
      <c r="AF45" s="193">
        <f>SUM(AF11:AG11*AF24:AG24)/AF32</f>
        <v>0.22038438844791708</v>
      </c>
      <c r="AH45" s="193">
        <f>SUM(AH11:AI11*AH24:AI24)/AH32</f>
        <v>0.22038438829319629</v>
      </c>
      <c r="AJ45" s="193">
        <f>SUM(AJ11:AK11*AJ24:AK24)/AJ32</f>
        <v>0.22038438834054458</v>
      </c>
      <c r="AL45" s="193">
        <f>SUM(AL11:AM11*AL24:AM24)/AL32</f>
        <v>0.22038438833602045</v>
      </c>
      <c r="AN45" s="193" t="e">
        <f>SUM(AN11:AO11*AN24:AO24)/AN32</f>
        <v>#DIV/0!</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7.715787357488231E-2</v>
      </c>
      <c r="D46" s="193">
        <f>D34/D32</f>
        <v>7.715784888219604E-2</v>
      </c>
      <c r="F46" s="193">
        <f>F34/F32</f>
        <v>7.7157836620400488E-2</v>
      </c>
      <c r="H46" s="193">
        <f>H34/H32</f>
        <v>7.7157828505771006E-2</v>
      </c>
      <c r="J46" s="193">
        <f>J34/J32</f>
        <v>7.7157868357033449E-2</v>
      </c>
      <c r="L46" s="193">
        <f>L34/L32</f>
        <v>7.715787060337001E-2</v>
      </c>
      <c r="N46" s="193">
        <f>N34/N32</f>
        <v>7.7157868875233862E-2</v>
      </c>
      <c r="P46" s="193">
        <f>P34/P32</f>
        <v>7.7157868441350391E-2</v>
      </c>
      <c r="R46" s="193">
        <f>R34/R32</f>
        <v>7.7157869703933957E-2</v>
      </c>
      <c r="T46" s="193">
        <f>T34/T32</f>
        <v>7.7157873542439817E-2</v>
      </c>
      <c r="V46" s="193">
        <f>V34/V32</f>
        <v>7.7157870971087686E-2</v>
      </c>
      <c r="X46" s="193">
        <f>X34/X32</f>
        <v>7.7157867183868883E-2</v>
      </c>
      <c r="Z46" s="193">
        <f>Z34/Z32</f>
        <v>7.7157862047027584E-2</v>
      </c>
      <c r="AB46" s="193">
        <f>AB34/AB32</f>
        <v>7.7157872240474532E-2</v>
      </c>
      <c r="AD46" s="193">
        <f>AD34/AD32</f>
        <v>7.7157870972844877E-2</v>
      </c>
      <c r="AF46" s="193">
        <f>AF34/AF32</f>
        <v>7.7157869976500371E-2</v>
      </c>
      <c r="AH46" s="193">
        <f>AH34/AH32</f>
        <v>7.715787171035457E-2</v>
      </c>
      <c r="AJ46" s="193">
        <f>AJ34/AJ32</f>
        <v>7.7157873884531894E-2</v>
      </c>
      <c r="AL46" s="193">
        <f>AL34/AL32</f>
        <v>7.715787339293792E-2</v>
      </c>
      <c r="AN46" s="193" t="e">
        <f>AN34/AN32</f>
        <v>#DIV/0!</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1.0073078622522214</v>
      </c>
      <c r="E48" s="191"/>
      <c r="F48" s="191">
        <f>F24/$B$24</f>
        <v>1.0139593656106218</v>
      </c>
      <c r="G48" s="191"/>
      <c r="H48" s="191">
        <f>H24/$B$24</f>
        <v>1.0199085123193417</v>
      </c>
      <c r="I48" s="191"/>
      <c r="J48" s="191">
        <f>J24/$B$24</f>
        <v>1.0250869993916765</v>
      </c>
      <c r="K48" s="191"/>
      <c r="L48" s="191">
        <f>L24/$B$24</f>
        <v>1.029398410809065</v>
      </c>
      <c r="M48" s="191"/>
      <c r="N48" s="191">
        <f>N24/$B$24</f>
        <v>1.0327093709236497</v>
      </c>
      <c r="O48" s="191"/>
      <c r="P48" s="191">
        <f>P24/$B$24</f>
        <v>1.0348366062761287</v>
      </c>
      <c r="Q48" s="191"/>
      <c r="R48" s="191">
        <f>R24/$B$24</f>
        <v>1.0355273997469847</v>
      </c>
      <c r="S48" s="191"/>
      <c r="T48" s="191">
        <f>T24/$B$24</f>
        <v>1.0344296170858069</v>
      </c>
      <c r="U48" s="191"/>
      <c r="V48" s="191">
        <f>V24/$B$24</f>
        <v>1.031044538706307</v>
      </c>
      <c r="W48" s="191"/>
      <c r="X48" s="191">
        <f>X24/$B$24</f>
        <v>1.024650249413092</v>
      </c>
      <c r="Y48" s="191"/>
      <c r="Z48" s="191">
        <f>Z24/$B$24</f>
        <v>1.0141725317475319</v>
      </c>
      <c r="AA48" s="191"/>
      <c r="AB48" s="191">
        <f>AB24/$B$24</f>
        <v>0.99795768360783221</v>
      </c>
      <c r="AC48" s="191"/>
      <c r="AD48" s="191">
        <f>AD24/$B$24</f>
        <v>0.97335241653178017</v>
      </c>
      <c r="AE48" s="191"/>
      <c r="AF48" s="191">
        <f>AF24/$B$24</f>
        <v>0.93588506277320871</v>
      </c>
      <c r="AG48" s="191"/>
      <c r="AH48" s="191">
        <f>AH24/$B$24</f>
        <v>0.87758682101493346</v>
      </c>
      <c r="AI48" s="191"/>
      <c r="AJ48" s="191">
        <f>AJ24/$B$24</f>
        <v>0.78349683669823467</v>
      </c>
      <c r="AK48" s="191"/>
      <c r="AL48" s="191">
        <f>AL24/$B$24</f>
        <v>0.6254470481163118</v>
      </c>
      <c r="AM48" s="191"/>
      <c r="AN48" s="191">
        <f>AN24/$B$24</f>
        <v>0</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0.99999998999803408</v>
      </c>
      <c r="E49" s="191"/>
      <c r="F49" s="191">
        <f>F13/F35/$B$13*$B$35</f>
        <v>0.99999998869010776</v>
      </c>
      <c r="G49" s="191"/>
      <c r="H49" s="191">
        <f>H13/H35/$B$13*$B$35</f>
        <v>0.99999999083273639</v>
      </c>
      <c r="I49" s="191"/>
      <c r="J49" s="191">
        <f>J13/J35/$B$13*$B$35</f>
        <v>0.99999999950988494</v>
      </c>
      <c r="K49" s="191"/>
      <c r="L49" s="191">
        <f>L13/L35/$B$13*$B$35</f>
        <v>1.0000000002312404</v>
      </c>
      <c r="M49" s="191"/>
      <c r="N49" s="191">
        <f>N13/N35/$B$13*$B$35</f>
        <v>1.0000000009282675</v>
      </c>
      <c r="O49" s="191"/>
      <c r="P49" s="191">
        <f>P13/P35/$B$13*$B$35</f>
        <v>1.0000000016615924</v>
      </c>
      <c r="Q49" s="191"/>
      <c r="R49" s="191">
        <f>R13/R35/$B$13*$B$35</f>
        <v>1.0000000017664876</v>
      </c>
      <c r="S49" s="191"/>
      <c r="T49" s="191">
        <f>T13/T35/$B$13*$B$35</f>
        <v>1.0000000000411164</v>
      </c>
      <c r="U49" s="191"/>
      <c r="V49" s="191">
        <f>V13/V35/$B$13*$B$35</f>
        <v>1.0000000019972934</v>
      </c>
      <c r="W49" s="191"/>
      <c r="X49" s="191">
        <f>X13/X35/$B$13*$B$35</f>
        <v>1.0000000059124743</v>
      </c>
      <c r="Y49" s="191"/>
      <c r="Z49" s="191">
        <f>Z13/Z35/$B$13*$B$35</f>
        <v>1.0000000126685453</v>
      </c>
      <c r="AA49" s="191"/>
      <c r="AB49" s="191">
        <f>AB13/AB35/$B$13*$B$35</f>
        <v>0.99999999811497087</v>
      </c>
      <c r="AC49" s="191"/>
      <c r="AD49" s="191">
        <f>AD13/AD35/$B$13*$B$35</f>
        <v>1.0000000035425871</v>
      </c>
      <c r="AE49" s="191"/>
      <c r="AF49" s="191">
        <f>AF13/AF35/$B$13*$B$35</f>
        <v>1.000000003290209</v>
      </c>
      <c r="AG49" s="191"/>
      <c r="AH49" s="191">
        <f>AH13/AH35/$B$13*$B$35</f>
        <v>1.0000000039003845</v>
      </c>
      <c r="AI49" s="191"/>
      <c r="AJ49" s="191">
        <f>AJ13/AJ35/$B$13*$B$35</f>
        <v>0.9999999988167525</v>
      </c>
      <c r="AK49" s="191"/>
      <c r="AL49" s="191">
        <f>AL13/AL35/$B$13*$B$35</f>
        <v>0.99999999972074727</v>
      </c>
      <c r="AM49" s="191"/>
      <c r="AN49" s="191" t="e">
        <f>AN13/AN35/$B$13*$B$35</f>
        <v>#DIV/0!</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-312290.24486681819</v>
      </c>
      <c r="F51" s="29">
        <f>F30-F10*F23</f>
        <v>-215325.25342738908</v>
      </c>
      <c r="H51" s="29">
        <f>H30-H10*H23</f>
        <v>-114494.5579542811</v>
      </c>
      <c r="J51" s="29">
        <f>J30-J10*J23</f>
        <v>-9281.8206995492801</v>
      </c>
      <c r="L51" s="29">
        <f>L30-L10*L23</f>
        <v>100914.96725150291</v>
      </c>
      <c r="N51" s="29">
        <f>N30-N10*N23</f>
        <v>216786.59734662343</v>
      </c>
      <c r="P51" s="29">
        <f>P30-P10*P23</f>
        <v>339129.46177848894</v>
      </c>
      <c r="R51" s="29">
        <f>R30-R10*R23</f>
        <v>468853.13429246563</v>
      </c>
      <c r="T51" s="29">
        <f>T30-T10*T23</f>
        <v>606978.58031668141</v>
      </c>
      <c r="V51" s="29">
        <f>V30-V10*V23</f>
        <v>754612.48289082898</v>
      </c>
      <c r="X51" s="29">
        <f>X30-X10*X23</f>
        <v>912864.51734347083</v>
      </c>
      <c r="Z51" s="29">
        <f>Z30-Z10*Z23</f>
        <v>1082635.7457563132</v>
      </c>
      <c r="AB51" s="29">
        <f>AB30-AB10*AB23</f>
        <v>1264102.0487279971</v>
      </c>
      <c r="AD51" s="29">
        <f>AD30-AD10*AD23</f>
        <v>1455455.5818031998</v>
      </c>
      <c r="AF51" s="29">
        <f>AF30-AF10*AF23</f>
        <v>1649754.722068964</v>
      </c>
      <c r="AH51" s="29">
        <f>AH30-AH10*AH23</f>
        <v>1826696.0750385015</v>
      </c>
      <c r="AJ51" s="29">
        <f>AJ30-AJ10*AJ23</f>
        <v>1930602.8777403287</v>
      </c>
      <c r="AL51" s="29">
        <f>AL30-AL10*AL23</f>
        <v>1816587.8258274505</v>
      </c>
      <c r="AN51" s="29">
        <f>AN30-AN10*AN23</f>
        <v>0</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2077473.5887923089</v>
      </c>
      <c r="F52" s="29">
        <f t="array" ref="F52">Calibration!sL*SUM(F13:G13*F26:G26)</f>
        <v>2104877.5163630461</v>
      </c>
      <c r="H52" s="29">
        <f t="array" ref="H52">Calibration!sL*SUM(H13:I13*H26:I26)</f>
        <v>2131427.6433527591</v>
      </c>
      <c r="J52" s="29">
        <f t="array" ref="J52">Calibration!sL*SUM(J13:K13*J26:K26)</f>
        <v>2157054.2637734986</v>
      </c>
      <c r="L52" s="29">
        <f t="array" ref="L52">Calibration!sL*SUM(L13:M13*L26:M26)</f>
        <v>2181640.6362707107</v>
      </c>
      <c r="N52" s="29">
        <f t="array" ref="N52">Calibration!sL*SUM(N13:O13*N26:O26)</f>
        <v>2205003.7771056294</v>
      </c>
      <c r="P52" s="29">
        <f t="array" ref="P52">Calibration!sL*SUM(P13:Q13*P26:Q26)</f>
        <v>2226869.7536656167</v>
      </c>
      <c r="R52" s="29">
        <f t="array" ref="R52">Calibration!sL*SUM(R13:S13*R26:S26)</f>
        <v>2246833.3202828867</v>
      </c>
      <c r="T52" s="29">
        <f t="array" ref="T52">Calibration!sL*SUM(T13:U13*T26:U26)</f>
        <v>2264294.4139700956</v>
      </c>
      <c r="V52" s="29">
        <f t="array" ref="V52">Calibration!sL*SUM(V13:W13*V26:W26)</f>
        <v>2278355.3227277002</v>
      </c>
      <c r="X52" s="29">
        <f t="array" ref="X52">Calibration!sL*SUM(X13:Y13*X26:Y26)</f>
        <v>2287648.5793358786</v>
      </c>
      <c r="Z52" s="29">
        <f t="array" ref="Z52">Calibration!sL*SUM(Z13:AA13*Z26:AA26)</f>
        <v>2290037.2229796895</v>
      </c>
      <c r="AB52" s="29">
        <f t="array" ref="AB52">Calibration!sL*SUM(AB13:AC13*AB26:AC26)</f>
        <v>2282068.1024330682</v>
      </c>
      <c r="AD52" s="29">
        <f t="array" ref="AD52">Calibration!sL*SUM(AD13:AE13*AD26:AE26)</f>
        <v>2257917.0055473843</v>
      </c>
      <c r="AF52" s="29">
        <f t="array" ref="AF52">Calibration!sL*SUM(AF13:AG13*AF26:AG26)</f>
        <v>2207232.0833590934</v>
      </c>
      <c r="AH52" s="29">
        <f t="array" ref="AH52">Calibration!sL*SUM(AH13:AI13*AH26:AI26)</f>
        <v>2110437.5297194635</v>
      </c>
      <c r="AJ52" s="29">
        <f t="array" ref="AJ52">Calibration!sL*SUM(AJ13:AK13*AJ26:AK26)</f>
        <v>1928181.4046204772</v>
      </c>
      <c r="AL52" s="29">
        <f t="array" ref="AL52">Calibration!sL*SUM(AL13:AM13*AL26:AM26)</f>
        <v>1580182.6462311323</v>
      </c>
      <c r="AN52" s="29">
        <f t="array" ref="AN52">Calibration!sL*SUM(AN13:AO13*AN26:AO26)</f>
        <v>0</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2702948.2757837554</v>
      </c>
      <c r="F53" s="29">
        <f t="array" ref="F53">Calibration!sK*SUM(F15:G15*F27:G27)</f>
        <v>2661604.2052632696</v>
      </c>
      <c r="H53" s="29">
        <f t="array" ref="H53">Calibration!sK*SUM(H15:I15*H27:I27)</f>
        <v>2616302.4426632822</v>
      </c>
      <c r="J53" s="29">
        <f t="array" ref="J53">Calibration!sK*SUM(J15:K15*J27:K27)</f>
        <v>2566567.0405160142</v>
      </c>
      <c r="L53" s="29">
        <f t="array" ref="L53">Calibration!sK*SUM(L15:M15*L27:M27)</f>
        <v>2511800.7787646637</v>
      </c>
      <c r="N53" s="29">
        <f t="array" ref="N53">Calibration!sK*SUM(N15:O15*N27:O27)</f>
        <v>2451260.3885826101</v>
      </c>
      <c r="P53" s="29">
        <f t="array" ref="P53">Calibration!sK*SUM(P15:Q15*P27:Q27)</f>
        <v>2384014.2001939085</v>
      </c>
      <c r="R53" s="29">
        <f t="array" ref="R53">Calibration!sK*SUM(R15:S15*R27:S27)</f>
        <v>2308888.5058940658</v>
      </c>
      <c r="T53" s="29">
        <f t="array" ref="T53">Calibration!sK*SUM(T15:U15*T27:U27)</f>
        <v>2224393.5711424858</v>
      </c>
      <c r="V53" s="29">
        <f t="array" ref="V53">Calibration!sK*SUM(V15:W15*V27:W27)</f>
        <v>2128621.3065030039</v>
      </c>
      <c r="X53" s="29">
        <f t="array" ref="X53">Calibration!sK*SUM(X15:Y15*X27:Y27)</f>
        <v>2019103.8166007239</v>
      </c>
      <c r="Z53" s="29">
        <f t="array" ref="Z53">Calibration!sK*SUM(Z15:AA15*Z27:AA27)</f>
        <v>1892619.1023484035</v>
      </c>
      <c r="AB53" s="29">
        <f t="array" ref="AB53">Calibration!sK*SUM(AB15:AC15*AB27:AC27)</f>
        <v>1744935.3814735461</v>
      </c>
      <c r="AD53" s="29">
        <f t="array" ref="AD53">Calibration!sK*SUM(AD15:AE15*AD27:AE27)</f>
        <v>1570519.5372348181</v>
      </c>
      <c r="AF53" s="29">
        <f t="array" ref="AF53">Calibration!sK*SUM(AF15:AG15*AF27:AG27)</f>
        <v>1362375.7403470464</v>
      </c>
      <c r="AH53" s="29">
        <f t="array" ref="AH53">Calibration!sK*SUM(AH15:AI15*AH27:AI27)</f>
        <v>1112741.2298586443</v>
      </c>
      <c r="AJ53" s="29">
        <f t="array" ref="AJ53">Calibration!sK*SUM(AJ15:AK15*AJ27:AK27)</f>
        <v>817332.93267599668</v>
      </c>
      <c r="AL53" s="29">
        <f t="array" ref="AL53">Calibration!sK*SUM(AL15:AM15*AL27:AM27)</f>
        <v>491256.18419414881</v>
      </c>
      <c r="AN53" s="29">
        <f t="array" ref="AN53">Calibration!sK*SUM(AN15:AO15*AN27:AO27)</f>
        <v>0</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0.20498397864538501</v>
      </c>
      <c r="F55" s="193">
        <f>F30/F32</f>
        <v>0.21160460434390321</v>
      </c>
      <c r="H55" s="193">
        <f>H30/H32</f>
        <v>0.21840449881183627</v>
      </c>
      <c r="J55" s="193">
        <f>J30/J32</f>
        <v>0.22542923958514985</v>
      </c>
      <c r="L55" s="193">
        <f>L30/L32</f>
        <v>0.23273241728572622</v>
      </c>
      <c r="N55" s="193">
        <f>N30/N32</f>
        <v>0.24037747786575245</v>
      </c>
      <c r="P55" s="193">
        <f>P30/P32</f>
        <v>0.24844132421818149</v>
      </c>
      <c r="R55" s="193">
        <f>R30/R32</f>
        <v>0.2570187162689192</v>
      </c>
      <c r="T55" s="193">
        <f>T30/T32</f>
        <v>0.26622847438283187</v>
      </c>
      <c r="V55" s="193">
        <f>V30/V32</f>
        <v>0.27622236879648399</v>
      </c>
      <c r="X55" s="193">
        <f>X30/X32</f>
        <v>0.28719801458989164</v>
      </c>
      <c r="Z55" s="193">
        <f>Z30/Z32</f>
        <v>0.2994180149254953</v>
      </c>
      <c r="AB55" s="193">
        <f>AB30/AB32</f>
        <v>0.31323833367548781</v>
      </c>
      <c r="AD55" s="193">
        <f>AD30/AD32</f>
        <v>0.3291492018199712</v>
      </c>
      <c r="AF55" s="193">
        <f>AF30/AF32</f>
        <v>0.34782684712286155</v>
      </c>
      <c r="AH55" s="193">
        <f>AH30/AH32</f>
        <v>0.37016071998281197</v>
      </c>
      <c r="AJ55" s="193">
        <f>AJ30/AJ32</f>
        <v>0.39705710845750131</v>
      </c>
      <c r="AL55" s="193">
        <f>AL30/AL32</f>
        <v>0.4280946240150823</v>
      </c>
      <c r="AN55" s="193" t="e">
        <f>AN30/AN32</f>
        <v>#DIV/0!</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3.4603567248970166E-2</v>
      </c>
      <c r="F56" s="193">
        <f>(Model!$C$52*F5*F20+F2*G5*G20)/F32</f>
        <v>4.0098503627838934E-2</v>
      </c>
      <c r="H56" s="193">
        <f>(Model!$C$52*H5*H20+H2*I5*I20)/H32</f>
        <v>4.5738865626014091E-2</v>
      </c>
      <c r="J56" s="193">
        <f>(Model!$C$52*J5*J20+J2*K5*K20)/J32</f>
        <v>5.1562157108812623E-2</v>
      </c>
      <c r="L56" s="193">
        <f>(Model!$C$52*L5*L20+L2*M5*M20)/L32</f>
        <v>5.7612429815500688E-2</v>
      </c>
      <c r="N56" s="193">
        <f>(Model!$C$52*N5*N20+N2*O5*O20)/N32</f>
        <v>6.3941835249104143E-2</v>
      </c>
      <c r="P56" s="193">
        <f>(Model!$C$52*P5*P20+P2*Q5*Q20)/P32</f>
        <v>7.0613566982079184E-2</v>
      </c>
      <c r="R56" s="193">
        <f>(Model!$C$52*R5*R20+R2*S5*S20)/R32</f>
        <v>7.7705477677737264E-2</v>
      </c>
      <c r="T56" s="193">
        <f>(Model!$C$52*T5*T20+T2*U5*U20)/T32</f>
        <v>8.5315176285797573E-2</v>
      </c>
      <c r="V56" s="193">
        <f>(Model!$C$52*V5*V20+V2*W5*W20)/V32</f>
        <v>9.3567334364990803E-2</v>
      </c>
      <c r="X56" s="193">
        <f>(Model!$C$52*X5*X20+X2*Y5*Y20)/X32</f>
        <v>0.10262426535352082</v>
      </c>
      <c r="Z56" s="193">
        <f>(Model!$C$52*Z5*Z20+Z2*AA5*AA20)/Z32</f>
        <v>0.1127016465674763</v>
      </c>
      <c r="AB56" s="193">
        <f>(Model!$C$52*AB5*AB20+AB2*AC5*AC20)/AB32</f>
        <v>0.12409178052433967</v>
      </c>
      <c r="AD56" s="193">
        <f>(Model!$C$52*AD5*AD20+AD2*AE5*AE20)/AD32</f>
        <v>0.13719719565266703</v>
      </c>
      <c r="AF56" s="193">
        <f>(Model!$C$52*AF5*AF20+AF2*AG5*AG20)/AF32</f>
        <v>0.15257290760092659</v>
      </c>
      <c r="AH56" s="193">
        <f>(Model!$C$52*AH5*AH20+AH2*AI5*AI20)/AH32</f>
        <v>0.17094854664982878</v>
      </c>
      <c r="AJ56" s="193">
        <f>(Model!$C$52*AJ5*AJ20+AJ2*AK5*AK20)/AJ32</f>
        <v>0.193066473039325</v>
      </c>
      <c r="AL56" s="193">
        <f>(Model!$C$52*AL5*AL20+AL2*AM5*AM20)/AL32</f>
        <v>0.21857692657435307</v>
      </c>
      <c r="AN56" s="193" t="e">
        <f>(Model!$C$52*AN5*AN20+AN2*AO5*AO20)/AN32</f>
        <v>#DIV/0!</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0.15970895310604985</v>
      </c>
      <c r="F57" s="193">
        <f t="array" ref="F57">SUM(Model!tauL*F13:G13*F26:G26)/F32</f>
        <v>0.16091446424470801</v>
      </c>
      <c r="H57" s="193">
        <f t="array" ref="H57">SUM(Model!tauL*H13:I13*H26:I26)/H32</f>
        <v>0.16215261742290579</v>
      </c>
      <c r="J57" s="193">
        <f t="array" ref="J57">SUM(Model!tauL*J13:K13*J26:K26)/J32</f>
        <v>0.16343170509616534</v>
      </c>
      <c r="L57" s="193">
        <f t="array" ref="L57">SUM(Model!tauL*L13:M13*L26:M26)/L32</f>
        <v>0.16476149475927171</v>
      </c>
      <c r="N57" s="193">
        <f t="array" ref="N57">SUM(Model!tauL*N13:O13*N26:O26)/N32</f>
        <v>0.16615353677216546</v>
      </c>
      <c r="P57" s="193">
        <f t="array" ref="P57">SUM(Model!tauL*P13:Q13*P26:Q26)/P32</f>
        <v>0.16762183323137797</v>
      </c>
      <c r="R57" s="193">
        <f t="array" ref="R57">SUM(Model!tauL*R13:S13*R26:S26)/R32</f>
        <v>0.16918363857407182</v>
      </c>
      <c r="T57" s="193">
        <f t="array" ref="T57">SUM(Model!tauL*T13:U13*T26:U26)/T32</f>
        <v>0.17086058863832157</v>
      </c>
      <c r="V57" s="193">
        <f t="array" ref="V57">SUM(Model!tauL*V13:W13*V26:W26)/V32</f>
        <v>0.17268031487270696</v>
      </c>
      <c r="X57" s="193">
        <f t="array" ref="X57">SUM(Model!tauL*X13:Y13*X26:Y26)/X32</f>
        <v>0.1746788013416469</v>
      </c>
      <c r="Y57" s="193"/>
      <c r="Z57" s="193">
        <f t="array" ref="Z57">SUM(Model!tauL*Z13:AA13*Z26:AA26)/Z32</f>
        <v>0.17690386327441898</v>
      </c>
      <c r="AB57" s="193">
        <f t="array" ref="AB57">SUM(Model!tauL*AB13:AC13*AB26:AC26)/AB32</f>
        <v>0.17942033002816088</v>
      </c>
      <c r="AD57" s="193">
        <f t="array" ref="AD57">SUM(Model!tauL*AD13:AE13*AD26:AE26)/AD32</f>
        <v>0.18231743918321414</v>
      </c>
      <c r="AF57" s="193">
        <f t="array" ref="AF57">SUM(Model!tauL*AF13:AG13*AF26:AG26)/AF32</f>
        <v>0.18571833623990611</v>
      </c>
      <c r="AH57" s="193">
        <f t="array" ref="AH57">SUM(Model!tauL*AH13:AI13*AH26:AI26)/AH32</f>
        <v>0.18978497827386803</v>
      </c>
      <c r="AJ57" s="193">
        <f t="array" ref="AJ57">SUM(Model!tauL*AJ13:AK13*AJ26:AK26)/AJ32</f>
        <v>0.19468237984890668</v>
      </c>
      <c r="AL57" s="193">
        <f t="array" ref="AL57">SUM(Model!tauL*AL13:AM13*AL26:AM26)/AL32</f>
        <v>0.20033380931969133</v>
      </c>
      <c r="AN57" s="193" t="e">
        <f t="array" ref="AN57">SUM(Model!tauL*AN13:AO13*AN26:AO26)/AN32</f>
        <v>#DIV/0!</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1.0671458290364979E-2</v>
      </c>
      <c r="F58" s="193">
        <f t="array" ref="F58">SUM(Model!tauY/(1+Model!tauY)*F3:G3*F18:G18)/F32</f>
        <v>1.0591636471356284E-2</v>
      </c>
      <c r="H58" s="193">
        <f t="array" ref="H58">SUM(Model!tauY/(1+Model!tauY)*H3:I3*H18:I18)/H32</f>
        <v>1.0513015762916363E-2</v>
      </c>
      <c r="J58" s="193">
        <f t="array" ref="J58">SUM(Model!tauY/(1+Model!tauY)*J3:K3*J18:K18)/J32</f>
        <v>1.0435377380171848E-2</v>
      </c>
      <c r="L58" s="193">
        <f t="array" ref="L58">SUM(Model!tauY/(1+Model!tauY)*L3:M3*L18:M18)/L32</f>
        <v>1.0358492710953814E-2</v>
      </c>
      <c r="N58" s="193">
        <f t="array" ref="N58">SUM(Model!tauY/(1+Model!tauY)*N3:O3*N18:O18)/N32</f>
        <v>1.0282105844482839E-2</v>
      </c>
      <c r="P58" s="193">
        <f t="array" ref="P58">SUM(Model!tauY/(1+Model!tauY)*P3:Q3*P18:Q18)/P32</f>
        <v>1.0205924004724323E-2</v>
      </c>
      <c r="R58" s="193">
        <f t="array" ref="R58">SUM(Model!tauY/(1+Model!tauY)*R3:S3*R18:S18)/R32</f>
        <v>1.0129600017110137E-2</v>
      </c>
      <c r="T58" s="193">
        <f t="array" ref="T58">SUM(Model!tauY/(1+Model!tauY)*T3:U3*T18:U18)/T32</f>
        <v>1.0052709458712734E-2</v>
      </c>
      <c r="V58" s="193">
        <f t="array" ref="V58">SUM(Model!tauY/(1+Model!tauY)*V3:W3*V18:W18)/V32</f>
        <v>9.974719558786262E-3</v>
      </c>
      <c r="X58" s="193">
        <f t="array" ref="X58">SUM(Model!tauY/(1+Model!tauY)*X3:Y3*X18:Y18)/X32</f>
        <v>9.894947894723902E-3</v>
      </c>
      <c r="Y58" s="193"/>
      <c r="Z58" s="193">
        <f t="array" ref="Z58">SUM(Model!tauY/(1+Model!tauY)*Z3:AA3*Z18:AA18)/Z32</f>
        <v>9.8125050836000271E-3</v>
      </c>
      <c r="AB58" s="193">
        <f t="array" ref="AB58">SUM(Model!tauY/(1+Model!tauY)*AB3:AC3*AB18:AC18)/AB32</f>
        <v>9.7262231229872393E-3</v>
      </c>
      <c r="AD58" s="193">
        <f t="array" ref="AD58">SUM(Model!tauY/(1+Model!tauY)*AD3:AE3*AD18:AE18)/AD32</f>
        <v>9.6345669840900375E-3</v>
      </c>
      <c r="AF58" s="193">
        <f t="array" ref="AF58">SUM(Model!tauY/(1+Model!tauY)*AF3:AG3*AF18:AG18)/AF32</f>
        <v>9.5356032820288605E-3</v>
      </c>
      <c r="AH58" s="193">
        <f t="array" ref="AH58">SUM(Model!tauY/(1+Model!tauY)*AH3:AI3*AH18:AI18)/AH32</f>
        <v>9.427195059115186E-3</v>
      </c>
      <c r="AJ58" s="193">
        <f t="array" ref="AJ58">SUM(Model!tauY/(1+Model!tauY)*AJ3:AK3*AJ18:AK18)/AJ32</f>
        <v>9.3082555692696085E-3</v>
      </c>
      <c r="AL58" s="193">
        <f t="array" ref="AL58">SUM(Model!tauY/(1+Model!tauY)*AL3:AM3*AL18:AM18)/AL32</f>
        <v>9.1838881210379048E-3</v>
      </c>
      <c r="AN58" s="193" t="e">
        <f t="array" ref="AN58">SUM(Model!tauY/(1+Model!tauY)*AN3:AO3*AN18:AO18)/AN32</f>
        <v>#DIV/0!</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6.000057872094902E-3</v>
      </c>
      <c r="F59" s="193">
        <f>(F2*G5*G20)/F32</f>
        <v>1.1561577164392784E-2</v>
      </c>
      <c r="H59" s="193">
        <f>(H2*I5*I20)/H32</f>
        <v>1.7269456580773862E-2</v>
      </c>
      <c r="J59" s="193">
        <f>(J2*K5*K20)/J32</f>
        <v>2.3161536760104004E-2</v>
      </c>
      <c r="L59" s="193">
        <f>(L2*M5*M20)/L32</f>
        <v>2.9282249220374569E-2</v>
      </c>
      <c r="N59" s="193">
        <f>(N2*O5*O20)/N32</f>
        <v>3.5684180712241088E-2</v>
      </c>
      <c r="P59" s="193">
        <f>(P2*Q5*Q20)/P32</f>
        <v>4.2431034919556097E-2</v>
      </c>
      <c r="R59" s="193">
        <f>(R2*S5*S20)/R32</f>
        <v>4.9601273212467489E-2</v>
      </c>
      <c r="T59" s="193">
        <f>(T2*U5*U20)/T32</f>
        <v>5.7293244176039849E-2</v>
      </c>
      <c r="V59" s="193">
        <f>(V2*W5*W20)/V32</f>
        <v>6.5632534924797592E-2</v>
      </c>
      <c r="X59" s="193">
        <f>(X2*Y5*Y20)/X32</f>
        <v>7.4782612971788454E-2</v>
      </c>
      <c r="Z59" s="193">
        <f>(Z2*AA5*AA20)/Z32</f>
        <v>8.4960638742454089E-2</v>
      </c>
      <c r="AB59" s="193">
        <f>(AB2*AC5*AC20)/AB32</f>
        <v>9.6460854115438671E-2</v>
      </c>
      <c r="AD59" s="193">
        <f>(AD2*AE5*AE20)/AD32</f>
        <v>0.10968835665746404</v>
      </c>
      <c r="AF59" s="193">
        <f>(AF2*AG5*AG20)/AF32</f>
        <v>0.12520153815888926</v>
      </c>
      <c r="AH59" s="193">
        <f>(AH2*AI5*AI20)/AH32</f>
        <v>0.14373415829478745</v>
      </c>
      <c r="AJ59" s="193">
        <f>(AJ2*AK5*AK20)/AJ32</f>
        <v>0.16603196841823667</v>
      </c>
      <c r="AL59" s="193">
        <f>(AL2*AM5*AM20)/AL32</f>
        <v>0.19173977670314399</v>
      </c>
      <c r="AN59" s="193" t="e">
        <f>(AN2*AO5*AO20)/AN32</f>
        <v>#DIV/0!</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2.8603509376875266E-2</v>
      </c>
      <c r="F60" s="193">
        <f>Model!$C$52*F5*F20/F32</f>
        <v>2.853692646344615E-2</v>
      </c>
      <c r="H60" s="193">
        <f>Model!$C$52*H5*H20/H32</f>
        <v>2.8469409045240229E-2</v>
      </c>
      <c r="J60" s="193">
        <f>Model!$C$52*J5*J20/J32</f>
        <v>2.8400620348708619E-2</v>
      </c>
      <c r="L60" s="193">
        <f>Model!$C$52*L5*L20/L32</f>
        <v>2.8330180595126118E-2</v>
      </c>
      <c r="N60" s="193">
        <f>Model!$C$52*N5*N20/N32</f>
        <v>2.8257654536863061E-2</v>
      </c>
      <c r="P60" s="193">
        <f>Model!$C$52*P5*P20/P32</f>
        <v>2.8182532062523098E-2</v>
      </c>
      <c r="R60" s="193">
        <f>Model!$C$52*R5*R20/R32</f>
        <v>2.8104204465269785E-2</v>
      </c>
      <c r="T60" s="193">
        <f>Model!$C$52*T5*T20/T32</f>
        <v>2.802193210975772E-2</v>
      </c>
      <c r="V60" s="193">
        <f>Model!$C$52*V5*V20/V32</f>
        <v>2.7934799440193211E-2</v>
      </c>
      <c r="X60" s="193">
        <f>Model!$C$52*X5*X20/X32</f>
        <v>2.7841652381732359E-2</v>
      </c>
      <c r="Z60" s="193">
        <f>Model!$C$52*Z5*Z20/Z32</f>
        <v>2.7741007825022215E-2</v>
      </c>
      <c r="AB60" s="193">
        <f>Model!$C$52*AB5*AB20/AB32</f>
        <v>2.7630926408901007E-2</v>
      </c>
      <c r="AD60" s="193">
        <f>Model!$C$52*AD5*AD20/AD32</f>
        <v>2.7508838995202983E-2</v>
      </c>
      <c r="AF60" s="193">
        <f>Model!$C$52*AF5*AF20/AF32</f>
        <v>2.737136944203734E-2</v>
      </c>
      <c r="AH60" s="193">
        <f>Model!$C$52*AH5*AH20/AH32</f>
        <v>2.7214388355041329E-2</v>
      </c>
      <c r="AJ60" s="193">
        <f>Model!$C$52*AJ5*AJ20/AJ32</f>
        <v>2.7034504621088324E-2</v>
      </c>
      <c r="AL60" s="193">
        <f>Model!$C$52*AL5*AL20/AL32</f>
        <v>2.6837149871209096E-2</v>
      </c>
      <c r="AN60" s="193" t="e">
        <f>Model!$C$52*AN5*AN20/AN32</f>
        <v>#DIV/0!</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1.0174865837813349</v>
      </c>
      <c r="F62">
        <f>F13/F15</f>
        <v>1.0372619281502573</v>
      </c>
      <c r="H62">
        <f>H13/H15</f>
        <v>1.0597396256405474</v>
      </c>
      <c r="J62">
        <f>J13/J15</f>
        <v>1.0854572928817063</v>
      </c>
      <c r="L62">
        <f>L13/L15</f>
        <v>1.1151240453920488</v>
      </c>
      <c r="N62">
        <f>N13/N15</f>
        <v>1.1496868716187523</v>
      </c>
      <c r="P62">
        <f>P13/P15</f>
        <v>1.19043649736186</v>
      </c>
      <c r="R62">
        <f>R13/R15</f>
        <v>1.2391722074114124</v>
      </c>
      <c r="T62">
        <f>T13/T15</f>
        <v>1.2984710557282666</v>
      </c>
      <c r="V62">
        <f>V13/V15</f>
        <v>1.3721458878112081</v>
      </c>
      <c r="X62">
        <f>X13/X15</f>
        <v>1.4660632098573445</v>
      </c>
      <c r="Z62">
        <f>Z13/Z15</f>
        <v>1.5896925942779991</v>
      </c>
      <c r="AB62">
        <f>AB13/AB15</f>
        <v>1.7592579234641275</v>
      </c>
      <c r="AD62">
        <f>AD13/AD15</f>
        <v>2.0047361602213796</v>
      </c>
      <c r="AF62">
        <f>AF13/AF15</f>
        <v>2.387236472390331</v>
      </c>
      <c r="AH62">
        <f>AH13/AH15</f>
        <v>3.0487969923893026</v>
      </c>
      <c r="AJ62">
        <f>AJ13/AJ15</f>
        <v>4.3845758592659303</v>
      </c>
      <c r="AL62">
        <f>AL13/AL15</f>
        <v>7.8013911773090499</v>
      </c>
      <c r="AN62" t="e">
        <f>AN13/AN15</f>
        <v>#DIV/0!</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0.9990741717581495</v>
      </c>
      <c r="E65" s="191"/>
      <c r="F65" s="191">
        <f t="array" ref="F65">SQRT((F9:G9*$B$22:$C$22+F10:G10*$B$23:$C$23+F11:G11*$B$24:$C$24+F4:G4*($B$25:$C$25-$B$19:$C$19))/($B$9:$C$9*$B$22:$C$22+$B$10:$C$10*$B$23:$C$23+$B$11:$C$11*$B$24:$C$24+$B$4:$C$4*($B$25:$C$25-$B$19:$C$19))*(F9:G9*F22:G22+F10:G10*F23:G23+F11:G11*F24:G24+F4:G4*(F25:G25-F19:G19))/($B$9:$C$9*F22:G22+$B$10:$C$10*F23:G23+$B$11:$C$11*F24:G24+$B$4:$C$4*(F25:G25-F19:G19)))</f>
        <v>0.99816939613857547</v>
      </c>
      <c r="G65" s="191"/>
      <c r="H65" s="191">
        <f t="array" ref="H65">SQRT((H9:I9*$B$22:$C$22+H10:I10*$B$23:$C$23+H11:I11*$B$24:$C$24+H4:I4*($B$25:$C$25-$B$19:$C$19))/($B$9:$C$9*$B$22:$C$22+$B$10:$C$10*$B$23:$C$23+$B$11:$C$11*$B$24:$C$24+$B$4:$C$4*($B$25:$C$25-$B$19:$C$19))*(H9:I9*H22:I22+H10:I10*H23:I23+H11:I11*H24:I24+H4:I4*(H25:I25-H19:I19))/($B$9:$C$9*H22:I22+$B$10:$C$10*H23:I23+$B$11:$C$11*H24:I24+$B$4:$C$4*(H25:I25-H19:I19)))</f>
        <v>0.99728067236921714</v>
      </c>
      <c r="I65" s="191"/>
      <c r="J65" s="191">
        <f t="array" ref="J65">SQRT((J9:K9*$B$22:$C$22+J10:K10*$B$23:$C$23+J11:K11*$B$24:$C$24+J4:K4*($B$25:$C$25-$B$19:$C$19))/($B$9:$C$9*$B$22:$C$22+$B$10:$C$10*$B$23:$C$23+$B$11:$C$11*$B$24:$C$24+$B$4:$C$4*($B$25:$C$25-$B$19:$C$19))*(J9:K9*J22:K22+J10:K10*J23:K23+J11:K11*J24:K24+J4:K4*(J25:K25-J19:K19))/($B$9:$C$9*J22:K22+$B$10:$C$10*J23:K23+$B$11:$C$11*J24:K24+$B$4:$C$4*(J25:K25-J19:K19)))</f>
        <v>0.99640241354599635</v>
      </c>
      <c r="K65" s="191"/>
      <c r="L65" s="191">
        <f t="array" ref="L65">SQRT((L9:M9*$B$22:$C$22+L10:M10*$B$23:$C$23+L11:M11*$B$24:$C$24+L4:M4*($B$25:$C$25-$B$19:$C$19))/($B$9:$C$9*$B$22:$C$22+$B$10:$C$10*$B$23:$C$23+$B$11:$C$11*$B$24:$C$24+$B$4:$C$4*($B$25:$C$25-$B$19:$C$19))*(L9:M9*L22:M22+L10:M10*L23:M23+L11:M11*L24:M24+L4:M4*(L25:M25-L19:M19))/($B$9:$C$9*L22:M22+$B$10:$C$10*L23:M23+$B$11:$C$11*L24:M24+$B$4:$C$4*(L25:M25-L19:M19)))</f>
        <v>0.99552823426474357</v>
      </c>
      <c r="M65" s="191"/>
      <c r="N65" s="191">
        <f t="array" ref="N65">SQRT((N9:O9*$B$22:$C$22+N10:O10*$B$23:$C$23+N11:O11*$B$24:$C$24+N4:O4*($B$25:$C$25-$B$19:$C$19))/($B$9:$C$9*$B$22:$C$22+$B$10:$C$10*$B$23:$C$23+$B$11:$C$11*$B$24:$C$24+$B$4:$C$4*($B$25:$C$25-$B$19:$C$19))*(N9:O9*N22:O22+N10:O10*N23:O23+N11:O11*N24:O24+N4:O4*(N25:O25-N19:O19))/($B$9:$C$9*N22:O22+$B$10:$C$10*N23:O23+$B$11:$C$11*N24:O24+$B$4:$C$4*(N25:O25-N19:O19)))</f>
        <v>0.99465048749865781</v>
      </c>
      <c r="O65" s="191"/>
      <c r="P65" s="191">
        <f t="array" ref="P65">SQRT((P9:Q9*$B$22:$C$22+P10:Q10*$B$23:$C$23+P11:Q11*$B$24:$C$24+P4:Q4*($B$25:$C$25-$B$19:$C$19))/($B$9:$C$9*$B$22:$C$22+$B$10:$C$10*$B$23:$C$23+$B$11:$C$11*$B$24:$C$24+$B$4:$C$4*($B$25:$C$25-$B$19:$C$19))*(P9:Q9*P22:Q22+P10:Q10*P23:Q23+P11:Q11*P24:Q24+P4:Q4*(P25:Q25-P19:Q19))/($B$9:$C$9*P22:Q22+$B$10:$C$10*P23:Q23+$B$11:$C$11*P24:Q24+$B$4:$C$4*(P25:Q25-P19:Q19)))</f>
        <v>0.99375990736437836</v>
      </c>
      <c r="Q65" s="191"/>
      <c r="R65" s="191">
        <f t="array" ref="R65">SQRT((R9:S9*$B$22:$C$22+R10:S10*$B$23:$C$23+R11:S11*$B$24:$C$24+R4:S4*($B$25:$C$25-$B$19:$C$19))/($B$9:$C$9*$B$22:$C$22+$B$10:$C$10*$B$23:$C$23+$B$11:$C$11*$B$24:$C$24+$B$4:$C$4*($B$25:$C$25-$B$19:$C$19))*(R9:S9*R22:S22+R10:S10*R23:S23+R11:S11*R24:S24+R4:S4*(R25:S25-R19:S19))/($B$9:$C$9*R22:S22+$B$10:$C$10*R23:S23+$B$11:$C$11*R24:S24+$B$4:$C$4*(R25:S25-R19:S19)))</f>
        <v>0.99284507566021529</v>
      </c>
      <c r="S65" s="191"/>
      <c r="T65" s="191">
        <f t="array" ref="T65">SQRT((T9:U9*$B$22:$C$22+T10:U10*$B$23:$C$23+T11:U11*$B$24:$C$24+T4:U4*($B$25:$C$25-$B$19:$C$19))/($B$9:$C$9*$B$22:$C$22+$B$10:$C$10*$B$23:$C$23+$B$11:$C$11*$B$24:$C$24+$B$4:$C$4*($B$25:$C$25-$B$19:$C$19))*(T9:U9*T22:U22+T10:U10*T23:U23+T11:U11*T24:U24+T4:U4*(T25:U25-T19:U19))/($B$9:$C$9*T22:U22+$B$10:$C$10*T23:U23+$B$11:$C$11*T24:U24+$B$4:$C$4*(T25:U25-T19:U19)))</f>
        <v>0.99189178571170922</v>
      </c>
      <c r="U65" s="191"/>
      <c r="V65" s="191">
        <f t="array" ref="V65">SQRT((V9:W9*$B$22:$C$22+V10:W10*$B$23:$C$23+V11:W11*$B$24:$C$24+V4:W4*($B$25:$C$25-$B$19:$C$19))/($B$9:$C$9*$B$22:$C$22+$B$10:$C$10*$B$23:$C$23+$B$11:$C$11*$B$24:$C$24+$B$4:$C$4*($B$25:$C$25-$B$19:$C$19))*(V9:W9*V22:W22+V10:W10*V23:W23+V11:W11*V24:W24+V4:W4*(V25:W25-V19:W19))/($B$9:$C$9*V22:W22+$B$10:$C$10*V23:W23+$B$11:$C$11*V24:W24+$B$4:$C$4*(V25:W25-V19:W19)))</f>
        <v>0.9908822990123316</v>
      </c>
      <c r="W65" s="191"/>
      <c r="X65" s="191">
        <f t="array" ref="X65">SQRT((X9:Y9*$B$22:$C$22+X10:Y10*$B$23:$C$23+X11:Y11*$B$24:$C$24+X4:Y4*($B$25:$C$25-$B$19:$C$19))/($B$9:$C$9*$B$22:$C$22+$B$10:$C$10*$B$23:$C$23+$B$11:$C$11*$B$24:$C$24+$B$4:$C$4*($B$25:$C$25-$B$19:$C$19))*(X9:Y9*X22:Y22+X10:Y10*X23:Y23+X11:Y11*X24:Y24+X4:Y4*(X25:Y25-X19:Y19))/($B$9:$C$9*X22:Y22+$B$10:$C$10*X23:Y23+$B$11:$C$11*X24:Y24+$B$4:$C$4*(X25:Y25-X19:Y19)))</f>
        <v>0.98979452587432504</v>
      </c>
      <c r="Y65" s="191"/>
      <c r="Z65" s="191">
        <f t="array" ref="Z65">SQRT((Z9:AA9*$B$22:$C$22+Z10:AA10*$B$23:$C$23+Z11:AA11*$B$24:$C$24+Z4:AA4*($B$25:$C$25-$B$19:$C$19))/($B$9:$C$9*$B$22:$C$22+$B$10:$C$10*$B$23:$C$23+$B$11:$C$11*$B$24:$C$24+$B$4:$C$4*($B$25:$C$25-$B$19:$C$19))*(Z9:AA9*Z22:AA22+Z10:AA10*Z23:AA23+Z11:AA11*Z24:AA24+Z4:AA4*(Z25:AA25-Z19:AA19))/($B$9:$C$9*Z22:AA22+$B$10:$C$10*Z23:AA23+$B$11:$C$11*Z24:AA24+$B$4:$C$4*(Z25:AA25-Z19:AA19)))</f>
        <v>0.98860131544827645</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0.98727028607801726</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0.98576540623100994</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0.98405318655097895</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0.98212063284832685</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0.98002019318001343</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0.97795841395366179</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0.99898223574086753</v>
      </c>
      <c r="E66" s="191"/>
      <c r="F66" s="191">
        <f t="array" ref="F66">SQRT((F9:G9*$B$22:$C$22)/($B$9:$C$9*$B$22:$C$22)*(F9:G9*F22:G22)/($B$9:$C$9*F22:G22))</f>
        <v>0.99798711840644583</v>
      </c>
      <c r="G66" s="191"/>
      <c r="H66" s="191">
        <f t="array" ref="H66">SQRT((H9:I9*$B$22:$C$22)/($B$9:$C$9*$B$22:$C$22)*(H9:I9*H22:I22)/($B$9:$C$9*H22:I22))</f>
        <v>0.99700917631279162</v>
      </c>
      <c r="I66" s="191"/>
      <c r="J66" s="191">
        <f t="array" ref="J66">SQRT((J9:K9*$B$22:$C$22)/($B$9:$C$9*$B$22:$C$22)*(J9:K9*J22:K22)/($B$9:$C$9*J22:K22))</f>
        <v>0.99604227972469206</v>
      </c>
      <c r="K66" s="191"/>
      <c r="L66" s="191">
        <f t="array" ref="L66">SQRT((L9:M9*$B$22:$C$22)/($B$9:$C$9*$B$22:$C$22)*(L9:M9*L22:M22)/($B$9:$C$9*L22:M22))</f>
        <v>0.9950794053351697</v>
      </c>
      <c r="M66" s="191"/>
      <c r="N66" s="191">
        <f t="array" ref="N66">SQRT((N9:O9*$B$22:$C$22)/($B$9:$C$9*$B$22:$C$22)*(N9:O9*N22:O22)/($B$9:$C$9*N22:O22))</f>
        <v>0.9941121231776795</v>
      </c>
      <c r="O66" s="191"/>
      <c r="P66" s="191">
        <f t="array" ref="P66">SQRT((P9:Q9*$B$22:$C$22)/($B$9:$C$9*$B$22:$C$22)*(P9:Q9*P22:Q22)/($B$9:$C$9*P22:Q22))</f>
        <v>0.99313019831957394</v>
      </c>
      <c r="Q66" s="191"/>
      <c r="R66" s="191">
        <f t="array" ref="R66">SQRT((R9:S9*$B$22:$C$22)/($B$9:$C$9*$B$22:$C$22)*(R9:S9*R22:S22)/($B$9:$C$9*R22:S22))</f>
        <v>0.99212099590201408</v>
      </c>
      <c r="S66" s="191"/>
      <c r="T66" s="191">
        <f t="array" ref="T66">SQRT((T9:U9*$B$22:$C$22)/($B$9:$C$9*$B$22:$C$22)*(T9:U9*T22:U22)/($B$9:$C$9*T22:U22))</f>
        <v>0.99106876934615473</v>
      </c>
      <c r="U66" s="191"/>
      <c r="V66" s="191">
        <f t="array" ref="V66">SQRT((V9:W9*$B$22:$C$22)/($B$9:$C$9*$B$22:$C$22)*(V9:W9*V22:W22)/($B$9:$C$9*V22:W22))</f>
        <v>0.9899538251373764</v>
      </c>
      <c r="W66" s="191"/>
      <c r="X66" s="191">
        <f t="array" ref="X66">SQRT((X9:Y9*$B$22:$C$22)/($B$9:$C$9*$B$22:$C$22)*(X9:Y9*X22:Y22)/($B$9:$C$9*X22:Y22))</f>
        <v>0.98875159627197085</v>
      </c>
      <c r="Y66" s="191"/>
      <c r="Z66" s="191">
        <f t="array" ref="Z66">SQRT((Z9:AA9*$B$22:$C$22)/($B$9:$C$9*$B$22:$C$22)*(Z9:AA9*Z22:AA22)/($B$9:$C$9*Z22:AA22))</f>
        <v>0.98743182620057857</v>
      </c>
      <c r="AA66" s="191"/>
      <c r="AB66" s="191">
        <f t="array" ref="AB66">SQRT((AB9:AC9*$B$22:$C$22)/($B$9:$C$9*$B$22:$C$22)*(AB9:AC9*AB22:AC22)/($B$9:$C$9*AB22:AC22))</f>
        <v>0.98595833690809098</v>
      </c>
      <c r="AC66" s="191"/>
      <c r="AD66" s="191">
        <f t="array" ref="AD66">SQRT((AD9:AE9*$B$22:$C$22)/($B$9:$C$9*$B$22:$C$22)*(AD9:AE9*AD22:AE22)/($B$9:$C$9*AD22:AE22))</f>
        <v>0.98429072166313436</v>
      </c>
      <c r="AE66" s="191"/>
      <c r="AF66" s="191">
        <f t="array" ref="AF66">SQRT((AF9:AG9*$B$22:$C$22)/($B$9:$C$9*$B$22:$C$22)*(AF9:AG9*AF22:AG22)/($B$9:$C$9*AF22:AG22))</f>
        <v>0.98239114838689812</v>
      </c>
      <c r="AG66" s="191"/>
      <c r="AH66" s="191">
        <f t="array" ref="AH66">SQRT((AH9:AI9*$B$22:$C$22)/($B$9:$C$9*$B$22:$C$22)*(AH9:AI9*AH22:AI22)/($B$9:$C$9*AH22:AI22))</f>
        <v>0.98024427475806708</v>
      </c>
      <c r="AI66" s="191"/>
      <c r="AJ66" s="191">
        <f t="array" ref="AJ66">SQRT((AJ9:AK9*$B$22:$C$22)/($B$9:$C$9*$B$22:$C$22)*(AJ9:AK9*AJ22:AK22)/($B$9:$C$9*AJ22:AK22))</f>
        <v>0.9779074093822957</v>
      </c>
      <c r="AK66" s="191"/>
      <c r="AL66" s="191">
        <f t="array" ref="AL66">SQRT((AL9:AM9*$B$22:$C$22)/($B$9:$C$9*$B$22:$C$22)*(AL9:AM9*AL22:AM22)/($B$9:$C$9*AL22:AM22))</f>
        <v>0.97560997509663994</v>
      </c>
      <c r="AM66" s="191"/>
      <c r="AN66" s="191" t="e">
        <f t="array" ref="AN66">SQRT((AN9:AO9*$B$22:$C$22)/($B$9:$C$9*$B$22:$C$22)*(AN9:AO9*AN22:AO22)/($B$9:$C$9*AN22:AO22))</f>
        <v>#DIV/0!</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t="e">
        <f t="array" ref="AN67">SQRT((AN4:AO4*$B$19:$C$19)/($B$4:$C$4*$B$19:$C$19)*(AN4:AO4*AN19:AO19)/($B$4:$C$4*AN19:AO19))</f>
        <v>#DIV/0!</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0.99898223574086753</v>
      </c>
      <c r="E68" s="191"/>
      <c r="F68" s="191">
        <f>F66/F67</f>
        <v>0.99798711840644583</v>
      </c>
      <c r="G68" s="191"/>
      <c r="H68" s="191">
        <f>H66/H67</f>
        <v>0.99700917631279162</v>
      </c>
      <c r="I68" s="191"/>
      <c r="J68" s="191">
        <f>J66/J67</f>
        <v>0.99604227972469206</v>
      </c>
      <c r="K68" s="191"/>
      <c r="L68" s="191">
        <f>L66/L67</f>
        <v>0.9950794053351697</v>
      </c>
      <c r="M68" s="191"/>
      <c r="N68" s="191">
        <f>N66/N67</f>
        <v>0.9941121231776795</v>
      </c>
      <c r="O68" s="191"/>
      <c r="P68" s="191">
        <f>P66/P67</f>
        <v>0.99313019831957394</v>
      </c>
      <c r="Q68" s="191"/>
      <c r="R68" s="191">
        <f>R66/R67</f>
        <v>0.99212099590201408</v>
      </c>
      <c r="S68" s="191"/>
      <c r="T68" s="191">
        <f>T66/T67</f>
        <v>0.99106876934615473</v>
      </c>
      <c r="U68" s="191"/>
      <c r="V68" s="191">
        <f>V66/V67</f>
        <v>0.9899538251373764</v>
      </c>
      <c r="W68" s="191"/>
      <c r="X68" s="191">
        <f>X66/X67</f>
        <v>0.98875159627197085</v>
      </c>
      <c r="Y68" s="191"/>
      <c r="Z68" s="191">
        <f>Z66/Z67</f>
        <v>0.98743182620057857</v>
      </c>
      <c r="AA68" s="191"/>
      <c r="AB68" s="191">
        <f>AB66/AB67</f>
        <v>0.98595833690809098</v>
      </c>
      <c r="AC68" s="191"/>
      <c r="AD68" s="191">
        <f>AD66/AD67</f>
        <v>0.98429072166313436</v>
      </c>
      <c r="AE68" s="191"/>
      <c r="AF68" s="191">
        <f>AF66/AF67</f>
        <v>0.98239114838689812</v>
      </c>
      <c r="AG68" s="191"/>
      <c r="AH68" s="191">
        <f>AH66/AH67</f>
        <v>0.98024427475806708</v>
      </c>
      <c r="AI68" s="191"/>
      <c r="AJ68" s="191">
        <f>AJ66/AJ67</f>
        <v>0.9779074093822957</v>
      </c>
      <c r="AK68" s="191"/>
      <c r="AL68" s="191">
        <f>AL66/AL67</f>
        <v>0.97560997509663994</v>
      </c>
      <c r="AM68" s="191"/>
      <c r="AN68" s="191" t="e">
        <f>AN66/AN67</f>
        <v>#DIV/0!</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1.0072151674021712</v>
      </c>
      <c r="E69" s="191"/>
      <c r="F69" s="191">
        <f>F32/F65/($B$32)</f>
        <v>1.0137742027073191</v>
      </c>
      <c r="G69" s="191"/>
      <c r="H69" s="191">
        <f>H32/H65/($B$32)</f>
        <v>1.0196308539719117</v>
      </c>
      <c r="I69" s="191"/>
      <c r="J69" s="191">
        <f>J32/J65/($B$32)</f>
        <v>1.0247164977313237</v>
      </c>
      <c r="K69" s="191"/>
      <c r="L69" s="191">
        <f>L32/L65/($B$32)</f>
        <v>1.0289343117404961</v>
      </c>
      <c r="M69" s="191"/>
      <c r="N69" s="191">
        <f>N32/N65/($B$32)</f>
        <v>1.0321504069081988</v>
      </c>
      <c r="O69" s="191"/>
      <c r="P69" s="191">
        <f>P32/P65/($B$32)</f>
        <v>1.0341808684490856</v>
      </c>
      <c r="Q69" s="191"/>
      <c r="R69" s="191">
        <f>R32/R65/($B$32)</f>
        <v>1.0347721918408863</v>
      </c>
      <c r="S69" s="191"/>
      <c r="T69" s="191">
        <f>T32/T65/($B$32)</f>
        <v>1.033571305207835</v>
      </c>
      <c r="U69" s="191"/>
      <c r="V69" s="191">
        <f>V32/V65/($B$32)</f>
        <v>1.0300784320802292</v>
      </c>
      <c r="W69" s="191"/>
      <c r="X69" s="191">
        <f>X32/X65/($B$32)</f>
        <v>1.0235705928360994</v>
      </c>
      <c r="Y69" s="191"/>
      <c r="Z69" s="191">
        <f>Z32/Z65/($B$32)</f>
        <v>1.0129727922759686</v>
      </c>
      <c r="AA69" s="191"/>
      <c r="AB69" s="191">
        <f>AB32/AB65/($B$32)</f>
        <v>0.99663153229328283</v>
      </c>
      <c r="AC69" s="191"/>
      <c r="AD69" s="191">
        <f>AD32/AD65/($B$32)</f>
        <v>0.97189630153237727</v>
      </c>
      <c r="AE69" s="191"/>
      <c r="AF69" s="191">
        <f>AF32/AF65/($B$32)</f>
        <v>0.93430437872420258</v>
      </c>
      <c r="AG69" s="191"/>
      <c r="AH69" s="191">
        <f>AH32/AH65/($B$32)</f>
        <v>0.87591017669527849</v>
      </c>
      <c r="AI69" s="191"/>
      <c r="AJ69" s="191">
        <f>AJ32/AJ65/($B$32)</f>
        <v>0.78180772920476604</v>
      </c>
      <c r="AK69" s="191"/>
      <c r="AL69" s="191">
        <f>AL32/AL65/($B$32)</f>
        <v>0.62394511905558281</v>
      </c>
      <c r="AM69" s="191"/>
      <c r="AN69" s="191" t="e">
        <f>AN32/AN65/($B$32)</f>
        <v>#DIV/0!</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1.0053227034307508</v>
      </c>
      <c r="E70" s="138"/>
      <c r="F70" s="138">
        <f>F18/$B$18</f>
        <v>1.0099327978818746</v>
      </c>
      <c r="G70" s="138"/>
      <c r="H70" s="138">
        <f>H18/$B$18</f>
        <v>1.0137787551668964</v>
      </c>
      <c r="I70" s="138"/>
      <c r="J70" s="138">
        <f>J18/$B$18</f>
        <v>1.0167863700039701</v>
      </c>
      <c r="K70" s="138"/>
      <c r="L70" s="138">
        <f>L18/$B$18</f>
        <v>1.0188529250680034</v>
      </c>
      <c r="M70" s="138"/>
      <c r="N70" s="138">
        <f>N18/$B$18</f>
        <v>1.0198385901067804</v>
      </c>
      <c r="O70" s="138"/>
      <c r="P70" s="138">
        <f>P18/$B$18</f>
        <v>1.0195536723839573</v>
      </c>
      <c r="Q70" s="138"/>
      <c r="R70" s="138">
        <f>R18/$B$18</f>
        <v>1.017739574366523</v>
      </c>
      <c r="S70" s="138"/>
      <c r="T70" s="138">
        <f>T18/$B$18</f>
        <v>1.0140397239291212</v>
      </c>
      <c r="U70" s="138"/>
      <c r="V70" s="138">
        <f>V18/$B$18</f>
        <v>1.0079540527462252</v>
      </c>
      <c r="W70" s="138"/>
      <c r="X70" s="138">
        <f>X18/$B$18</f>
        <v>0.99876550083399973</v>
      </c>
      <c r="Y70" s="138"/>
      <c r="Z70" s="138">
        <f>Z18/$B$18</f>
        <v>0.98541684552627973</v>
      </c>
      <c r="AA70" s="138"/>
      <c r="AB70" s="138">
        <f>AB18/$B$18</f>
        <v>0.96629550463987912</v>
      </c>
      <c r="AC70" s="138"/>
      <c r="AD70" s="138">
        <f>AD18/$B$18</f>
        <v>0.93883875577982123</v>
      </c>
      <c r="AE70" s="138"/>
      <c r="AF70" s="138">
        <f>AF18/$B$18</f>
        <v>0.89877255856568328</v>
      </c>
      <c r="AG70" s="138"/>
      <c r="AH70" s="138">
        <f>AH18/$B$18</f>
        <v>0.83857205683745717</v>
      </c>
      <c r="AI70" s="138"/>
      <c r="AJ70" s="138">
        <f>AJ18/$B$18</f>
        <v>0.74431932160915248</v>
      </c>
      <c r="AK70" s="138"/>
      <c r="AL70" s="138">
        <f>AL18/$B$18</f>
        <v>0.59030867759473171</v>
      </c>
      <c r="AM70" s="138"/>
      <c r="AN70" s="138">
        <f>AN18/$B$18</f>
        <v>0</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0.93625187857974568</v>
      </c>
      <c r="E71" s="138"/>
      <c r="F71" s="138">
        <f>G18/$C$18</f>
        <v>0.87312397636647621</v>
      </c>
      <c r="G71" s="138"/>
      <c r="H71" s="138">
        <f>I18/$C$18</f>
        <v>0.81063971067149199</v>
      </c>
      <c r="I71" s="138"/>
      <c r="J71" s="138">
        <f>K18/$C$18</f>
        <v>0.74882838025592091</v>
      </c>
      <c r="K71" s="138"/>
      <c r="L71" s="138">
        <f>M18/$C$18</f>
        <v>0.68772756379255517</v>
      </c>
      <c r="M71" s="138"/>
      <c r="N71" s="138">
        <f>O18/$C$18</f>
        <v>0.62738316090918622</v>
      </c>
      <c r="O71" s="138"/>
      <c r="P71" s="138">
        <f>Q18/$C$18</f>
        <v>0.56785308018706293</v>
      </c>
      <c r="Q71" s="138"/>
      <c r="R71" s="138">
        <f>S18/$C$18</f>
        <v>0.50921152673157777</v>
      </c>
      <c r="S71" s="138"/>
      <c r="T71" s="138">
        <f>U18/$C$18</f>
        <v>0.45155569302189585</v>
      </c>
      <c r="U71" s="138"/>
      <c r="V71" s="138">
        <f>W18/$C$18</f>
        <v>0.39501584197848866</v>
      </c>
      <c r="W71" s="138"/>
      <c r="X71" s="138">
        <f>Y18/$C$18</f>
        <v>0.33977158105497973</v>
      </c>
      <c r="Y71" s="138"/>
      <c r="Z71" s="138">
        <f>AA18/$C$18</f>
        <v>0.28607559684850364</v>
      </c>
      <c r="AA71" s="138"/>
      <c r="AB71" s="138">
        <f>AC18/$C$18</f>
        <v>0.2342910860759265</v>
      </c>
      <c r="AC71" s="138"/>
      <c r="AD71" s="138">
        <f>AE18/$C$18</f>
        <v>0.18494437103312583</v>
      </c>
      <c r="AE71" s="138"/>
      <c r="AF71" s="138">
        <f>AG18/$C$18</f>
        <v>0.13880800527115877</v>
      </c>
      <c r="AG71" s="138"/>
      <c r="AH71" s="138">
        <f>AI18/$C$18</f>
        <v>9.6999549739896801E-2</v>
      </c>
      <c r="AI71" s="138"/>
      <c r="AJ71" s="138">
        <f>AK18/$C$18</f>
        <v>6.1066228821707945E-2</v>
      </c>
      <c r="AK71" s="138"/>
      <c r="AL71" s="138">
        <f>AM18/$C$18</f>
        <v>3.2833261969756167E-2</v>
      </c>
      <c r="AM71" s="138"/>
      <c r="AN71" s="138">
        <f>AO18/$C$18</f>
        <v>0</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0.99429940027380137</v>
      </c>
      <c r="E72" s="138"/>
      <c r="F72" s="138">
        <f>G19/$C$19</f>
        <v>0.98940416790716468</v>
      </c>
      <c r="G72" s="138"/>
      <c r="H72" s="138">
        <f>I19/$C$19</f>
        <v>0.98544582613912279</v>
      </c>
      <c r="I72" s="138"/>
      <c r="J72" s="138">
        <f>K19/$C$19</f>
        <v>0.98256607916207428</v>
      </c>
      <c r="K72" s="138"/>
      <c r="L72" s="138">
        <f>M19/$C$19</f>
        <v>0.98092290464893805</v>
      </c>
      <c r="M72" s="138"/>
      <c r="N72" s="138">
        <f>O19/$C$19</f>
        <v>0.98068169628922286</v>
      </c>
      <c r="O72" s="138"/>
      <c r="P72" s="138">
        <f>Q19/$C$19</f>
        <v>0.98201465455118297</v>
      </c>
      <c r="Q72" s="138"/>
      <c r="R72" s="138">
        <f>S19/$C$19</f>
        <v>0.98508847544708866</v>
      </c>
      <c r="S72" s="138"/>
      <c r="T72" s="138">
        <f>U19/$C$19</f>
        <v>0.99003960592801721</v>
      </c>
      <c r="U72" s="138"/>
      <c r="V72" s="138">
        <f>W19/$C$19</f>
        <v>0.9969254281385983</v>
      </c>
      <c r="W72" s="138"/>
      <c r="X72" s="138">
        <f>Y19/$C$19</f>
        <v>1.0056266625817953</v>
      </c>
      <c r="Y72" s="138"/>
      <c r="Z72" s="138">
        <f>AA19/$C$19</f>
        <v>1.0156575856221923</v>
      </c>
      <c r="AA72" s="138"/>
      <c r="AB72" s="138">
        <f>AC19/$C$19</f>
        <v>1.0257865468548786</v>
      </c>
      <c r="AC72" s="138"/>
      <c r="AD72" s="138">
        <f>AE19/$C$19</f>
        <v>1.0332713120651631</v>
      </c>
      <c r="AE72" s="138"/>
      <c r="AF72" s="138">
        <f>AG19/$C$19</f>
        <v>1.0322776822937008</v>
      </c>
      <c r="AG72" s="138"/>
      <c r="AH72" s="138">
        <f>AI19/$C$19</f>
        <v>1.0106095474322221</v>
      </c>
      <c r="AI72" s="138"/>
      <c r="AJ72" s="138">
        <f>AK19/$C$19</f>
        <v>0.94324941827929742</v>
      </c>
      <c r="AK72" s="138"/>
      <c r="AL72" s="138">
        <f>AM19/$C$19</f>
        <v>0.78280605027003203</v>
      </c>
      <c r="AM72" s="138"/>
      <c r="AN72" s="138">
        <f>AO19/$C$19</f>
        <v>0</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0.47641153352875221</v>
      </c>
      <c r="D73" s="193">
        <f t="array" ref="D73">SUM(D9:E9*D22:E22)/D32</f>
        <v>0.4764115579679345</v>
      </c>
      <c r="E73" s="138"/>
      <c r="F73" s="193">
        <f t="array" ref="F73">SUM(F9:G9*F22:G22)/F32</f>
        <v>0.47641157010651569</v>
      </c>
      <c r="G73" s="138"/>
      <c r="H73" s="193">
        <f t="array" ref="H73">SUM(H9:I9*H22:I22)/H32</f>
        <v>0.47641157812877066</v>
      </c>
      <c r="I73" s="138"/>
      <c r="J73" s="193">
        <f t="array" ref="J73">SUM(J9:K9*J22:K22)/J32</f>
        <v>0.47641153869256686</v>
      </c>
      <c r="K73" s="138"/>
      <c r="L73" s="193">
        <f t="array" ref="L73">SUM(L9:M9*L22:M22)/L32</f>
        <v>0.47641153651329654</v>
      </c>
      <c r="M73" s="138"/>
      <c r="N73" s="193">
        <f t="array" ref="N73">SUM(N9:O9*N22:O22)/N32</f>
        <v>0.47641153823887267</v>
      </c>
      <c r="O73" s="138"/>
      <c r="P73" s="193">
        <f t="array" ref="P73">SUM(P9:Q9*P22:Q22)/P32</f>
        <v>0.47641153866413039</v>
      </c>
      <c r="Q73" s="138"/>
      <c r="R73" s="193">
        <f t="array" ref="R73">SUM(R9:S9*R22:S22)/R32</f>
        <v>0.47641153739509923</v>
      </c>
      <c r="S73" s="138"/>
      <c r="T73" s="193">
        <f t="array" ref="T73">SUM(T9:U9*T22:U22)/T32</f>
        <v>0.47641153356173999</v>
      </c>
      <c r="U73" s="138"/>
      <c r="V73" s="193">
        <f t="array" ref="V73">SUM(V9:W9*V22:W22)/V32</f>
        <v>0.47641153612463683</v>
      </c>
      <c r="W73" s="138"/>
      <c r="X73" s="193">
        <f t="array" ref="X73">SUM(X9:Y9*X22:Y22)/X32</f>
        <v>0.47641153989963109</v>
      </c>
      <c r="Y73" s="138"/>
      <c r="Z73" s="193">
        <f t="array" ref="Z73">SUM(Z9:AA9*Z22:AA22)/Z32</f>
        <v>0.4764115450239057</v>
      </c>
      <c r="AA73" s="138"/>
      <c r="AB73" s="193">
        <f t="array" ref="AB73">SUM(AB9:AC9*AB22:AC22)/AB32</f>
        <v>0.4764115348557536</v>
      </c>
      <c r="AC73" s="138"/>
      <c r="AD73" s="193">
        <f t="array" ref="AD73">SUM(AD9:AE9*AD22:AE22)/AD32</f>
        <v>0.47641153612937687</v>
      </c>
      <c r="AE73" s="138"/>
      <c r="AF73" s="193">
        <f t="array" ref="AF73">SUM(AF9:AG9*AF22:AG22)/AF32</f>
        <v>0.47641153701115785</v>
      </c>
      <c r="AG73" s="138"/>
      <c r="AH73" s="193">
        <f t="array" ref="AH73">SUM(AH9:AI9*AH22:AI22)/AH32</f>
        <v>0.47641153543202447</v>
      </c>
      <c r="AI73" s="138"/>
      <c r="AJ73" s="193">
        <f t="array" ref="AJ73">SUM(AJ9:AK9*AJ22:AK22)/AJ32</f>
        <v>0.47641153321049867</v>
      </c>
      <c r="AK73" s="138"/>
      <c r="AL73" s="193">
        <f t="array" ref="AL73">SUM(AL9:AM9*AL22:AM22)/AL32</f>
        <v>0.47641153370661704</v>
      </c>
      <c r="AM73" s="138"/>
      <c r="AN73" s="193" t="e">
        <f t="array" ref="AN73">SUM(AN9:AO9*AN22:AO22)/AN32</f>
        <v>#DIV/0!</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0.22604620456442484</v>
      </c>
      <c r="U74" s="138"/>
      <c r="V74" s="193">
        <f t="array" ref="V74">SUM(V10:W10*V23:W23)/V32</f>
        <v>0.22604620456442484</v>
      </c>
      <c r="W74" s="138"/>
      <c r="X74" s="193">
        <f t="array" ref="X74">SUM(X10:Y10*X23:Y23)/X32</f>
        <v>0.22604620456442484</v>
      </c>
      <c r="Y74" s="138"/>
      <c r="Z74" s="193">
        <f t="array" ref="Z74">SUM(Z10:AA10*Z23:AA23)/Z32</f>
        <v>0.22604620456442484</v>
      </c>
      <c r="AA74" s="138"/>
      <c r="AB74" s="193">
        <f t="array" ref="AB74">SUM(AB10:AC10*AB23:AC23)/AB32</f>
        <v>0.22604620456442484</v>
      </c>
      <c r="AC74" s="138"/>
      <c r="AD74" s="193">
        <f t="array" ref="AD74">SUM(AD10:AE10*AD23:AE23)/AD32</f>
        <v>0.22604620456442487</v>
      </c>
      <c r="AE74" s="138"/>
      <c r="AF74" s="193">
        <f t="array" ref="AF74">SUM(AF10:AG10*AF23:AG23)/AF32</f>
        <v>0.22604620456442484</v>
      </c>
      <c r="AG74" s="138"/>
      <c r="AH74" s="193">
        <f t="array" ref="AH74">SUM(AH10:AI10*AH23:AI23)/AH32</f>
        <v>0.22604620456442484</v>
      </c>
      <c r="AI74" s="138"/>
      <c r="AJ74" s="193">
        <f t="array" ref="AJ74">SUM(AJ10:AK10*AJ23:AK23)/AJ32</f>
        <v>0.22604620456442481</v>
      </c>
      <c r="AK74" s="138"/>
      <c r="AL74" s="193">
        <f t="array" ref="AL74">SUM(AL10:AM10*AL23:AM23)/AL32</f>
        <v>0.22604620456442484</v>
      </c>
      <c r="AM74" s="138"/>
      <c r="AN74" s="193" t="e">
        <f t="array" ref="AN74">SUM(AN10:AO10*AN23:AO23)/AN32</f>
        <v>#DIV/0!</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0.22038438858544473</v>
      </c>
      <c r="E75" s="138"/>
      <c r="F75" s="193">
        <f t="array" ref="F75">SUM(F11:G11*F24:G24)/F32</f>
        <v>0.22038438870865903</v>
      </c>
      <c r="G75" s="138"/>
      <c r="H75" s="193">
        <f t="array" ref="H75">SUM(H11:I11*H24:I24)/H32</f>
        <v>0.22038438880103373</v>
      </c>
      <c r="I75" s="138"/>
      <c r="J75" s="193">
        <f t="array" ref="J75">SUM(J11:K11*J24:K24)/J32</f>
        <v>0.22038438838597507</v>
      </c>
      <c r="K75" s="138"/>
      <c r="L75" s="193">
        <f t="array" ref="L75">SUM(L11:M11*L24:M24)/L32</f>
        <v>0.22038438831890877</v>
      </c>
      <c r="M75" s="138"/>
      <c r="N75" s="193">
        <f t="array" ref="N75">SUM(N11:O11*N24:O24)/N32</f>
        <v>0.2203843883214687</v>
      </c>
      <c r="O75" s="138"/>
      <c r="P75" s="193">
        <f t="array" ref="P75">SUM(P11:Q11*P24:Q24)/P32</f>
        <v>0.22038438833009466</v>
      </c>
      <c r="Q75" s="138"/>
      <c r="R75" s="193">
        <f t="array" ref="R75">SUM(R11:S11*R24:S24)/R32</f>
        <v>0.22038438833654209</v>
      </c>
      <c r="S75" s="138"/>
      <c r="T75" s="193">
        <f t="array" ref="T75">SUM(T11:U11*T24:U24)/T32</f>
        <v>0.22038438833139551</v>
      </c>
      <c r="U75" s="138"/>
      <c r="V75" s="193">
        <f t="array" ref="V75">SUM(V11:W11*V24:W24)/V32</f>
        <v>0.22038438833985097</v>
      </c>
      <c r="W75" s="138"/>
      <c r="X75" s="193">
        <f t="array" ref="X75">SUM(X11:Y11*X24:Y24)/X32</f>
        <v>0.22038438835207511</v>
      </c>
      <c r="Y75" s="138"/>
      <c r="Z75" s="193">
        <f t="array" ref="Z75">SUM(Z11:AA11*Z24:AA24)/Z32</f>
        <v>0.22038438836464186</v>
      </c>
      <c r="AA75" s="138"/>
      <c r="AB75" s="193">
        <f t="array" ref="AB75">SUM(AB11:AC11*AB24:AC24)/AB32</f>
        <v>0.22038438833934718</v>
      </c>
      <c r="AC75" s="138"/>
      <c r="AD75" s="193">
        <f t="array" ref="AD75">SUM(AD11:AE11*AD24:AE24)/AD32</f>
        <v>0.22038438833335358</v>
      </c>
      <c r="AE75" s="138"/>
      <c r="AF75" s="193">
        <f t="array" ref="AF75">SUM(AF11:AG11*AF24:AG24)/AF32</f>
        <v>0.22038438844791708</v>
      </c>
      <c r="AG75" s="138"/>
      <c r="AH75" s="193">
        <f t="array" ref="AH75">SUM(AH11:AI11*AH24:AI24)/AH32</f>
        <v>0.22038438829319629</v>
      </c>
      <c r="AI75" s="138"/>
      <c r="AJ75" s="193">
        <f t="array" ref="AJ75">SUM(AJ11:AK11*AJ24:AK24)/AJ32</f>
        <v>0.22038438834054458</v>
      </c>
      <c r="AK75" s="138"/>
      <c r="AL75" s="193">
        <f t="array" ref="AL75">SUM(AL11:AM11*AL24:AM24)/AL32</f>
        <v>0.22038438833602045</v>
      </c>
      <c r="AM75" s="138"/>
      <c r="AN75" s="193" t="e">
        <f t="array" ref="AN75">SUM(AN11:AO11*AN24:AO24)/AN32</f>
        <v>#DIV/0!</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0.22251050486112198</v>
      </c>
      <c r="E76" s="138"/>
      <c r="F76" s="193">
        <f t="array" ref="F76">SUM(F12:G12*F25:G25)/F32</f>
        <v>0.22202747052044955</v>
      </c>
      <c r="G76" s="138"/>
      <c r="H76" s="193">
        <f t="array" ref="H76">SUM(H12:I12*H25:I25)/H32</f>
        <v>0.22157057931982987</v>
      </c>
      <c r="I76" s="138"/>
      <c r="J76" s="193">
        <f t="array" ref="J76">SUM(J12:K12*J25:K25)/J32</f>
        <v>0.22114129313485867</v>
      </c>
      <c r="K76" s="138"/>
      <c r="L76" s="193">
        <f t="array" ref="L76">SUM(L12:M12*L25:M25)/L32</f>
        <v>0.2207415742952159</v>
      </c>
      <c r="M76" s="138"/>
      <c r="N76" s="193">
        <f t="array" ref="N76">SUM(N12:O12*N25:O25)/N32</f>
        <v>0.22037410745139258</v>
      </c>
      <c r="O76" s="138"/>
      <c r="P76" s="193">
        <f t="array" ref="P76">SUM(P12:Q12*P25:Q25)/P32</f>
        <v>0.2200423378103811</v>
      </c>
      <c r="Q76" s="138"/>
      <c r="R76" s="193">
        <f t="array" ref="R76">SUM(R12:S12*R25:S25)/R32</f>
        <v>0.21975062444753274</v>
      </c>
      <c r="S76" s="138"/>
      <c r="T76" s="193">
        <f t="array" ref="T76">SUM(T12:U12*T25:U25)/T32</f>
        <v>0.21950439186608345</v>
      </c>
      <c r="U76" s="138"/>
      <c r="V76" s="193">
        <f t="array" ref="V76">SUM(V12:W12*V25:W25)/V32</f>
        <v>0.21931024893980178</v>
      </c>
      <c r="W76" s="138"/>
      <c r="X76" s="193">
        <f t="array" ref="X76">SUM(X12:Y12*X25:Y25)/X32</f>
        <v>0.21917601487715246</v>
      </c>
      <c r="Y76" s="138"/>
      <c r="Z76" s="193">
        <f t="array" ref="Z76">SUM(Z12:AA12*Z25:AA25)/Z32</f>
        <v>0.21911041369324966</v>
      </c>
      <c r="AA76" s="138"/>
      <c r="AB76" s="193">
        <f t="array" ref="AB76">SUM(AB12:AC12*AB25:AC25)/AB32</f>
        <v>0.2191220332233102</v>
      </c>
      <c r="AC76" s="138"/>
      <c r="AD76" s="193">
        <f t="array" ref="AD76">SUM(AD12:AE12*AD25:AE25)/AD32</f>
        <v>0.21921648633396348</v>
      </c>
      <c r="AE76" s="138"/>
      <c r="AF76" s="193">
        <f t="array" ref="AF76">SUM(AF12:AG12*AF25:AG25)/AF32</f>
        <v>0.21938980101491962</v>
      </c>
      <c r="AG76" s="138"/>
      <c r="AH76" s="193">
        <f t="array" ref="AH76">SUM(AH12:AI12*AH25:AI25)/AH32</f>
        <v>0.2196140218937451</v>
      </c>
      <c r="AI76" s="138"/>
      <c r="AJ76" s="193">
        <f t="array" ref="AJ76">SUM(AJ12:AK12*AJ25:AK25)/AJ32</f>
        <v>0.21981226926307793</v>
      </c>
      <c r="AK76" s="138"/>
      <c r="AL76" s="193">
        <f t="array" ref="AL76">SUM(AL12:AM12*AL25:AM25)/AL32</f>
        <v>0.21985199311004874</v>
      </c>
      <c r="AM76" s="138"/>
      <c r="AN76" s="193" t="e">
        <f t="array" ref="AN76">SUM(AN12:AO12*AN25:AO25)/AN32</f>
        <v>#DIV/0!</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0.14535265597892594</v>
      </c>
      <c r="E77" s="138"/>
      <c r="F77" s="193">
        <f t="array" ref="F77">SUM(F4:G4*F19:G19)/F32</f>
        <v>0.14486963390004903</v>
      </c>
      <c r="G77" s="138"/>
      <c r="H77" s="193">
        <f t="array" ref="H77">SUM(H4:I4*H19:I19)/H32</f>
        <v>0.14441275081405888</v>
      </c>
      <c r="I77" s="138"/>
      <c r="J77" s="193">
        <f t="array" ref="J77">SUM(J4:K4*J19:K19)/J32</f>
        <v>0.14398342477782522</v>
      </c>
      <c r="K77" s="138"/>
      <c r="L77" s="193">
        <f t="array" ref="L77">SUM(L4:M4*L19:M19)/L32</f>
        <v>0.14358370369184589</v>
      </c>
      <c r="M77" s="138"/>
      <c r="N77" s="193">
        <f t="array" ref="N77">SUM(N4:O4*N19:O19)/N32</f>
        <v>0.1432162385761587</v>
      </c>
      <c r="O77" s="138"/>
      <c r="P77" s="193">
        <f t="array" ref="P77">SUM(P4:Q4*P19:Q19)/P32</f>
        <v>0.14288446936903068</v>
      </c>
      <c r="Q77" s="138"/>
      <c r="R77" s="193">
        <f t="array" ref="R77">SUM(R4:S4*R19:S19)/R32</f>
        <v>0.14259275474359878</v>
      </c>
      <c r="S77" s="138"/>
      <c r="T77" s="193">
        <f t="array" ref="T77">SUM(T4:U4*T19:U19)/T32</f>
        <v>0.14234651832364364</v>
      </c>
      <c r="U77" s="138"/>
      <c r="V77" s="193">
        <f t="array" ref="V77">SUM(V4:W4*V19:W19)/V32</f>
        <v>0.14215237796871408</v>
      </c>
      <c r="W77" s="138"/>
      <c r="X77" s="193">
        <f t="array" ref="X77">SUM(X4:Y4*X19:Y19)/X32</f>
        <v>0.14201814769328355</v>
      </c>
      <c r="Y77" s="138"/>
      <c r="Z77" s="193">
        <f t="array" ref="Z77">SUM(Z4:AA4*Z19:AA19)/Z32</f>
        <v>0.14195255164622209</v>
      </c>
      <c r="AA77" s="138"/>
      <c r="AB77" s="193">
        <f t="array" ref="AB77">SUM(AB4:AC4*AB19:AC19)/AB32</f>
        <v>0.14196416098283568</v>
      </c>
      <c r="AC77" s="138"/>
      <c r="AD77" s="193">
        <f t="array" ref="AD77">SUM(AD4:AE4*AD19:AE19)/AD32</f>
        <v>0.14205861536111861</v>
      </c>
      <c r="AE77" s="138"/>
      <c r="AF77" s="193">
        <f t="array" ref="AF77">SUM(AF4:AG4*AF19:AG19)/AF32</f>
        <v>0.14223193103841922</v>
      </c>
      <c r="AG77" s="138"/>
      <c r="AH77" s="193">
        <f t="array" ref="AH77">SUM(AH4:AI4*AH19:AI19)/AH32</f>
        <v>0.14245615018339053</v>
      </c>
      <c r="AI77" s="138"/>
      <c r="AJ77" s="193">
        <f t="array" ref="AJ77">SUM(AJ4:AK4*AJ19:AK19)/AJ32</f>
        <v>0.14265439537854602</v>
      </c>
      <c r="AK77" s="138"/>
      <c r="AL77" s="193">
        <f t="array" ref="AL77">SUM(AL4:AM4*AL19:AM19)/AL32</f>
        <v>0.14269411971711082</v>
      </c>
      <c r="AM77" s="138"/>
      <c r="AN77" s="193" t="e">
        <f t="array" ref="AN77">SUM(AN4:AO4*AN19:AO19)/AN32</f>
        <v>#DIV/0!</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0.3494699258658594</v>
      </c>
      <c r="E78" s="138"/>
      <c r="F78" s="193">
        <f t="array" ref="F78">SUM(F13:G13*F26:G26)/F32</f>
        <v>0.35210778604879844</v>
      </c>
      <c r="G78" s="138"/>
      <c r="H78" s="193">
        <f t="array" ref="H78">SUM(H13:I13*H26:I26)/H32</f>
        <v>0.35481707247877109</v>
      </c>
      <c r="I78" s="138"/>
      <c r="J78" s="193">
        <f t="array" ref="J78">SUM(J13:K13*J26:K26)/J32</f>
        <v>0.35761593043667866</v>
      </c>
      <c r="K78" s="138"/>
      <c r="L78" s="193">
        <f t="array" ref="L78">SUM(L13:M13*L26:M26)/L32</f>
        <v>0.36052573283626232</v>
      </c>
      <c r="M78" s="138"/>
      <c r="N78" s="193">
        <f t="array" ref="N78">SUM(N13:O13*N26:O26)/N32</f>
        <v>0.36357175379868822</v>
      </c>
      <c r="O78" s="138"/>
      <c r="P78" s="193">
        <f t="array" ref="P78">SUM(P13:Q13*P26:Q26)/P32</f>
        <v>0.36678463225522268</v>
      </c>
      <c r="Q78" s="138"/>
      <c r="R78" s="193">
        <f t="array" ref="R78">SUM(R13:S13*R26:S26)/R32</f>
        <v>0.37020212380289874</v>
      </c>
      <c r="S78" s="138"/>
      <c r="T78" s="193">
        <f t="array" ref="T78">SUM(T13:U13*T26:U26)/T32</f>
        <v>0.37387157127742426</v>
      </c>
      <c r="U78" s="138"/>
      <c r="V78" s="193">
        <f t="array" ref="V78">SUM(V13:W13*V26:W26)/V32</f>
        <v>0.37785343691400219</v>
      </c>
      <c r="W78" s="138"/>
      <c r="X78" s="193">
        <f t="array" ref="X78">SUM(X13:Y13*X26:Y26)/X32</f>
        <v>0.38222645986958198</v>
      </c>
      <c r="Y78" s="138"/>
      <c r="Z78" s="193">
        <f t="array" ref="Z78">SUM(Z13:AA13*Z26:AA26)/Z32</f>
        <v>0.3870952678704489</v>
      </c>
      <c r="AA78" s="138"/>
      <c r="AB78" s="193">
        <f t="array" ref="AB78">SUM(AB13:AC13*AB26:AC26)/AB32</f>
        <v>0.392601718402938</v>
      </c>
      <c r="AC78" s="138"/>
      <c r="AD78" s="193">
        <f t="array" ref="AD78">SUM(AD13:AE13*AD26:AE26)/AD32</f>
        <v>0.39894107823187297</v>
      </c>
      <c r="AE78" s="138"/>
      <c r="AF78" s="193">
        <f t="array" ref="AF78">SUM(AF13:AG13*AF26:AG26)/AF32</f>
        <v>0.40638281032744544</v>
      </c>
      <c r="AG78" s="138"/>
      <c r="AH78" s="193">
        <f t="array" ref="AH78">SUM(AH13:AI13*AH26:AI26)/AH32</f>
        <v>0.41528130388395867</v>
      </c>
      <c r="AI78" s="138"/>
      <c r="AJ78" s="193">
        <f t="array" ref="AJ78">SUM(AJ13:AK13*AJ26:AK26)/AJ32</f>
        <v>0.42599763839169047</v>
      </c>
      <c r="AK78" s="138"/>
      <c r="AL78" s="193">
        <f t="array" ref="AL78">SUM(AL13:AM13*AL26:AM26)/AL32</f>
        <v>0.43836391216520787</v>
      </c>
      <c r="AM78" s="138"/>
      <c r="AN78" s="193" t="e">
        <f t="array" ref="AN78">SUM(AN13:AO13*AN26:AO26)/AN32</f>
        <v>#DIV/0!</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0.44554609742893247</v>
      </c>
      <c r="F79" s="193">
        <f t="array" ref="F79">SUM(F15:G15*F27:G27)/F32</f>
        <v>0.4362876161182847</v>
      </c>
      <c r="H79" s="193">
        <f t="array" ref="H79">SUM(H15:I15*H27:I27)/H32</f>
        <v>0.42677844168796508</v>
      </c>
      <c r="J79" s="193">
        <f t="array" ref="J79">SUM(J15:K15*J27:K27)/J32</f>
        <v>0.41695483222536317</v>
      </c>
      <c r="L79" s="193">
        <f t="array" ref="L79">SUM(L15:M15*L27:M27)/L32</f>
        <v>0.40674184759086068</v>
      </c>
      <c r="N79" s="193">
        <f t="array" ref="N79">SUM(N15:O15*N27:O27)/N32</f>
        <v>0.39605076548186297</v>
      </c>
      <c r="P79" s="193">
        <f t="array" ref="P79">SUM(P15:Q15*P27:Q27)/P32</f>
        <v>0.38477404134926674</v>
      </c>
      <c r="R79" s="193">
        <f t="array" ref="R79">SUM(R15:S15*R27:S27)/R32</f>
        <v>0.37277915901719516</v>
      </c>
      <c r="T79" s="193">
        <f t="array" ref="T79">SUM(T15:U15*T27:U27)/T32</f>
        <v>0.35989995441609834</v>
      </c>
      <c r="V79" s="193">
        <f t="array" ref="V79">SUM(V15:W15*V27:W27)/V32</f>
        <v>0.3459241945405076</v>
      </c>
      <c r="X79" s="193">
        <f t="array" ref="X79">SUM(X15:Y15*X27:Y27)/X32</f>
        <v>0.3305755275828362</v>
      </c>
      <c r="Z79" s="193">
        <f t="array" ref="Z79">SUM(Z15:AA15*Z27:AA27)/Z32</f>
        <v>0.31348672311398706</v>
      </c>
      <c r="AB79" s="193">
        <f t="array" ref="AB79">SUM(AB15:AC15*AB27:AC27)/AB32</f>
        <v>0.29415995920666832</v>
      </c>
      <c r="AD79" s="193">
        <f t="array" ref="AD79">SUM(AD15:AE15*AD27:AE27)/AD32</f>
        <v>0.27190972358809179</v>
      </c>
      <c r="AF79" s="193">
        <f t="array" ref="AF79">SUM(AF15:AG15*AF27:AG27)/AF32</f>
        <v>0.2457903585338399</v>
      </c>
      <c r="AH79" s="193">
        <f t="array" ref="AH79">SUM(AH15:AI15*AH27:AI27)/AH32</f>
        <v>0.21455797941106913</v>
      </c>
      <c r="AJ79" s="193">
        <f t="array" ref="AJ79">SUM(AJ15:AK15*AJ27:AK27)/AJ32</f>
        <v>0.17694525129226424</v>
      </c>
      <c r="AL79" s="193">
        <f t="array" ref="AL79">SUM(AL15:AM15*AL27:AM27)/AL32</f>
        <v>0.13354146891600893</v>
      </c>
      <c r="AN79" s="193" t="e">
        <f t="array" ref="AN79">SUM(AN15:AO15*AN27:AO27)/AN32</f>
        <v>#DIV/0!</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0.20498397864538501</v>
      </c>
      <c r="F80" s="236">
        <f>F55</f>
        <v>0.21160460434390321</v>
      </c>
      <c r="H80" s="236">
        <f>H55</f>
        <v>0.21840449881183627</v>
      </c>
      <c r="J80" s="236">
        <f>J55</f>
        <v>0.22542923958514985</v>
      </c>
      <c r="L80" s="236">
        <f>L55</f>
        <v>0.23273241728572622</v>
      </c>
      <c r="N80" s="236">
        <f>N55</f>
        <v>0.24037747786575245</v>
      </c>
      <c r="P80" s="236">
        <f>P55</f>
        <v>0.24844132421818149</v>
      </c>
      <c r="R80" s="236">
        <f>R55</f>
        <v>0.2570187162689192</v>
      </c>
      <c r="T80" s="236">
        <f>T55</f>
        <v>0.26622847438283187</v>
      </c>
      <c r="V80" s="236">
        <f>V55</f>
        <v>0.27622236879648399</v>
      </c>
      <c r="X80" s="236">
        <f>X55</f>
        <v>0.28719801458989164</v>
      </c>
      <c r="Z80" s="236">
        <f>Z55</f>
        <v>0.2994180149254953</v>
      </c>
      <c r="AB80" s="236">
        <f>AB55</f>
        <v>0.31323833367548781</v>
      </c>
      <c r="AD80" s="236">
        <f>AD55</f>
        <v>0.3291492018199712</v>
      </c>
      <c r="AF80" s="236">
        <f>AF55</f>
        <v>0.34782684712286155</v>
      </c>
      <c r="AH80" s="236">
        <f>AH55</f>
        <v>0.37016071998281197</v>
      </c>
      <c r="AJ80" s="236">
        <f>AJ55</f>
        <v>0.39705710845750131</v>
      </c>
      <c r="AL80" s="236">
        <f>AL55</f>
        <v>0.4280946240150823</v>
      </c>
      <c r="AN80" s="236" t="e">
        <f>AN55</f>
        <v>#DIV/0!</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-2.1062225919039838E-2</v>
      </c>
      <c r="F81" s="236">
        <f>F51/F$32</f>
        <v>-1.4441600220521624E-2</v>
      </c>
      <c r="H81" s="236">
        <f>H51/H$32</f>
        <v>-7.6417057525885535E-3</v>
      </c>
      <c r="J81" s="236">
        <f>J51/J$32</f>
        <v>-6.1696497927498902E-4</v>
      </c>
      <c r="L81" s="236">
        <f>L51/L$32</f>
        <v>6.6862127213013801E-3</v>
      </c>
      <c r="N81" s="236">
        <f>N51/N$32</f>
        <v>1.4331273301327609E-2</v>
      </c>
      <c r="P81" s="236">
        <f>P51/P$32</f>
        <v>2.2395119653756651E-2</v>
      </c>
      <c r="R81" s="236">
        <f>R51/R$32</f>
        <v>3.0972511704494395E-2</v>
      </c>
      <c r="T81" s="236">
        <f>T51/T$32</f>
        <v>4.0182269818407015E-2</v>
      </c>
      <c r="V81" s="236">
        <f>V51/V$32</f>
        <v>5.0176164232059166E-2</v>
      </c>
      <c r="X81" s="236">
        <f>X51/X$32</f>
        <v>6.1151810025466789E-2</v>
      </c>
      <c r="Z81" s="236">
        <f>Z51/Z$32</f>
        <v>7.3371810361070475E-2</v>
      </c>
      <c r="AB81" s="236">
        <f>AB51/AB$32</f>
        <v>8.7192129111062958E-2</v>
      </c>
      <c r="AD81" s="236">
        <f>AD51/AD$32</f>
        <v>0.10310299725554635</v>
      </c>
      <c r="AF81" s="236">
        <f>AF51/AF$32</f>
        <v>0.12178064255843671</v>
      </c>
      <c r="AH81" s="236">
        <f>AH51/AH$32</f>
        <v>0.14411451541838716</v>
      </c>
      <c r="AJ81" s="236">
        <f>AJ51/AJ$32</f>
        <v>0.17101090389307647</v>
      </c>
      <c r="AL81" s="236">
        <f>AL51/AL$32</f>
        <v>0.20204841945065746</v>
      </c>
      <c r="AN81" s="236" t="e">
        <f>AN51/AN$32</f>
        <v>#DIV/0!</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0.14011394459869442</v>
      </c>
      <c r="F82" s="236">
        <f>F52/F$32</f>
        <v>0.14117154918259586</v>
      </c>
      <c r="H82" s="236">
        <f>H52/H$32</f>
        <v>0.14225779088940552</v>
      </c>
      <c r="J82" s="236">
        <f>J52/J$32</f>
        <v>0.14337994475681559</v>
      </c>
      <c r="L82" s="236">
        <f>L52/L$32</f>
        <v>0.14454657988628564</v>
      </c>
      <c r="N82" s="236">
        <f>N52/N$32</f>
        <v>0.1457678295011656</v>
      </c>
      <c r="P82" s="236">
        <f>P52/P$32</f>
        <v>0.14705597775296683</v>
      </c>
      <c r="R82" s="236">
        <f>R52/R$32</f>
        <v>0.14842616209770321</v>
      </c>
      <c r="T82" s="236">
        <f>T52/T$32</f>
        <v>0.14989736382952501</v>
      </c>
      <c r="V82" s="236">
        <f>V52/V$32</f>
        <v>0.15149382423973232</v>
      </c>
      <c r="X82" s="236">
        <f>X52/X$32</f>
        <v>0.15324711243644573</v>
      </c>
      <c r="Z82" s="236">
        <f>Z52/Z$32</f>
        <v>0.155199177103541</v>
      </c>
      <c r="AB82" s="236">
        <f>AB52/AB$32</f>
        <v>0.1574068935556307</v>
      </c>
      <c r="AD82" s="236">
        <f>AD52/AD$32</f>
        <v>0.15994855063717175</v>
      </c>
      <c r="AF82" s="236">
        <f>AF52/AF$32</f>
        <v>0.16293218488259062</v>
      </c>
      <c r="AH82" s="236">
        <f>AH52/AH$32</f>
        <v>0.16649988253239556</v>
      </c>
      <c r="AJ82" s="236">
        <f>AJ52/AJ$32</f>
        <v>0.17079641218597652</v>
      </c>
      <c r="AL82" s="236">
        <f>AL52/AL$32</f>
        <v>0.17575445655589461</v>
      </c>
      <c r="AN82" s="236" t="e">
        <f>AN52/AN$32</f>
        <v>#DIV/0!</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0.18229870502780363</v>
      </c>
      <c r="F83" s="236">
        <f>F53/F$32</f>
        <v>0.17851052426896657</v>
      </c>
      <c r="H83" s="236">
        <f>H53/H$32</f>
        <v>0.17461977044004931</v>
      </c>
      <c r="J83" s="236">
        <f>J53/J$32</f>
        <v>0.17060036303402473</v>
      </c>
      <c r="L83" s="236">
        <f>L53/L$32</f>
        <v>0.16642163970083329</v>
      </c>
      <c r="N83" s="236">
        <f>N53/N$32</f>
        <v>0.16204729900957165</v>
      </c>
      <c r="P83" s="236">
        <f>P53/P$32</f>
        <v>0.15743333825850486</v>
      </c>
      <c r="R83" s="236">
        <f>R53/R$32</f>
        <v>0.15252553740755853</v>
      </c>
      <c r="T83" s="236">
        <f>T53/T$32</f>
        <v>0.14725590911518507</v>
      </c>
      <c r="V83" s="236">
        <f>V53/V$32</f>
        <v>0.14153761657081795</v>
      </c>
      <c r="X83" s="236">
        <f>X53/X$32</f>
        <v>0.13525758824954456</v>
      </c>
      <c r="Z83" s="236">
        <f>Z53/Z$32</f>
        <v>0.12826556892063226</v>
      </c>
      <c r="AB83" s="236">
        <f>AB53/AB$32</f>
        <v>0.12035787081035024</v>
      </c>
      <c r="AD83" s="236">
        <f>AD53/AD$32</f>
        <v>0.11125401115758556</v>
      </c>
      <c r="AF83" s="236">
        <f>AF53/AF$32</f>
        <v>0.10056706663486291</v>
      </c>
      <c r="AH83" s="236">
        <f>AH53/AH$32</f>
        <v>8.7788092019499581E-2</v>
      </c>
      <c r="AJ83" s="236">
        <f>AJ53/AJ$32</f>
        <v>7.2398547215519596E-2</v>
      </c>
      <c r="AL83" s="236">
        <f>AL53/AL$32</f>
        <v>5.4639546819916236E-2</v>
      </c>
      <c r="AN83" s="236" t="e">
        <f>AN53/AN$32</f>
        <v>#DIV/0!</v>
      </c>
      <c r="AP83" s="236" t="e">
        <f>AP53/AP$32</f>
        <v>#DIV/0!</v>
      </c>
      <c r="AR83" s="236" t="e">
        <f>AR53/AR$32</f>
        <v>#DIV/0!</v>
      </c>
      <c r="AT83" s="236" t="e">
        <f>AT53/AT$32</f>
        <v>#DIV/0!</v>
      </c>
      <c r="AV83" s="236"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c r="AR1" s="94"/>
      <c r="AT1" s="94"/>
      <c r="AV1" s="94"/>
    </row>
    <row r="2" spans="1:49" x14ac:dyDescent="0.2">
      <c r="A2" s="229" t="s">
        <v>155</v>
      </c>
      <c r="B2" s="226">
        <v>5.7716594496607888E-3</v>
      </c>
      <c r="C2" s="227"/>
      <c r="D2" s="226">
        <v>4.8787297405602455E-2</v>
      </c>
      <c r="E2" s="227"/>
      <c r="F2" s="226">
        <v>9.5245209501616149E-2</v>
      </c>
      <c r="G2" s="227"/>
      <c r="H2" s="226">
        <v>0.14551007031592669</v>
      </c>
      <c r="I2" s="227"/>
      <c r="J2" s="226">
        <v>0.19998472232389986</v>
      </c>
      <c r="K2" s="227"/>
      <c r="L2" s="226">
        <v>0.25910912309913853</v>
      </c>
      <c r="M2" s="227"/>
      <c r="N2" s="226">
        <v>0.32335781402291713</v>
      </c>
      <c r="O2" s="227"/>
      <c r="P2" s="226">
        <v>0.39323148481192965</v>
      </c>
      <c r="Q2" s="227"/>
      <c r="R2" s="226">
        <v>0.46924077064053921</v>
      </c>
      <c r="S2" s="227"/>
      <c r="T2" s="226">
        <v>0.55188034872198821</v>
      </c>
      <c r="U2" s="227"/>
      <c r="V2" s="226">
        <v>0.64158509512096895</v>
      </c>
      <c r="W2" s="227"/>
      <c r="X2" s="226">
        <v>0.73867089880451509</v>
      </c>
      <c r="Y2" s="227"/>
      <c r="Z2" s="226">
        <v>0.8432518764428748</v>
      </c>
      <c r="AA2" s="227"/>
      <c r="AB2" s="226">
        <v>0.95514500589012563</v>
      </c>
      <c r="AC2" s="227"/>
      <c r="AD2" s="226">
        <v>1.0737741281532478</v>
      </c>
      <c r="AE2" s="227"/>
      <c r="AF2" s="226">
        <v>1.1981055897344635</v>
      </c>
      <c r="AG2" s="227"/>
      <c r="AH2" s="226">
        <v>1.3266528881520494</v>
      </c>
      <c r="AI2" s="227"/>
      <c r="AJ2" s="226">
        <v>1.4575764802207258</v>
      </c>
      <c r="AK2" s="227"/>
      <c r="AL2" s="226">
        <v>1.5888766537279151</v>
      </c>
      <c r="AM2" s="227"/>
      <c r="AN2" s="226">
        <v>1.7186267101355763</v>
      </c>
      <c r="AO2" s="227"/>
      <c r="AP2" s="226"/>
      <c r="AQ2" s="227"/>
      <c r="AR2" s="226"/>
      <c r="AS2" s="227"/>
      <c r="AT2" s="226"/>
      <c r="AU2" s="227"/>
      <c r="AV2" s="226"/>
      <c r="AW2" s="227"/>
    </row>
    <row r="3" spans="1:49" x14ac:dyDescent="0.2">
      <c r="A3" t="s">
        <v>12</v>
      </c>
      <c r="B3" s="84">
        <v>1000</v>
      </c>
      <c r="C3" s="85">
        <v>1000</v>
      </c>
      <c r="D3" s="84">
        <v>999.2536607572531</v>
      </c>
      <c r="E3" s="85">
        <v>1020.4347968223522</v>
      </c>
      <c r="F3" s="84">
        <v>998.51644044967247</v>
      </c>
      <c r="G3" s="85">
        <v>1042.9550025470603</v>
      </c>
      <c r="H3" s="84">
        <v>997.78796139574445</v>
      </c>
      <c r="I3" s="85">
        <v>1067.8452555961417</v>
      </c>
      <c r="J3" s="84">
        <v>997.06764257379302</v>
      </c>
      <c r="K3" s="85">
        <v>1095.4345929573274</v>
      </c>
      <c r="L3" s="84">
        <v>996.35471849351791</v>
      </c>
      <c r="M3" s="85">
        <v>1126.102021940005</v>
      </c>
      <c r="N3" s="84">
        <v>995.64819411174835</v>
      </c>
      <c r="O3" s="85">
        <v>1160.2816136742285</v>
      </c>
      <c r="P3" s="84">
        <v>994.94686939186954</v>
      </c>
      <c r="Q3" s="85">
        <v>1198.465504150163</v>
      </c>
      <c r="R3" s="84">
        <v>994.24939248047951</v>
      </c>
      <c r="S3" s="85">
        <v>1241.2026362429203</v>
      </c>
      <c r="T3" s="84">
        <v>993.55434405050983</v>
      </c>
      <c r="U3" s="85">
        <v>1289.0907676070879</v>
      </c>
      <c r="V3" s="84">
        <v>992.86043791845998</v>
      </c>
      <c r="W3" s="85">
        <v>1342.7550972256615</v>
      </c>
      <c r="X3" s="84">
        <v>992.16676599035247</v>
      </c>
      <c r="Y3" s="85">
        <v>1402.8107857433399</v>
      </c>
      <c r="Z3" s="84">
        <v>991.47317482798314</v>
      </c>
      <c r="AA3" s="85">
        <v>1469.7993784155346</v>
      </c>
      <c r="AB3" s="84">
        <v>990.78070114941227</v>
      </c>
      <c r="AC3" s="85">
        <v>1544.1010304874001</v>
      </c>
      <c r="AD3" s="84">
        <v>990.09197612697494</v>
      </c>
      <c r="AE3" s="85">
        <v>1625.8244805875524</v>
      </c>
      <c r="AF3" s="84">
        <v>989.41144504630756</v>
      </c>
      <c r="AG3" s="85">
        <v>1714.6980169489402</v>
      </c>
      <c r="AH3" s="84">
        <v>988.74521452968565</v>
      </c>
      <c r="AI3" s="85">
        <v>1809.9972371807685</v>
      </c>
      <c r="AJ3" s="84">
        <v>988.10043343913094</v>
      </c>
      <c r="AK3" s="85">
        <v>1910.5490261136058</v>
      </c>
      <c r="AL3" s="84">
        <v>987.48428360502987</v>
      </c>
      <c r="AM3" s="85">
        <v>2014.8354881775711</v>
      </c>
      <c r="AN3" s="84">
        <v>986.90290123758086</v>
      </c>
      <c r="AO3" s="85">
        <v>2121.1755594533429</v>
      </c>
      <c r="AP3" s="84"/>
      <c r="AQ3" s="85"/>
      <c r="AR3" s="84"/>
      <c r="AS3" s="85"/>
      <c r="AT3" s="84"/>
      <c r="AU3" s="85"/>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c r="AQ4" s="102"/>
      <c r="AR4" s="101"/>
      <c r="AS4" s="102"/>
      <c r="AT4" s="101"/>
      <c r="AU4" s="102"/>
      <c r="AV4" s="101"/>
      <c r="AW4" s="102"/>
    </row>
    <row r="5" spans="1:49" x14ac:dyDescent="0.2">
      <c r="A5" t="s">
        <v>128</v>
      </c>
      <c r="B5" s="41">
        <v>1000</v>
      </c>
      <c r="C5" s="42">
        <v>1000</v>
      </c>
      <c r="D5" s="41">
        <v>999.21677181054747</v>
      </c>
      <c r="E5" s="42">
        <v>1017.841110576809</v>
      </c>
      <c r="F5" s="41">
        <v>998.44291747516047</v>
      </c>
      <c r="G5" s="42">
        <v>1037.2740402282568</v>
      </c>
      <c r="H5" s="41">
        <v>997.67804707346954</v>
      </c>
      <c r="I5" s="42">
        <v>1058.4842285568527</v>
      </c>
      <c r="J5" s="41">
        <v>996.92155660492517</v>
      </c>
      <c r="K5" s="42">
        <v>1081.67973510197</v>
      </c>
      <c r="L5" s="41">
        <v>996.17264771151395</v>
      </c>
      <c r="M5" s="42">
        <v>1107.091671554942</v>
      </c>
      <c r="N5" s="41">
        <v>995.4302799219646</v>
      </c>
      <c r="O5" s="42">
        <v>1134.9739374304024</v>
      </c>
      <c r="P5" s="41">
        <v>994.69319625298237</v>
      </c>
      <c r="Q5" s="42">
        <v>1165.5999264429727</v>
      </c>
      <c r="R5" s="41">
        <v>993.95997888799502</v>
      </c>
      <c r="S5" s="42">
        <v>1199.2550653918474</v>
      </c>
      <c r="T5" s="41">
        <v>993.22913764474958</v>
      </c>
      <c r="U5" s="42">
        <v>1236.2238005282788</v>
      </c>
      <c r="V5" s="41">
        <v>992.49932098778856</v>
      </c>
      <c r="W5" s="42">
        <v>1276.7664751876398</v>
      </c>
      <c r="X5" s="41">
        <v>991.76957384098625</v>
      </c>
      <c r="Y5" s="42">
        <v>1321.0866020223136</v>
      </c>
      <c r="Z5" s="41">
        <v>991.03973441891321</v>
      </c>
      <c r="AA5" s="42">
        <v>1369.2836561431584</v>
      </c>
      <c r="AB5" s="41">
        <v>990.31089357235817</v>
      </c>
      <c r="AC5" s="42">
        <v>1421.2975085901292</v>
      </c>
      <c r="AD5" s="41">
        <v>989.58582202581181</v>
      </c>
      <c r="AE5" s="42">
        <v>1476.8504775403255</v>
      </c>
      <c r="AF5" s="41">
        <v>988.86920373535906</v>
      </c>
      <c r="AG5" s="42">
        <v>1535.4065788143105</v>
      </c>
      <c r="AH5" s="41">
        <v>988.1674771882291</v>
      </c>
      <c r="AI5" s="42">
        <v>1596.1702893145903</v>
      </c>
      <c r="AJ5" s="41">
        <v>987.48818496228046</v>
      </c>
      <c r="AK5" s="42">
        <v>1658.1412005809075</v>
      </c>
      <c r="AL5" s="41">
        <v>986.83891093473642</v>
      </c>
      <c r="AM5" s="42">
        <v>1720.2242627795786</v>
      </c>
      <c r="AN5" s="41">
        <v>986.22614274396039</v>
      </c>
      <c r="AO5" s="42">
        <v>1781.36439752095</v>
      </c>
      <c r="AP5" s="41"/>
      <c r="AQ5" s="42"/>
      <c r="AR5" s="41"/>
      <c r="AS5" s="42"/>
      <c r="AT5" s="41"/>
      <c r="AU5" s="42"/>
      <c r="AV5" s="41"/>
      <c r="AW5" s="42"/>
    </row>
    <row r="6" spans="1:49" x14ac:dyDescent="0.2">
      <c r="A6" t="s">
        <v>77</v>
      </c>
      <c r="B6" s="41">
        <v>999.99999999999943</v>
      </c>
      <c r="C6" s="42">
        <v>999.99999999999909</v>
      </c>
      <c r="D6" s="41">
        <v>999.1568881660836</v>
      </c>
      <c r="E6" s="42">
        <v>1022.0232656957995</v>
      </c>
      <c r="F6" s="41">
        <v>998.3239170503349</v>
      </c>
      <c r="G6" s="42">
        <v>1046.2182975801138</v>
      </c>
      <c r="H6" s="41">
        <v>997.50066517997118</v>
      </c>
      <c r="I6" s="42">
        <v>1072.87563508671</v>
      </c>
      <c r="J6" s="41">
        <v>996.68648086526809</v>
      </c>
      <c r="K6" s="42">
        <v>1102.3306441526302</v>
      </c>
      <c r="L6" s="41">
        <v>995.88050332692887</v>
      </c>
      <c r="M6" s="42">
        <v>1134.9690653331506</v>
      </c>
      <c r="N6" s="41">
        <v>995.08161152748357</v>
      </c>
      <c r="O6" s="42">
        <v>1171.2320589729541</v>
      </c>
      <c r="P6" s="41">
        <v>994.28845171858131</v>
      </c>
      <c r="Q6" s="42">
        <v>1211.6190820909949</v>
      </c>
      <c r="R6" s="41">
        <v>993.49949739336444</v>
      </c>
      <c r="S6" s="42">
        <v>1256.686389665731</v>
      </c>
      <c r="T6" s="41">
        <v>992.71314456727987</v>
      </c>
      <c r="U6" s="42">
        <v>1307.0386706441998</v>
      </c>
      <c r="V6" s="41">
        <v>991.92793874509368</v>
      </c>
      <c r="W6" s="42">
        <v>1363.3069889717692</v>
      </c>
      <c r="X6" s="41">
        <v>991.14285231014844</v>
      </c>
      <c r="Y6" s="42">
        <v>1426.1103870764487</v>
      </c>
      <c r="Z6" s="41">
        <v>990.35771122738595</v>
      </c>
      <c r="AA6" s="42">
        <v>1495.9908900647542</v>
      </c>
      <c r="AB6" s="41">
        <v>989.57368895783361</v>
      </c>
      <c r="AC6" s="42">
        <v>1573.3240608313029</v>
      </c>
      <c r="AD6" s="41">
        <v>988.79376559333298</v>
      </c>
      <c r="AE6" s="42">
        <v>1658.2070821104874</v>
      </c>
      <c r="AF6" s="41">
        <v>988.02297834731189</v>
      </c>
      <c r="AG6" s="42">
        <v>1750.3482320466228</v>
      </c>
      <c r="AH6" s="41">
        <v>987.26825031678459</v>
      </c>
      <c r="AI6" s="42">
        <v>1848.9942628006418</v>
      </c>
      <c r="AJ6" s="41">
        <v>986.53769051002553</v>
      </c>
      <c r="AK6" s="42">
        <v>1952.9357434081148</v>
      </c>
      <c r="AL6" s="41">
        <v>985.83945071867208</v>
      </c>
      <c r="AM6" s="42">
        <v>2060.614325641945</v>
      </c>
      <c r="AN6" s="41">
        <v>985.18050244210849</v>
      </c>
      <c r="AO6" s="42">
        <v>2170.3088165294944</v>
      </c>
      <c r="AP6" s="41"/>
      <c r="AQ6" s="42"/>
      <c r="AR6" s="41"/>
      <c r="AS6" s="42"/>
      <c r="AT6" s="41"/>
      <c r="AU6" s="42"/>
      <c r="AV6" s="41"/>
      <c r="AW6" s="42"/>
    </row>
    <row r="7" spans="1:49" x14ac:dyDescent="0.2">
      <c r="A7" t="s">
        <v>13</v>
      </c>
      <c r="B7" s="33">
        <v>1015.9116825427475</v>
      </c>
      <c r="C7" s="34">
        <v>1015.9116825427475</v>
      </c>
      <c r="D7" s="33">
        <v>1015.1159918749859</v>
      </c>
      <c r="E7" s="34">
        <v>1015.1159918749859</v>
      </c>
      <c r="F7" s="33">
        <v>1014.3298242150798</v>
      </c>
      <c r="G7" s="34">
        <v>1014.3298242150798</v>
      </c>
      <c r="H7" s="33">
        <v>1013.5527834383709</v>
      </c>
      <c r="I7" s="34">
        <v>1013.5527834383709</v>
      </c>
      <c r="J7" s="33">
        <v>1012.7842559336443</v>
      </c>
      <c r="K7" s="34">
        <v>1012.7842559336443</v>
      </c>
      <c r="L7" s="33">
        <v>1012.0234306396677</v>
      </c>
      <c r="M7" s="34">
        <v>1012.0234306396677</v>
      </c>
      <c r="N7" s="33">
        <v>1011.2692505295212</v>
      </c>
      <c r="O7" s="34">
        <v>1011.2692505295212</v>
      </c>
      <c r="P7" s="33">
        <v>1010.5204386191906</v>
      </c>
      <c r="Q7" s="34">
        <v>1010.5204386191906</v>
      </c>
      <c r="R7" s="33">
        <v>1009.7755545322567</v>
      </c>
      <c r="S7" s="34">
        <v>1009.7755545322567</v>
      </c>
      <c r="T7" s="33">
        <v>1009.0330843751597</v>
      </c>
      <c r="U7" s="34">
        <v>1009.0330843751597</v>
      </c>
      <c r="V7" s="33">
        <v>1008.2916551072386</v>
      </c>
      <c r="W7" s="34">
        <v>1008.2916551072386</v>
      </c>
      <c r="X7" s="33">
        <v>1007.5502964555</v>
      </c>
      <c r="Y7" s="34">
        <v>1007.5502964555</v>
      </c>
      <c r="Z7" s="33">
        <v>1006.8088440602357</v>
      </c>
      <c r="AA7" s="34">
        <v>1006.8088440602357</v>
      </c>
      <c r="AB7" s="33">
        <v>1006.0684061295061</v>
      </c>
      <c r="AC7" s="34">
        <v>1006.0684061295061</v>
      </c>
      <c r="AD7" s="33">
        <v>1005.3317974746903</v>
      </c>
      <c r="AE7" s="34">
        <v>1005.3317974746903</v>
      </c>
      <c r="AF7" s="33">
        <v>1004.6037765814956</v>
      </c>
      <c r="AG7" s="34">
        <v>1004.6037765814956</v>
      </c>
      <c r="AH7" s="33">
        <v>1003.8908843843158</v>
      </c>
      <c r="AI7" s="34">
        <v>1003.8908843843158</v>
      </c>
      <c r="AJ7" s="33">
        <v>1003.2007834761141</v>
      </c>
      <c r="AK7" s="34">
        <v>1003.2007834761141</v>
      </c>
      <c r="AL7" s="33">
        <v>1002.5411784063606</v>
      </c>
      <c r="AM7" s="34">
        <v>1002.5411784063606</v>
      </c>
      <c r="AN7" s="33">
        <v>1001.9186600426606</v>
      </c>
      <c r="AO7" s="34">
        <v>1001.9186600426606</v>
      </c>
      <c r="AP7" s="33"/>
      <c r="AQ7" s="34"/>
      <c r="AR7" s="33"/>
      <c r="AS7" s="34"/>
      <c r="AT7" s="33"/>
      <c r="AU7" s="34"/>
      <c r="AV7" s="33"/>
      <c r="AW7" s="34"/>
    </row>
    <row r="8" spans="1:49" x14ac:dyDescent="0.2">
      <c r="B8" s="35">
        <v>1005.7716594496609</v>
      </c>
      <c r="C8" s="36">
        <v>1005.7716594496609</v>
      </c>
      <c r="D8" s="35">
        <v>1067.4988275501685</v>
      </c>
      <c r="E8" s="36">
        <v>1067.4988275501685</v>
      </c>
      <c r="F8" s="35">
        <v>1136.0694235003848</v>
      </c>
      <c r="G8" s="36">
        <v>1136.0694235003848</v>
      </c>
      <c r="H8" s="35">
        <v>1212.5043430824599</v>
      </c>
      <c r="I8" s="36">
        <v>1212.5043430824599</v>
      </c>
      <c r="J8" s="35">
        <v>1297.9991565697271</v>
      </c>
      <c r="K8" s="36">
        <v>1297.9991565697271</v>
      </c>
      <c r="L8" s="35">
        <v>1393.9492237619024</v>
      </c>
      <c r="M8" s="36">
        <v>1393.9492237619024</v>
      </c>
      <c r="N8" s="35">
        <v>1501.9766288108806</v>
      </c>
      <c r="O8" s="36">
        <v>1501.9766288108806</v>
      </c>
      <c r="P8" s="35">
        <v>1623.9505162148187</v>
      </c>
      <c r="Q8" s="36">
        <v>1623.9505162148187</v>
      </c>
      <c r="R8" s="35">
        <v>1761.9944364708883</v>
      </c>
      <c r="S8" s="36">
        <v>1761.9944364708883</v>
      </c>
      <c r="T8" s="35">
        <v>1918.4714226622471</v>
      </c>
      <c r="U8" s="36">
        <v>1918.4714226622471</v>
      </c>
      <c r="V8" s="35">
        <v>2095.9208156181658</v>
      </c>
      <c r="W8" s="36">
        <v>2095.9208156181658</v>
      </c>
      <c r="X8" s="35">
        <v>2296.9348297367387</v>
      </c>
      <c r="Y8" s="36">
        <v>2296.9348297367387</v>
      </c>
      <c r="Z8" s="35">
        <v>2523.9346685684368</v>
      </c>
      <c r="AA8" s="36">
        <v>2523.9346685684368</v>
      </c>
      <c r="AB8" s="35">
        <v>2778.8427258040688</v>
      </c>
      <c r="AC8" s="36">
        <v>2778.8427258040688</v>
      </c>
      <c r="AD8" s="35">
        <v>3062.6543114738961</v>
      </c>
      <c r="AE8" s="36">
        <v>3062.6543114738961</v>
      </c>
      <c r="AF8" s="35">
        <v>3374.9857834068048</v>
      </c>
      <c r="AG8" s="36">
        <v>3374.9857834068048</v>
      </c>
      <c r="AH8" s="35">
        <v>3713.7342136162838</v>
      </c>
      <c r="AI8" s="36">
        <v>3713.7342136162838</v>
      </c>
      <c r="AJ8" s="35">
        <v>4075.0088154325954</v>
      </c>
      <c r="AK8" s="36">
        <v>4075.0088154325954</v>
      </c>
      <c r="AL8" s="35">
        <v>4453.4484330863652</v>
      </c>
      <c r="AM8" s="36">
        <v>4453.4484330863652</v>
      </c>
      <c r="AN8" s="35">
        <v>4842.8648315850232</v>
      </c>
      <c r="AO8" s="36">
        <v>4842.8648315850232</v>
      </c>
      <c r="AP8" s="35"/>
      <c r="AQ8" s="36"/>
      <c r="AR8" s="35"/>
      <c r="AS8" s="36"/>
      <c r="AT8" s="35"/>
      <c r="AU8" s="36"/>
      <c r="AV8" s="35"/>
      <c r="AW8" s="36"/>
    </row>
    <row r="9" spans="1:49" x14ac:dyDescent="0.2">
      <c r="A9" t="s">
        <v>14</v>
      </c>
      <c r="B9" s="41">
        <v>1015.9116825427475</v>
      </c>
      <c r="C9" s="42">
        <v>1005.7716594496609</v>
      </c>
      <c r="D9" s="41">
        <v>1015.1159918749859</v>
      </c>
      <c r="E9" s="42">
        <v>1067.4988275501685</v>
      </c>
      <c r="F9" s="41">
        <v>1014.3298242150798</v>
      </c>
      <c r="G9" s="42">
        <v>1136.0694235003848</v>
      </c>
      <c r="H9" s="41">
        <v>1013.5527834383709</v>
      </c>
      <c r="I9" s="42">
        <v>1212.5043430824599</v>
      </c>
      <c r="J9" s="41">
        <v>1012.7842559336443</v>
      </c>
      <c r="K9" s="42">
        <v>1297.9991565697271</v>
      </c>
      <c r="L9" s="41">
        <v>1012.0234306396677</v>
      </c>
      <c r="M9" s="42">
        <v>1393.9492237619024</v>
      </c>
      <c r="N9" s="41">
        <v>1011.2692505295212</v>
      </c>
      <c r="O9" s="42">
        <v>1501.9766288108806</v>
      </c>
      <c r="P9" s="41">
        <v>1010.5204386191906</v>
      </c>
      <c r="Q9" s="42">
        <v>1623.9505162148187</v>
      </c>
      <c r="R9" s="41">
        <v>1009.7755545322567</v>
      </c>
      <c r="S9" s="42">
        <v>1761.9944364708883</v>
      </c>
      <c r="T9" s="41">
        <v>1009.0330843751597</v>
      </c>
      <c r="U9" s="42">
        <v>1918.4714226622471</v>
      </c>
      <c r="V9" s="41">
        <v>1008.2916551072386</v>
      </c>
      <c r="W9" s="42">
        <v>2095.9208156181658</v>
      </c>
      <c r="X9" s="41">
        <v>1007.5502964555</v>
      </c>
      <c r="Y9" s="42">
        <v>2296.9348297367387</v>
      </c>
      <c r="Z9" s="41">
        <v>1006.8088440602357</v>
      </c>
      <c r="AA9" s="42">
        <v>2523.9346685684368</v>
      </c>
      <c r="AB9" s="41">
        <v>1006.0684061295061</v>
      </c>
      <c r="AC9" s="42">
        <v>2778.8427258040688</v>
      </c>
      <c r="AD9" s="41">
        <v>1005.3317974746903</v>
      </c>
      <c r="AE9" s="42">
        <v>3062.6543114738961</v>
      </c>
      <c r="AF9" s="41">
        <v>1004.6037765814956</v>
      </c>
      <c r="AG9" s="42">
        <v>3374.9857834068048</v>
      </c>
      <c r="AH9" s="41">
        <v>1003.8908843843158</v>
      </c>
      <c r="AI9" s="42">
        <v>3713.7342136162838</v>
      </c>
      <c r="AJ9" s="41">
        <v>1003.2007834761141</v>
      </c>
      <c r="AK9" s="42">
        <v>4075.0088154325954</v>
      </c>
      <c r="AL9" s="41">
        <v>1002.5411784063606</v>
      </c>
      <c r="AM9" s="42">
        <v>4453.4484330863652</v>
      </c>
      <c r="AN9" s="41">
        <v>1001.9186600426606</v>
      </c>
      <c r="AO9" s="42">
        <v>4842.8648315850232</v>
      </c>
      <c r="AP9" s="41"/>
      <c r="AQ9" s="42"/>
      <c r="AR9" s="41"/>
      <c r="AS9" s="42"/>
      <c r="AT9" s="41"/>
      <c r="AU9" s="42"/>
      <c r="AV9" s="41"/>
      <c r="AW9" s="42"/>
    </row>
    <row r="10" spans="1:49" x14ac:dyDescent="0.2">
      <c r="A10" t="s">
        <v>15</v>
      </c>
      <c r="B10" s="41">
        <v>1015.9116825427475</v>
      </c>
      <c r="C10" s="42">
        <v>1005.7716594496609</v>
      </c>
      <c r="D10" s="41">
        <v>1015.1159918749859</v>
      </c>
      <c r="E10" s="42">
        <v>1067.4988275501685</v>
      </c>
      <c r="F10" s="41">
        <v>1014.3298242150798</v>
      </c>
      <c r="G10" s="42">
        <v>1136.0694235003848</v>
      </c>
      <c r="H10" s="41">
        <v>1013.5527834383709</v>
      </c>
      <c r="I10" s="42">
        <v>1212.5043430824599</v>
      </c>
      <c r="J10" s="41">
        <v>1012.7842559336443</v>
      </c>
      <c r="K10" s="42">
        <v>1297.9991565697271</v>
      </c>
      <c r="L10" s="41">
        <v>1012.0234306396677</v>
      </c>
      <c r="M10" s="42">
        <v>1393.9492237619024</v>
      </c>
      <c r="N10" s="41">
        <v>1011.2692505295212</v>
      </c>
      <c r="O10" s="42">
        <v>1501.9766288108806</v>
      </c>
      <c r="P10" s="41">
        <v>1010.5204386191906</v>
      </c>
      <c r="Q10" s="42">
        <v>1623.9505162148187</v>
      </c>
      <c r="R10" s="41">
        <v>1009.7755545322567</v>
      </c>
      <c r="S10" s="42">
        <v>1761.9944364708883</v>
      </c>
      <c r="T10" s="41">
        <v>1009.0330843751597</v>
      </c>
      <c r="U10" s="42">
        <v>1918.4714226622471</v>
      </c>
      <c r="V10" s="41">
        <v>1008.2916551072386</v>
      </c>
      <c r="W10" s="42">
        <v>2095.9208156181658</v>
      </c>
      <c r="X10" s="41">
        <v>1007.5502964555</v>
      </c>
      <c r="Y10" s="42">
        <v>2296.9348297367387</v>
      </c>
      <c r="Z10" s="41">
        <v>1006.8088440602357</v>
      </c>
      <c r="AA10" s="42">
        <v>2523.9346685684368</v>
      </c>
      <c r="AB10" s="41">
        <v>1006.0684061295061</v>
      </c>
      <c r="AC10" s="42">
        <v>2778.8427258040688</v>
      </c>
      <c r="AD10" s="41">
        <v>1005.3317974746903</v>
      </c>
      <c r="AE10" s="42">
        <v>3062.6543114738961</v>
      </c>
      <c r="AF10" s="41">
        <v>1004.6037765814956</v>
      </c>
      <c r="AG10" s="42">
        <v>3374.9857834068048</v>
      </c>
      <c r="AH10" s="41">
        <v>1003.8908843843158</v>
      </c>
      <c r="AI10" s="42">
        <v>3713.7342136162838</v>
      </c>
      <c r="AJ10" s="41">
        <v>1003.2007834761141</v>
      </c>
      <c r="AK10" s="42">
        <v>4075.0088154325954</v>
      </c>
      <c r="AL10" s="41">
        <v>1002.5411784063606</v>
      </c>
      <c r="AM10" s="42">
        <v>4453.4484330863652</v>
      </c>
      <c r="AN10" s="41">
        <v>1001.9186600426606</v>
      </c>
      <c r="AO10" s="42">
        <v>4842.8648315850232</v>
      </c>
      <c r="AP10" s="41"/>
      <c r="AQ10" s="42"/>
      <c r="AR10" s="41"/>
      <c r="AS10" s="42"/>
      <c r="AT10" s="41"/>
      <c r="AU10" s="42"/>
      <c r="AV10" s="41"/>
      <c r="AW10" s="42"/>
    </row>
    <row r="11" spans="1:49" x14ac:dyDescent="0.2">
      <c r="A11" t="s">
        <v>29</v>
      </c>
      <c r="B11" s="41">
        <v>1015.9116825427475</v>
      </c>
      <c r="C11" s="42">
        <v>1005.7716594496609</v>
      </c>
      <c r="D11" s="41">
        <v>1015.1159918749859</v>
      </c>
      <c r="E11" s="42">
        <v>1067.4988275501685</v>
      </c>
      <c r="F11" s="41">
        <v>1014.3298242150798</v>
      </c>
      <c r="G11" s="42">
        <v>1136.0694235003848</v>
      </c>
      <c r="H11" s="41">
        <v>1013.5527834383709</v>
      </c>
      <c r="I11" s="42">
        <v>1212.5043430824599</v>
      </c>
      <c r="J11" s="41">
        <v>1012.7842559336443</v>
      </c>
      <c r="K11" s="42">
        <v>1297.9991565697271</v>
      </c>
      <c r="L11" s="41">
        <v>1012.0234306396677</v>
      </c>
      <c r="M11" s="42">
        <v>1393.9492237619024</v>
      </c>
      <c r="N11" s="41">
        <v>1011.2692505295212</v>
      </c>
      <c r="O11" s="42">
        <v>1501.9766288108806</v>
      </c>
      <c r="P11" s="41">
        <v>1010.5204386191906</v>
      </c>
      <c r="Q11" s="42">
        <v>1623.9505162148187</v>
      </c>
      <c r="R11" s="41">
        <v>1009.7755545322567</v>
      </c>
      <c r="S11" s="42">
        <v>1761.9944364708883</v>
      </c>
      <c r="T11" s="41">
        <v>1009.0330843751597</v>
      </c>
      <c r="U11" s="42">
        <v>1918.4714226622471</v>
      </c>
      <c r="V11" s="41">
        <v>1008.2916551072386</v>
      </c>
      <c r="W11" s="42">
        <v>2095.9208156181658</v>
      </c>
      <c r="X11" s="41">
        <v>1007.5502964555</v>
      </c>
      <c r="Y11" s="42">
        <v>2296.9348297367387</v>
      </c>
      <c r="Z11" s="41">
        <v>1006.8088440602357</v>
      </c>
      <c r="AA11" s="42">
        <v>2523.9346685684368</v>
      </c>
      <c r="AB11" s="41">
        <v>1006.0684061295061</v>
      </c>
      <c r="AC11" s="42">
        <v>2778.8427258040688</v>
      </c>
      <c r="AD11" s="41">
        <v>1005.3317974746903</v>
      </c>
      <c r="AE11" s="42">
        <v>3062.6543114738961</v>
      </c>
      <c r="AF11" s="41">
        <v>1004.6037765814956</v>
      </c>
      <c r="AG11" s="42">
        <v>3374.9857834068048</v>
      </c>
      <c r="AH11" s="41">
        <v>1003.8908843843158</v>
      </c>
      <c r="AI11" s="42">
        <v>3713.7342136162838</v>
      </c>
      <c r="AJ11" s="41">
        <v>1003.2007834761141</v>
      </c>
      <c r="AK11" s="42">
        <v>4075.0088154325954</v>
      </c>
      <c r="AL11" s="41">
        <v>1002.5411784063606</v>
      </c>
      <c r="AM11" s="42">
        <v>4453.4484330863652</v>
      </c>
      <c r="AN11" s="41">
        <v>1001.9186600426606</v>
      </c>
      <c r="AO11" s="42">
        <v>4842.8648315850232</v>
      </c>
      <c r="AP11" s="41"/>
      <c r="AQ11" s="42"/>
      <c r="AR11" s="41"/>
      <c r="AS11" s="42"/>
      <c r="AT11" s="41"/>
      <c r="AU11" s="42"/>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c r="AQ12" s="42"/>
      <c r="AR12" s="41"/>
      <c r="AS12" s="42"/>
      <c r="AT12" s="41"/>
      <c r="AU12" s="42"/>
      <c r="AV12" s="41"/>
      <c r="AW12" s="42"/>
    </row>
    <row r="13" spans="1:49" x14ac:dyDescent="0.2">
      <c r="A13" t="s">
        <v>17</v>
      </c>
      <c r="B13" s="97">
        <v>1000</v>
      </c>
      <c r="C13" s="98">
        <v>1000</v>
      </c>
      <c r="D13" s="97">
        <v>997.0602793708531</v>
      </c>
      <c r="E13" s="98">
        <v>997.0602793708531</v>
      </c>
      <c r="F13" s="97">
        <v>993.9579413218321</v>
      </c>
      <c r="G13" s="98">
        <v>993.9579413218321</v>
      </c>
      <c r="H13" s="97">
        <v>990.68189099874803</v>
      </c>
      <c r="I13" s="98">
        <v>990.68189099874803</v>
      </c>
      <c r="J13" s="97">
        <v>987.22106750917476</v>
      </c>
      <c r="K13" s="98">
        <v>987.22106750917476</v>
      </c>
      <c r="L13" s="97">
        <v>983.56511750039306</v>
      </c>
      <c r="M13" s="98">
        <v>983.56511750039306</v>
      </c>
      <c r="N13" s="97">
        <v>979.70494271135863</v>
      </c>
      <c r="O13" s="98">
        <v>979.70494271135863</v>
      </c>
      <c r="P13" s="97">
        <v>975.63376555977993</v>
      </c>
      <c r="Q13" s="98">
        <v>975.63376555977993</v>
      </c>
      <c r="R13" s="97">
        <v>971.34853435235937</v>
      </c>
      <c r="S13" s="98">
        <v>971.34853435235937</v>
      </c>
      <c r="T13" s="97">
        <v>966.85155196379355</v>
      </c>
      <c r="U13" s="98">
        <v>966.85155196379355</v>
      </c>
      <c r="V13" s="97">
        <v>962.15278391796221</v>
      </c>
      <c r="W13" s="98">
        <v>962.15278391796221</v>
      </c>
      <c r="X13" s="97">
        <v>957.27199071133987</v>
      </c>
      <c r="Y13" s="98">
        <v>957.27199071133987</v>
      </c>
      <c r="Z13" s="97">
        <v>952.24106482258424</v>
      </c>
      <c r="AA13" s="98">
        <v>952.24106482258424</v>
      </c>
      <c r="AB13" s="97">
        <v>947.10537849707509</v>
      </c>
      <c r="AC13" s="98">
        <v>947.10537849707509</v>
      </c>
      <c r="AD13" s="97">
        <v>941.92362013752688</v>
      </c>
      <c r="AE13" s="98">
        <v>941.92362013752688</v>
      </c>
      <c r="AF13" s="97">
        <v>936.765039637055</v>
      </c>
      <c r="AG13" s="98">
        <v>936.765039637055</v>
      </c>
      <c r="AH13" s="97">
        <v>931.70377784116386</v>
      </c>
      <c r="AI13" s="98">
        <v>931.70377784116386</v>
      </c>
      <c r="AJ13" s="97">
        <v>926.8110780121749</v>
      </c>
      <c r="AK13" s="98">
        <v>926.8110780121749</v>
      </c>
      <c r="AL13" s="97">
        <v>922.14708213229653</v>
      </c>
      <c r="AM13" s="98">
        <v>922.14708213229653</v>
      </c>
      <c r="AN13" s="97">
        <v>917.7548897374561</v>
      </c>
      <c r="AO13" s="98">
        <v>917.7548897374561</v>
      </c>
      <c r="AP13" s="97"/>
      <c r="AQ13" s="98"/>
      <c r="AR13" s="97"/>
      <c r="AS13" s="98"/>
      <c r="AT13" s="97"/>
      <c r="AU13" s="98"/>
      <c r="AV13" s="97"/>
      <c r="AW13" s="98"/>
    </row>
    <row r="14" spans="1:49" x14ac:dyDescent="0.2">
      <c r="A14" t="s">
        <v>36</v>
      </c>
      <c r="B14" s="41">
        <v>1457.0034251455234</v>
      </c>
      <c r="C14" s="42">
        <v>1457.0034251455236</v>
      </c>
      <c r="D14" s="41">
        <v>1452.7202421198854</v>
      </c>
      <c r="E14" s="42">
        <v>1452.7202421198856</v>
      </c>
      <c r="F14" s="41">
        <v>1448.2001249565023</v>
      </c>
      <c r="G14" s="42">
        <v>1448.2001249565026</v>
      </c>
      <c r="H14" s="41">
        <v>1443.4269084148198</v>
      </c>
      <c r="I14" s="42">
        <v>1443.42690841482</v>
      </c>
      <c r="J14" s="41">
        <v>1438.3844767366875</v>
      </c>
      <c r="K14" s="42">
        <v>1438.3844767366877</v>
      </c>
      <c r="L14" s="41">
        <v>1433.0577450517317</v>
      </c>
      <c r="M14" s="42">
        <v>1433.0577450517319</v>
      </c>
      <c r="N14" s="41">
        <v>1427.4334571624481</v>
      </c>
      <c r="O14" s="42">
        <v>1427.4334571624483</v>
      </c>
      <c r="P14" s="41">
        <v>1421.5017381082239</v>
      </c>
      <c r="Q14" s="42">
        <v>1421.5017381082241</v>
      </c>
      <c r="R14" s="41">
        <v>1415.2581415614716</v>
      </c>
      <c r="S14" s="42">
        <v>1415.2581415614718</v>
      </c>
      <c r="T14" s="41">
        <v>1408.7060228185121</v>
      </c>
      <c r="U14" s="42">
        <v>1408.7060228185123</v>
      </c>
      <c r="V14" s="41">
        <v>1401.8599016817716</v>
      </c>
      <c r="W14" s="42">
        <v>1401.8599016817716</v>
      </c>
      <c r="X14" s="41">
        <v>1394.7485692622956</v>
      </c>
      <c r="Y14" s="42">
        <v>1394.7485692622959</v>
      </c>
      <c r="Z14" s="41">
        <v>1387.4184930107256</v>
      </c>
      <c r="AA14" s="42">
        <v>1387.4184930107258</v>
      </c>
      <c r="AB14" s="41">
        <v>1379.9357804439855</v>
      </c>
      <c r="AC14" s="42">
        <v>1379.9357804439858</v>
      </c>
      <c r="AD14" s="41">
        <v>1372.3859407658474</v>
      </c>
      <c r="AE14" s="42">
        <v>1372.3859407658476</v>
      </c>
      <c r="AF14" s="41">
        <v>1364.8698713077711</v>
      </c>
      <c r="AG14" s="42">
        <v>1364.8698713077713</v>
      </c>
      <c r="AH14" s="41">
        <v>1357.4955955355995</v>
      </c>
      <c r="AI14" s="42">
        <v>1357.4955955355997</v>
      </c>
      <c r="AJ14" s="41">
        <v>1350.3669151265535</v>
      </c>
      <c r="AK14" s="42">
        <v>1350.3669151265537</v>
      </c>
      <c r="AL14" s="41">
        <v>1343.5714571547062</v>
      </c>
      <c r="AM14" s="42">
        <v>1343.5714571547064</v>
      </c>
      <c r="AN14" s="41">
        <v>1337.1720177915256</v>
      </c>
      <c r="AO14" s="42">
        <v>1337.1720177915258</v>
      </c>
      <c r="AP14" s="41"/>
      <c r="AQ14" s="42"/>
      <c r="AR14" s="41"/>
      <c r="AS14" s="42"/>
      <c r="AT14" s="41"/>
      <c r="AU14" s="42"/>
      <c r="AV14" s="41"/>
      <c r="AW14" s="42"/>
    </row>
    <row r="15" spans="1:49" x14ac:dyDescent="0.2">
      <c r="A15" t="s">
        <v>18</v>
      </c>
      <c r="B15" s="154">
        <v>1000</v>
      </c>
      <c r="C15" s="155">
        <v>1000</v>
      </c>
      <c r="D15" s="154">
        <v>996.12882078556663</v>
      </c>
      <c r="E15" s="155">
        <v>996.12882078556663</v>
      </c>
      <c r="F15" s="154">
        <v>992.03897110068522</v>
      </c>
      <c r="G15" s="155">
        <v>992.03897110068522</v>
      </c>
      <c r="H15" s="154">
        <v>987.69751292017429</v>
      </c>
      <c r="I15" s="155">
        <v>987.69751292017429</v>
      </c>
      <c r="J15" s="154">
        <v>983.06632107405517</v>
      </c>
      <c r="K15" s="155">
        <v>983.06632107405517</v>
      </c>
      <c r="L15" s="154">
        <v>978.10152172691699</v>
      </c>
      <c r="M15" s="155">
        <v>978.10152172691699</v>
      </c>
      <c r="N15" s="154">
        <v>972.75313253962463</v>
      </c>
      <c r="O15" s="155">
        <v>972.75313253962463</v>
      </c>
      <c r="P15" s="154">
        <v>966.96505845770378</v>
      </c>
      <c r="Q15" s="155">
        <v>966.96505845770378</v>
      </c>
      <c r="R15" s="154">
        <v>960.67580089979003</v>
      </c>
      <c r="S15" s="155">
        <v>960.67580089979003</v>
      </c>
      <c r="T15" s="154">
        <v>953.82029428111832</v>
      </c>
      <c r="U15" s="155">
        <v>953.82029428111832</v>
      </c>
      <c r="V15" s="154">
        <v>946.33359441070411</v>
      </c>
      <c r="W15" s="155">
        <v>946.33359441070411</v>
      </c>
      <c r="X15" s="154">
        <v>938.15692680261202</v>
      </c>
      <c r="Y15" s="155">
        <v>938.15692680261202</v>
      </c>
      <c r="Z15" s="154">
        <v>929.24685857436282</v>
      </c>
      <c r="AA15" s="155">
        <v>929.24685857436282</v>
      </c>
      <c r="AB15" s="154">
        <v>919.58721451399913</v>
      </c>
      <c r="AC15" s="155">
        <v>919.58721451399913</v>
      </c>
      <c r="AD15" s="154">
        <v>909.20243507644625</v>
      </c>
      <c r="AE15" s="155">
        <v>909.20243507644625</v>
      </c>
      <c r="AF15" s="154">
        <v>898.16877848462525</v>
      </c>
      <c r="AG15" s="155">
        <v>898.16877848462525</v>
      </c>
      <c r="AH15" s="154">
        <v>886.61835772631969</v>
      </c>
      <c r="AI15" s="155">
        <v>886.61835772631969</v>
      </c>
      <c r="AJ15" s="154">
        <v>874.73169688099836</v>
      </c>
      <c r="AK15" s="155">
        <v>874.73169688099836</v>
      </c>
      <c r="AL15" s="154">
        <v>862.71785228585816</v>
      </c>
      <c r="AM15" s="155">
        <v>862.71785228585816</v>
      </c>
      <c r="AN15" s="154">
        <v>850.78744895485295</v>
      </c>
      <c r="AO15" s="155">
        <v>850.78744895485295</v>
      </c>
      <c r="AP15" s="154"/>
      <c r="AQ15" s="155"/>
      <c r="AR15" s="154"/>
      <c r="AS15" s="155"/>
      <c r="AT15" s="154"/>
      <c r="AU15" s="155"/>
      <c r="AV15" s="154"/>
      <c r="AW15" s="155"/>
    </row>
    <row r="16" spans="1:49" s="29" customFormat="1" x14ac:dyDescent="0.2">
      <c r="A16" t="s">
        <v>61</v>
      </c>
      <c r="B16" s="41">
        <v>1000</v>
      </c>
      <c r="C16" s="42">
        <v>1000</v>
      </c>
      <c r="D16" s="41">
        <v>996.62540243162778</v>
      </c>
      <c r="E16" s="42">
        <v>996.39466992547477</v>
      </c>
      <c r="F16" s="41">
        <v>993.06194607319253</v>
      </c>
      <c r="G16" s="42">
        <v>992.58663828986175</v>
      </c>
      <c r="H16" s="41">
        <v>989.28832041410567</v>
      </c>
      <c r="I16" s="42">
        <v>988.54919415278096</v>
      </c>
      <c r="J16" s="41">
        <v>985.2808013209044</v>
      </c>
      <c r="K16" s="42">
        <v>984.25192552279111</v>
      </c>
      <c r="L16" s="41">
        <v>981.0133428520013</v>
      </c>
      <c r="M16" s="42">
        <v>979.66050819622308</v>
      </c>
      <c r="N16" s="41">
        <v>976.4576944511806</v>
      </c>
      <c r="O16" s="42">
        <v>974.73660219736519</v>
      </c>
      <c r="P16" s="41">
        <v>971.5839567405435</v>
      </c>
      <c r="Q16" s="42">
        <v>969.43814862545878</v>
      </c>
      <c r="R16" s="41">
        <v>966.36164715403197</v>
      </c>
      <c r="S16" s="42">
        <v>963.72027149274629</v>
      </c>
      <c r="T16" s="41">
        <v>960.76140622843798</v>
      </c>
      <c r="U16" s="42">
        <v>957.53704693799796</v>
      </c>
      <c r="V16" s="41">
        <v>954.75792438347719</v>
      </c>
      <c r="W16" s="42">
        <v>950.84478705915205</v>
      </c>
      <c r="X16" s="41">
        <v>948.3338741866404</v>
      </c>
      <c r="Y16" s="42">
        <v>943.6069588571637</v>
      </c>
      <c r="Z16" s="41">
        <v>941.48541120416917</v>
      </c>
      <c r="AA16" s="42">
        <v>935.80139410020934</v>
      </c>
      <c r="AB16" s="41">
        <v>934.2284430419744</v>
      </c>
      <c r="AC16" s="42">
        <v>927.42918363430726</v>
      </c>
      <c r="AD16" s="41">
        <v>926.60479720779824</v>
      </c>
      <c r="AE16" s="42">
        <v>918.52418355301847</v>
      </c>
      <c r="AF16" s="41">
        <v>918.68605174816014</v>
      </c>
      <c r="AG16" s="42">
        <v>909.1602620709848</v>
      </c>
      <c r="AH16" s="41">
        <v>910.57252329686207</v>
      </c>
      <c r="AI16" s="42">
        <v>899.45261763873918</v>
      </c>
      <c r="AJ16" s="41">
        <v>902.3858022825882</v>
      </c>
      <c r="AK16" s="42">
        <v>889.550303792205</v>
      </c>
      <c r="AL16" s="41">
        <v>894.2552466186761</v>
      </c>
      <c r="AM16" s="42">
        <v>879.61974380942149</v>
      </c>
      <c r="AN16" s="41">
        <v>886.30230052174079</v>
      </c>
      <c r="AO16" s="42">
        <v>869.82379857312071</v>
      </c>
      <c r="AP16" s="41"/>
      <c r="AQ16" s="42"/>
      <c r="AR16" s="41"/>
      <c r="AS16" s="42"/>
      <c r="AT16" s="41"/>
      <c r="AU16" s="42"/>
      <c r="AV16" s="41"/>
      <c r="AW16" s="42"/>
    </row>
    <row r="17" spans="1:49" x14ac:dyDescent="0.2">
      <c r="A17" t="s">
        <v>62</v>
      </c>
      <c r="B17" s="35">
        <v>1000.0000000000002</v>
      </c>
      <c r="C17" s="36">
        <v>999.99999999999977</v>
      </c>
      <c r="D17" s="35">
        <v>999.28796655061296</v>
      </c>
      <c r="E17" s="36">
        <v>1030.8445016170072</v>
      </c>
      <c r="F17" s="35">
        <v>998.58481617620748</v>
      </c>
      <c r="G17" s="36">
        <v>1064.919999385176</v>
      </c>
      <c r="H17" s="35">
        <v>997.89018295155677</v>
      </c>
      <c r="I17" s="36">
        <v>1102.6847797366725</v>
      </c>
      <c r="J17" s="35">
        <v>997.20350728799212</v>
      </c>
      <c r="K17" s="36">
        <v>1144.6720481846583</v>
      </c>
      <c r="L17" s="35">
        <v>996.52405430291719</v>
      </c>
      <c r="M17" s="36">
        <v>1191.4997684694065</v>
      </c>
      <c r="N17" s="35">
        <v>995.85087114526596</v>
      </c>
      <c r="O17" s="36">
        <v>1243.8810632518471</v>
      </c>
      <c r="P17" s="35">
        <v>995.18281085824412</v>
      </c>
      <c r="Q17" s="36">
        <v>1302.6311252498931</v>
      </c>
      <c r="R17" s="35">
        <v>994.51858231878828</v>
      </c>
      <c r="S17" s="36">
        <v>1368.6678563815212</v>
      </c>
      <c r="T17" s="35">
        <v>993.85683330627364</v>
      </c>
      <c r="U17" s="36">
        <v>1443.0022918044606</v>
      </c>
      <c r="V17" s="35">
        <v>993.1963370862876</v>
      </c>
      <c r="W17" s="36">
        <v>1526.707200599411</v>
      </c>
      <c r="X17" s="35">
        <v>992.53623111122988</v>
      </c>
      <c r="Y17" s="36">
        <v>1620.8595639742518</v>
      </c>
      <c r="Z17" s="35">
        <v>991.876367704784</v>
      </c>
      <c r="AA17" s="36">
        <v>1726.4395554370742</v>
      </c>
      <c r="AB17" s="35">
        <v>991.21773426794425</v>
      </c>
      <c r="AC17" s="36">
        <v>1844.1864159524455</v>
      </c>
      <c r="AD17" s="35">
        <v>990.56283209222897</v>
      </c>
      <c r="AE17" s="36">
        <v>1974.4140510663101</v>
      </c>
      <c r="AF17" s="35">
        <v>989.91588419097536</v>
      </c>
      <c r="AG17" s="36">
        <v>2116.8217309463994</v>
      </c>
      <c r="AH17" s="35">
        <v>989.28268810150621</v>
      </c>
      <c r="AI17" s="36">
        <v>2270.3590195475417</v>
      </c>
      <c r="AJ17" s="35">
        <v>988.67002677586072</v>
      </c>
      <c r="AK17" s="36">
        <v>2433.212519635415</v>
      </c>
      <c r="AL17" s="35">
        <v>988.08470713188262</v>
      </c>
      <c r="AM17" s="36">
        <v>2602.9598396809643</v>
      </c>
      <c r="AN17" s="35">
        <v>987.53253828746745</v>
      </c>
      <c r="AO17" s="36">
        <v>2776.8591698225823</v>
      </c>
      <c r="AP17" s="35"/>
      <c r="AQ17" s="36"/>
      <c r="AR17" s="35"/>
      <c r="AS17" s="36"/>
      <c r="AT17" s="35"/>
      <c r="AU17" s="36"/>
      <c r="AV17" s="35"/>
      <c r="AW17" s="36"/>
    </row>
    <row r="18" spans="1:49" x14ac:dyDescent="0.2">
      <c r="A18" t="s">
        <v>19</v>
      </c>
      <c r="B18" s="33">
        <v>27857.010133999996</v>
      </c>
      <c r="C18" s="34">
        <v>1236.7674480000003</v>
      </c>
      <c r="D18" s="33">
        <v>27654.709884885513</v>
      </c>
      <c r="E18" s="34">
        <v>1161.7137288178542</v>
      </c>
      <c r="F18" s="33">
        <v>27423.415139853638</v>
      </c>
      <c r="G18" s="34">
        <v>1087.3255856875351</v>
      </c>
      <c r="H18" s="33">
        <v>27157.876373053103</v>
      </c>
      <c r="I18" s="34">
        <v>1013.6664180985733</v>
      </c>
      <c r="J18" s="33">
        <v>26851.634009949845</v>
      </c>
      <c r="K18" s="34">
        <v>940.80769127866563</v>
      </c>
      <c r="L18" s="33">
        <v>26496.672884389649</v>
      </c>
      <c r="M18" s="34">
        <v>868.83205927720394</v>
      </c>
      <c r="N18" s="33">
        <v>26083.028363879985</v>
      </c>
      <c r="O18" s="34">
        <v>797.83457233620811</v>
      </c>
      <c r="P18" s="33">
        <v>25598.261989888822</v>
      </c>
      <c r="Q18" s="34">
        <v>727.92571381821972</v>
      </c>
      <c r="R18" s="33">
        <v>25026.823538911667</v>
      </c>
      <c r="S18" s="34">
        <v>659.23494826945512</v>
      </c>
      <c r="T18" s="33">
        <v>24349.318952340131</v>
      </c>
      <c r="U18" s="34">
        <v>591.91334809477166</v>
      </c>
      <c r="V18" s="33">
        <v>23541.680868924701</v>
      </c>
      <c r="W18" s="34">
        <v>526.13821135112482</v>
      </c>
      <c r="X18" s="33">
        <v>22574.413679233538</v>
      </c>
      <c r="Y18" s="34">
        <v>462.11362792517701</v>
      </c>
      <c r="Z18" s="33">
        <v>21412.065689552561</v>
      </c>
      <c r="AA18" s="34">
        <v>400.0692901298749</v>
      </c>
      <c r="AB18" s="33">
        <v>20013.303334906923</v>
      </c>
      <c r="AC18" s="34">
        <v>340.25520270092318</v>
      </c>
      <c r="AD18" s="33">
        <v>18332.029047046322</v>
      </c>
      <c r="AE18" s="34">
        <v>282.92714217509791</v>
      </c>
      <c r="AF18" s="33">
        <v>16319.947511983351</v>
      </c>
      <c r="AG18" s="34">
        <v>228.32437702293382</v>
      </c>
      <c r="AH18" s="33">
        <v>13930.647367743735</v>
      </c>
      <c r="AI18" s="34">
        <v>176.6404198234053</v>
      </c>
      <c r="AJ18" s="33">
        <v>11124.628716370795</v>
      </c>
      <c r="AK18" s="34">
        <v>127.99318637246358</v>
      </c>
      <c r="AL18" s="33">
        <v>7873.9867103503784</v>
      </c>
      <c r="AM18" s="34">
        <v>82.40440426661209</v>
      </c>
      <c r="AN18" s="33">
        <v>4165.3211967840807</v>
      </c>
      <c r="AO18" s="34">
        <v>39.795202285025468</v>
      </c>
      <c r="AP18" s="33"/>
      <c r="AQ18" s="34"/>
      <c r="AR18" s="33"/>
      <c r="AS18" s="34"/>
      <c r="AT18" s="33"/>
      <c r="AU18" s="34"/>
      <c r="AV18" s="33"/>
      <c r="AW18" s="34"/>
    </row>
    <row r="19" spans="1:49" x14ac:dyDescent="0.2">
      <c r="A19" t="s">
        <v>3</v>
      </c>
      <c r="B19" s="41">
        <v>1886.3937400000138</v>
      </c>
      <c r="C19" s="42">
        <v>262.7871129999973</v>
      </c>
      <c r="D19" s="41">
        <v>1870.7375018457178</v>
      </c>
      <c r="E19" s="42">
        <v>258.63522814612787</v>
      </c>
      <c r="F19" s="41">
        <v>1853.1735151761663</v>
      </c>
      <c r="G19" s="42">
        <v>254.46826832655159</v>
      </c>
      <c r="H19" s="41">
        <v>1833.3519546258619</v>
      </c>
      <c r="I19" s="42">
        <v>250.26022527026058</v>
      </c>
      <c r="J19" s="41">
        <v>1810.8421995050951</v>
      </c>
      <c r="K19" s="42">
        <v>245.97527524273701</v>
      </c>
      <c r="L19" s="41">
        <v>1785.110019161842</v>
      </c>
      <c r="M19" s="42">
        <v>241.56415808935816</v>
      </c>
      <c r="N19" s="41">
        <v>1755.4914830473797</v>
      </c>
      <c r="O19" s="42">
        <v>236.95936829355088</v>
      </c>
      <c r="P19" s="41">
        <v>1721.1584528770559</v>
      </c>
      <c r="Q19" s="42">
        <v>232.06863274137714</v>
      </c>
      <c r="R19" s="41">
        <v>1681.0767394671425</v>
      </c>
      <c r="S19" s="42">
        <v>226.76626583633254</v>
      </c>
      <c r="T19" s="41">
        <v>1633.958285345057</v>
      </c>
      <c r="U19" s="42">
        <v>220.88231871674688</v>
      </c>
      <c r="V19" s="41">
        <v>1578.2073816354675</v>
      </c>
      <c r="W19" s="42">
        <v>214.18892059563302</v>
      </c>
      <c r="X19" s="41">
        <v>1511.8722474689409</v>
      </c>
      <c r="Y19" s="42">
        <v>206.3854835032829</v>
      </c>
      <c r="Z19" s="41">
        <v>1432.6122412696634</v>
      </c>
      <c r="AA19" s="42">
        <v>197.0837881027891</v>
      </c>
      <c r="AB19" s="41">
        <v>1337.7052924149473</v>
      </c>
      <c r="AC19" s="42">
        <v>185.79845313971566</v>
      </c>
      <c r="AD19" s="41">
        <v>1224.1242879779686</v>
      </c>
      <c r="AE19" s="42">
        <v>171.94849263072621</v>
      </c>
      <c r="AF19" s="41">
        <v>1088.7083355021268</v>
      </c>
      <c r="AG19" s="42">
        <v>154.87840664277707</v>
      </c>
      <c r="AH19" s="41">
        <v>928.43225061419082</v>
      </c>
      <c r="AI19" s="42">
        <v>133.90367524715711</v>
      </c>
      <c r="AJ19" s="41">
        <v>740.73586541331554</v>
      </c>
      <c r="AK19" s="42">
        <v>108.37730489740838</v>
      </c>
      <c r="AL19" s="41">
        <v>523.82808535526522</v>
      </c>
      <c r="AM19" s="42">
        <v>77.763214693446642</v>
      </c>
      <c r="AN19" s="41">
        <v>276.87265943107275</v>
      </c>
      <c r="AO19" s="42">
        <v>41.694579999327743</v>
      </c>
      <c r="AP19" s="41"/>
      <c r="AQ19" s="42"/>
      <c r="AR19" s="41"/>
      <c r="AS19" s="42"/>
      <c r="AT19" s="41"/>
      <c r="AU19" s="42"/>
      <c r="AV19" s="41"/>
      <c r="AW19" s="42"/>
    </row>
    <row r="20" spans="1:49" x14ac:dyDescent="0.2">
      <c r="A20" t="s">
        <v>127</v>
      </c>
      <c r="B20" s="82">
        <v>26548.356269999993</v>
      </c>
      <c r="C20" s="83">
        <v>1408.5418709999938</v>
      </c>
      <c r="D20" s="82">
        <v>26348.860053154775</v>
      </c>
      <c r="E20" s="83">
        <v>1338.1147774499941</v>
      </c>
      <c r="F20" s="82">
        <v>26121.908407598625</v>
      </c>
      <c r="G20" s="83">
        <v>1267.6876838999945</v>
      </c>
      <c r="H20" s="82">
        <v>25862.518612018401</v>
      </c>
      <c r="I20" s="83">
        <v>1197.2605903499946</v>
      </c>
      <c r="J20" s="82">
        <v>25564.558709118119</v>
      </c>
      <c r="K20" s="83">
        <v>1126.8334967999949</v>
      </c>
      <c r="L20" s="82">
        <v>25220.420249704257</v>
      </c>
      <c r="M20" s="83">
        <v>1056.4064032499953</v>
      </c>
      <c r="N20" s="82">
        <v>24820.64490866684</v>
      </c>
      <c r="O20" s="83">
        <v>985.97930969999561</v>
      </c>
      <c r="P20" s="82">
        <v>24353.42824959135</v>
      </c>
      <c r="Q20" s="83">
        <v>915.55221614999596</v>
      </c>
      <c r="R20" s="82">
        <v>23804.016486786517</v>
      </c>
      <c r="S20" s="83">
        <v>845.12512259999642</v>
      </c>
      <c r="T20" s="82">
        <v>23154.014944190723</v>
      </c>
      <c r="U20" s="83">
        <v>774.69802904999653</v>
      </c>
      <c r="V20" s="82">
        <v>22380.605930272086</v>
      </c>
      <c r="W20" s="83">
        <v>704.27093549999688</v>
      </c>
      <c r="X20" s="82">
        <v>21455.838778293411</v>
      </c>
      <c r="Y20" s="83">
        <v>633.84384194999711</v>
      </c>
      <c r="Z20" s="82">
        <v>20346.137274850393</v>
      </c>
      <c r="AA20" s="83">
        <v>563.41674839999746</v>
      </c>
      <c r="AB20" s="82">
        <v>19012.379034597125</v>
      </c>
      <c r="AC20" s="83">
        <v>492.98965484999781</v>
      </c>
      <c r="AD20" s="82">
        <v>17410.96355148701</v>
      </c>
      <c r="AE20" s="83">
        <v>422.56256129999804</v>
      </c>
      <c r="AF20" s="82">
        <v>15496.249426963386</v>
      </c>
      <c r="AG20" s="83">
        <v>352.13546774999827</v>
      </c>
      <c r="AH20" s="82">
        <v>13224.42039751843</v>
      </c>
      <c r="AI20" s="83">
        <v>281.70837419999856</v>
      </c>
      <c r="AJ20" s="82">
        <v>10558.23773197286</v>
      </c>
      <c r="AK20" s="83">
        <v>211.28128064999879</v>
      </c>
      <c r="AL20" s="82">
        <v>7471.4577037275631</v>
      </c>
      <c r="AM20" s="83">
        <v>140.85418709999905</v>
      </c>
      <c r="AN20" s="82">
        <v>3951.5646086576357</v>
      </c>
      <c r="AO20" s="83">
        <v>70.427093549999285</v>
      </c>
      <c r="AP20" s="82"/>
      <c r="AQ20" s="83"/>
      <c r="AR20" s="82"/>
      <c r="AS20" s="83"/>
      <c r="AT20" s="82"/>
      <c r="AU20" s="83"/>
      <c r="AV20" s="82"/>
      <c r="AW20" s="83"/>
    </row>
    <row r="21" spans="1:49" x14ac:dyDescent="0.2">
      <c r="A21" t="s">
        <v>76</v>
      </c>
      <c r="B21" s="82">
        <v>24661.962530000252</v>
      </c>
      <c r="C21" s="83">
        <v>1145.7547579999959</v>
      </c>
      <c r="D21" s="82">
        <v>24478.12317600413</v>
      </c>
      <c r="E21" s="83">
        <v>1079.5772396073203</v>
      </c>
      <c r="F21" s="82">
        <v>24268.737341418422</v>
      </c>
      <c r="G21" s="83">
        <v>1013.6233759875862</v>
      </c>
      <c r="H21" s="82">
        <v>24029.172052069705</v>
      </c>
      <c r="I21" s="83">
        <v>947.93961178180496</v>
      </c>
      <c r="J21" s="82">
        <v>23753.725887696317</v>
      </c>
      <c r="K21" s="83">
        <v>882.5824746653974</v>
      </c>
      <c r="L21" s="82">
        <v>23435.324538780496</v>
      </c>
      <c r="M21" s="83">
        <v>817.6210294581075</v>
      </c>
      <c r="N21" s="82">
        <v>23065.173509652694</v>
      </c>
      <c r="O21" s="83">
        <v>753.13977852562084</v>
      </c>
      <c r="P21" s="82">
        <v>22632.296385903846</v>
      </c>
      <c r="Q21" s="83">
        <v>689.24216858471152</v>
      </c>
      <c r="R21" s="82">
        <v>22122.973431450242</v>
      </c>
      <c r="S21" s="83">
        <v>626.0546291891917</v>
      </c>
      <c r="T21" s="82">
        <v>21520.097852578601</v>
      </c>
      <c r="U21" s="83">
        <v>563.73069714027872</v>
      </c>
      <c r="V21" s="82">
        <v>20802.447437324296</v>
      </c>
      <c r="W21" s="83">
        <v>502.45513114159132</v>
      </c>
      <c r="X21" s="82">
        <v>19944.022991249782</v>
      </c>
      <c r="Y21" s="83">
        <v>442.44619715066744</v>
      </c>
      <c r="Z21" s="82">
        <v>18913.588522293823</v>
      </c>
      <c r="AA21" s="83">
        <v>383.95524895837707</v>
      </c>
      <c r="AB21" s="82">
        <v>17674.743147912468</v>
      </c>
      <c r="AC21" s="83">
        <v>327.26030507048847</v>
      </c>
      <c r="AD21" s="82">
        <v>16186.912728738342</v>
      </c>
      <c r="AE21" s="83">
        <v>272.65184907465118</v>
      </c>
      <c r="AF21" s="82">
        <v>14407.615822897575</v>
      </c>
      <c r="AG21" s="83">
        <v>220.40911830158279</v>
      </c>
      <c r="AH21" s="82">
        <v>12296.0602520883</v>
      </c>
      <c r="AI21" s="83">
        <v>170.76897658796128</v>
      </c>
      <c r="AJ21" s="82">
        <v>9817.5662644242511</v>
      </c>
      <c r="AK21" s="83">
        <v>123.89393428848146</v>
      </c>
      <c r="AL21" s="82">
        <v>6947.6800640244983</v>
      </c>
      <c r="AM21" s="83">
        <v>79.848797828237849</v>
      </c>
      <c r="AN21" s="82">
        <v>3674.7211839805414</v>
      </c>
      <c r="AO21" s="83">
        <v>38.594386326553085</v>
      </c>
      <c r="AP21" s="82"/>
      <c r="AQ21" s="83"/>
      <c r="AR21" s="82"/>
      <c r="AS21" s="83"/>
      <c r="AT21" s="82"/>
      <c r="AU21" s="83"/>
      <c r="AV21" s="82"/>
      <c r="AW21" s="83"/>
    </row>
    <row r="22" spans="1:49" x14ac:dyDescent="0.2">
      <c r="A22" t="s">
        <v>28</v>
      </c>
      <c r="B22" s="41">
        <v>6533.6044688320853</v>
      </c>
      <c r="C22" s="42">
        <v>379.90788307663502</v>
      </c>
      <c r="D22" s="41">
        <v>6459.4301235099965</v>
      </c>
      <c r="E22" s="42">
        <v>362.02003707305158</v>
      </c>
      <c r="F22" s="41">
        <v>6377.8466565898543</v>
      </c>
      <c r="G22" s="42">
        <v>343.96509589599981</v>
      </c>
      <c r="H22" s="41">
        <v>6287.6404809458181</v>
      </c>
      <c r="I22" s="42">
        <v>325.74303341568373</v>
      </c>
      <c r="J22" s="41">
        <v>6187.3423337039776</v>
      </c>
      <c r="K22" s="42">
        <v>307.35483758094881</v>
      </c>
      <c r="L22" s="41">
        <v>6075.1607829498089</v>
      </c>
      <c r="M22" s="42">
        <v>288.8027630827965</v>
      </c>
      <c r="N22" s="41">
        <v>5948.9086638131457</v>
      </c>
      <c r="O22" s="42">
        <v>270.09060467367482</v>
      </c>
      <c r="P22" s="41">
        <v>5805.9080080577478</v>
      </c>
      <c r="Q22" s="42">
        <v>251.22405616478733</v>
      </c>
      <c r="R22" s="41">
        <v>5642.8787121910991</v>
      </c>
      <c r="S22" s="42">
        <v>232.21115278586115</v>
      </c>
      <c r="T22" s="41">
        <v>5455.8180404152872</v>
      </c>
      <c r="U22" s="42">
        <v>213.06267976076452</v>
      </c>
      <c r="V22" s="41">
        <v>5239.8733905602248</v>
      </c>
      <c r="W22" s="42">
        <v>193.79280607486098</v>
      </c>
      <c r="X22" s="41">
        <v>4989.2464135644295</v>
      </c>
      <c r="Y22" s="42">
        <v>174.41945904295244</v>
      </c>
      <c r="Z22" s="41">
        <v>4697.1598689037637</v>
      </c>
      <c r="AA22" s="42">
        <v>154.96490064687774</v>
      </c>
      <c r="AB22" s="41">
        <v>4355.9562257560301</v>
      </c>
      <c r="AC22" s="42">
        <v>135.45568341676707</v>
      </c>
      <c r="AD22" s="41">
        <v>3957.4033835071664</v>
      </c>
      <c r="AE22" s="42">
        <v>115.92237286340712</v>
      </c>
      <c r="AF22" s="41">
        <v>3493.2594394677544</v>
      </c>
      <c r="AG22" s="42">
        <v>96.398382927465789</v>
      </c>
      <c r="AH22" s="41">
        <v>2956.0755128250025</v>
      </c>
      <c r="AI22" s="42">
        <v>76.917942681259717</v>
      </c>
      <c r="AJ22" s="41">
        <v>2340.0963509265703</v>
      </c>
      <c r="AK22" s="42">
        <v>57.513511211933896</v>
      </c>
      <c r="AL22" s="41">
        <v>1642.0050508831455</v>
      </c>
      <c r="AM22" s="42">
        <v>38.21289891042602</v>
      </c>
      <c r="AN22" s="41">
        <v>861.27189461470459</v>
      </c>
      <c r="AO22" s="42">
        <v>19.037223588657422</v>
      </c>
      <c r="AP22" s="41"/>
      <c r="AQ22" s="42"/>
      <c r="AR22" s="41"/>
      <c r="AS22" s="42"/>
      <c r="AT22" s="41"/>
      <c r="AU22" s="42"/>
      <c r="AV22" s="41"/>
      <c r="AW22" s="42"/>
    </row>
    <row r="23" spans="1:49" x14ac:dyDescent="0.2">
      <c r="A23" t="s">
        <v>7</v>
      </c>
      <c r="B23" s="116">
        <v>3278.5018080150408</v>
      </c>
      <c r="C23" s="8">
        <v>0</v>
      </c>
      <c r="D23" s="116">
        <v>3259.2315705804212</v>
      </c>
      <c r="E23" s="8">
        <v>0</v>
      </c>
      <c r="F23" s="116">
        <v>3236.5616333161488</v>
      </c>
      <c r="G23" s="8">
        <v>0</v>
      </c>
      <c r="H23" s="116">
        <v>3209.8600736618046</v>
      </c>
      <c r="I23" s="8">
        <v>0</v>
      </c>
      <c r="J23" s="116">
        <v>3178.3468281299715</v>
      </c>
      <c r="K23" s="8">
        <v>0</v>
      </c>
      <c r="L23" s="116">
        <v>3141.0509610389308</v>
      </c>
      <c r="M23" s="8">
        <v>0</v>
      </c>
      <c r="N23" s="116">
        <v>3096.7617793733343</v>
      </c>
      <c r="O23" s="8">
        <v>0</v>
      </c>
      <c r="P23" s="116">
        <v>3043.9636874321563</v>
      </c>
      <c r="Q23" s="8">
        <v>0</v>
      </c>
      <c r="R23" s="116">
        <v>2980.756683958592</v>
      </c>
      <c r="S23" s="8">
        <v>0</v>
      </c>
      <c r="T23" s="116">
        <v>2904.7648507561712</v>
      </c>
      <c r="U23" s="8">
        <v>0</v>
      </c>
      <c r="V23" s="116">
        <v>2813.0321487427955</v>
      </c>
      <c r="W23" s="8">
        <v>0</v>
      </c>
      <c r="X23" s="116">
        <v>2701.9268289669435</v>
      </c>
      <c r="Y23" s="8">
        <v>0</v>
      </c>
      <c r="Z23" s="116">
        <v>2567.0730770207142</v>
      </c>
      <c r="AA23" s="8">
        <v>0</v>
      </c>
      <c r="AB23" s="116">
        <v>2403.3563939915548</v>
      </c>
      <c r="AC23" s="8">
        <v>0</v>
      </c>
      <c r="AD23" s="116">
        <v>2205.0579073052963</v>
      </c>
      <c r="AE23" s="8">
        <v>0</v>
      </c>
      <c r="AF23" s="116">
        <v>1966.1685593160801</v>
      </c>
      <c r="AG23" s="8">
        <v>0</v>
      </c>
      <c r="AH23" s="116">
        <v>1680.8929040241362</v>
      </c>
      <c r="AI23" s="8">
        <v>0</v>
      </c>
      <c r="AJ23" s="116">
        <v>1344.2732388505767</v>
      </c>
      <c r="AK23" s="8">
        <v>0</v>
      </c>
      <c r="AL23" s="116">
        <v>952.77486742593373</v>
      </c>
      <c r="AM23" s="8">
        <v>0</v>
      </c>
      <c r="AN23" s="116">
        <v>504.65427015146116</v>
      </c>
      <c r="AO23" s="8">
        <v>0</v>
      </c>
      <c r="AP23" s="116"/>
      <c r="AQ23" s="8"/>
      <c r="AR23" s="116"/>
      <c r="AS23" s="8"/>
      <c r="AT23" s="116"/>
      <c r="AU23" s="8"/>
      <c r="AV23" s="116"/>
      <c r="AW23" s="8"/>
    </row>
    <row r="24" spans="1:49" x14ac:dyDescent="0.2">
      <c r="A24" t="s">
        <v>8</v>
      </c>
      <c r="B24" s="97">
        <v>3196.3846373657216</v>
      </c>
      <c r="C24" s="8">
        <v>0</v>
      </c>
      <c r="D24" s="97">
        <v>3206.5724820846635</v>
      </c>
      <c r="E24" s="8">
        <v>0</v>
      </c>
      <c r="F24" s="97">
        <v>3213.7286132276354</v>
      </c>
      <c r="G24" s="8">
        <v>0</v>
      </c>
      <c r="H24" s="97">
        <v>3217.1903881812123</v>
      </c>
      <c r="I24" s="8">
        <v>0</v>
      </c>
      <c r="J24" s="97">
        <v>3216.1207807479122</v>
      </c>
      <c r="K24" s="8">
        <v>0</v>
      </c>
      <c r="L24" s="97">
        <v>3209.453314292442</v>
      </c>
      <c r="M24" s="8">
        <v>0</v>
      </c>
      <c r="N24" s="97">
        <v>3195.8267800762501</v>
      </c>
      <c r="O24" s="8">
        <v>0</v>
      </c>
      <c r="P24" s="97">
        <v>3173.4964212917057</v>
      </c>
      <c r="Q24" s="8">
        <v>0</v>
      </c>
      <c r="R24" s="97">
        <v>3140.2220245898407</v>
      </c>
      <c r="S24" s="8">
        <v>0</v>
      </c>
      <c r="T24" s="97">
        <v>3093.1333731004038</v>
      </c>
      <c r="U24" s="8">
        <v>0</v>
      </c>
      <c r="V24" s="97">
        <v>3028.5696904147394</v>
      </c>
      <c r="W24" s="8">
        <v>0</v>
      </c>
      <c r="X24" s="97">
        <v>2941.9166681161041</v>
      </c>
      <c r="Y24" s="8">
        <v>0</v>
      </c>
      <c r="Z24" s="97">
        <v>2827.4631620719747</v>
      </c>
      <c r="AA24" s="8">
        <v>0</v>
      </c>
      <c r="AB24" s="97">
        <v>2678.3405789613284</v>
      </c>
      <c r="AC24" s="8">
        <v>0</v>
      </c>
      <c r="AD24" s="97">
        <v>2486.6232501714057</v>
      </c>
      <c r="AE24" s="8">
        <v>0</v>
      </c>
      <c r="AF24" s="97">
        <v>2243.6768092172474</v>
      </c>
      <c r="AG24" s="8">
        <v>0</v>
      </c>
      <c r="AH24" s="97">
        <v>1940.7943867306219</v>
      </c>
      <c r="AI24" s="8">
        <v>0</v>
      </c>
      <c r="AJ24" s="97">
        <v>1570.056133670749</v>
      </c>
      <c r="AK24" s="8">
        <v>0</v>
      </c>
      <c r="AL24" s="97">
        <v>1125.2114688975862</v>
      </c>
      <c r="AM24" s="8">
        <v>0</v>
      </c>
      <c r="AN24" s="97">
        <v>602.32571715823133</v>
      </c>
      <c r="AO24" s="8">
        <v>0</v>
      </c>
      <c r="AP24" s="97"/>
      <c r="AQ24" s="8"/>
      <c r="AR24" s="97"/>
      <c r="AS24" s="8"/>
      <c r="AT24" s="97"/>
      <c r="AU24" s="8"/>
      <c r="AV24" s="97"/>
      <c r="AW24" s="8"/>
    </row>
    <row r="25" spans="1:49" x14ac:dyDescent="0.2">
      <c r="A25" t="s">
        <v>0</v>
      </c>
      <c r="B25" s="41">
        <v>3195.0476040000012</v>
      </c>
      <c r="C25" s="42">
        <v>91.012690000004397</v>
      </c>
      <c r="D25" s="41">
        <v>3176.5847155654787</v>
      </c>
      <c r="E25" s="42">
        <v>82.099877139546962</v>
      </c>
      <c r="F25" s="41">
        <v>3154.6699538331691</v>
      </c>
      <c r="G25" s="42">
        <v>73.560109844887961</v>
      </c>
      <c r="H25" s="41">
        <v>3128.6870066588408</v>
      </c>
      <c r="I25" s="42">
        <v>65.417255330152372</v>
      </c>
      <c r="J25" s="41">
        <v>3097.8779619031416</v>
      </c>
      <c r="K25" s="42">
        <v>57.695489311086476</v>
      </c>
      <c r="L25" s="41">
        <v>3061.3022557905092</v>
      </c>
      <c r="M25" s="42">
        <v>50.419004430864973</v>
      </c>
      <c r="N25" s="41">
        <v>3017.7900616579359</v>
      </c>
      <c r="O25" s="42">
        <v>43.61139068111315</v>
      </c>
      <c r="P25" s="41">
        <v>2965.8796964622106</v>
      </c>
      <c r="Q25" s="42">
        <v>37.294938000813886</v>
      </c>
      <c r="R25" s="41">
        <v>2903.7411150008766</v>
      </c>
      <c r="S25" s="42">
        <v>31.489716357636794</v>
      </c>
      <c r="T25" s="41">
        <v>2829.0876088781774</v>
      </c>
      <c r="U25" s="42">
        <v>26.21229472470942</v>
      </c>
      <c r="V25" s="41">
        <v>2739.0747686161467</v>
      </c>
      <c r="W25" s="42">
        <v>21.474355054349399</v>
      </c>
      <c r="X25" s="41">
        <v>2630.2071804121383</v>
      </c>
      <c r="Y25" s="42">
        <v>17.280825637190521</v>
      </c>
      <c r="Z25" s="41">
        <v>2498.2705079237776</v>
      </c>
      <c r="AA25" s="42">
        <v>13.628027509601576</v>
      </c>
      <c r="AB25" s="41">
        <v>2338.3339311766308</v>
      </c>
      <c r="AC25" s="42">
        <v>10.501884887978834</v>
      </c>
      <c r="AD25" s="41">
        <v>2144.8764749759644</v>
      </c>
      <c r="AE25" s="42">
        <v>7.8766436955999151</v>
      </c>
      <c r="AF25" s="41">
        <v>1912.0873537809871</v>
      </c>
      <c r="AG25" s="42">
        <v>5.7146665557602265</v>
      </c>
      <c r="AH25" s="41">
        <v>1634.3510291142093</v>
      </c>
      <c r="AI25" s="42">
        <v>3.9677853451732985</v>
      </c>
      <c r="AJ25" s="41">
        <v>1306.851307749798</v>
      </c>
      <c r="AK25" s="42">
        <v>2.5803842513320534</v>
      </c>
      <c r="AL25" s="41">
        <v>926.14102811117868</v>
      </c>
      <c r="AM25" s="42">
        <v>1.4937748577839258</v>
      </c>
      <c r="AN25" s="41">
        <v>490.50391272937935</v>
      </c>
      <c r="AO25" s="42">
        <v>0.65086571075170085</v>
      </c>
      <c r="AP25" s="41"/>
      <c r="AQ25" s="42"/>
      <c r="AR25" s="41"/>
      <c r="AS25" s="42"/>
      <c r="AT25" s="41"/>
      <c r="AU25" s="42"/>
      <c r="AV25" s="41"/>
      <c r="AW25" s="42"/>
    </row>
    <row r="26" spans="1:49" x14ac:dyDescent="0.2">
      <c r="A26" t="s">
        <v>27</v>
      </c>
      <c r="B26" s="33">
        <v>5036.2953101960647</v>
      </c>
      <c r="C26" s="34">
        <v>74.905331803938267</v>
      </c>
      <c r="D26" s="33">
        <v>5005.6198991383471</v>
      </c>
      <c r="E26" s="34">
        <v>70.701389036741915</v>
      </c>
      <c r="F26" s="33">
        <v>4970.0895563645363</v>
      </c>
      <c r="G26" s="34">
        <v>66.521717731875242</v>
      </c>
      <c r="H26" s="33">
        <v>4928.7623580510035</v>
      </c>
      <c r="I26" s="34">
        <v>62.368096637362385</v>
      </c>
      <c r="J26" s="33">
        <v>4880.4689247626629</v>
      </c>
      <c r="K26" s="34">
        <v>58.242483379785234</v>
      </c>
      <c r="L26" s="33">
        <v>4823.7449991404719</v>
      </c>
      <c r="M26" s="34">
        <v>54.147114519184747</v>
      </c>
      <c r="N26" s="33">
        <v>4756.7540714595034</v>
      </c>
      <c r="O26" s="34">
        <v>50.084557223201628</v>
      </c>
      <c r="P26" s="33">
        <v>4677.1834145623525</v>
      </c>
      <c r="Q26" s="34">
        <v>46.057834910177192</v>
      </c>
      <c r="R26" s="33">
        <v>4582.1162848787772</v>
      </c>
      <c r="S26" s="34">
        <v>42.07059437620385</v>
      </c>
      <c r="T26" s="33">
        <v>4467.8833677565835</v>
      </c>
      <c r="U26" s="34">
        <v>38.127281516521407</v>
      </c>
      <c r="V26" s="33">
        <v>4329.8914555664824</v>
      </c>
      <c r="W26" s="34">
        <v>34.23342360832563</v>
      </c>
      <c r="X26" s="33">
        <v>4162.4622294141718</v>
      </c>
      <c r="Y26" s="34">
        <v>30.395841799281236</v>
      </c>
      <c r="Z26" s="33">
        <v>3958.7094828653385</v>
      </c>
      <c r="AA26" s="34">
        <v>26.622857964322634</v>
      </c>
      <c r="AB26" s="33">
        <v>3710.5289142542492</v>
      </c>
      <c r="AC26" s="34">
        <v>22.924382785590776</v>
      </c>
      <c r="AD26" s="33">
        <v>3408.7886891832622</v>
      </c>
      <c r="AE26" s="34">
        <v>19.311670459545081</v>
      </c>
      <c r="AF26" s="33">
        <v>3043.8062800387856</v>
      </c>
      <c r="AG26" s="34">
        <v>15.796671256685388</v>
      </c>
      <c r="AH26" s="33">
        <v>2606.1338318383764</v>
      </c>
      <c r="AI26" s="34">
        <v>12.390906014767571</v>
      </c>
      <c r="AJ26" s="33">
        <v>2087.5499887433211</v>
      </c>
      <c r="AK26" s="34">
        <v>9.10401954739255</v>
      </c>
      <c r="AL26" s="33">
        <v>1482.0105745205231</v>
      </c>
      <c r="AM26" s="34">
        <v>5.9424117155260587</v>
      </c>
      <c r="AN26" s="33">
        <v>786.27163264564615</v>
      </c>
      <c r="AO26" s="34">
        <v>2.9083701674156996</v>
      </c>
      <c r="AP26" s="33"/>
      <c r="AQ26" s="34"/>
      <c r="AR26" s="33"/>
      <c r="AS26" s="34"/>
      <c r="AT26" s="33"/>
      <c r="AU26" s="34"/>
      <c r="AV26" s="33"/>
      <c r="AW26" s="34"/>
    </row>
    <row r="27" spans="1:49" x14ac:dyDescent="0.2">
      <c r="A27" t="s">
        <v>2</v>
      </c>
      <c r="B27" s="35">
        <v>6425.1981590000414</v>
      </c>
      <c r="C27" s="36">
        <v>273.22915400000028</v>
      </c>
      <c r="D27" s="35">
        <v>6387.8540057226564</v>
      </c>
      <c r="E27" s="36">
        <v>257.93078378061728</v>
      </c>
      <c r="F27" s="35">
        <v>6344.4114147322889</v>
      </c>
      <c r="G27" s="36">
        <v>242.71896164605951</v>
      </c>
      <c r="H27" s="35">
        <v>6293.7038059396418</v>
      </c>
      <c r="I27" s="36">
        <v>227.60060609552602</v>
      </c>
      <c r="J27" s="35">
        <v>6234.2809577547077</v>
      </c>
      <c r="K27" s="36">
        <v>212.58320727516812</v>
      </c>
      <c r="L27" s="35">
        <v>6164.3236841606476</v>
      </c>
      <c r="M27" s="36">
        <v>197.67533673644664</v>
      </c>
      <c r="N27" s="35">
        <v>6081.5437549050193</v>
      </c>
      <c r="O27" s="36">
        <v>182.8866574140925</v>
      </c>
      <c r="P27" s="35">
        <v>5983.0488957919024</v>
      </c>
      <c r="Q27" s="36">
        <v>168.22836106785911</v>
      </c>
      <c r="R27" s="35">
        <v>5865.1742152756724</v>
      </c>
      <c r="S27" s="36">
        <v>153.71375528010654</v>
      </c>
      <c r="T27" s="35">
        <v>5723.2819063621992</v>
      </c>
      <c r="U27" s="36">
        <v>139.35870327417905</v>
      </c>
      <c r="V27" s="35">
        <v>5551.5247782412862</v>
      </c>
      <c r="W27" s="36">
        <v>125.18275985094837</v>
      </c>
      <c r="X27" s="35">
        <v>5342.6116003637062</v>
      </c>
      <c r="Y27" s="36">
        <v>111.20965235229654</v>
      </c>
      <c r="Z27" s="35">
        <v>5087.608808580072</v>
      </c>
      <c r="AA27" s="36">
        <v>97.46784386154026</v>
      </c>
      <c r="AB27" s="35">
        <v>4775.8730189173675</v>
      </c>
      <c r="AC27" s="36">
        <v>83.991003947171905</v>
      </c>
      <c r="AD27" s="35">
        <v>4395.2334537846291</v>
      </c>
      <c r="AE27" s="36">
        <v>70.816981964474223</v>
      </c>
      <c r="AF27" s="35">
        <v>3932.5491828280178</v>
      </c>
      <c r="AG27" s="36">
        <v>57.985683034478008</v>
      </c>
      <c r="AH27" s="35">
        <v>3374.6939466577819</v>
      </c>
      <c r="AI27" s="36">
        <v>45.535338305620733</v>
      </c>
      <c r="AJ27" s="35">
        <v>2709.8617157798553</v>
      </c>
      <c r="AK27" s="36">
        <v>33.497694311503722</v>
      </c>
      <c r="AL27" s="35">
        <v>1928.8838071931377</v>
      </c>
      <c r="AM27" s="36">
        <v>21.893575453225427</v>
      </c>
      <c r="AN27" s="35">
        <v>1026.1707720446175</v>
      </c>
      <c r="AO27" s="36">
        <v>10.730003285580912</v>
      </c>
      <c r="AP27" s="35"/>
      <c r="AQ27" s="36"/>
      <c r="AR27" s="35"/>
      <c r="AS27" s="36"/>
      <c r="AT27" s="35"/>
      <c r="AU27" s="36"/>
      <c r="AV27" s="35"/>
      <c r="AW27" s="36"/>
    </row>
    <row r="28" spans="1:49" x14ac:dyDescent="0.2">
      <c r="A28" t="s">
        <v>35</v>
      </c>
      <c r="B28" s="41">
        <v>13763.097676000029</v>
      </c>
      <c r="C28" s="42">
        <v>382.36647899999997</v>
      </c>
      <c r="D28" s="41">
        <v>13681.058897536677</v>
      </c>
      <c r="E28" s="42">
        <v>360.94294493978038</v>
      </c>
      <c r="F28" s="41">
        <v>13585.84702735407</v>
      </c>
      <c r="G28" s="42">
        <v>339.64131280487805</v>
      </c>
      <c r="H28" s="41">
        <v>13474.922864158905</v>
      </c>
      <c r="I28" s="42">
        <v>318.4710921243265</v>
      </c>
      <c r="J28" s="41">
        <v>13345.132035757857</v>
      </c>
      <c r="K28" s="42">
        <v>297.44262407158004</v>
      </c>
      <c r="L28" s="41">
        <v>13192.521387493694</v>
      </c>
      <c r="M28" s="42">
        <v>276.56773671724653</v>
      </c>
      <c r="N28" s="41">
        <v>13012.126095628057</v>
      </c>
      <c r="O28" s="42">
        <v>255.85983023903557</v>
      </c>
      <c r="P28" s="41">
        <v>12797.683094890384</v>
      </c>
      <c r="Q28" s="42">
        <v>235.33449730180396</v>
      </c>
      <c r="R28" s="41">
        <v>12541.276187359506</v>
      </c>
      <c r="S28" s="42">
        <v>215.01035341819269</v>
      </c>
      <c r="T28" s="41">
        <v>12232.919188136486</v>
      </c>
      <c r="U28" s="42">
        <v>194.90973333065031</v>
      </c>
      <c r="V28" s="41">
        <v>11860.069781742333</v>
      </c>
      <c r="W28" s="42">
        <v>175.06023822843011</v>
      </c>
      <c r="X28" s="41">
        <v>11407.16008743804</v>
      </c>
      <c r="Y28" s="42">
        <v>155.49552826573782</v>
      </c>
      <c r="Z28" s="41">
        <v>10855.219981480317</v>
      </c>
      <c r="AA28" s="42">
        <v>136.25619068374519</v>
      </c>
      <c r="AB28" s="41">
        <v>10181.795951865523</v>
      </c>
      <c r="AC28" s="42">
        <v>117.39034239548339</v>
      </c>
      <c r="AD28" s="41">
        <v>9361.413471126587</v>
      </c>
      <c r="AE28" s="42">
        <v>98.9522530878656</v>
      </c>
      <c r="AF28" s="41">
        <v>8366.832572361358</v>
      </c>
      <c r="AG28" s="42">
        <v>80.999284546366667</v>
      </c>
      <c r="AH28" s="41">
        <v>7171.1814665059501</v>
      </c>
      <c r="AI28" s="42">
        <v>63.586525944089054</v>
      </c>
      <c r="AJ28" s="41">
        <v>5750.7114609780265</v>
      </c>
      <c r="AK28" s="42">
        <v>46.759875861764172</v>
      </c>
      <c r="AL28" s="41">
        <v>4087.501433607446</v>
      </c>
      <c r="AM28" s="42">
        <v>30.549602087261491</v>
      </c>
      <c r="AN28" s="41">
        <v>2171.3061534035</v>
      </c>
      <c r="AO28" s="42">
        <v>14.966184357387666</v>
      </c>
      <c r="AP28" s="41"/>
      <c r="AQ28" s="42"/>
      <c r="AR28" s="41"/>
      <c r="AS28" s="42"/>
      <c r="AT28" s="41"/>
      <c r="AU28" s="42"/>
      <c r="AV28" s="41"/>
      <c r="AW28" s="42"/>
    </row>
    <row r="29" spans="1:49" x14ac:dyDescent="0.2">
      <c r="A29" t="s">
        <v>53</v>
      </c>
      <c r="B29" s="35">
        <v>14362.768558000025</v>
      </c>
      <c r="C29" s="36">
        <v>817.26650999999993</v>
      </c>
      <c r="D29" s="35">
        <v>14258.12212354686</v>
      </c>
      <c r="E29" s="36">
        <v>764.94816559061076</v>
      </c>
      <c r="F29" s="35">
        <v>14138.534030161118</v>
      </c>
      <c r="G29" s="36">
        <v>713.29185037662978</v>
      </c>
      <c r="H29" s="35">
        <v>14001.298798083684</v>
      </c>
      <c r="I29" s="36">
        <v>662.35471870153651</v>
      </c>
      <c r="J29" s="35">
        <v>13843.087271184711</v>
      </c>
      <c r="K29" s="36">
        <v>612.20009617063079</v>
      </c>
      <c r="L29" s="35">
        <v>13659.768563625455</v>
      </c>
      <c r="M29" s="36">
        <v>562.89943955529588</v>
      </c>
      <c r="N29" s="35">
        <v>13446.207088512017</v>
      </c>
      <c r="O29" s="36">
        <v>514.53284478774981</v>
      </c>
      <c r="P29" s="35">
        <v>13195.992386519869</v>
      </c>
      <c r="Q29" s="36">
        <v>467.19065681836901</v>
      </c>
      <c r="R29" s="35">
        <v>12901.110467026196</v>
      </c>
      <c r="S29" s="36">
        <v>420.97518408025991</v>
      </c>
      <c r="T29" s="35">
        <v>12551.566677712226</v>
      </c>
      <c r="U29" s="36">
        <v>376.00148431616077</v>
      </c>
      <c r="V29" s="35">
        <v>12134.958509817745</v>
      </c>
      <c r="W29" s="36">
        <v>332.39912735559079</v>
      </c>
      <c r="X29" s="35">
        <v>11636.086848495734</v>
      </c>
      <c r="Y29" s="36">
        <v>290.31082620266562</v>
      </c>
      <c r="Z29" s="35">
        <v>11036.684430523161</v>
      </c>
      <c r="AA29" s="36">
        <v>249.88961707601982</v>
      </c>
      <c r="AB29" s="35">
        <v>10315.454564540056</v>
      </c>
      <c r="AC29" s="36">
        <v>211.29306595307844</v>
      </c>
      <c r="AD29" s="35">
        <v>9448.6476855997971</v>
      </c>
      <c r="AE29" s="36">
        <v>174.67174891694373</v>
      </c>
      <c r="AF29" s="35">
        <v>8411.3840676242253</v>
      </c>
      <c r="AG29" s="36">
        <v>140.1535535576171</v>
      </c>
      <c r="AH29" s="35">
        <v>7179.757049230835</v>
      </c>
      <c r="AI29" s="36">
        <v>107.82511412750259</v>
      </c>
      <c r="AJ29" s="35">
        <v>5733.4230852017508</v>
      </c>
      <c r="AK29" s="36">
        <v>77.71500116621506</v>
      </c>
      <c r="AL29" s="35">
        <v>4058.0140638603775</v>
      </c>
      <c r="AM29" s="36">
        <v>49.784749248571934</v>
      </c>
      <c r="AN29" s="35">
        <v>2146.6352893200069</v>
      </c>
      <c r="AO29" s="36">
        <v>23.931192449833873</v>
      </c>
      <c r="AP29" s="35"/>
      <c r="AQ29" s="36"/>
      <c r="AR29" s="35"/>
      <c r="AS29" s="36"/>
      <c r="AT29" s="35"/>
      <c r="AU29" s="36"/>
      <c r="AV29" s="35"/>
      <c r="AW29" s="36"/>
    </row>
    <row r="30" spans="1:49" x14ac:dyDescent="0.2">
      <c r="A30" t="s">
        <v>48</v>
      </c>
      <c r="B30" s="119">
        <v>2924829.9599999995</v>
      </c>
      <c r="D30" s="119">
        <v>2954923.7322103912</v>
      </c>
      <c r="F30" s="119">
        <v>2982448.6347396071</v>
      </c>
      <c r="H30" s="119">
        <v>3006768.7193669067</v>
      </c>
      <c r="J30" s="119">
        <v>3027066.3574674712</v>
      </c>
      <c r="L30" s="119">
        <v>3042282.1609783261</v>
      </c>
      <c r="N30" s="119">
        <v>3051042.1758782715</v>
      </c>
      <c r="P30" s="119">
        <v>3051558.3495122138</v>
      </c>
      <c r="R30" s="119">
        <v>3041501.0407427354</v>
      </c>
      <c r="T30" s="119">
        <v>3017843.5570279881</v>
      </c>
      <c r="V30" s="119">
        <v>2976672.0928483596</v>
      </c>
      <c r="X30" s="119">
        <v>2912987.5365190161</v>
      </c>
      <c r="Z30" s="119">
        <v>2820519.3710796745</v>
      </c>
      <c r="AB30" s="119">
        <v>2691624.2976139095</v>
      </c>
      <c r="AD30" s="119">
        <v>2517357.5689109704</v>
      </c>
      <c r="AF30" s="119">
        <v>2287823.6701247361</v>
      </c>
      <c r="AH30" s="119">
        <v>1992864.3848536718</v>
      </c>
      <c r="AJ30" s="119">
        <v>1623024.9674743437</v>
      </c>
      <c r="AL30" s="119">
        <v>1170585.2038338948</v>
      </c>
      <c r="AN30" s="119">
        <v>630354.58861425216</v>
      </c>
      <c r="AP30" s="119"/>
      <c r="AR30" s="119"/>
      <c r="AT30" s="119"/>
      <c r="AV30" s="119"/>
    </row>
    <row r="31" spans="1:49" x14ac:dyDescent="0.2">
      <c r="A31" t="s">
        <v>47</v>
      </c>
      <c r="B31" s="80">
        <v>1.0000000000000027</v>
      </c>
      <c r="D31" s="80">
        <v>0.98664607403531401</v>
      </c>
      <c r="F31" s="80">
        <v>0.97207780746084427</v>
      </c>
      <c r="H31" s="80">
        <v>0.95611107486808411</v>
      </c>
      <c r="J31" s="80">
        <v>0.93852547588076485</v>
      </c>
      <c r="L31" s="80">
        <v>0.91905548583719188</v>
      </c>
      <c r="N31" s="80">
        <v>0.89738093875136349</v>
      </c>
      <c r="P31" s="80">
        <v>0.87311492677207669</v>
      </c>
      <c r="R31" s="80">
        <v>0.84579005373328009</v>
      </c>
      <c r="T31" s="80">
        <v>0.81484422123238709</v>
      </c>
      <c r="V31" s="80">
        <v>0.77960656491912528</v>
      </c>
      <c r="X31" s="80">
        <v>0.73928888433010653</v>
      </c>
      <c r="Z31" s="80">
        <v>0.6929869474605177</v>
      </c>
      <c r="AB31" s="80">
        <v>0.63970044076868138</v>
      </c>
      <c r="AD31" s="80">
        <v>0.57838074782905724</v>
      </c>
      <c r="AF31" s="80">
        <v>0.50801132468990362</v>
      </c>
      <c r="AH31" s="80">
        <v>0.42771521327746537</v>
      </c>
      <c r="AJ31" s="80">
        <v>0.33686886995838811</v>
      </c>
      <c r="AL31" s="80">
        <v>0.23518836519671735</v>
      </c>
      <c r="AN31" s="80">
        <v>0.12275917191273793</v>
      </c>
      <c r="AP31" s="80"/>
      <c r="AR31" s="80"/>
      <c r="AT31" s="80"/>
      <c r="AV31" s="80"/>
    </row>
    <row r="32" spans="1:49" x14ac:dyDescent="0.2">
      <c r="A32" t="s">
        <v>64</v>
      </c>
      <c r="B32" s="86">
        <v>14734457.915000005</v>
      </c>
      <c r="D32" s="86">
        <v>14636379.738802763</v>
      </c>
      <c r="F32" s="86">
        <v>14523318.358336683</v>
      </c>
      <c r="H32" s="86">
        <v>14392467.32046051</v>
      </c>
      <c r="J32" s="86">
        <v>14240361.317410391</v>
      </c>
      <c r="L32" s="86">
        <v>14062687.650650898</v>
      </c>
      <c r="N32" s="86">
        <v>13854070.099207491</v>
      </c>
      <c r="P32" s="86">
        <v>13607782.207589122</v>
      </c>
      <c r="R32" s="86">
        <v>13315398.235815881</v>
      </c>
      <c r="T32" s="86">
        <v>12966392.611594113</v>
      </c>
      <c r="V32" s="86">
        <v>12547686.198010737</v>
      </c>
      <c r="X32" s="86">
        <v>12043233.297247551</v>
      </c>
      <c r="Z32" s="86">
        <v>11433732.684313932</v>
      </c>
      <c r="AB32" s="86">
        <v>10696666.822269559</v>
      </c>
      <c r="AD32" s="86">
        <v>9806910.2012071349</v>
      </c>
      <c r="AF32" s="86">
        <v>8738126.6316364091</v>
      </c>
      <c r="AH32" s="86">
        <v>7464991.8021303471</v>
      </c>
      <c r="AJ32" s="86">
        <v>5965930.5893654944</v>
      </c>
      <c r="AL32" s="86">
        <v>4225667.2266882574</v>
      </c>
      <c r="AN32" s="86">
        <v>2236810.5277823969</v>
      </c>
      <c r="AP32" s="86"/>
      <c r="AR32" s="86"/>
      <c r="AT32" s="86"/>
      <c r="AV32" s="86"/>
    </row>
    <row r="33" spans="1:49 16319:16321" x14ac:dyDescent="0.2">
      <c r="A33" t="s">
        <v>54</v>
      </c>
      <c r="B33" s="117">
        <v>7019665.6910000108</v>
      </c>
      <c r="D33" s="117">
        <v>6943526.7818991616</v>
      </c>
      <c r="F33" s="117">
        <v>6860008.3062483435</v>
      </c>
      <c r="H33" s="117">
        <v>6767820.353467782</v>
      </c>
      <c r="J33" s="117">
        <v>6665389.221594817</v>
      </c>
      <c r="L33" s="117">
        <v>6550781.4446679913</v>
      </c>
      <c r="N33" s="117">
        <v>6421618.1818041522</v>
      </c>
      <c r="P33" s="117">
        <v>6274964.1425795723</v>
      </c>
      <c r="R33" s="117">
        <v>6107195.7400562121</v>
      </c>
      <c r="T33" s="117">
        <v>5913855.5674667377</v>
      </c>
      <c r="V33" s="117">
        <v>5689494.9896897012</v>
      </c>
      <c r="X33" s="117">
        <v>5427546.8335359767</v>
      </c>
      <c r="Z33" s="117">
        <v>5120263.383131044</v>
      </c>
      <c r="AB33" s="117">
        <v>4758799.9777477691</v>
      </c>
      <c r="AD33" s="117">
        <v>4333533.6119200774</v>
      </c>
      <c r="AF33" s="117">
        <v>3834684.7973918673</v>
      </c>
      <c r="AH33" s="117">
        <v>3253230.0562530812</v>
      </c>
      <c r="AJ33" s="117">
        <v>2581954.5578542426</v>
      </c>
      <c r="AL33" s="117">
        <v>1816356.8534379089</v>
      </c>
      <c r="AN33" s="117">
        <v>955119.08319329773</v>
      </c>
      <c r="AP33" s="117"/>
      <c r="AR33" s="117"/>
      <c r="AT33" s="117"/>
      <c r="AV33" s="117"/>
    </row>
    <row r="34" spans="1:49 16319:16321" x14ac:dyDescent="0.2">
      <c r="A34" t="s">
        <v>75</v>
      </c>
      <c r="B34" s="117">
        <v>1136879.4409999943</v>
      </c>
      <c r="D34" s="117">
        <v>1129311.86271318</v>
      </c>
      <c r="F34" s="117">
        <v>1120588.2801753394</v>
      </c>
      <c r="H34" s="117">
        <v>1110492.0820928707</v>
      </c>
      <c r="J34" s="117">
        <v>1098755.9764663957</v>
      </c>
      <c r="L34" s="117">
        <v>1085047.082970174</v>
      </c>
      <c r="N34" s="117">
        <v>1068950.6009981185</v>
      </c>
      <c r="P34" s="117">
        <v>1049947.5488445917</v>
      </c>
      <c r="R34" s="117">
        <v>1027387.8260550385</v>
      </c>
      <c r="T34" s="117">
        <v>1000459.2995410832</v>
      </c>
      <c r="V34" s="117">
        <v>968152.82143939578</v>
      </c>
      <c r="X34" s="117">
        <v>929230.27507710503</v>
      </c>
      <c r="Z34" s="117">
        <v>882202.50606092671</v>
      </c>
      <c r="AB34" s="117">
        <v>825332.07050994679</v>
      </c>
      <c r="AD34" s="117">
        <v>756680.33806286962</v>
      </c>
      <c r="AF34" s="117">
        <v>674215.27819184342</v>
      </c>
      <c r="AH34" s="117">
        <v>575982.88859803474</v>
      </c>
      <c r="AJ34" s="117">
        <v>460318.52169040614</v>
      </c>
      <c r="AL34" s="117">
        <v>326043.5029202507</v>
      </c>
      <c r="AN34" s="117">
        <v>172587.53900973056</v>
      </c>
      <c r="AP34" s="117"/>
      <c r="AR34" s="117"/>
      <c r="AT34" s="117"/>
      <c r="AV34" s="117"/>
    </row>
    <row r="35" spans="1:49 16319:16321" x14ac:dyDescent="0.2">
      <c r="A35" t="s">
        <v>78</v>
      </c>
      <c r="B35" s="233">
        <v>1</v>
      </c>
      <c r="D35" s="233">
        <v>1.0025421826231367</v>
      </c>
      <c r="F35" s="233">
        <v>1.0053338450661549</v>
      </c>
      <c r="H35" s="233">
        <v>1.0084059963391954</v>
      </c>
      <c r="J35" s="233">
        <v>1.0117942296582347</v>
      </c>
      <c r="L35" s="233">
        <v>1.0155392425911922</v>
      </c>
      <c r="N35" s="233">
        <v>1.0196873105954498</v>
      </c>
      <c r="P35" s="233">
        <v>1.0242904920506697</v>
      </c>
      <c r="R35" s="233">
        <v>1.0294063391154498</v>
      </c>
      <c r="T35" s="233">
        <v>1.0350968592851368</v>
      </c>
      <c r="V35" s="233">
        <v>1.041425957496809</v>
      </c>
      <c r="X35" s="233">
        <v>1.0484551407630394</v>
      </c>
      <c r="Z35" s="233">
        <v>1.0562363926552518</v>
      </c>
      <c r="AB35" s="233">
        <v>1.064802489702557</v>
      </c>
      <c r="AD35" s="233">
        <v>1.074155119733788</v>
      </c>
      <c r="AF35" s="233">
        <v>1.0842534493913325</v>
      </c>
      <c r="AH35" s="233">
        <v>1.095007128990183</v>
      </c>
      <c r="AJ35" s="233">
        <v>1.10627794089479</v>
      </c>
      <c r="AL35" s="233">
        <v>1.1178924601064844</v>
      </c>
      <c r="AN35" s="233">
        <v>1.129662800665532</v>
      </c>
      <c r="AP35" s="233"/>
      <c r="AR35" s="233"/>
      <c r="AT35" s="233"/>
      <c r="AV35" s="233"/>
    </row>
    <row r="36" spans="1:49 16319:16321" x14ac:dyDescent="0.2">
      <c r="A36" t="s">
        <v>21</v>
      </c>
      <c r="B36" s="37">
        <v>0.47195767671988198</v>
      </c>
      <c r="C36" s="38">
        <v>0.31738834428178964</v>
      </c>
      <c r="D36" s="37">
        <v>0.47196987328826018</v>
      </c>
      <c r="E36" s="38">
        <v>0.31973111931694709</v>
      </c>
      <c r="F36" s="37">
        <v>0.47198200419619285</v>
      </c>
      <c r="G36" s="38">
        <v>0.32227066967176116</v>
      </c>
      <c r="H36" s="37">
        <v>0.471994073087733</v>
      </c>
      <c r="I36" s="38">
        <v>0.32502908863242924</v>
      </c>
      <c r="J36" s="37">
        <v>0.47200608715555198</v>
      </c>
      <c r="K36" s="38">
        <v>0.32803099641232347</v>
      </c>
      <c r="L36" s="37">
        <v>0.47201805693227378</v>
      </c>
      <c r="M36" s="38">
        <v>0.33130353349001002</v>
      </c>
      <c r="N36" s="37">
        <v>0.47202999719022543</v>
      </c>
      <c r="O36" s="38">
        <v>0.33487626824334404</v>
      </c>
      <c r="P36" s="37">
        <v>0.47204192666857425</v>
      </c>
      <c r="Q36" s="38">
        <v>0.33878073911725115</v>
      </c>
      <c r="R36" s="37">
        <v>0.47205386710562286</v>
      </c>
      <c r="S36" s="38">
        <v>0.34304950672548601</v>
      </c>
      <c r="T36" s="37">
        <v>0.47206584231829807</v>
      </c>
      <c r="U36" s="38">
        <v>0.34771457231547442</v>
      </c>
      <c r="V36" s="37">
        <v>0.47207787397600093</v>
      </c>
      <c r="W36" s="38">
        <v>0.352804637691713</v>
      </c>
      <c r="X36" s="37">
        <v>0.47208997825301363</v>
      </c>
      <c r="Y36" s="38">
        <v>0.35834131665505592</v>
      </c>
      <c r="Z36" s="37">
        <v>0.47210215776016418</v>
      </c>
      <c r="AA36" s="38">
        <v>0.36433376486575758</v>
      </c>
      <c r="AB36" s="37">
        <v>0.47211439461369625</v>
      </c>
      <c r="AC36" s="38">
        <v>0.37077242655723419</v>
      </c>
      <c r="AD36" s="37">
        <v>0.47212664184037917</v>
      </c>
      <c r="AE36" s="38">
        <v>0.37762265545263629</v>
      </c>
      <c r="AF36" s="37">
        <v>0.47213881871318142</v>
      </c>
      <c r="AG36" s="38">
        <v>0.38482036836930167</v>
      </c>
      <c r="AH36" s="37">
        <v>0.47215081254520119</v>
      </c>
      <c r="AI36" s="38">
        <v>0.39227221638680149</v>
      </c>
      <c r="AJ36" s="37">
        <v>0.47216248925462212</v>
      </c>
      <c r="AK36" s="38">
        <v>0.39986203414325233</v>
      </c>
      <c r="AL36" s="37">
        <v>0.47217371107115258</v>
      </c>
      <c r="AM36" s="38">
        <v>0.40746343100266885</v>
      </c>
      <c r="AN36" s="37">
        <v>0.47218435692952176</v>
      </c>
      <c r="AO36" s="38">
        <v>0.41495500780480754</v>
      </c>
      <c r="AP36" s="37"/>
      <c r="AQ36" s="38"/>
      <c r="AR36" s="37"/>
      <c r="AS36" s="38"/>
      <c r="AT36" s="37"/>
      <c r="AU36" s="38"/>
      <c r="AV36" s="37"/>
      <c r="AW36" s="38"/>
    </row>
    <row r="37" spans="1:49 16319:16321" x14ac:dyDescent="0.2">
      <c r="B37" s="39">
        <v>2.1403217525954466E-2</v>
      </c>
      <c r="C37" s="40">
        <v>0.3496246130199252</v>
      </c>
      <c r="D37" s="39">
        <v>2.0767295906786817E-2</v>
      </c>
      <c r="E37" s="40">
        <v>0.34585217735949109</v>
      </c>
      <c r="F37" s="39">
        <v>2.0123243807013882E-2</v>
      </c>
      <c r="G37" s="40">
        <v>0.34200847892357616</v>
      </c>
      <c r="H37" s="39">
        <v>1.9471407358797349E-2</v>
      </c>
      <c r="I37" s="40">
        <v>0.33809502902900679</v>
      </c>
      <c r="J37" s="39">
        <v>1.881230596221815E-2</v>
      </c>
      <c r="K37" s="40">
        <v>0.33411455227286163</v>
      </c>
      <c r="L37" s="39">
        <v>1.8146693966329945E-2</v>
      </c>
      <c r="M37" s="40">
        <v>0.33007141955445146</v>
      </c>
      <c r="N37" s="39">
        <v>1.7475614283451721E-2</v>
      </c>
      <c r="O37" s="40">
        <v>0.32597204872569857</v>
      </c>
      <c r="P37" s="39">
        <v>1.6800481012872837E-2</v>
      </c>
      <c r="Q37" s="40">
        <v>0.32182549296514085</v>
      </c>
      <c r="R37" s="39">
        <v>1.6123178028229847E-2</v>
      </c>
      <c r="S37" s="40">
        <v>0.31764413944871123</v>
      </c>
      <c r="T37" s="39">
        <v>1.5446157824568528E-2</v>
      </c>
      <c r="U37" s="40">
        <v>0.31344441625666092</v>
      </c>
      <c r="V37" s="39">
        <v>1.4772569744201363E-2</v>
      </c>
      <c r="W37" s="40">
        <v>0.30924767423650507</v>
      </c>
      <c r="X37" s="39">
        <v>1.4106342519091498E-2</v>
      </c>
      <c r="Y37" s="40">
        <v>0.30508076350884944</v>
      </c>
      <c r="Z37" s="39">
        <v>1.3452248368591374E-2</v>
      </c>
      <c r="AA37" s="40">
        <v>0.30097644177203936</v>
      </c>
      <c r="AB37" s="39">
        <v>1.2815844897466327E-2</v>
      </c>
      <c r="AC37" s="40">
        <v>0.29697293667696056</v>
      </c>
      <c r="AD37" s="39">
        <v>1.2203270706857897E-2</v>
      </c>
      <c r="AE37" s="40">
        <v>0.29311247972568266</v>
      </c>
      <c r="AF37" s="39">
        <v>1.162082552326508E-2</v>
      </c>
      <c r="AG37" s="40">
        <v>0.28943837223293722</v>
      </c>
      <c r="AH37" s="39">
        <v>1.1074352605973904E-2</v>
      </c>
      <c r="AI37" s="40">
        <v>0.28599073163393884</v>
      </c>
      <c r="AJ37" s="39">
        <v>1.0568539509163919E-2</v>
      </c>
      <c r="AK37" s="40">
        <v>0.28280173518818691</v>
      </c>
      <c r="AL37" s="39">
        <v>1.0106315394501851E-2</v>
      </c>
      <c r="AM37" s="40">
        <v>0.27989159069255654</v>
      </c>
      <c r="AN37" s="39">
        <v>9.688563803362164E-3</v>
      </c>
      <c r="AO37" s="40">
        <v>0.27726668489947875</v>
      </c>
      <c r="AP37" s="39"/>
      <c r="AQ37" s="40"/>
      <c r="AR37" s="39"/>
      <c r="AS37" s="40"/>
      <c r="AT37" s="39"/>
      <c r="AU37" s="40"/>
      <c r="AV37" s="39"/>
      <c r="AW37" s="40"/>
    </row>
    <row r="38" spans="1:49 16319:16321" x14ac:dyDescent="0.2">
      <c r="A38" t="s">
        <v>22</v>
      </c>
      <c r="B38" s="37">
        <v>0.18079094942242827</v>
      </c>
      <c r="C38" s="38">
        <v>6.0565413429233668E-2</v>
      </c>
      <c r="D38" s="37">
        <v>0.18100424556882203</v>
      </c>
      <c r="E38" s="38">
        <v>6.0859562285354753E-2</v>
      </c>
      <c r="F38" s="37">
        <v>0.18123525210183075</v>
      </c>
      <c r="G38" s="38">
        <v>6.1179207596602621E-2</v>
      </c>
      <c r="H38" s="37">
        <v>0.18148555838266781</v>
      </c>
      <c r="I38" s="38">
        <v>6.1527239655775438E-2</v>
      </c>
      <c r="J38" s="37">
        <v>0.18175686898436832</v>
      </c>
      <c r="K38" s="38">
        <v>6.1906895447067421E-2</v>
      </c>
      <c r="L38" s="37">
        <v>0.18205096995337672</v>
      </c>
      <c r="M38" s="38">
        <v>6.2321727128981229E-2</v>
      </c>
      <c r="N38" s="37">
        <v>0.18236970052322221</v>
      </c>
      <c r="O38" s="38">
        <v>6.2775616599998571E-2</v>
      </c>
      <c r="P38" s="37">
        <v>0.18271488183103271</v>
      </c>
      <c r="Q38" s="38">
        <v>6.3272713184684831E-2</v>
      </c>
      <c r="R38" s="37">
        <v>0.1830882084478084</v>
      </c>
      <c r="S38" s="38">
        <v>6.3817299866523389E-2</v>
      </c>
      <c r="T38" s="37">
        <v>0.1834911020099472</v>
      </c>
      <c r="U38" s="38">
        <v>6.4413620066592625E-2</v>
      </c>
      <c r="V38" s="37">
        <v>0.18392448184453944</v>
      </c>
      <c r="W38" s="38">
        <v>6.5065457839327184E-2</v>
      </c>
      <c r="X38" s="37">
        <v>0.18438849790562972</v>
      </c>
      <c r="Y38" s="38">
        <v>6.5775687974739344E-2</v>
      </c>
      <c r="Z38" s="37">
        <v>0.18488218466455031</v>
      </c>
      <c r="AA38" s="38">
        <v>6.6545617524604375E-2</v>
      </c>
      <c r="AB38" s="37">
        <v>0.18540312172165985</v>
      </c>
      <c r="AC38" s="38">
        <v>6.7374084521319738E-2</v>
      </c>
      <c r="AD38" s="37">
        <v>0.18594715731876338</v>
      </c>
      <c r="AE38" s="38">
        <v>6.8256690790003724E-2</v>
      </c>
      <c r="AF38" s="37">
        <v>0.18650833759139179</v>
      </c>
      <c r="AG38" s="38">
        <v>6.9185215624605459E-2</v>
      </c>
      <c r="AH38" s="37">
        <v>0.18707916172459088</v>
      </c>
      <c r="AI38" s="38">
        <v>7.0147625482068432E-2</v>
      </c>
      <c r="AJ38" s="37">
        <v>0.18765120544394634</v>
      </c>
      <c r="AK38" s="38">
        <v>7.1128939011640899E-2</v>
      </c>
      <c r="AL38" s="37">
        <v>0.18821603706447915</v>
      </c>
      <c r="AM38" s="38">
        <v>7.2112792616034413E-2</v>
      </c>
      <c r="AN38" s="37">
        <v>0.18876614683465537</v>
      </c>
      <c r="AO38" s="38">
        <v>7.3083437208964513E-2</v>
      </c>
      <c r="AP38" s="37"/>
      <c r="AQ38" s="38"/>
      <c r="AR38" s="37"/>
      <c r="AS38" s="38"/>
      <c r="AT38" s="37"/>
      <c r="AU38" s="38"/>
      <c r="AV38" s="37"/>
      <c r="AW38" s="38"/>
    </row>
    <row r="39" spans="1:49 16319:16321" x14ac:dyDescent="0.2">
      <c r="A39" t="s">
        <v>23</v>
      </c>
      <c r="B39" s="39">
        <v>0.23064923795098771</v>
      </c>
      <c r="C39" s="40">
        <v>0.22092201281804777</v>
      </c>
      <c r="D39" s="39">
        <v>0.23098611528786614</v>
      </c>
      <c r="E39" s="40">
        <v>0.22202611313123113</v>
      </c>
      <c r="F39" s="39">
        <v>0.23135015760718086</v>
      </c>
      <c r="G39" s="40">
        <v>0.22322565093746419</v>
      </c>
      <c r="H39" s="39">
        <v>0.23174506428582362</v>
      </c>
      <c r="I39" s="40">
        <v>0.22453205712630517</v>
      </c>
      <c r="J39" s="39">
        <v>0.23217510544962</v>
      </c>
      <c r="K39" s="40">
        <v>0.22595819448100296</v>
      </c>
      <c r="L39" s="39">
        <v>0.23264519704254344</v>
      </c>
      <c r="M39" s="40">
        <v>0.22751846530720343</v>
      </c>
      <c r="N39" s="39">
        <v>0.2331609531708671</v>
      </c>
      <c r="O39" s="40">
        <v>0.22922879473443514</v>
      </c>
      <c r="P39" s="39">
        <v>0.2337287155727672</v>
      </c>
      <c r="Q39" s="40">
        <v>0.23110649599866961</v>
      </c>
      <c r="R39" s="39">
        <v>0.23435551883588057</v>
      </c>
      <c r="S39" s="40">
        <v>0.23316991261403472</v>
      </c>
      <c r="T39" s="39">
        <v>0.23504895219306141</v>
      </c>
      <c r="U39" s="40">
        <v>0.23543767634695448</v>
      </c>
      <c r="V39" s="39">
        <v>0.235816839466606</v>
      </c>
      <c r="W39" s="40">
        <v>0.23792752008921494</v>
      </c>
      <c r="X39" s="39">
        <v>0.23666668274438668</v>
      </c>
      <c r="Y39" s="40">
        <v>0.24065434480175732</v>
      </c>
      <c r="Z39" s="39">
        <v>0.23760476370397243</v>
      </c>
      <c r="AA39" s="40">
        <v>0.24362740721713275</v>
      </c>
      <c r="AB39" s="39">
        <v>0.23863491893351543</v>
      </c>
      <c r="AC39" s="40">
        <v>0.2468470820738578</v>
      </c>
      <c r="AD39" s="39">
        <v>0.23975706358008386</v>
      </c>
      <c r="AE39" s="40">
        <v>0.25030112494702617</v>
      </c>
      <c r="AF39" s="39">
        <v>0.24096579844637614</v>
      </c>
      <c r="AG39" s="40">
        <v>0.2539618580833955</v>
      </c>
      <c r="AH39" s="39">
        <v>0.24224961393193037</v>
      </c>
      <c r="AI39" s="40">
        <v>0.25778549638380777</v>
      </c>
      <c r="AJ39" s="39">
        <v>0.24359120514216118</v>
      </c>
      <c r="AK39" s="40">
        <v>0.26171466826386008</v>
      </c>
      <c r="AL39" s="39">
        <v>0.24496914690719687</v>
      </c>
      <c r="AM39" s="40">
        <v>0.26568453043347923</v>
      </c>
      <c r="AN39" s="39">
        <v>0.24636053825498333</v>
      </c>
      <c r="AO39" s="40">
        <v>0.26963057528214912</v>
      </c>
      <c r="AP39" s="39"/>
      <c r="AQ39" s="40"/>
      <c r="AR39" s="39"/>
      <c r="AS39" s="40"/>
      <c r="AT39" s="39"/>
      <c r="AU39" s="40"/>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0.11408709886208843</v>
      </c>
      <c r="E42" s="135"/>
      <c r="F42" s="177">
        <f>10.8%+(1-10.8%)*(1-SUM(F26:G26)/SUM($B$26:$C$26))</f>
        <v>0.12101723818534527</v>
      </c>
      <c r="G42" s="135"/>
      <c r="H42" s="177">
        <f>10.8%+(1-10.8%)*(1-SUM(H26:I26)/SUM($B$26:$C$26))</f>
        <v>0.12895449084935004</v>
      </c>
      <c r="I42" s="135"/>
      <c r="J42" s="177">
        <f>10.8%+(1-10.8%)*(1-SUM(J26:K26)/SUM($B$26:$C$26))</f>
        <v>0.1381025937695794</v>
      </c>
      <c r="K42" s="135"/>
      <c r="L42" s="177">
        <f>10.8%+(1-10.8%)*(1-SUM(L26:M26)/SUM($B$26:$C$26))</f>
        <v>0.14871669688908085</v>
      </c>
      <c r="M42" s="135"/>
      <c r="N42" s="177">
        <f>10.8%+(1-10.8%)*(1-SUM(N26:O26)/SUM($B$26:$C$26))</f>
        <v>0.16111685744600232</v>
      </c>
      <c r="O42" s="135"/>
      <c r="P42" s="177">
        <f>10.8%+(1-10.8%)*(1-SUM(P26:Q26)/SUM($B$26:$C$26))</f>
        <v>0.17570616189293131</v>
      </c>
      <c r="Q42" s="135"/>
      <c r="R42" s="177">
        <f>10.8%+(1-10.8%)*(1-SUM(R26:S26)/SUM($B$26:$C$26))</f>
        <v>0.19299300003972719</v>
      </c>
      <c r="S42" s="135"/>
      <c r="T42" s="177">
        <f>10.8%+(1-10.8%)*(1-SUM(T26:U26)/SUM($B$26:$C$26))</f>
        <v>0.21361695995193009</v>
      </c>
      <c r="U42" s="135"/>
      <c r="V42" s="177">
        <f>10.8%+(1-10.8%)*(1-SUM(V26:W26)/SUM($B$26:$C$26))</f>
        <v>0.23837867755849176</v>
      </c>
      <c r="W42" s="135"/>
      <c r="X42" s="177">
        <f>10.8%+(1-10.8%)*(1-SUM(X26:Y26)/SUM($B$26:$C$26))</f>
        <v>0.26826793517169906</v>
      </c>
      <c r="Y42" s="162"/>
      <c r="Z42" s="177">
        <f>10.8%+(1-10.8%)*(1-SUM(Z26:AA26)/SUM($B$26:$C$26))</f>
        <v>0.30448505214050348</v>
      </c>
      <c r="AA42" s="135"/>
      <c r="AB42" s="177">
        <f>10.8%+(1-10.8%)*(1-SUM(AB26:AC26)/SUM($B$26:$C$26))</f>
        <v>0.34844265091177873</v>
      </c>
      <c r="AC42" s="135"/>
      <c r="AD42" s="177">
        <f>10.8%+(1-10.8%)*(1-SUM(AD26:AE26)/SUM($B$26:$C$26))</f>
        <v>0.40173244312223932</v>
      </c>
      <c r="AE42" s="135"/>
      <c r="AF42" s="177">
        <f>10.8%+(1-10.8%)*(1-SUM(AF26:AG26)/SUM($B$26:$C$26))</f>
        <v>0.46604212518496591</v>
      </c>
      <c r="AG42" s="135"/>
      <c r="AH42" s="177">
        <f>10.8%+(1-10.8%)*(1-SUM(AH26:AI26)/SUM($B$26:$C$26))</f>
        <v>0.54301851369876186</v>
      </c>
      <c r="AI42" s="135"/>
      <c r="AJ42" s="177">
        <f>10.8%+(1-10.8%)*(1-SUM(AJ26:AK26)/SUM($B$26:$C$26))</f>
        <v>0.63409470564953119</v>
      </c>
      <c r="AK42" s="135"/>
      <c r="AL42" s="177">
        <f>10.8%+(1-10.8%)*(1-SUM(AL26:AM26)/SUM($B$26:$C$26))</f>
        <v>0.74032440581256398</v>
      </c>
      <c r="AM42" s="135"/>
      <c r="AN42" s="177">
        <f>10.8%+(1-10.8%)*(1-SUM(AN26:AO26)/SUM($B$26:$C$26))</f>
        <v>0.8622733459679256</v>
      </c>
      <c r="AO42" s="135"/>
      <c r="AP42" s="177">
        <f>10.8%+(1-10.8%)*(1-SUM(AP26:AQ26)/SUM($B$26:$C$26))</f>
        <v>1</v>
      </c>
      <c r="AQ42" s="135"/>
      <c r="AR42" s="177">
        <f>10.8%+(1-10.8%)*(1-SUM(AR26:AS26)/SUM($B$26:$C$26))</f>
        <v>1</v>
      </c>
      <c r="AS42" s="135"/>
      <c r="AT42" s="177">
        <f>10.8%+(1-10.8%)*(1-SUM(AT26:AU26)/SUM($B$26:$C$26))</f>
        <v>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0.56671511805319807</v>
      </c>
      <c r="E43" s="135"/>
      <c r="F43" s="162">
        <f t="array" ref="F43">SUM(F15:G15*F27:G27)/SUM(F15:G15*F27:G27,F13:G13*F26:G26)</f>
        <v>0.56622162334556658</v>
      </c>
      <c r="G43" s="135"/>
      <c r="H43" s="162">
        <f t="array" ref="H43">SUM(H15:I15*H27:I27)/SUM(H15:I15*H27:I27,H13:I13*H26:I26)</f>
        <v>0.56571637061340485</v>
      </c>
      <c r="I43" s="135"/>
      <c r="J43" s="162">
        <f t="array" ref="J43">SUM(J15:K15*J27:K27)/SUM(J15:K15*J27:K27,J13:K13*J26:K26)</f>
        <v>0.56519471264180321</v>
      </c>
      <c r="K43" s="135"/>
      <c r="L43" s="162">
        <f t="array" ref="L43">SUM(L15:M15*L27:M27)/SUM(L15:M15*L27:M27,L13:M13*L26:M26)</f>
        <v>0.56465081523780858</v>
      </c>
      <c r="M43" s="135"/>
      <c r="N43" s="162">
        <f t="array" ref="N43">SUM(N15:O15*N27:O27)/SUM(N15:O15*N27:O27,N13:O13*N26:O26)</f>
        <v>0.56407744015937533</v>
      </c>
      <c r="O43" s="135"/>
      <c r="P43" s="162">
        <f t="array" ref="P43">SUM(P15:Q15*P27:Q27)/SUM(P15:Q15*P27:Q27,P13:Q13*P26:Q26)</f>
        <v>0.56346571224154773</v>
      </c>
      <c r="Q43" s="135"/>
      <c r="R43" s="162">
        <f t="array" ref="R43">SUM(R15:S15*R27:S27)/SUM(R15:S15*R27:S27,R13:S13*R26:S26)</f>
        <v>0.56280493432184542</v>
      </c>
      <c r="S43" s="135"/>
      <c r="T43" s="162">
        <f t="array" ref="T43">SUM(T15:U15*T27:U27)/SUM(T15:U15*T27:U27,T13:U13*T26:U26)</f>
        <v>0.56208253105535622</v>
      </c>
      <c r="U43" s="135"/>
      <c r="V43" s="162">
        <f t="array" ref="V43">SUM(V15:W15*V27:W27)/SUM(V15:W15*V27:W27,V13:W13*V26:W26)</f>
        <v>0.56128421466666201</v>
      </c>
      <c r="W43" s="135"/>
      <c r="X43" s="162">
        <f t="array" ref="X43">SUM(X15:Y15*X27:Y27)/SUM(X15:Y15*X27:Y27,X13:Y13*X26:Y26)</f>
        <v>0.56039457315539842</v>
      </c>
      <c r="Y43" s="135"/>
      <c r="Z43" s="162">
        <f t="array" ref="Z43">SUM(Z15:AA15*Z27:AA27)/SUM(Z15:AA15*Z27:AA27,Z13:AA13*Z26:AA26)</f>
        <v>0.55939822008878226</v>
      </c>
      <c r="AA43" s="135"/>
      <c r="AB43" s="162">
        <f t="array" ref="AB43">SUM(AB15:AC15*AB27:AC27)/SUM(AB15:AC15*AB27:AC27,AB13:AC13*AB26:AC26)</f>
        <v>0.55828170928798448</v>
      </c>
      <c r="AC43" s="135"/>
      <c r="AD43" s="162">
        <f t="array" ref="AD43">SUM(AD15:AE15*AD27:AE27)/SUM(AD15:AE15*AD27:AE27,AD13:AE13*AD26:AE26)</f>
        <v>0.55703609482991367</v>
      </c>
      <c r="AE43" s="135"/>
      <c r="AF43" s="162">
        <f t="array" ref="AF43">SUM(AF15:AG15*AF27:AG27)/SUM(AF15:AG15*AF27:AG27,AF13:AG13*AF26:AG26)</f>
        <v>0.55565976951016594</v>
      </c>
      <c r="AG43" s="135"/>
      <c r="AH43" s="162">
        <f t="array" ref="AH43">SUM(AH15:AI15*AH27:AI27)/SUM(AH15:AI15*AH27:AI27,AH13:AI13*AH26:AI26)</f>
        <v>0.55416071584004856</v>
      </c>
      <c r="AI43" s="135"/>
      <c r="AJ43" s="162">
        <f t="array" ref="AJ43">SUM(AJ15:AK15*AJ27:AK27)/SUM(AJ15:AK15*AJ27:AK27,AJ13:AK13*AJ26:AK26)</f>
        <v>0.55255712569200144</v>
      </c>
      <c r="AK43" s="135"/>
      <c r="AL43" s="162">
        <f t="array" ref="AL43">SUM(AL15:AM15*AL27:AM27)/SUM(AL15:AM15*AL27:AM27,AL13:AM13*AL26:AM26)</f>
        <v>0.55087571649949441</v>
      </c>
      <c r="AM43" s="135"/>
      <c r="AN43" s="162">
        <f t="array" ref="AN43">SUM(AN15:AO15*AN27:AO27)/SUM(AN15:AO15*AN27:AO27,AN13:AO13*AN26:AO26)</f>
        <v>0.54914805066470196</v>
      </c>
      <c r="AO43" s="135"/>
      <c r="AP43" s="162" t="e">
        <f t="array" ref="AP43">SUM(AP15:AQ15*AP27:AQ27)/SUM(AP15:AQ15*AP27:AQ27,AP13:AQ13*AP26:AQ26)</f>
        <v>#DIV/0!</v>
      </c>
      <c r="AQ43" s="135"/>
      <c r="AR43" s="162" t="e">
        <f t="array" ref="AR43">SUM(AR15:AS15*AR27:AS27)/SUM(AR15:AS15*AR27:AS27,AR13:AS13*AR26:AS26)</f>
        <v>#DIV/0!</v>
      </c>
      <c r="AS43" s="135"/>
      <c r="AT43" s="162" t="e">
        <f t="array" ref="AT43">SUM(AT15:AU15*AT27:AU27)/SUM(AT15:AU15*AT27:AU27,AT13:AU13*AT26:AU26)</f>
        <v>#DIV/0!</v>
      </c>
      <c r="AU43" s="135"/>
      <c r="AV43" s="162" t="e">
        <f t="array" ref="AV43">SUM(AV15:AW15*AV27:AW27)/SUM(AV15:AW15*AV27:AW27,AV13:AW13*AV26:AW26)</f>
        <v>#DIV/0!</v>
      </c>
    </row>
    <row r="44" spans="1:49 16319:16321" x14ac:dyDescent="0.2">
      <c r="A44" t="s">
        <v>142</v>
      </c>
      <c r="B44" s="193">
        <f>(SUM(B11:C11*B24:C24)+B34)/B32</f>
        <v>0.29754226190682309</v>
      </c>
      <c r="D44" s="193">
        <f>(SUM(D11:E11*D24:E24)+D34)/D32</f>
        <v>0.29955186641954556</v>
      </c>
      <c r="F44" s="193">
        <f>(SUM(F11:G11*F24:G24)+F34)/F32</f>
        <v>0.30160938095742268</v>
      </c>
      <c r="H44" s="193">
        <f>(SUM(H11:I11*H24:I24)+H34)/H32</f>
        <v>0.30372029045157806</v>
      </c>
      <c r="J44" s="193">
        <f>(SUM(J11:K11*J24:K24)+J34)/J32</f>
        <v>0.30589058601084979</v>
      </c>
      <c r="L44" s="193">
        <f>(SUM(L11:M11*L24:M24)+L34)/L32</f>
        <v>0.30812666427798407</v>
      </c>
      <c r="N44" s="193">
        <f>(SUM(N11:O11*N24:O24)+N34)/N32</f>
        <v>0.31043526724713361</v>
      </c>
      <c r="P44" s="193">
        <f>(SUM(P11:Q11*P24:Q24)+P34)/P32</f>
        <v>0.31282324184103005</v>
      </c>
      <c r="R44" s="193">
        <f>(SUM(R11:S11*R24:S24)+R34)/R32</f>
        <v>0.31529716107153333</v>
      </c>
      <c r="T44" s="193">
        <f>(SUM(T11:U11*T24:U24)+T34)/T32</f>
        <v>0.31786274955911703</v>
      </c>
      <c r="V44" s="193">
        <f>(SUM(V11:W11*V24:W24)+V34)/V32</f>
        <v>0.32052398376306995</v>
      </c>
      <c r="X44" s="193">
        <f>(SUM(X11:Y11*X24:Y24)+X34)/X32</f>
        <v>0.32328189532579088</v>
      </c>
      <c r="Z44" s="193">
        <f>(SUM(Z11:AA11*Z24:AA24)+Z34)/Z32</f>
        <v>0.32613298971081023</v>
      </c>
      <c r="AB44" s="193">
        <f>(SUM(AB11:AC11*AB24:AC24)+AB34)/AB32</f>
        <v>0.32906754658650866</v>
      </c>
      <c r="AD44" s="193">
        <f>(SUM(AD11:AE11*AD24:AE24)+AD34)/AD32</f>
        <v>0.33206807169491515</v>
      </c>
      <c r="AF44" s="193">
        <f>(SUM(AF11:AG11*AF24:AG24)+AF34)/AF32</f>
        <v>0.3351086105296503</v>
      </c>
      <c r="AH44" s="193">
        <f>(SUM(AH11:AI11*AH24:AI24)+AH34)/AH32</f>
        <v>0.33815558661173156</v>
      </c>
      <c r="AJ44" s="193">
        <f>(SUM(AJ11:AK11*AJ24:AK24)+AJ34)/AJ32</f>
        <v>0.34117059100864511</v>
      </c>
      <c r="AL44" s="193">
        <f>(SUM(AL11:AM11*AL24:AM24)+AL34)/AL32</f>
        <v>0.34411472955593053</v>
      </c>
      <c r="AN44" s="193">
        <f>(SUM(AN11:AO11*AN24:AO24)+AN34)/AN32</f>
        <v>0.34695335381112724</v>
      </c>
      <c r="AP44" s="193" t="e">
        <f>(SUM(AP11:AQ11*AP24:AQ24)+AP34)/AP32</f>
        <v>#DIV/0!</v>
      </c>
      <c r="AR44" s="193" t="e">
        <f>(SUM(AR11:AS11*AR24:AS24)+AR34)/AR32</f>
        <v>#DIV/0!</v>
      </c>
      <c r="AT44" s="193" t="e">
        <f>(SUM(AT11:AU11*AT24:AU24)+AT34)/AT32</f>
        <v>#DIV/0!</v>
      </c>
      <c r="AV44" s="193" t="e">
        <f>(SUM(AV11:AW11*AV24:AW24)+AV34)/AV32</f>
        <v>#DIV/0!</v>
      </c>
    </row>
    <row r="45" spans="1:49 16319:16321" x14ac:dyDescent="0.2">
      <c r="A45" t="s">
        <v>82</v>
      </c>
      <c r="B45" s="193">
        <f>SUM(B11:C11*B24:C24)/B32</f>
        <v>0.22038438833194082</v>
      </c>
      <c r="D45" s="193">
        <f>SUM(D11:E11*D24:E24)/D32</f>
        <v>0.22239399795298473</v>
      </c>
      <c r="F45" s="193">
        <f>SUM(F11:G11*F24:G24)/F32</f>
        <v>0.22445151300143321</v>
      </c>
      <c r="H45" s="193">
        <f>SUM(H11:I11*H24:I24)/H32</f>
        <v>0.22656242325849565</v>
      </c>
      <c r="J45" s="193">
        <f>SUM(J11:K11*J24:K24)/J32</f>
        <v>0.22873271396142034</v>
      </c>
      <c r="L45" s="193">
        <f>SUM(L11:M11*L24:M24)/L32</f>
        <v>0.23096879019834815</v>
      </c>
      <c r="N45" s="193">
        <f>SUM(N11:O11*N24:O24)/N32</f>
        <v>0.23327739282153315</v>
      </c>
      <c r="P45" s="193">
        <f>SUM(P11:Q11*P24:Q24)/P32</f>
        <v>0.23566536755795761</v>
      </c>
      <c r="R45" s="193">
        <f>SUM(R11:S11*R24:S24)/R32</f>
        <v>0.23813928656714478</v>
      </c>
      <c r="T45" s="193">
        <f>SUM(T11:U11*T24:U24)/T32</f>
        <v>0.24070487461967505</v>
      </c>
      <c r="V45" s="193">
        <f>SUM(V11:W11*V24:W24)/V32</f>
        <v>0.24336610730988906</v>
      </c>
      <c r="X45" s="193">
        <f>SUM(X11:Y11*X24:Y24)/X32</f>
        <v>0.24612402151050258</v>
      </c>
      <c r="Z45" s="193">
        <f>SUM(Z11:AA11*Z24:AA24)/Z32</f>
        <v>0.24897511568851213</v>
      </c>
      <c r="AB45" s="193">
        <f>SUM(AB11:AC11*AB24:AC24)/AB32</f>
        <v>0.25190967262228692</v>
      </c>
      <c r="AD45" s="193">
        <f>SUM(AD11:AE11*AD24:AE24)/AD32</f>
        <v>0.25491019805906501</v>
      </c>
      <c r="AF45" s="193">
        <f>SUM(AF11:AG11*AF24:AG24)/AF32</f>
        <v>0.25795073600871515</v>
      </c>
      <c r="AH45" s="193">
        <f>SUM(AH11:AI11*AH24:AI24)/AH32</f>
        <v>0.26099771372114622</v>
      </c>
      <c r="AJ45" s="193">
        <f>SUM(AJ11:AK11*AJ24:AK24)/AJ32</f>
        <v>0.26401271684380956</v>
      </c>
      <c r="AL45" s="193">
        <f>SUM(AL11:AM11*AL24:AM24)/AL32</f>
        <v>0.26695685473298153</v>
      </c>
      <c r="AN45" s="193">
        <f>SUM(AN11:AO11*AN24:AO24)/AN32</f>
        <v>0.26979548242859397</v>
      </c>
      <c r="AP45" s="193" t="e">
        <f>SUM(AP11:AQ11*AP24:AQ24)/AP32</f>
        <v>#DIV/0!</v>
      </c>
      <c r="AR45" s="193" t="e">
        <f>SUM(AR11:AS11*AR24:AS24)/AR32</f>
        <v>#DIV/0!</v>
      </c>
      <c r="AT45" s="193" t="e">
        <f>SUM(AT11:AU11*AT24:AU24)/AT32</f>
        <v>#DIV/0!</v>
      </c>
      <c r="AV45" s="193" t="e">
        <f>SUM(AV11:AW11*AV24:AW24)/AV32</f>
        <v>#DIV/0!</v>
      </c>
      <c r="XCQ45" s="193"/>
    </row>
    <row r="46" spans="1:49 16319:16321" x14ac:dyDescent="0.2">
      <c r="A46" t="s">
        <v>139</v>
      </c>
      <c r="B46" s="193">
        <f>B34/B32</f>
        <v>7.715787357488231E-2</v>
      </c>
      <c r="D46" s="193">
        <f>D34/D32</f>
        <v>7.7157868466560864E-2</v>
      </c>
      <c r="F46" s="193">
        <f>F34/F32</f>
        <v>7.7157867955989459E-2</v>
      </c>
      <c r="H46" s="193">
        <f>H34/H32</f>
        <v>7.7157867193082416E-2</v>
      </c>
      <c r="J46" s="193">
        <f>J34/J32</f>
        <v>7.7157872049429463E-2</v>
      </c>
      <c r="L46" s="193">
        <f>L34/L32</f>
        <v>7.7157874079635994E-2</v>
      </c>
      <c r="N46" s="193">
        <f>N34/N32</f>
        <v>7.7157874425600514E-2</v>
      </c>
      <c r="P46" s="193">
        <f>P34/P32</f>
        <v>7.715787428307247E-2</v>
      </c>
      <c r="R46" s="193">
        <f>R34/R32</f>
        <v>7.715787450438856E-2</v>
      </c>
      <c r="T46" s="193">
        <f>T34/T32</f>
        <v>7.7157874939441984E-2</v>
      </c>
      <c r="V46" s="193">
        <f>V34/V32</f>
        <v>7.715787645318091E-2</v>
      </c>
      <c r="X46" s="193">
        <f>X34/X32</f>
        <v>7.7157873815288297E-2</v>
      </c>
      <c r="Z46" s="193">
        <f>Z34/Z32</f>
        <v>7.7157874022298095E-2</v>
      </c>
      <c r="AB46" s="193">
        <f>AB34/AB32</f>
        <v>7.7157873964221732E-2</v>
      </c>
      <c r="AD46" s="193">
        <f>AD34/AD32</f>
        <v>7.7157873635850124E-2</v>
      </c>
      <c r="AF46" s="193">
        <f>AF34/AF32</f>
        <v>7.7157874520935116E-2</v>
      </c>
      <c r="AH46" s="193">
        <f>AH34/AH32</f>
        <v>7.7157872890585316E-2</v>
      </c>
      <c r="AJ46" s="193">
        <f>AJ34/AJ32</f>
        <v>7.7157874164835577E-2</v>
      </c>
      <c r="AL46" s="193">
        <f>AL34/AL32</f>
        <v>7.7157874822949016E-2</v>
      </c>
      <c r="AN46" s="193">
        <f>AN34/AN32</f>
        <v>7.7157871382533286E-2</v>
      </c>
      <c r="AP46" s="193" t="e">
        <f>AP34/AP32</f>
        <v>#DIV/0!</v>
      </c>
      <c r="AR46" s="193" t="e">
        <f>AR34/AR32</f>
        <v>#DIV/0!</v>
      </c>
      <c r="AT46" s="193" t="e">
        <f>AT34/AT32</f>
        <v>#DIV/0!</v>
      </c>
      <c r="AV46" s="193" t="e">
        <f>AV34/AV32</f>
        <v>#DIV/0!</v>
      </c>
      <c r="XCS46" s="193"/>
    </row>
    <row r="48" spans="1:49 16319:16321" x14ac:dyDescent="0.2">
      <c r="A48" t="s">
        <v>159</v>
      </c>
      <c r="B48" s="191">
        <f>B24/$B$24</f>
        <v>1</v>
      </c>
      <c r="C48" s="191"/>
      <c r="D48" s="191">
        <f>D24/$B$24</f>
        <v>1.0031873024916482</v>
      </c>
      <c r="E48" s="191"/>
      <c r="F48" s="191">
        <f>F24/$B$24</f>
        <v>1.0054261228949617</v>
      </c>
      <c r="G48" s="191"/>
      <c r="H48" s="191">
        <f>H24/$B$24</f>
        <v>1.0065091511741959</v>
      </c>
      <c r="I48" s="191"/>
      <c r="J48" s="191">
        <f>J24/$B$24</f>
        <v>1.006174520785601</v>
      </c>
      <c r="K48" s="191"/>
      <c r="L48" s="191">
        <f>L24/$B$24</f>
        <v>1.004088580821578</v>
      </c>
      <c r="M48" s="191"/>
      <c r="N48" s="191">
        <f>N24/$B$24</f>
        <v>0.99982547241563169</v>
      </c>
      <c r="O48" s="191"/>
      <c r="P48" s="191">
        <f>P24/$B$24</f>
        <v>0.99283934235997362</v>
      </c>
      <c r="Q48" s="191"/>
      <c r="R48" s="191">
        <f>R24/$B$24</f>
        <v>0.9824293321525388</v>
      </c>
      <c r="S48" s="191"/>
      <c r="T48" s="191">
        <f>T24/$B$24</f>
        <v>0.96769748450849402</v>
      </c>
      <c r="U48" s="191"/>
      <c r="V48" s="191">
        <f>V24/$B$24</f>
        <v>0.9474985128544211</v>
      </c>
      <c r="W48" s="191"/>
      <c r="X48" s="191">
        <f>X24/$B$24</f>
        <v>0.92038881482694912</v>
      </c>
      <c r="Y48" s="191"/>
      <c r="Z48" s="191">
        <f>Z24/$B$24</f>
        <v>0.88458163921167166</v>
      </c>
      <c r="AA48" s="191"/>
      <c r="AB48" s="191">
        <f>AB24/$B$24</f>
        <v>0.83792812280835649</v>
      </c>
      <c r="AC48" s="191"/>
      <c r="AD48" s="191">
        <f>AD24/$B$24</f>
        <v>0.77794869275205225</v>
      </c>
      <c r="AE48" s="191"/>
      <c r="AF48" s="191">
        <f>AF24/$B$24</f>
        <v>0.70194205759490769</v>
      </c>
      <c r="AG48" s="191"/>
      <c r="AH48" s="191">
        <f>AH24/$B$24</f>
        <v>0.60718424311102759</v>
      </c>
      <c r="AI48" s="191"/>
      <c r="AJ48" s="191">
        <f>AJ24/$B$24</f>
        <v>0.49119749710870214</v>
      </c>
      <c r="AK48" s="191"/>
      <c r="AL48" s="191">
        <f>AL24/$B$24</f>
        <v>0.35202630363813836</v>
      </c>
      <c r="AM48" s="191"/>
      <c r="AN48" s="191">
        <f>AN24/$B$24</f>
        <v>0.1884396859242303</v>
      </c>
      <c r="AO48" s="191"/>
      <c r="AP48" s="191">
        <f>AP24/$B$24</f>
        <v>0</v>
      </c>
      <c r="AQ48" s="191"/>
      <c r="AR48" s="191">
        <f>AR24/$B$24</f>
        <v>0</v>
      </c>
      <c r="AS48" s="191"/>
      <c r="AT48" s="191">
        <f>AT24/$B$24</f>
        <v>0</v>
      </c>
      <c r="AU48" s="191"/>
      <c r="AV48" s="191">
        <f>AV24/$B$24</f>
        <v>0</v>
      </c>
    </row>
    <row r="49" spans="1:48 16321:16384" x14ac:dyDescent="0.2">
      <c r="A49" t="s">
        <v>160</v>
      </c>
      <c r="B49" s="191">
        <f>B13/B35/$B$13*$B$35</f>
        <v>1</v>
      </c>
      <c r="C49" s="191"/>
      <c r="D49" s="191">
        <f>D13/D35/$B$13*$B$35</f>
        <v>0.99453199740888676</v>
      </c>
      <c r="E49" s="191"/>
      <c r="F49" s="191">
        <f>F13/F35/$B$13*$B$35</f>
        <v>0.98868445163748153</v>
      </c>
      <c r="G49" s="191"/>
      <c r="H49" s="191">
        <f>H13/H35/$B$13*$B$35</f>
        <v>0.98242364146505379</v>
      </c>
      <c r="I49" s="191"/>
      <c r="J49" s="191">
        <f>J13/J35/$B$13*$B$35</f>
        <v>0.97571328099255883</v>
      </c>
      <c r="K49" s="191"/>
      <c r="L49" s="191">
        <f>L13/L35/$B$13*$B$35</f>
        <v>0.968515126004175</v>
      </c>
      <c r="M49" s="191"/>
      <c r="N49" s="191">
        <f>N13/N35/$B$13*$B$35</f>
        <v>0.96078957983625057</v>
      </c>
      <c r="O49" s="191"/>
      <c r="P49" s="191">
        <f>P13/P35/$B$13*$B$35</f>
        <v>0.95249714132025465</v>
      </c>
      <c r="Q49" s="191"/>
      <c r="R49" s="191">
        <f>R13/R35/$B$13*$B$35</f>
        <v>0.94360069240201261</v>
      </c>
      <c r="S49" s="191"/>
      <c r="T49" s="191">
        <f>T13/T35/$B$13*$B$35</f>
        <v>0.9340686751107764</v>
      </c>
      <c r="U49" s="191"/>
      <c r="V49" s="191">
        <f>V13/V35/$B$13*$B$35</f>
        <v>0.92388016353136682</v>
      </c>
      <c r="W49" s="191"/>
      <c r="X49" s="191">
        <f>X13/X35/$B$13*$B$35</f>
        <v>0.91303094762324433</v>
      </c>
      <c r="Y49" s="191"/>
      <c r="Z49" s="191">
        <f>Z13/Z35/$B$13*$B$35</f>
        <v>0.90154161648299602</v>
      </c>
      <c r="AA49" s="191"/>
      <c r="AB49" s="191">
        <f>AB13/AB35/$B$13*$B$35</f>
        <v>0.88946578135973409</v>
      </c>
      <c r="AC49" s="191"/>
      <c r="AD49" s="191">
        <f>AD13/AD35/$B$13*$B$35</f>
        <v>0.87689720305105234</v>
      </c>
      <c r="AE49" s="191"/>
      <c r="AF49" s="191">
        <f>AF13/AF35/$B$13*$B$35</f>
        <v>0.86397238594253667</v>
      </c>
      <c r="AG49" s="191"/>
      <c r="AH49" s="191">
        <f>AH13/AH35/$B$13*$B$35</f>
        <v>0.85086549043784054</v>
      </c>
      <c r="AI49" s="191"/>
      <c r="AJ49" s="191">
        <f>AJ13/AJ35/$B$13*$B$35</f>
        <v>0.83777416483830724</v>
      </c>
      <c r="AK49" s="191"/>
      <c r="AL49" s="191">
        <f>AL13/AL35/$B$13*$B$35</f>
        <v>0.82489784575920466</v>
      </c>
      <c r="AM49" s="191"/>
      <c r="AN49" s="191">
        <f>AN13/AN35/$B$13*$B$35</f>
        <v>0.8124148986730978</v>
      </c>
      <c r="AO49" s="191"/>
      <c r="AP49" s="191" t="e">
        <f>AP13/AP35/$B$13*$B$35</f>
        <v>#DIV/0!</v>
      </c>
      <c r="AQ49" s="191"/>
      <c r="AR49" s="191" t="e">
        <f>AR13/AR35/$B$13*$B$35</f>
        <v>#DIV/0!</v>
      </c>
      <c r="AS49" s="191"/>
      <c r="AT49" s="191" t="e">
        <f>AT13/AT35/$B$13*$B$35</f>
        <v>#DIV/0!</v>
      </c>
      <c r="AU49" s="191"/>
      <c r="AV49" s="191" t="e">
        <f>AV13/AV35/$B$13*$B$35</f>
        <v>#DIV/0!</v>
      </c>
    </row>
    <row r="51" spans="1:48 16321:16384" x14ac:dyDescent="0.2">
      <c r="A51" t="s">
        <v>166</v>
      </c>
      <c r="B51" s="29">
        <f>B30-B10*B23</f>
        <v>-405838.32800000021</v>
      </c>
      <c r="D51" s="29">
        <f>D30-D10*D23</f>
        <v>-353574.35630962113</v>
      </c>
      <c r="F51" s="29">
        <f>F30-F10*F23</f>
        <v>-300492.35784323374</v>
      </c>
      <c r="H51" s="29">
        <f>H30-H10*H23</f>
        <v>-246593.89274070924</v>
      </c>
      <c r="J51" s="29">
        <f>J30-J10*J23</f>
        <v>-191913.26995920064</v>
      </c>
      <c r="L51" s="29">
        <f>L30-L10*L23</f>
        <v>-136535.00842631795</v>
      </c>
      <c r="N51" s="29">
        <f>N30-N10*N23</f>
        <v>-80617.787817066535</v>
      </c>
      <c r="P51" s="29">
        <f>P30-P10*P23</f>
        <v>-24429.171052617487</v>
      </c>
      <c r="R51" s="29">
        <f>R30-R10*R23</f>
        <v>31605.807272717357</v>
      </c>
      <c r="T51" s="29">
        <f>T30-T10*T23</f>
        <v>86839.720284938347</v>
      </c>
      <c r="V51" s="29">
        <f>V30-V10*V23</f>
        <v>140315.25172261428</v>
      </c>
      <c r="X51" s="29">
        <f>X30-X10*X23</f>
        <v>190660.35899230326</v>
      </c>
      <c r="Z51" s="29">
        <f>Z30-Z10*Z23</f>
        <v>235967.49378629681</v>
      </c>
      <c r="AB51" s="29">
        <f>AB30-AB10*AB23</f>
        <v>273683.36094966857</v>
      </c>
      <c r="AD51" s="29">
        <f>AD30-AD10*AD23</f>
        <v>300542.73942395765</v>
      </c>
      <c r="AF51" s="29">
        <f>AF30-AF10*AF23</f>
        <v>312603.31004000385</v>
      </c>
      <c r="AH51" s="29">
        <f>AH30-AH10*AH23</f>
        <v>305431.32087756088</v>
      </c>
      <c r="AJ51" s="29">
        <f>AJ30-AJ10*AJ23</f>
        <v>274449.00105347158</v>
      </c>
      <c r="AL51" s="29">
        <f>AL30-AL10*AL23</f>
        <v>215389.16548873519</v>
      </c>
      <c r="AN51" s="29">
        <f>AN30-AN10*AN23</f>
        <v>124732.05847929337</v>
      </c>
      <c r="AP51" s="29">
        <f>AP30-AP10*AP23</f>
        <v>0</v>
      </c>
      <c r="AQ51" s="29"/>
      <c r="AR51" s="29">
        <f>AR30-AR10*AR23</f>
        <v>0</v>
      </c>
      <c r="AT51" s="29">
        <f>AT30-AT10*AT23</f>
        <v>0</v>
      </c>
      <c r="AV51" s="29">
        <f>AV30-AV10*AV23</f>
        <v>0</v>
      </c>
      <c r="XFD51" s="29"/>
    </row>
    <row r="52" spans="1:48 16321:16384" x14ac:dyDescent="0.2">
      <c r="A52" t="s">
        <v>167</v>
      </c>
      <c r="B52" s="29">
        <f t="array" ref="B52">Calibration!sL*SUM(B13:C13*B26:C26)</f>
        <v>2049247.8195702801</v>
      </c>
      <c r="D52" s="29">
        <f t="array" ref="D52">Calibration!sL*SUM(D13:E13*D26:E26)</f>
        <v>2029280.4374811463</v>
      </c>
      <c r="F52" s="29">
        <f t="array" ref="F52">Calibration!sL*SUM(F13:G13*F26:G26)</f>
        <v>2007141.5119937416</v>
      </c>
      <c r="H52" s="29">
        <f t="array" ref="H52">Calibration!sL*SUM(H13:I13*H26:I26)</f>
        <v>1982461.2069451297</v>
      </c>
      <c r="J52" s="29">
        <f t="array" ref="J52">Calibration!sL*SUM(J13:K13*J26:K26)</f>
        <v>1954787.7814441656</v>
      </c>
      <c r="L52" s="29">
        <f t="array" ref="L52">Calibration!sL*SUM(L13:M13*L26:M26)</f>
        <v>1923564.9743545116</v>
      </c>
      <c r="N52" s="29">
        <f t="array" ref="N52">Calibration!sL*SUM(N13:O13*N26:O26)</f>
        <v>1888106.0928433693</v>
      </c>
      <c r="P52" s="29">
        <f t="array" ref="P52">Calibration!sL*SUM(P13:Q13*P26:Q26)</f>
        <v>1847559.7951382995</v>
      </c>
      <c r="R52" s="29">
        <f t="array" ref="R52">Calibration!sL*SUM(R13:S13*R26:S26)</f>
        <v>1800868.5690268192</v>
      </c>
      <c r="T52" s="29">
        <f t="array" ref="T52">Calibration!sL*SUM(T13:U13*T26:U26)</f>
        <v>1746721.0919175902</v>
      </c>
      <c r="V52" s="29">
        <f t="array" ref="V52">Calibration!sL*SUM(V13:W13*V26:W26)</f>
        <v>1683498.6101721665</v>
      </c>
      <c r="X52" s="29">
        <f t="array" ref="X52">Calibration!sL*SUM(X13:Y13*X26:Y26)</f>
        <v>1609226.0918983186</v>
      </c>
      <c r="Z52" s="29">
        <f t="array" ref="Z52">Calibration!sL*SUM(Z13:AA13*Z26:AA26)</f>
        <v>1521538.6954171131</v>
      </c>
      <c r="AB52" s="29">
        <f t="array" ref="AB52">Calibration!sL*SUM(AB13:AC13*AB26:AC26)</f>
        <v>1417687.7211842011</v>
      </c>
      <c r="AD52" s="29">
        <f t="array" ref="AD52">Calibration!sL*SUM(AD13:AE13*AD26:AE26)</f>
        <v>1294615.3953379169</v>
      </c>
      <c r="AF52" s="29">
        <f t="array" ref="AF52">Calibration!sL*SUM(AF13:AG13*AF26:AG26)</f>
        <v>1149125.0645531036</v>
      </c>
      <c r="AH52" s="29">
        <f t="array" ref="AH52">Calibration!sL*SUM(AH13:AI13*AH26:AI26)</f>
        <v>978151.41966673394</v>
      </c>
      <c r="AJ52" s="29">
        <f t="array" ref="AJ52">Calibration!sL*SUM(AJ13:AK13*AJ26:AK26)</f>
        <v>779093.42083113478</v>
      </c>
      <c r="AL52" s="29">
        <f t="array" ref="AL52">Calibration!sL*SUM(AL13:AM13*AL26:AM26)</f>
        <v>550124.46310935484</v>
      </c>
      <c r="AN52" s="29">
        <f t="array" ref="AN52">Calibration!sL*SUM(AN13:AO13*AN26:AO26)</f>
        <v>290385.1017847925</v>
      </c>
      <c r="AP52" s="29">
        <f t="array" ref="AP52">Calibration!sL*SUM(AP13:AQ13*AP26:AQ26)</f>
        <v>0</v>
      </c>
      <c r="AQ52" s="29"/>
      <c r="AR52" s="29">
        <f t="array" ref="AR52">Calibration!sL*SUM(AR13:AS13*AR26:AS26)</f>
        <v>0</v>
      </c>
      <c r="AT52" s="29">
        <f t="array" ref="AT52">Calibration!sL*SUM(AT13:AU13*AT26:AU26)</f>
        <v>0</v>
      </c>
      <c r="AV52" s="29">
        <f t="array" ref="AV52">Calibration!sL*SUM(AV13:AW13*AV26:AW26)</f>
        <v>0</v>
      </c>
    </row>
    <row r="53" spans="1:48 16321:16384" x14ac:dyDescent="0.2">
      <c r="A53" t="s">
        <v>168</v>
      </c>
      <c r="B53" s="29">
        <f t="array" ref="B53">Calibration!sK*SUM(B15:C15*B27:C27)</f>
        <v>2740714.444429745</v>
      </c>
      <c r="D53" s="29">
        <f t="array" ref="D53">Calibration!sK*SUM(D15:E15*D27:E27)</f>
        <v>2708648.9250729103</v>
      </c>
      <c r="F53" s="29">
        <f t="array" ref="F53">Calibration!sK*SUM(F15:G15*F27:G27)</f>
        <v>2673720.0463045761</v>
      </c>
      <c r="H53" s="29">
        <f t="array" ref="H53">Calibration!sK*SUM(H15:I15*H27:I27)</f>
        <v>2635417.1828251011</v>
      </c>
      <c r="J53" s="29">
        <f t="array" ref="J53">Calibration!sK*SUM(J15:K15*J27:K27)</f>
        <v>2593117.9844378568</v>
      </c>
      <c r="L53" s="29">
        <f t="array" ref="L53">Calibration!sK*SUM(L15:M15*L27:M27)</f>
        <v>2546059.0513824136</v>
      </c>
      <c r="N53" s="29">
        <f t="array" ref="N53">Calibration!sK*SUM(N15:O15*N27:O27)</f>
        <v>2493303.616340158</v>
      </c>
      <c r="P53" s="29">
        <f t="array" ref="P53">Calibration!sK*SUM(P15:Q15*P27:Q27)</f>
        <v>2433699.8934034882</v>
      </c>
      <c r="R53" s="29">
        <f t="array" ref="R53">Calibration!sK*SUM(R15:S15*R27:S27)</f>
        <v>2365832.8111039167</v>
      </c>
      <c r="T53" s="29">
        <f t="array" ref="T53">Calibration!sK*SUM(T15:U15*T27:U27)</f>
        <v>2287972.3419404421</v>
      </c>
      <c r="V53" s="29">
        <f t="array" ref="V53">Calibration!sK*SUM(V15:W15*V27:W27)</f>
        <v>2198020.3925163462</v>
      </c>
      <c r="X53" s="29">
        <f t="array" ref="X53">Calibration!sK*SUM(X15:Y15*X27:Y27)</f>
        <v>2093472.8313695397</v>
      </c>
      <c r="Z53" s="29">
        <f t="array" ref="Z53">Calibration!sK*SUM(Z15:AA15*Z27:AA27)</f>
        <v>1971411.2124112532</v>
      </c>
      <c r="AB53" s="29">
        <f t="array" ref="AB53">Calibration!sK*SUM(AB15:AC15*AB27:AC27)</f>
        <v>1828554.8077141582</v>
      </c>
      <c r="AD53" s="29">
        <f t="array" ref="AD53">Calibration!sK*SUM(AD15:AE15*AD27:AE27)</f>
        <v>1661403.6228047444</v>
      </c>
      <c r="AF53" s="29">
        <f t="array" ref="AF53">Calibration!sK*SUM(AF15:AG15*AF27:AG27)</f>
        <v>1466493.031449947</v>
      </c>
      <c r="AH53" s="29">
        <f t="array" ref="AH53">Calibration!sK*SUM(AH15:AI15*AH27:AI27)</f>
        <v>1240745.989549967</v>
      </c>
      <c r="AJ53" s="29">
        <f t="array" ref="AJ53">Calibration!sK*SUM(AJ15:AK15*AJ27:AK27)</f>
        <v>981857.61387773172</v>
      </c>
      <c r="AL53" s="29">
        <f t="array" ref="AL53">Calibration!sK*SUM(AL15:AM15*AL27:AM27)</f>
        <v>688600.6627649077</v>
      </c>
      <c r="AN53" s="29">
        <f t="array" ref="AN53">Calibration!sK*SUM(AN15:AO15*AN27:AO27)</f>
        <v>360951.80115024396</v>
      </c>
      <c r="AP53" s="29">
        <f t="array" ref="AP53">Calibration!sK*SUM(AP15:AQ15*AP27:AQ27)</f>
        <v>0</v>
      </c>
      <c r="AQ53" s="29"/>
      <c r="AR53" s="29">
        <f t="array" ref="AR53">Calibration!sK*SUM(AR15:AS15*AR27:AS27)</f>
        <v>0</v>
      </c>
      <c r="AT53" s="29">
        <f t="array" ref="AT53">Calibration!sK*SUM(AT15:AU15*AT27:AU27)</f>
        <v>0</v>
      </c>
      <c r="AV53" s="29">
        <f t="array" ref="AV53">Calibration!sK*SUM(AV15:AW15*AV27:AW27)</f>
        <v>0</v>
      </c>
      <c r="XFD53" s="29"/>
    </row>
    <row r="55" spans="1:48 16321:16384" x14ac:dyDescent="0.2">
      <c r="A55" t="s">
        <v>169</v>
      </c>
      <c r="B55" s="193">
        <f>B30/B32</f>
        <v>0.19850271905982084</v>
      </c>
      <c r="D55" s="193">
        <f>D30/D32</f>
        <v>0.20188897698360075</v>
      </c>
      <c r="F55" s="193">
        <f>F30/F32</f>
        <v>0.20535586710647435</v>
      </c>
      <c r="H55" s="193">
        <f>H30/H32</f>
        <v>0.20891266607862621</v>
      </c>
      <c r="J55" s="193">
        <f>J30/J32</f>
        <v>0.21256949103998879</v>
      </c>
      <c r="L55" s="193">
        <f>L30/L32</f>
        <v>0.21633717796736476</v>
      </c>
      <c r="N55" s="193">
        <f>N30/N32</f>
        <v>0.22022713571030678</v>
      </c>
      <c r="P55" s="193">
        <f>P30/P32</f>
        <v>0.224250969258631</v>
      </c>
      <c r="R55" s="193">
        <f>R30/R32</f>
        <v>0.2284198329541266</v>
      </c>
      <c r="T55" s="193">
        <f>T30/T32</f>
        <v>0.23274349677870573</v>
      </c>
      <c r="V55" s="193">
        <f>V30/V32</f>
        <v>0.23722876440122243</v>
      </c>
      <c r="X55" s="193">
        <f>X30/X32</f>
        <v>0.24187753110991975</v>
      </c>
      <c r="Z55" s="193">
        <f>Z30/Z32</f>
        <v>0.24668404002038433</v>
      </c>
      <c r="AB55" s="193">
        <f>AB30/AB32</f>
        <v>0.25163205906443442</v>
      </c>
      <c r="AD55" s="193">
        <f>AD30/AD32</f>
        <v>0.25669222183773116</v>
      </c>
      <c r="AF55" s="193">
        <f>AF30/AF32</f>
        <v>0.26182084176277154</v>
      </c>
      <c r="AH55" s="193">
        <f>AH30/AH32</f>
        <v>0.26696136280885818</v>
      </c>
      <c r="AJ55" s="193">
        <f>AJ30/AJ32</f>
        <v>0.27204891896788902</v>
      </c>
      <c r="AL55" s="193">
        <f>AL30/AL32</f>
        <v>0.27701783908604338</v>
      </c>
      <c r="AN55" s="193">
        <f>AN30/AN32</f>
        <v>0.28180955909537581</v>
      </c>
      <c r="AP55" s="193" t="e">
        <f>AP30/AP32</f>
        <v>#DIV/0!</v>
      </c>
      <c r="AR55" s="193" t="e">
        <f>AR30/AR32</f>
        <v>#DIV/0!</v>
      </c>
      <c r="AT55" s="193" t="e">
        <f>AT30/AT32</f>
        <v>#DIV/0!</v>
      </c>
      <c r="AV55" s="193" t="e">
        <f>AV30/AV32</f>
        <v>#DIV/0!</v>
      </c>
      <c r="XCS55" s="193"/>
      <c r="XFD55" s="193"/>
    </row>
    <row r="56" spans="1:48 16321:16384" x14ac:dyDescent="0.2">
      <c r="A56" t="s">
        <v>170</v>
      </c>
      <c r="B56" s="193">
        <f>(Model!$C$52*B5*B20+B2*C5*C20)/B32</f>
        <v>2.9221206744340551E-2</v>
      </c>
      <c r="D56" s="193">
        <f>(Model!$C$52*D5*D20+D2*E5*E20)/D32</f>
        <v>3.3162165644137806E-2</v>
      </c>
      <c r="F56" s="193">
        <f>(Model!$C$52*F5*F20+F2*G5*G20)/F32</f>
        <v>3.7197973631858346E-2</v>
      </c>
      <c r="H56" s="193">
        <f>(Model!$C$52*H5*H20+H2*I5*I20)/H32</f>
        <v>4.1338490801715554E-2</v>
      </c>
      <c r="J56" s="193">
        <f>(Model!$C$52*J5*J20+J2*K5*K20)/J32</f>
        <v>4.5594269971126533E-2</v>
      </c>
      <c r="L56" s="193">
        <f>(Model!$C$52*L5*L20+L2*M5*M20)/L32</f>
        <v>4.9976333057102452E-2</v>
      </c>
      <c r="N56" s="193">
        <f>(Model!$C$52*N5*N20+N2*O5*O20)/N32</f>
        <v>5.4495936578054842E-2</v>
      </c>
      <c r="P56" s="193">
        <f>(Model!$C$52*P5*P20+P2*Q5*Q20)/P32</f>
        <v>5.9164050196556975E-2</v>
      </c>
      <c r="R56" s="193">
        <f>(Model!$C$52*R5*R20+R2*S5*S20)/R32</f>
        <v>6.3990530982931393E-2</v>
      </c>
      <c r="T56" s="193">
        <f>(Model!$C$52*T5*T20+T2*U5*U20)/T32</f>
        <v>6.8983003504347482E-2</v>
      </c>
      <c r="V56" s="193">
        <f>(Model!$C$52*V5*V20+V2*W5*W20)/V32</f>
        <v>7.4145032448132753E-2</v>
      </c>
      <c r="X56" s="193">
        <f>(Model!$C$52*X5*X20+X2*Y5*Y20)/X32</f>
        <v>7.9474008882260125E-2</v>
      </c>
      <c r="Z56" s="193">
        <f>(Model!$C$52*Z5*Z20+Z2*AA5*AA20)/Z32</f>
        <v>8.4958273491437489E-2</v>
      </c>
      <c r="AB56" s="193">
        <f>(Model!$C$52*AB5*AB20+AB2*AC5*AC20)/AB32</f>
        <v>9.057434110590748E-2</v>
      </c>
      <c r="AD56" s="193">
        <f>(Model!$C$52*AD5*AD20+AD2*AE5*AE20)/AD32</f>
        <v>9.6284549877201045E-2</v>
      </c>
      <c r="AF56" s="193">
        <f>(Model!$C$52*AF5*AF20+AF2*AG5*AG20)/AF32</f>
        <v>0.10203651042258141</v>
      </c>
      <c r="AH56" s="193">
        <f>(Model!$C$52*AH5*AH20+AH2*AI5*AI20)/AH32</f>
        <v>0.10776548167038029</v>
      </c>
      <c r="AJ56" s="193">
        <f>(Model!$C$52*AJ5*AJ20+AJ2*AK5*AK20)/AJ32</f>
        <v>0.11339995080221434</v>
      </c>
      <c r="AL56" s="193">
        <f>(Model!$C$52*AL5*AL20+AL2*AM5*AM20)/AL32</f>
        <v>0.11886996040886917</v>
      </c>
      <c r="AN56" s="193">
        <f>(Model!$C$52*AN5*AN20+AN2*AO5*AO20)/AN32</f>
        <v>0.12411537320808498</v>
      </c>
      <c r="AP56" s="193" t="e">
        <f>(Model!$C$52*AP5*AP20+AP2*AQ5*AQ20)/AP32</f>
        <v>#DIV/0!</v>
      </c>
      <c r="AR56" s="193" t="e">
        <f>(Model!$C$52*AR5*AR20+AR2*AS5*AS20)/AR32</f>
        <v>#DIV/0!</v>
      </c>
      <c r="AT56" s="193" t="e">
        <f>(Model!$C$52*AT5*AT20+AT2*AU5*AU20)/AT32</f>
        <v>#DIV/0!</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0.15803609979725677</v>
      </c>
      <c r="F57" s="193">
        <f t="array" ref="F57">SUM(Model!tauL*F13:G13*F26:G26)/F32</f>
        <v>0.15752882687111827</v>
      </c>
      <c r="H57" s="193">
        <f t="array" ref="H57">SUM(Model!tauL*H13:I13*H26:I26)/H32</f>
        <v>0.15700639746607864</v>
      </c>
      <c r="J57" s="193">
        <f t="array" ref="J57">SUM(Model!tauL*J13:K13*J26:K26)/J32</f>
        <v>0.15646835262277944</v>
      </c>
      <c r="L57" s="193">
        <f t="array" ref="L57">SUM(Model!tauL*L13:M13*L26:M26)/L32</f>
        <v>0.15591447364468397</v>
      </c>
      <c r="N57" s="193">
        <f t="array" ref="N57">SUM(Model!tauL*N13:O13*N26:O26)/N32</f>
        <v>0.15534486999234487</v>
      </c>
      <c r="P57" s="193">
        <f t="array" ref="P57">SUM(Model!tauL*P13:Q13*P26:Q26)/P32</f>
        <v>0.15476011943996298</v>
      </c>
      <c r="R57" s="193">
        <f t="array" ref="R57">SUM(Model!tauL*R13:S13*R26:S26)/R32</f>
        <v>0.15416144112837585</v>
      </c>
      <c r="T57" s="193">
        <f t="array" ref="T57">SUM(Model!tauL*T13:U13*T26:U26)/T32</f>
        <v>0.15355087654217789</v>
      </c>
      <c r="V57" s="193">
        <f t="array" ref="V57">SUM(Model!tauL*V13:W13*V26:W26)/V32</f>
        <v>0.15293152394004789</v>
      </c>
      <c r="X57" s="193">
        <f t="array" ref="X57">SUM(Model!tauL*X13:Y13*X26:Y26)/X32</f>
        <v>0.15230770326133605</v>
      </c>
      <c r="Y57" s="193"/>
      <c r="Z57" s="193">
        <f t="array" ref="Z57">SUM(Model!tauL*Z13:AA13*Z26:AA26)/Z32</f>
        <v>0.15168508189251437</v>
      </c>
      <c r="AB57" s="193">
        <f t="array" ref="AB57">SUM(Model!tauL*AB13:AC13*AB26:AC26)/AB32</f>
        <v>0.15107062022755505</v>
      </c>
      <c r="AD57" s="193">
        <f t="array" ref="AD57">SUM(Model!tauL*AD13:AE13*AD26:AE26)/AD32</f>
        <v>0.15047226964278546</v>
      </c>
      <c r="AF57" s="193">
        <f t="array" ref="AF57">SUM(Model!tauL*AF13:AG13*AF26:AG26)/AF32</f>
        <v>0.14989835483744629</v>
      </c>
      <c r="AH57" s="193">
        <f t="array" ref="AH57">SUM(Model!tauL*AH13:AI13*AH26:AI26)/AH32</f>
        <v>0.14935668214533795</v>
      </c>
      <c r="AJ57" s="193">
        <f t="array" ref="AJ57">SUM(Model!tauL*AJ13:AK13*AJ26:AK26)/AJ32</f>
        <v>0.1488535661483851</v>
      </c>
      <c r="AL57" s="193">
        <f t="array" ref="AL57">SUM(Model!tauL*AL13:AM13*AL26:AM26)/AL32</f>
        <v>0.1483930521852036</v>
      </c>
      <c r="AN57" s="193">
        <f t="array" ref="AN57">SUM(Model!tauL*AN13:AO13*AN26:AO26)/AN32</f>
        <v>0.14797659711737424</v>
      </c>
      <c r="AP57" s="193" t="e">
        <f t="array" ref="AP57">SUM(Model!tauL*AP13:AQ13*AP26:AQ26)/AP32</f>
        <v>#DIV/0!</v>
      </c>
      <c r="AR57" s="193" t="e">
        <f t="array" ref="AR57">SUM(Model!tauL*AR13:AS13*AR26:AS26)/AR32</f>
        <v>#DIV/0!</v>
      </c>
      <c r="AT57" s="193" t="e">
        <f t="array" ref="AT57">SUM(Model!tauL*AT13:AU13*AT26:AU26)/AT32</f>
        <v>#DIV/0!</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1.0690711542206167E-2</v>
      </c>
      <c r="F58" s="193">
        <f t="array" ref="F58">SUM(Model!tauY/(1+Model!tauY)*F3:G3*F18:G18)/F32</f>
        <v>1.062906660349773E-2</v>
      </c>
      <c r="H58" s="193">
        <f t="array" ref="H58">SUM(Model!tauY/(1+Model!tauY)*H3:I3*H18:I18)/H32</f>
        <v>1.0567777810832017E-2</v>
      </c>
      <c r="J58" s="193">
        <f t="array" ref="J58">SUM(Model!tauY/(1+Model!tauY)*J3:K3*J18:K18)/J32</f>
        <v>1.0506868446082831E-2</v>
      </c>
      <c r="L58" s="193">
        <f t="array" ref="L58">SUM(Model!tauY/(1+Model!tauY)*L3:M3*L18:M18)/L32</f>
        <v>1.0446371265578343E-2</v>
      </c>
      <c r="N58" s="193">
        <f t="array" ref="N58">SUM(Model!tauY/(1+Model!tauY)*N3:O3*N18:O18)/N32</f>
        <v>1.0386329139907077E-2</v>
      </c>
      <c r="P58" s="193">
        <f t="array" ref="P58">SUM(Model!tauY/(1+Model!tauY)*P3:Q3*P18:Q18)/P32</f>
        <v>1.0326799622111043E-2</v>
      </c>
      <c r="R58" s="193">
        <f t="array" ref="R58">SUM(Model!tauY/(1+Model!tauY)*R3:S3*R18:S18)/R32</f>
        <v>1.0267860842819347E-2</v>
      </c>
      <c r="T58" s="193">
        <f t="array" ref="T58">SUM(Model!tauY/(1+Model!tauY)*T3:U3*T18:U18)/T32</f>
        <v>1.0209616732180373E-2</v>
      </c>
      <c r="V58" s="193">
        <f t="array" ref="V58">SUM(Model!tauY/(1+Model!tauY)*V3:W3*V18:W18)/V32</f>
        <v>1.0152208013041782E-2</v>
      </c>
      <c r="X58" s="193">
        <f t="array" ref="X58">SUM(Model!tauY/(1+Model!tauY)*X3:Y3*X18:Y18)/X32</f>
        <v>1.009581896632359E-2</v>
      </c>
      <c r="Y58" s="193"/>
      <c r="Z58" s="193">
        <f t="array" ref="Z58">SUM(Model!tauY/(1+Model!tauY)*Z3:AA3*Z18:AA18)/Z32</f>
        <v>1.0040684636432462E-2</v>
      </c>
      <c r="AB58" s="193">
        <f t="array" ref="AB58">SUM(Model!tauY/(1+Model!tauY)*AB3:AC3*AB18:AC18)/AB32</f>
        <v>9.9870977309718337E-3</v>
      </c>
      <c r="AD58" s="193">
        <f t="array" ref="AD58">SUM(Model!tauY/(1+Model!tauY)*AD3:AE3*AD18:AE18)/AD32</f>
        <v>9.9354023177446373E-3</v>
      </c>
      <c r="AF58" s="193">
        <f t="array" ref="AF58">SUM(Model!tauY/(1+Model!tauY)*AF3:AG3*AF18:AG18)/AF32</f>
        <v>9.8859765027438685E-3</v>
      </c>
      <c r="AH58" s="193">
        <f t="array" ref="AH58">SUM(Model!tauY/(1+Model!tauY)*AH3:AI3*AH18:AI18)/AH32</f>
        <v>9.8391989931399266E-3</v>
      </c>
      <c r="AJ58" s="193">
        <f t="array" ref="AJ58">SUM(Model!tauY/(1+Model!tauY)*AJ3:AK3*AJ18:AK18)/AJ32</f>
        <v>9.7954020172895378E-3</v>
      </c>
      <c r="AL58" s="193">
        <f t="array" ref="AL58">SUM(Model!tauY/(1+Model!tauY)*AL3:AM3*AL18:AM18)/AL32</f>
        <v>9.7548264919705644E-3</v>
      </c>
      <c r="AN58" s="193">
        <f t="array" ref="AN58">SUM(Model!tauY/(1+Model!tauY)*AN3:AO3*AN18:AO18)/AN32</f>
        <v>9.7175887699166331E-3</v>
      </c>
      <c r="AP58" s="193" t="e">
        <f t="array" ref="AP58">SUM(Model!tauY/(1+Model!tauY)*AP3:AQ3*AP18:AQ18)/AP32</f>
        <v>#DIV/0!</v>
      </c>
      <c r="AR58" s="193" t="e">
        <f t="array" ref="AR58">SUM(Model!tauY/(1+Model!tauY)*AR3:AS3*AR18:AS18)/AR32</f>
        <v>#DIV/0!</v>
      </c>
      <c r="AT58" s="193" t="e">
        <f t="array" ref="AT58">SUM(Model!tauY/(1+Model!tauY)*AT3:AU3*AT18:AU18)/AT32</f>
        <v>#DIV/0!</v>
      </c>
      <c r="AV58" s="193" t="e">
        <f t="array" ref="AV58">SUM(Model!tauY/(1+Model!tauY)*AV3:AW3*AV18:AW18)/AV32</f>
        <v>#DIV/0!</v>
      </c>
      <c r="XFD58" s="193"/>
    </row>
    <row r="59" spans="1:48 16321:16384" x14ac:dyDescent="0.2">
      <c r="A59" t="s">
        <v>173</v>
      </c>
      <c r="B59" s="193">
        <f>(B2*C5*C20)/B32</f>
        <v>5.5174232040962052E-4</v>
      </c>
      <c r="D59" s="193">
        <f>(D2*E5*E20)/D32</f>
        <v>4.5399016752975451E-3</v>
      </c>
      <c r="F59" s="193">
        <f>(F2*G5*G20)/F32</f>
        <v>8.6234899979566355E-3</v>
      </c>
      <c r="H59" s="193">
        <f>(H2*I5*I20)/H32</f>
        <v>1.2812411460580745E-2</v>
      </c>
      <c r="J59" s="193">
        <f>(J2*K5*K20)/J32</f>
        <v>1.7117260207453189E-2</v>
      </c>
      <c r="L59" s="193">
        <f>(L2*M5*M20)/L32</f>
        <v>2.1549092357037926E-2</v>
      </c>
      <c r="N59" s="193">
        <f>(N2*O5*O20)/N32</f>
        <v>2.6119187914753223E-2</v>
      </c>
      <c r="P59" s="193">
        <f>(P2*Q5*Q20)/P32</f>
        <v>3.083852253346869E-2</v>
      </c>
      <c r="R59" s="193">
        <f>(R2*S5*S20)/R32</f>
        <v>3.5716932498179879E-2</v>
      </c>
      <c r="T59" s="193">
        <f>(T2*U5*U20)/T32</f>
        <v>4.0761984001520424E-2</v>
      </c>
      <c r="V59" s="193">
        <f>(V2*W5*W20)/V32</f>
        <v>4.5977129532084576E-2</v>
      </c>
      <c r="X59" s="193">
        <f>(X2*Y5*Y20)/X32</f>
        <v>5.1359578823070004E-2</v>
      </c>
      <c r="Z59" s="193">
        <f>(Z2*AA5*AA20)/Z32</f>
        <v>5.6897404978683119E-2</v>
      </c>
      <c r="AB59" s="193">
        <f>(AB2*AC5*AC20)/AB32</f>
        <v>6.2566756466998802E-2</v>
      </c>
      <c r="AD59" s="193">
        <f>(AD2*AE5*AE20)/AD32</f>
        <v>6.832950603584026E-2</v>
      </c>
      <c r="AF59" s="193">
        <f>(AF2*AG5*AG20)/AF32</f>
        <v>7.4132718714221266E-2</v>
      </c>
      <c r="AH59" s="193">
        <f>(AH2*AI5*AI20)/AH32</f>
        <v>7.9911071062309894E-2</v>
      </c>
      <c r="AJ59" s="193">
        <f>(AJ2*AK5*AK20)/AJ32</f>
        <v>8.5592495115113562E-2</v>
      </c>
      <c r="AL59" s="193">
        <f>(AL2*AM5*AM20)/AL32</f>
        <v>9.1106575131888301E-2</v>
      </c>
      <c r="AN59" s="193">
        <f>(AN2*AO5*AO20)/AN32</f>
        <v>9.6392866000570482E-2</v>
      </c>
      <c r="AP59" s="193" t="e">
        <f>(AP2*AQ5*AQ20)/AP32</f>
        <v>#DIV/0!</v>
      </c>
      <c r="AR59" s="193" t="e">
        <f>(AR2*AS5*AS20)/AR32</f>
        <v>#DIV/0!</v>
      </c>
      <c r="AT59" s="193" t="e">
        <f>(AT2*AU5*AU20)/AT32</f>
        <v>#DIV/0!</v>
      </c>
      <c r="AV59" s="193" t="e">
        <f>(AV2*AW5*AW20)/AV32</f>
        <v>#DIV/0!</v>
      </c>
      <c r="XFD59" s="193"/>
    </row>
    <row r="60" spans="1:48 16321:16384" x14ac:dyDescent="0.2">
      <c r="A60" t="s">
        <v>174</v>
      </c>
      <c r="B60" s="193">
        <f>Model!$C$52*B5*B20/B32</f>
        <v>2.8669464423930927E-2</v>
      </c>
      <c r="D60" s="193">
        <f>Model!$C$52*D5*D20/D32</f>
        <v>2.8622263968840257E-2</v>
      </c>
      <c r="F60" s="193">
        <f>Model!$C$52*F5*F20/F32</f>
        <v>2.8574483633901707E-2</v>
      </c>
      <c r="H60" s="193">
        <f>Model!$C$52*H5*H20/H32</f>
        <v>2.8526079341134807E-2</v>
      </c>
      <c r="J60" s="193">
        <f>Model!$C$52*J5*J20/J32</f>
        <v>2.8477009763673351E-2</v>
      </c>
      <c r="L60" s="193">
        <f>Model!$C$52*L5*L20/L32</f>
        <v>2.8427240700064527E-2</v>
      </c>
      <c r="N60" s="193">
        <f>Model!$C$52*N5*N20/N32</f>
        <v>2.8376748663301619E-2</v>
      </c>
      <c r="P60" s="193">
        <f>Model!$C$52*P5*P20/P32</f>
        <v>2.8325527663088278E-2</v>
      </c>
      <c r="R60" s="193">
        <f>Model!$C$52*R5*R20/R32</f>
        <v>2.8273598484751517E-2</v>
      </c>
      <c r="T60" s="193">
        <f>Model!$C$52*T5*T20/T32</f>
        <v>2.8221019502827047E-2</v>
      </c>
      <c r="V60" s="193">
        <f>Model!$C$52*V5*V20/V32</f>
        <v>2.816790291604818E-2</v>
      </c>
      <c r="X60" s="193">
        <f>Model!$C$52*X5*X20/X32</f>
        <v>2.8114430059190121E-2</v>
      </c>
      <c r="Z60" s="193">
        <f>Model!$C$52*Z5*Z20/Z32</f>
        <v>2.8060868512754369E-2</v>
      </c>
      <c r="AB60" s="193">
        <f>Model!$C$52*AB5*AB20/AB32</f>
        <v>2.8007584638908681E-2</v>
      </c>
      <c r="AD60" s="193">
        <f>Model!$C$52*AD5*AD20/AD32</f>
        <v>2.7955043841360779E-2</v>
      </c>
      <c r="AF60" s="193">
        <f>Model!$C$52*AF5*AF20/AF32</f>
        <v>2.7903791708360142E-2</v>
      </c>
      <c r="AH60" s="193">
        <f>Model!$C$52*AH5*AH20/AH32</f>
        <v>2.7854410608070406E-2</v>
      </c>
      <c r="AJ60" s="193">
        <f>Model!$C$52*AJ5*AJ20/AJ32</f>
        <v>2.7807455687100781E-2</v>
      </c>
      <c r="AL60" s="193">
        <f>Model!$C$52*AL5*AL20/AL32</f>
        <v>2.7763385276980877E-2</v>
      </c>
      <c r="AN60" s="193">
        <f>Model!$C$52*AN5*AN20/AN32</f>
        <v>2.7722507207514478E-2</v>
      </c>
      <c r="AP60" s="193" t="e">
        <f>Model!$C$52*AP5*AP20/AP32</f>
        <v>#DIV/0!</v>
      </c>
      <c r="AR60" s="193" t="e">
        <f>Model!$C$52*AR5*AR20/AR32</f>
        <v>#DIV/0!</v>
      </c>
      <c r="AT60" s="193" t="e">
        <f>Model!$C$52*AT5*AT20/AT32</f>
        <v>#DIV/0!</v>
      </c>
      <c r="AV60" s="193" t="e">
        <f>Model!$C$52*AV5*AV20/AV32</f>
        <v>#DIV/0!</v>
      </c>
      <c r="XFD60" s="193"/>
    </row>
    <row r="62" spans="1:48 16321:16384" x14ac:dyDescent="0.2">
      <c r="A62" t="s">
        <v>175</v>
      </c>
      <c r="B62">
        <f>B13/B15</f>
        <v>1</v>
      </c>
      <c r="D62">
        <f>D13/D15</f>
        <v>1.0009350784415132</v>
      </c>
      <c r="F62">
        <f>F13/F15</f>
        <v>1.0019343697949867</v>
      </c>
      <c r="H62">
        <f>H13/H15</f>
        <v>1.0030215506666107</v>
      </c>
      <c r="J62">
        <f>J13/J15</f>
        <v>1.004226313470469</v>
      </c>
      <c r="L62">
        <f>L13/L15</f>
        <v>1.005585918897079</v>
      </c>
      <c r="N62">
        <f>N13/N15</f>
        <v>1.0071465307478213</v>
      </c>
      <c r="P62">
        <f>P13/P15</f>
        <v>1.008964860752986</v>
      </c>
      <c r="R62">
        <f>R13/R15</f>
        <v>1.0111096099668306</v>
      </c>
      <c r="T62">
        <f>T13/T15</f>
        <v>1.0136621728021595</v>
      </c>
      <c r="V62">
        <f>V13/V15</f>
        <v>1.0167162928598228</v>
      </c>
      <c r="X62">
        <f>X13/X15</f>
        <v>1.0203751242064321</v>
      </c>
      <c r="Z62">
        <f>Z13/Z15</f>
        <v>1.0247449921794718</v>
      </c>
      <c r="AB62">
        <f>AB13/AB15</f>
        <v>1.0299244743171199</v>
      </c>
      <c r="AD62">
        <f>AD13/AD15</f>
        <v>1.0359888885013044</v>
      </c>
      <c r="AF62">
        <f>AF13/AF15</f>
        <v>1.0429721696823493</v>
      </c>
      <c r="AH62">
        <f>AH13/AH15</f>
        <v>1.0508509887280735</v>
      </c>
      <c r="AJ62">
        <f>AJ13/AJ15</f>
        <v>1.0595375488471199</v>
      </c>
      <c r="AL62">
        <f>AL13/AL15</f>
        <v>1.0688860554919255</v>
      </c>
      <c r="AN62">
        <f>AN13/AN15</f>
        <v>1.07871230454195</v>
      </c>
      <c r="AP62" t="e">
        <f>AP13/AP15</f>
        <v>#DIV/0!</v>
      </c>
      <c r="AR62" t="e">
        <f>AR13/AR15</f>
        <v>#DIV/0!</v>
      </c>
      <c r="AT62" t="e">
        <f>AT13/AT15</f>
        <v>#DIV/0!</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0.99928747972012921</v>
      </c>
      <c r="E65" s="191"/>
      <c r="F65" s="191">
        <f t="array" ref="F65">SQRT((F9:G9*$B$22:$C$22+F10:G10*$B$23:$C$23+F11:G11*$B$24:$C$24+F4:G4*($B$25:$C$25-$B$19:$C$19))/($B$9:$C$9*$B$22:$C$22+$B$10:$C$10*$B$23:$C$23+$B$11:$C$11*$B$24:$C$24+$B$4:$C$4*($B$25:$C$25-$B$19:$C$19))*(F9:G9*F22:G22+F10:G10*F23:G23+F11:G11*F24:G24+F4:G4*(F25:G25-F19:G19))/($B$9:$C$9*F22:G22+$B$10:$C$10*F23:G23+$B$11:$C$11*F24:G24+$B$4:$C$4*(F25:G25-F19:G19)))</f>
        <v>0.99858375673492195</v>
      </c>
      <c r="G65" s="191"/>
      <c r="H65" s="191">
        <f t="array" ref="H65">SQRT((H9:I9*$B$22:$C$22+H10:I10*$B$23:$C$23+H11:I11*$B$24:$C$24+H4:I4*($B$25:$C$25-$B$19:$C$19))/($B$9:$C$9*$B$22:$C$22+$B$10:$C$10*$B$23:$C$23+$B$11:$C$11*$B$24:$C$24+$B$4:$C$4*($B$25:$C$25-$B$19:$C$19))*(H9:I9*H22:I22+H10:I10*H23:I23+H11:I11*H24:I24+H4:I4*(H25:I25-H19:I19))/($B$9:$C$9*H22:I22+$B$10:$C$10*H23:I23+$B$11:$C$11*H24:I24+$B$4:$C$4*(H25:I25-H19:I19)))</f>
        <v>0.99788846665494979</v>
      </c>
      <c r="I65" s="191"/>
      <c r="J65" s="191">
        <f t="array" ref="J65">SQRT((J9:K9*$B$22:$C$22+J10:K10*$B$23:$C$23+J11:K11*$B$24:$C$24+J4:K4*($B$25:$C$25-$B$19:$C$19))/($B$9:$C$9*$B$22:$C$22+$B$10:$C$10*$B$23:$C$23+$B$11:$C$11*$B$24:$C$24+$B$4:$C$4*($B$25:$C$25-$B$19:$C$19))*(J9:K9*J22:K22+J10:K10*J23:K23+J11:K11*J24:K24+J4:K4*(J25:K25-J19:K19))/($B$9:$C$9*J22:K22+$B$10:$C$10*J23:K23+$B$11:$C$11*J24:K24+$B$4:$C$4*(J25:K25-J19:K19)))</f>
        <v>0.99720105157808503</v>
      </c>
      <c r="K65" s="191"/>
      <c r="L65" s="191">
        <f t="array" ref="L65">SQRT((L9:M9*$B$22:$C$22+L10:M10*$B$23:$C$23+L11:M11*$B$24:$C$24+L4:M4*($B$25:$C$25-$B$19:$C$19))/($B$9:$C$9*$B$22:$C$22+$B$10:$C$10*$B$23:$C$23+$B$11:$C$11*$B$24:$C$24+$B$4:$C$4*($B$25:$C$25-$B$19:$C$19))*(L9:M9*L22:M22+L10:M10*L23:M23+L11:M11*L24:M24+L4:M4*(L25:M25-L19:M19))/($B$9:$C$9*L22:M22+$B$10:$C$10*L23:M23+$B$11:$C$11*L24:M24+$B$4:$C$4*(L25:M25-L19:M19)))</f>
        <v>0.99652077843718778</v>
      </c>
      <c r="M65" s="191"/>
      <c r="N65" s="191">
        <f t="array" ref="N65">SQRT((N9:O9*$B$22:$C$22+N10:O10*$B$23:$C$23+N11:O11*$B$24:$C$24+N4:O4*($B$25:$C$25-$B$19:$C$19))/($B$9:$C$9*$B$22:$C$22+$B$10:$C$10*$B$23:$C$23+$B$11:$C$11*$B$24:$C$24+$B$4:$C$4*($B$25:$C$25-$B$19:$C$19))*(N9:O9*N22:O22+N10:O10*N23:O23+N11:O11*N24:O24+N4:O4*(N25:O25-N19:O19))/($B$9:$C$9*N22:O22+$B$10:$C$10*N23:O23+$B$11:$C$11*N24:O24+$B$4:$C$4*(N25:O25-N19:O19)))</f>
        <v>0.99584669606501108</v>
      </c>
      <c r="O65" s="191"/>
      <c r="P65" s="191">
        <f t="array" ref="P65">SQRT((P9:Q9*$B$22:$C$22+P10:Q10*$B$23:$C$23+P11:Q11*$B$24:$C$24+P4:Q4*($B$25:$C$25-$B$19:$C$19))/($B$9:$C$9*$B$22:$C$22+$B$10:$C$10*$B$23:$C$23+$B$11:$C$11*$B$24:$C$24+$B$4:$C$4*($B$25:$C$25-$B$19:$C$19))*(P9:Q9*P22:Q22+P10:Q10*P23:Q23+P11:Q11*P24:Q24+P4:Q4*(P25:Q25-P19:Q19))/($B$9:$C$9*P22:Q22+$B$10:$C$10*P23:Q23+$B$11:$C$11*P24:Q24+$B$4:$C$4*(P25:Q25-P19:Q19)))</f>
        <v>0.99517765892617638</v>
      </c>
      <c r="Q65" s="191"/>
      <c r="R65" s="191">
        <f t="array" ref="R65">SQRT((R9:S9*$B$22:$C$22+R10:S10*$B$23:$C$23+R11:S11*$B$24:$C$24+R4:S4*($B$25:$C$25-$B$19:$C$19))/($B$9:$C$9*$B$22:$C$22+$B$10:$C$10*$B$23:$C$23+$B$11:$C$11*$B$24:$C$24+$B$4:$C$4*($B$25:$C$25-$B$19:$C$19))*(R9:S9*R22:S22+R10:S10*R23:S23+R11:S11*R24:S24+R4:S4*(R25:S25-R19:S19))/($B$9:$C$9*R22:S22+$B$10:$C$10*R23:S23+$B$11:$C$11*R24:S24+$B$4:$C$4*(R25:S25-R19:S19)))</f>
        <v>0.99451237808538828</v>
      </c>
      <c r="S65" s="191"/>
      <c r="T65" s="191">
        <f t="array" ref="T65">SQRT((T9:U9*$B$22:$C$22+T10:U10*$B$23:$C$23+T11:U11*$B$24:$C$24+T4:U4*($B$25:$C$25-$B$19:$C$19))/($B$9:$C$9*$B$22:$C$22+$B$10:$C$10*$B$23:$C$23+$B$11:$C$11*$B$24:$C$24+$B$4:$C$4*($B$25:$C$25-$B$19:$C$19))*(T9:U9*T22:U22+T10:U10*T23:U23+T11:U11*T24:U24+T4:U4*(T25:U25-T19:U19))/($B$9:$C$9*T22:U22+$B$10:$C$10*T23:U23+$B$11:$C$11*T24:U24+$B$4:$C$4*(T25:U25-T19:U19)))</f>
        <v>0.9938495017887875</v>
      </c>
      <c r="U65" s="191"/>
      <c r="V65" s="191">
        <f t="array" ref="V65">SQRT((V9:W9*$B$22:$C$22+V10:W10*$B$23:$C$23+V11:W11*$B$24:$C$24+V4:W4*($B$25:$C$25-$B$19:$C$19))/($B$9:$C$9*$B$22:$C$22+$B$10:$C$10*$B$23:$C$23+$B$11:$C$11*$B$24:$C$24+$B$4:$C$4*($B$25:$C$25-$B$19:$C$19))*(V9:W9*V22:W22+V10:W10*V23:W23+V11:W11*V24:W24+V4:W4*(V25:W25-V19:W19))/($B$9:$C$9*V22:W22+$B$10:$C$10*V23:W23+$B$11:$C$11*V24:W24+$B$4:$C$4*(V25:W25-V19:W19)))</f>
        <v>0.99318780691965436</v>
      </c>
      <c r="W65" s="191"/>
      <c r="X65" s="191">
        <f t="array" ref="X65">SQRT((X9:Y9*$B$22:$C$22+X10:Y10*$B$23:$C$23+X11:Y11*$B$24:$C$24+X4:Y4*($B$25:$C$25-$B$19:$C$19))/($B$9:$C$9*$B$22:$C$22+$B$10:$C$10*$B$23:$C$23+$B$11:$C$11*$B$24:$C$24+$B$4:$C$4*($B$25:$C$25-$B$19:$C$19))*(X9:Y9*X22:Y22+X10:Y10*X23:Y23+X11:Y11*X24:Y24+X4:Y4*(X25:Y25-X19:Y19))/($B$9:$C$9*X22:Y22+$B$10:$C$10*X23:Y23+$B$11:$C$11*X24:Y24+$B$4:$C$4*(X25:Y25-X19:Y19)))</f>
        <v>0.99252643235648064</v>
      </c>
      <c r="Y65" s="191"/>
      <c r="Z65" s="191">
        <f t="array" ref="Z65">SQRT((Z9:AA9*$B$22:$C$22+Z10:AA10*$B$23:$C$23+Z11:AA11*$B$24:$C$24+Z4:AA4*($B$25:$C$25-$B$19:$C$19))/($B$9:$C$9*$B$22:$C$22+$B$10:$C$10*$B$23:$C$23+$B$11:$C$11*$B$24:$C$24+$B$4:$C$4*($B$25:$C$25-$B$19:$C$19))*(Z9:AA9*Z22:AA22+Z10:AA10*Z23:AA23+Z11:AA11*Z24:AA24+Z4:AA4*(Z25:AA25-Z19:AA19))/($B$9:$C$9*Z22:AA22+$B$10:$C$10*Z23:AA23+$B$11:$C$11*Z24:AA24+$B$4:$C$4*(Z25:AA25-Z19:AA19)))</f>
        <v>0.99186523758903222</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0.99120521690617414</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0.99054888331429169</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0.98990047596397512</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0.98926581256209556</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0.98865169800053099</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0.98806496247445541</v>
      </c>
      <c r="AM65" s="191"/>
      <c r="AN65" s="191">
        <f t="array" ref="AN65">SQRT((AN9:AO9*$B$22:$C$22+AN10:AO10*$B$23:$C$23+AN11:AO11*$B$24:$C$24+AN4:AO4*($B$25:$C$25-$B$19:$C$19))/($B$9:$C$9*$B$22:$C$22+$B$10:$C$10*$B$23:$C$23+$B$11:$C$11*$B$24:$C$24+$B$4:$C$4*($B$25:$C$25-$B$19:$C$19))*(AN9:AO9*AN22:AO22+AN10:AO10*AN23:AO23+AN11:AO11*AN24:AO24+AN4:AO4*(AN25:AO25-AN19:AO19))/($B$9:$C$9*AN22:AO22+$B$10:$C$10*AN23:AO23+$B$11:$C$11*AN24:AO24+$B$4:$C$4*(AN25:AO25-AN19:AO19)))</f>
        <v>0.98751143504661321</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0.99921677181054747</v>
      </c>
      <c r="E66" s="191"/>
      <c r="F66" s="191">
        <f t="array" ref="F66">SQRT((F9:G9*$B$22:$C$22)/($B$9:$C$9*$B$22:$C$22)*(F9:G9*F22:G22)/($B$9:$C$9*F22:G22))</f>
        <v>0.99844291747516056</v>
      </c>
      <c r="G66" s="191"/>
      <c r="H66" s="191">
        <f t="array" ref="H66">SQRT((H9:I9*$B$22:$C$22)/($B$9:$C$9*$B$22:$C$22)*(H9:I9*H22:I22)/($B$9:$C$9*H22:I22))</f>
        <v>0.99767804707346963</v>
      </c>
      <c r="I66" s="191"/>
      <c r="J66" s="191">
        <f t="array" ref="J66">SQRT((J9:K9*$B$22:$C$22)/($B$9:$C$9*$B$22:$C$22)*(J9:K9*J22:K22)/($B$9:$C$9*J22:K22))</f>
        <v>0.9969215566049251</v>
      </c>
      <c r="K66" s="191"/>
      <c r="L66" s="191">
        <f t="array" ref="L66">SQRT((L9:M9*$B$22:$C$22)/($B$9:$C$9*$B$22:$C$22)*(L9:M9*L22:M22)/($B$9:$C$9*L22:M22))</f>
        <v>0.99617264771151381</v>
      </c>
      <c r="M66" s="191"/>
      <c r="N66" s="191">
        <f t="array" ref="N66">SQRT((N9:O9*$B$22:$C$22)/($B$9:$C$9*$B$22:$C$22)*(N9:O9*N22:O22)/($B$9:$C$9*N22:O22))</f>
        <v>0.99543027992196453</v>
      </c>
      <c r="O66" s="191"/>
      <c r="P66" s="191">
        <f t="array" ref="P66">SQRT((P9:Q9*$B$22:$C$22)/($B$9:$C$9*$B$22:$C$22)*(P9:Q9*P22:Q22)/($B$9:$C$9*P22:Q22))</f>
        <v>0.99469319625298236</v>
      </c>
      <c r="Q66" s="191"/>
      <c r="R66" s="191">
        <f t="array" ref="R66">SQRT((R9:S9*$B$22:$C$22)/($B$9:$C$9*$B$22:$C$22)*(R9:S9*R22:S22)/($B$9:$C$9*R22:S22))</f>
        <v>0.99395997888799492</v>
      </c>
      <c r="S66" s="191"/>
      <c r="T66" s="191">
        <f t="array" ref="T66">SQRT((T9:U9*$B$22:$C$22)/($B$9:$C$9*$B$22:$C$22)*(T9:U9*T22:U22)/($B$9:$C$9*T22:U22))</f>
        <v>0.99322913764474963</v>
      </c>
      <c r="U66" s="191"/>
      <c r="V66" s="191">
        <f t="array" ref="V66">SQRT((V9:W9*$B$22:$C$22)/($B$9:$C$9*$B$22:$C$22)*(V9:W9*V22:W22)/($B$9:$C$9*V22:W22))</f>
        <v>0.99249932098778859</v>
      </c>
      <c r="W66" s="191"/>
      <c r="X66" s="191">
        <f t="array" ref="X66">SQRT((X9:Y9*$B$22:$C$22)/($B$9:$C$9*$B$22:$C$22)*(X9:Y9*X22:Y22)/($B$9:$C$9*X22:Y22))</f>
        <v>0.9917695738409863</v>
      </c>
      <c r="Y66" s="191"/>
      <c r="Z66" s="191">
        <f t="array" ref="Z66">SQRT((Z9:AA9*$B$22:$C$22)/($B$9:$C$9*$B$22:$C$22)*(Z9:AA9*Z22:AA22)/($B$9:$C$9*Z22:AA22))</f>
        <v>0.99103973441891324</v>
      </c>
      <c r="AA66" s="191"/>
      <c r="AB66" s="191">
        <f t="array" ref="AB66">SQRT((AB9:AC9*$B$22:$C$22)/($B$9:$C$9*$B$22:$C$22)*(AB9:AC9*AB22:AC22)/($B$9:$C$9*AB22:AC22))</f>
        <v>0.99031089357235813</v>
      </c>
      <c r="AC66" s="191"/>
      <c r="AD66" s="191">
        <f t="array" ref="AD66">SQRT((AD9:AE9*$B$22:$C$22)/($B$9:$C$9*$B$22:$C$22)*(AD9:AE9*AD22:AE22)/($B$9:$C$9*AD22:AE22))</f>
        <v>0.9895858220258118</v>
      </c>
      <c r="AE66" s="191"/>
      <c r="AF66" s="191">
        <f t="array" ref="AF66">SQRT((AF9:AG9*$B$22:$C$22)/($B$9:$C$9*$B$22:$C$22)*(AF9:AG9*AF22:AG22)/($B$9:$C$9*AF22:AG22))</f>
        <v>0.98886920373535903</v>
      </c>
      <c r="AG66" s="191"/>
      <c r="AH66" s="191">
        <f t="array" ref="AH66">SQRT((AH9:AI9*$B$22:$C$22)/($B$9:$C$9*$B$22:$C$22)*(AH9:AI9*AH22:AI22)/($B$9:$C$9*AH22:AI22))</f>
        <v>0.98816747718822906</v>
      </c>
      <c r="AI66" s="191"/>
      <c r="AJ66" s="191">
        <f t="array" ref="AJ66">SQRT((AJ9:AK9*$B$22:$C$22)/($B$9:$C$9*$B$22:$C$22)*(AJ9:AK9*AJ22:AK22)/($B$9:$C$9*AJ22:AK22))</f>
        <v>0.98748818496228041</v>
      </c>
      <c r="AK66" s="191"/>
      <c r="AL66" s="191">
        <f t="array" ref="AL66">SQRT((AL9:AM9*$B$22:$C$22)/($B$9:$C$9*$B$22:$C$22)*(AL9:AM9*AL22:AM22)/($B$9:$C$9*AL22:AM22))</f>
        <v>0.98683891093473652</v>
      </c>
      <c r="AM66" s="191"/>
      <c r="AN66" s="191">
        <f t="array" ref="AN66">SQRT((AN9:AO9*$B$22:$C$22)/($B$9:$C$9*$B$22:$C$22)*(AN9:AO9*AN22:AO22)/($B$9:$C$9*AN22:AO22))</f>
        <v>0.98622614274396025</v>
      </c>
      <c r="AO66" s="191"/>
      <c r="AP66" s="191" t="e">
        <f t="array" ref="AP66">SQRT((AP9:AQ9*$B$22:$C$22)/($B$9:$C$9*$B$22:$C$22)*(AP9:AQ9*AP22:AQ22)/($B$9:$C$9*AP22:AQ22))</f>
        <v>#DIV/0!</v>
      </c>
      <c r="AQ66" s="191"/>
      <c r="AR66" s="191" t="e">
        <f t="array" ref="AR66">SQRT((AR9:AS9*$B$22:$C$22)/($B$9:$C$9*$B$22:$C$22)*(AR9:AS9*AR22:AS22)/($B$9:$C$9*AR22:AS22))</f>
        <v>#DIV/0!</v>
      </c>
      <c r="AS66" s="191"/>
      <c r="AT66" s="191" t="e">
        <f t="array" ref="AT66">SQRT((AT9:AU9*$B$22:$C$22)/($B$9:$C$9*$B$22:$C$22)*(AT9:AU9*AT22:AU22)/($B$9:$C$9*AT22:AU22))</f>
        <v>#DIV/0!</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t="e">
        <f t="array" ref="AP67">SQRT((AP4:AQ4*$B$19:$C$19)/($B$4:$C$4*$B$19:$C$19)*(AP4:AQ4*AP19:AQ19)/($B$4:$C$4*AP19:AQ19))</f>
        <v>#DIV/0!</v>
      </c>
      <c r="AQ67" s="191"/>
      <c r="AR67" s="191" t="e">
        <f t="array" ref="AR67">SQRT((AR4:AS4*$B$19:$C$19)/($B$4:$C$4*$B$19:$C$19)*(AR4:AS4*AR19:AS19)/($B$4:$C$4*AR19:AS19))</f>
        <v>#DIV/0!</v>
      </c>
      <c r="AS67" s="191"/>
      <c r="AT67" s="191" t="e">
        <f t="array" ref="AT67">SQRT((AT4:AU4*$B$19:$C$19)/($B$4:$C$4*$B$19:$C$19)*(AT4:AU4*AT19:AU19)/($B$4:$C$4*AT19:AU19))</f>
        <v>#DIV/0!</v>
      </c>
      <c r="AU67" s="191"/>
      <c r="AV67" s="191" t="e">
        <f t="array" ref="AV67">SQRT((AV4:AW4*$B$19:$C$19)/($B$4:$C$4*$B$19:$C$19)*(AV4:AW4*AV19:AW19)/($B$4:$C$4*AV19:AW19))</f>
        <v>#DIV/0!</v>
      </c>
      <c r="XFD67" s="191"/>
    </row>
    <row r="68" spans="1:48 16384:16384" x14ac:dyDescent="0.2">
      <c r="A68" t="s">
        <v>181</v>
      </c>
      <c r="B68" s="191">
        <f>B66/B67</f>
        <v>1</v>
      </c>
      <c r="C68" s="191"/>
      <c r="D68" s="191">
        <f>D66/D67</f>
        <v>0.99921677181054747</v>
      </c>
      <c r="E68" s="191"/>
      <c r="F68" s="191">
        <f>F66/F67</f>
        <v>0.99844291747516056</v>
      </c>
      <c r="G68" s="191"/>
      <c r="H68" s="191">
        <f>H66/H67</f>
        <v>0.99767804707346963</v>
      </c>
      <c r="I68" s="191"/>
      <c r="J68" s="191">
        <f>J66/J67</f>
        <v>0.9969215566049251</v>
      </c>
      <c r="K68" s="191"/>
      <c r="L68" s="191">
        <f>L66/L67</f>
        <v>0.99617264771151381</v>
      </c>
      <c r="M68" s="191"/>
      <c r="N68" s="191">
        <f>N66/N67</f>
        <v>0.99543027992196453</v>
      </c>
      <c r="O68" s="191"/>
      <c r="P68" s="191">
        <f>P66/P67</f>
        <v>0.99469319625298236</v>
      </c>
      <c r="Q68" s="191"/>
      <c r="R68" s="191">
        <f>R66/R67</f>
        <v>0.99395997888799492</v>
      </c>
      <c r="S68" s="191"/>
      <c r="T68" s="191">
        <f>T66/T67</f>
        <v>0.99322913764474963</v>
      </c>
      <c r="U68" s="191"/>
      <c r="V68" s="191">
        <f>V66/V67</f>
        <v>0.99249932098778859</v>
      </c>
      <c r="W68" s="191"/>
      <c r="X68" s="191">
        <f>X66/X67</f>
        <v>0.9917695738409863</v>
      </c>
      <c r="Y68" s="191"/>
      <c r="Z68" s="191">
        <f>Z66/Z67</f>
        <v>0.99103973441891324</v>
      </c>
      <c r="AA68" s="191"/>
      <c r="AB68" s="191">
        <f>AB66/AB67</f>
        <v>0.99031089357235813</v>
      </c>
      <c r="AC68" s="191"/>
      <c r="AD68" s="191">
        <f>AD66/AD67</f>
        <v>0.9895858220258118</v>
      </c>
      <c r="AE68" s="191"/>
      <c r="AF68" s="191">
        <f>AF66/AF67</f>
        <v>0.98886920373535903</v>
      </c>
      <c r="AG68" s="191"/>
      <c r="AH68" s="191">
        <f>AH66/AH67</f>
        <v>0.98816747718822906</v>
      </c>
      <c r="AI68" s="191"/>
      <c r="AJ68" s="191">
        <f>AJ66/AJ67</f>
        <v>0.98748818496228041</v>
      </c>
      <c r="AK68" s="191"/>
      <c r="AL68" s="191">
        <f>AL66/AL67</f>
        <v>0.98683891093473652</v>
      </c>
      <c r="AM68" s="191"/>
      <c r="AN68" s="191">
        <f>AN66/AN67</f>
        <v>0.98622614274396025</v>
      </c>
      <c r="AO68" s="191"/>
      <c r="AP68" s="191" t="e">
        <f>AP66/AP67</f>
        <v>#DIV/0!</v>
      </c>
      <c r="AQ68" s="191"/>
      <c r="AR68" s="191" t="e">
        <f>AR66/AR67</f>
        <v>#DIV/0!</v>
      </c>
      <c r="AS68" s="191"/>
      <c r="AT68" s="191" t="e">
        <f>AT66/AT67</f>
        <v>#DIV/0!</v>
      </c>
      <c r="AU68" s="191"/>
      <c r="AV68" s="191" t="e">
        <f>AV66/AV67</f>
        <v>#DIV/0!</v>
      </c>
      <c r="XFD68" s="191"/>
    </row>
    <row r="69" spans="1:48 16384:16384" x14ac:dyDescent="0.2">
      <c r="A69" t="s">
        <v>177</v>
      </c>
      <c r="B69" s="191">
        <f>B32/B65/($B$32)</f>
        <v>1</v>
      </c>
      <c r="C69" s="191"/>
      <c r="D69" s="191">
        <f>D32/D65/($B$32)</f>
        <v>0.99405190042659641</v>
      </c>
      <c r="E69" s="191"/>
      <c r="F69" s="191">
        <f>F32/F65/($B$32)</f>
        <v>0.98706828343708441</v>
      </c>
      <c r="G69" s="191"/>
      <c r="H69" s="191">
        <f>H32/H65/($B$32)</f>
        <v>0.97885662872558377</v>
      </c>
      <c r="I69" s="191"/>
      <c r="J69" s="191">
        <f>J32/J65/($B$32)</f>
        <v>0.96917927421188899</v>
      </c>
      <c r="K69" s="191"/>
      <c r="L69" s="191">
        <f>L32/L65/($B$32)</f>
        <v>0.95774040423375906</v>
      </c>
      <c r="M69" s="191"/>
      <c r="N69" s="191">
        <f>N32/N65/($B$32)</f>
        <v>0.94417116135614065</v>
      </c>
      <c r="O69" s="191"/>
      <c r="P69" s="191">
        <f>P32/P65/($B$32)</f>
        <v>0.92800981451538811</v>
      </c>
      <c r="Q69" s="191"/>
      <c r="R69" s="191">
        <f>R32/R65/($B$32)</f>
        <v>0.90867756225629803</v>
      </c>
      <c r="S69" s="191"/>
      <c r="T69" s="191">
        <f>T32/T65/($B$32)</f>
        <v>0.88545068965285867</v>
      </c>
      <c r="U69" s="191"/>
      <c r="V69" s="191">
        <f>V32/V65/($B$32)</f>
        <v>0.85742887953216407</v>
      </c>
      <c r="W69" s="191"/>
      <c r="X69" s="191">
        <f>X32/X65/($B$32)</f>
        <v>0.82350616604457316</v>
      </c>
      <c r="Y69" s="191"/>
      <c r="Z69" s="191">
        <f>Z32/Z65/($B$32)</f>
        <v>0.78235020758896534</v>
      </c>
      <c r="AA69" s="191"/>
      <c r="AB69" s="191">
        <f>AB32/AB65/($B$32)</f>
        <v>0.73240403265368814</v>
      </c>
      <c r="AC69" s="191"/>
      <c r="AD69" s="191">
        <f>AD32/AD65/($B$32)</f>
        <v>0.67192704730713848</v>
      </c>
      <c r="AE69" s="191"/>
      <c r="AF69" s="191">
        <f>AF32/AF65/($B$32)</f>
        <v>0.59909078354018397</v>
      </c>
      <c r="AG69" s="191"/>
      <c r="AH69" s="191">
        <f>AH32/AH65/($B$32)</f>
        <v>0.51213230490402462</v>
      </c>
      <c r="AI69" s="191"/>
      <c r="AJ69" s="191">
        <f>AJ32/AJ65/($B$32)</f>
        <v>0.40954414078448875</v>
      </c>
      <c r="AK69" s="191"/>
      <c r="AL69" s="191">
        <f>AL32/AL65/($B$32)</f>
        <v>0.29025227427718114</v>
      </c>
      <c r="AM69" s="191"/>
      <c r="AN69" s="191">
        <f>AN32/AN65/($B$32)</f>
        <v>0.15372797348844039</v>
      </c>
      <c r="AO69" s="191"/>
      <c r="AP69" s="191" t="e">
        <f>AP32/AP65/($B$32)</f>
        <v>#DIV/0!</v>
      </c>
      <c r="AQ69" s="191"/>
      <c r="AR69" s="191" t="e">
        <f>AR32/AR65/($B$32)</f>
        <v>#DIV/0!</v>
      </c>
      <c r="AS69" s="191"/>
      <c r="AT69" s="191" t="e">
        <f>AT32/AT65/($B$32)</f>
        <v>#DIV/0!</v>
      </c>
      <c r="AU69" s="191"/>
      <c r="AV69" s="191" t="e">
        <f>AV32/AV65/($B$32)</f>
        <v>#DIV/0!</v>
      </c>
    </row>
    <row r="70" spans="1:48 16384:16384" x14ac:dyDescent="0.2">
      <c r="A70" t="s">
        <v>178</v>
      </c>
      <c r="B70" s="138">
        <f>B18/$B$18</f>
        <v>1</v>
      </c>
      <c r="C70" s="138"/>
      <c r="D70" s="138">
        <f>D18/$B$18</f>
        <v>0.99273790517570393</v>
      </c>
      <c r="E70" s="138"/>
      <c r="F70" s="138">
        <f>F18/$B$18</f>
        <v>0.98443497733386875</v>
      </c>
      <c r="G70" s="138"/>
      <c r="H70" s="138">
        <f>H18/$B$18</f>
        <v>0.9749027710589232</v>
      </c>
      <c r="I70" s="138"/>
      <c r="J70" s="138">
        <f>J18/$B$18</f>
        <v>0.96390940308331685</v>
      </c>
      <c r="K70" s="138"/>
      <c r="L70" s="138">
        <f>L18/$B$18</f>
        <v>0.95116714812297709</v>
      </c>
      <c r="M70" s="138"/>
      <c r="N70" s="138">
        <f>N18/$B$18</f>
        <v>0.93631829971749791</v>
      </c>
      <c r="O70" s="138"/>
      <c r="P70" s="138">
        <f>P18/$B$18</f>
        <v>0.91891634697169711</v>
      </c>
      <c r="Q70" s="138"/>
      <c r="R70" s="138">
        <f>R18/$B$18</f>
        <v>0.89840307407455644</v>
      </c>
      <c r="S70" s="138"/>
      <c r="T70" s="138">
        <f>T18/$B$18</f>
        <v>0.87408228073339922</v>
      </c>
      <c r="U70" s="138"/>
      <c r="V70" s="138">
        <f>V18/$B$18</f>
        <v>0.84509000627427866</v>
      </c>
      <c r="W70" s="138"/>
      <c r="X70" s="138">
        <f>X18/$B$18</f>
        <v>0.81036742890368729</v>
      </c>
      <c r="Y70" s="138"/>
      <c r="Z70" s="138">
        <f>Z18/$B$18</f>
        <v>0.76864191765571921</v>
      </c>
      <c r="AA70" s="138"/>
      <c r="AB70" s="138">
        <f>AB18/$B$18</f>
        <v>0.71842969646194421</v>
      </c>
      <c r="AC70" s="138"/>
      <c r="AD70" s="138">
        <f>AD18/$B$18</f>
        <v>0.65807597293694275</v>
      </c>
      <c r="AE70" s="138"/>
      <c r="AF70" s="138">
        <f>AF18/$B$18</f>
        <v>0.58584706088269511</v>
      </c>
      <c r="AG70" s="138"/>
      <c r="AH70" s="138">
        <f>AH18/$B$18</f>
        <v>0.50007690347002176</v>
      </c>
      <c r="AI70" s="138"/>
      <c r="AJ70" s="138">
        <f>AJ18/$B$18</f>
        <v>0.39934754888834889</v>
      </c>
      <c r="AK70" s="138"/>
      <c r="AL70" s="138">
        <f>AL18/$B$18</f>
        <v>0.28265727989020734</v>
      </c>
      <c r="AM70" s="138"/>
      <c r="AN70" s="138">
        <f>AN18/$B$18</f>
        <v>0.14952506305406513</v>
      </c>
      <c r="AO70" s="138"/>
      <c r="AP70" s="138">
        <f>AP18/$B$18</f>
        <v>0</v>
      </c>
      <c r="AQ70" s="138"/>
      <c r="AR70" s="138">
        <f>AR18/$B$18</f>
        <v>0</v>
      </c>
      <c r="AS70" s="138"/>
      <c r="AT70" s="138">
        <f>AT18/$B$18</f>
        <v>0</v>
      </c>
      <c r="AU70" s="138"/>
      <c r="AV70" s="138">
        <f>AV18/$B$18</f>
        <v>0</v>
      </c>
    </row>
    <row r="71" spans="1:48 16384:16384" x14ac:dyDescent="0.2">
      <c r="A71" t="s">
        <v>179</v>
      </c>
      <c r="B71" s="138">
        <f>C18/$C$18</f>
        <v>1</v>
      </c>
      <c r="D71" s="138">
        <f>E18/$C$18</f>
        <v>0.9393146065547594</v>
      </c>
      <c r="E71" s="138"/>
      <c r="F71" s="138">
        <f>G18/$C$18</f>
        <v>0.87916737091186348</v>
      </c>
      <c r="G71" s="138"/>
      <c r="H71" s="138">
        <f>I18/$C$18</f>
        <v>0.81960955532731095</v>
      </c>
      <c r="I71" s="138"/>
      <c r="J71" s="138">
        <f>K18/$C$18</f>
        <v>0.76069894368586699</v>
      </c>
      <c r="K71" s="138"/>
      <c r="L71" s="138">
        <f>M18/$C$18</f>
        <v>0.70250236669974497</v>
      </c>
      <c r="M71" s="138"/>
      <c r="N71" s="138">
        <f>O18/$C$18</f>
        <v>0.64509667813977578</v>
      </c>
      <c r="O71" s="138"/>
      <c r="P71" s="138">
        <f>Q18/$C$18</f>
        <v>0.58857121037213744</v>
      </c>
      <c r="Q71" s="138"/>
      <c r="R71" s="138">
        <f>S18/$C$18</f>
        <v>0.53303064317832449</v>
      </c>
      <c r="S71" s="138"/>
      <c r="T71" s="138">
        <f>U18/$C$18</f>
        <v>0.47859712757799844</v>
      </c>
      <c r="U71" s="138"/>
      <c r="V71" s="138">
        <f>W18/$C$18</f>
        <v>0.42541401958949737</v>
      </c>
      <c r="W71" s="138"/>
      <c r="X71" s="138">
        <f>Y18/$C$18</f>
        <v>0.37364633801808866</v>
      </c>
      <c r="Y71" s="138"/>
      <c r="Z71" s="138">
        <f>AA18/$C$18</f>
        <v>0.32347980275259863</v>
      </c>
      <c r="AA71" s="138"/>
      <c r="AB71" s="138">
        <f>AC18/$C$18</f>
        <v>0.27511655748310343</v>
      </c>
      <c r="AC71" s="138"/>
      <c r="AD71" s="138">
        <f>AE18/$C$18</f>
        <v>0.22876341274394363</v>
      </c>
      <c r="AE71" s="138"/>
      <c r="AF71" s="138">
        <f>AG18/$C$18</f>
        <v>0.18461383131659992</v>
      </c>
      <c r="AG71" s="138"/>
      <c r="AH71" s="138">
        <f>AI18/$C$18</f>
        <v>0.14282427962431726</v>
      </c>
      <c r="AI71" s="138"/>
      <c r="AJ71" s="138">
        <f>AK18/$C$18</f>
        <v>0.10349009959749809</v>
      </c>
      <c r="AK71" s="138"/>
      <c r="AL71" s="138">
        <f>AM18/$C$18</f>
        <v>6.6628859289488737E-2</v>
      </c>
      <c r="AM71" s="138"/>
      <c r="AN71" s="138">
        <f>AO18/$C$18</f>
        <v>3.217678662983816E-2</v>
      </c>
      <c r="AO71" s="138"/>
      <c r="AP71" s="138">
        <f>AQ18/$C$18</f>
        <v>0</v>
      </c>
      <c r="AQ71" s="138"/>
      <c r="AR71" s="138">
        <f>AS18/$C$18</f>
        <v>0</v>
      </c>
      <c r="AS71" s="138"/>
      <c r="AT71" s="138">
        <f>AU18/$C$18</f>
        <v>0</v>
      </c>
      <c r="AU71" s="138"/>
      <c r="AV71" s="138">
        <f>AW18/$C$18</f>
        <v>0</v>
      </c>
      <c r="XFD71" s="138"/>
    </row>
    <row r="72" spans="1:48 16384:16384" x14ac:dyDescent="0.2">
      <c r="A72" t="s">
        <v>180</v>
      </c>
      <c r="B72" s="138">
        <f>C19/$C$19</f>
        <v>1</v>
      </c>
      <c r="D72" s="138">
        <f>E19/$C$19</f>
        <v>0.98420057663227389</v>
      </c>
      <c r="E72" s="138"/>
      <c r="F72" s="138">
        <f>G19/$C$19</f>
        <v>0.96834378756828232</v>
      </c>
      <c r="G72" s="138"/>
      <c r="H72" s="138">
        <f>I19/$C$19</f>
        <v>0.95233066193113947</v>
      </c>
      <c r="I72" s="138"/>
      <c r="J72" s="138">
        <f>K19/$C$19</f>
        <v>0.9360248774556138</v>
      </c>
      <c r="K72" s="138"/>
      <c r="L72" s="138">
        <f>M19/$C$19</f>
        <v>0.91923898143879157</v>
      </c>
      <c r="M72" s="138"/>
      <c r="N72" s="138">
        <f>O19/$C$19</f>
        <v>0.90171609097723648</v>
      </c>
      <c r="O72" s="138"/>
      <c r="P72" s="138">
        <f>Q19/$C$19</f>
        <v>0.8831050735025181</v>
      </c>
      <c r="Q72" s="138"/>
      <c r="R72" s="138">
        <f>S19/$C$19</f>
        <v>0.86292764986666171</v>
      </c>
      <c r="S72" s="138"/>
      <c r="T72" s="138">
        <f>U19/$C$19</f>
        <v>0.84053710319025099</v>
      </c>
      <c r="U72" s="138"/>
      <c r="V72" s="138">
        <f>W19/$C$19</f>
        <v>0.81506630272099845</v>
      </c>
      <c r="W72" s="138"/>
      <c r="X72" s="138">
        <f>Y19/$C$19</f>
        <v>0.78537140252872684</v>
      </c>
      <c r="Y72" s="138"/>
      <c r="Z72" s="138">
        <f>AA19/$C$19</f>
        <v>0.74997508763982323</v>
      </c>
      <c r="AA72" s="138"/>
      <c r="AB72" s="138">
        <f>AC19/$C$19</f>
        <v>0.70703030684658252</v>
      </c>
      <c r="AC72" s="138"/>
      <c r="AD72" s="138">
        <f>AE19/$C$19</f>
        <v>0.6543261983730837</v>
      </c>
      <c r="AE72" s="138"/>
      <c r="AF72" s="138">
        <f>AG19/$C$19</f>
        <v>0.58936834791734505</v>
      </c>
      <c r="AG72" s="138"/>
      <c r="AH72" s="138">
        <f>AI19/$C$19</f>
        <v>0.5095519095990011</v>
      </c>
      <c r="AI72" s="138"/>
      <c r="AJ72" s="138">
        <f>AK19/$C$19</f>
        <v>0.41241483899330134</v>
      </c>
      <c r="AK72" s="138"/>
      <c r="AL72" s="138">
        <f>AM19/$C$19</f>
        <v>0.29591715440569355</v>
      </c>
      <c r="AM72" s="138"/>
      <c r="AN72" s="138">
        <f>AO19/$C$19</f>
        <v>0.15866295543696685</v>
      </c>
      <c r="AO72" s="138"/>
      <c r="AP72" s="138">
        <f>AQ19/$C$19</f>
        <v>0</v>
      </c>
      <c r="AQ72" s="138"/>
      <c r="AR72" s="138">
        <f>AS19/$C$19</f>
        <v>0</v>
      </c>
      <c r="AS72" s="138"/>
      <c r="AT72" s="138">
        <f>AU19/$C$19</f>
        <v>0</v>
      </c>
      <c r="AU72" s="138"/>
      <c r="AV72" s="138">
        <f>AW19/$C$19</f>
        <v>0</v>
      </c>
      <c r="XFD72" s="138"/>
    </row>
    <row r="73" spans="1:48 16384:16384" x14ac:dyDescent="0.2">
      <c r="A73" t="s">
        <v>184</v>
      </c>
      <c r="B73" s="193">
        <f t="array" ref="B73">SUM(B9:C9*B22:C22)/B32</f>
        <v>0.47641153352875221</v>
      </c>
      <c r="D73" s="193">
        <f t="array" ref="D73">SUM(D9:E9*D22:E22)/D32</f>
        <v>0.47440192901602968</v>
      </c>
      <c r="E73" s="138"/>
      <c r="F73" s="193">
        <f t="array" ref="F73">SUM(F9:G9*F22:G22)/F32</f>
        <v>0.47234441447815256</v>
      </c>
      <c r="G73" s="138"/>
      <c r="H73" s="193">
        <f t="array" ref="H73">SUM(H9:I9*H22:I22)/H32</f>
        <v>0.47023350498399707</v>
      </c>
      <c r="I73" s="138"/>
      <c r="J73" s="193">
        <f t="array" ref="J73">SUM(J9:K9*J22:K22)/J32</f>
        <v>0.46806320942472546</v>
      </c>
      <c r="K73" s="138"/>
      <c r="L73" s="193">
        <f t="array" ref="L73">SUM(L9:M9*L22:M22)/L32</f>
        <v>0.46582713115759106</v>
      </c>
      <c r="M73" s="138"/>
      <c r="N73" s="193">
        <f t="array" ref="N73">SUM(N9:O9*N22:O22)/N32</f>
        <v>0.46351852818844164</v>
      </c>
      <c r="O73" s="138"/>
      <c r="P73" s="193">
        <f t="array" ref="P73">SUM(P9:Q9*P22:Q22)/P32</f>
        <v>0.46113055359454519</v>
      </c>
      <c r="Q73" s="138"/>
      <c r="R73" s="193">
        <f t="array" ref="R73">SUM(R9:S9*R22:S22)/R32</f>
        <v>0.4586566343640418</v>
      </c>
      <c r="S73" s="138"/>
      <c r="T73" s="193">
        <f t="array" ref="T73">SUM(T9:U9*T22:U22)/T32</f>
        <v>0.45609104587645838</v>
      </c>
      <c r="U73" s="138"/>
      <c r="V73" s="193">
        <f t="array" ref="V73">SUM(V9:W9*V22:W22)/V32</f>
        <v>0.45342981167250535</v>
      </c>
      <c r="W73" s="138"/>
      <c r="X73" s="193">
        <f t="array" ref="X73">SUM(X9:Y9*X22:Y22)/X32</f>
        <v>0.45067190010978453</v>
      </c>
      <c r="Y73" s="138"/>
      <c r="Z73" s="193">
        <f t="array" ref="Z73">SUM(Z9:AA9*Z22:AA22)/Z32</f>
        <v>0.44782080572476496</v>
      </c>
      <c r="AA73" s="138"/>
      <c r="AB73" s="193">
        <f t="array" ref="AB73">SUM(AB9:AC9*AB22:AC22)/AB32</f>
        <v>0.44488624884906663</v>
      </c>
      <c r="AC73" s="138"/>
      <c r="AD73" s="193">
        <f t="array" ref="AD73">SUM(AD9:AE9*AD22:AE22)/AD32</f>
        <v>0.44188572374066026</v>
      </c>
      <c r="AE73" s="138"/>
      <c r="AF73" s="193">
        <f t="array" ref="AF73">SUM(AF9:AG9*AF22:AG22)/AF32</f>
        <v>0.43884518490592489</v>
      </c>
      <c r="AG73" s="138"/>
      <c r="AH73" s="193">
        <f t="array" ref="AH73">SUM(AH9:AI9*AH22:AI22)/AH32</f>
        <v>0.43579820882384368</v>
      </c>
      <c r="AI73" s="138"/>
      <c r="AJ73" s="193">
        <f t="array" ref="AJ73">SUM(AJ9:AK9*AJ22:AK22)/AJ32</f>
        <v>0.43278320442693025</v>
      </c>
      <c r="AK73" s="138"/>
      <c r="AL73" s="193">
        <f t="array" ref="AL73">SUM(AL9:AM9*AL22:AM22)/AL32</f>
        <v>0.42983906587964471</v>
      </c>
      <c r="AM73" s="138"/>
      <c r="AN73" s="193">
        <f t="array" ref="AN73">SUM(AN9:AO9*AN22:AO22)/AN32</f>
        <v>0.42700044162444806</v>
      </c>
      <c r="AO73" s="138"/>
      <c r="AP73" s="193" t="e">
        <f t="array" ref="AP73">SUM(AP9:AQ9*AP22:AQ22)/AP32</f>
        <v>#DIV/0!</v>
      </c>
      <c r="AQ73" s="138"/>
      <c r="AR73" s="193" t="e">
        <f t="array" ref="AR73">SUM(AR9:AS9*AR22:AS22)/AR32</f>
        <v>#DIV/0!</v>
      </c>
      <c r="AS73" s="138"/>
      <c r="AT73" s="193" t="e">
        <f t="array" ref="AT73">SUM(AT9:AU9*AT22:AU22)/AT32</f>
        <v>#DIV/0!</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0.22604620456442484</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0.22604620456442481</v>
      </c>
      <c r="S74" s="138"/>
      <c r="T74" s="193">
        <f t="array" ref="T74">SUM(T10:U10*T23:U23)/T32</f>
        <v>0.22604620456442484</v>
      </c>
      <c r="U74" s="138"/>
      <c r="V74" s="193">
        <f t="array" ref="V74">SUM(V10:W10*V23:W23)/V32</f>
        <v>0.22604620456442484</v>
      </c>
      <c r="W74" s="138"/>
      <c r="X74" s="193">
        <f t="array" ref="X74">SUM(X10:Y10*X23:Y23)/X32</f>
        <v>0.22604620456442487</v>
      </c>
      <c r="Y74" s="138"/>
      <c r="Z74" s="193">
        <f t="array" ref="Z74">SUM(Z10:AA10*Z23:AA23)/Z32</f>
        <v>0.22604620456442484</v>
      </c>
      <c r="AA74" s="138"/>
      <c r="AB74" s="193">
        <f t="array" ref="AB74">SUM(AB10:AC10*AB23:AC23)/AB32</f>
        <v>0.22604620456442484</v>
      </c>
      <c r="AC74" s="138"/>
      <c r="AD74" s="193">
        <f t="array" ref="AD74">SUM(AD10:AE10*AD23:AE23)/AD32</f>
        <v>0.22604620456442484</v>
      </c>
      <c r="AE74" s="138"/>
      <c r="AF74" s="193">
        <f t="array" ref="AF74">SUM(AF10:AG10*AF23:AG23)/AF32</f>
        <v>0.22604620456442484</v>
      </c>
      <c r="AG74" s="138"/>
      <c r="AH74" s="193">
        <f t="array" ref="AH74">SUM(AH10:AI10*AH23:AI23)/AH32</f>
        <v>0.22604620456442484</v>
      </c>
      <c r="AI74" s="138"/>
      <c r="AJ74" s="193">
        <f t="array" ref="AJ74">SUM(AJ10:AK10*AJ23:AK23)/AJ32</f>
        <v>0.22604620456442484</v>
      </c>
      <c r="AK74" s="138"/>
      <c r="AL74" s="193">
        <f t="array" ref="AL74">SUM(AL10:AM10*AL23:AM23)/AL32</f>
        <v>0.22604620456442484</v>
      </c>
      <c r="AM74" s="138"/>
      <c r="AN74" s="193">
        <f t="array" ref="AN74">SUM(AN10:AO10*AN23:AO23)/AN32</f>
        <v>0.22604620456442484</v>
      </c>
      <c r="AO74" s="138"/>
      <c r="AP74" s="193" t="e">
        <f t="array" ref="AP74">SUM(AP10:AQ10*AP23:AQ23)/AP32</f>
        <v>#DIV/0!</v>
      </c>
      <c r="AQ74" s="138"/>
      <c r="AR74" s="193" t="e">
        <f t="array" ref="AR74">SUM(AR10:AS10*AR23:AS23)/AR32</f>
        <v>#DIV/0!</v>
      </c>
      <c r="AS74" s="138"/>
      <c r="AT74" s="193" t="e">
        <f t="array" ref="AT74">SUM(AT10:AU10*AT23:AU23)/AT32</f>
        <v>#DIV/0!</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0.22239399795298473</v>
      </c>
      <c r="E75" s="138"/>
      <c r="F75" s="193">
        <f t="array" ref="F75">SUM(F11:G11*F24:G24)/F32</f>
        <v>0.22445151300143321</v>
      </c>
      <c r="G75" s="138"/>
      <c r="H75" s="193">
        <f t="array" ref="H75">SUM(H11:I11*H24:I24)/H32</f>
        <v>0.22656242325849565</v>
      </c>
      <c r="I75" s="138"/>
      <c r="J75" s="193">
        <f t="array" ref="J75">SUM(J11:K11*J24:K24)/J32</f>
        <v>0.22873271396142034</v>
      </c>
      <c r="K75" s="138"/>
      <c r="L75" s="193">
        <f t="array" ref="L75">SUM(L11:M11*L24:M24)/L32</f>
        <v>0.23096879019834815</v>
      </c>
      <c r="M75" s="138"/>
      <c r="N75" s="193">
        <f t="array" ref="N75">SUM(N11:O11*N24:O24)/N32</f>
        <v>0.23327739282153315</v>
      </c>
      <c r="O75" s="138"/>
      <c r="P75" s="193">
        <f t="array" ref="P75">SUM(P11:Q11*P24:Q24)/P32</f>
        <v>0.23566536755795761</v>
      </c>
      <c r="Q75" s="138"/>
      <c r="R75" s="193">
        <f t="array" ref="R75">SUM(R11:S11*R24:S24)/R32</f>
        <v>0.23813928656714478</v>
      </c>
      <c r="S75" s="138"/>
      <c r="T75" s="193">
        <f t="array" ref="T75">SUM(T11:U11*T24:U24)/T32</f>
        <v>0.24070487461967505</v>
      </c>
      <c r="U75" s="138"/>
      <c r="V75" s="193">
        <f t="array" ref="V75">SUM(V11:W11*V24:W24)/V32</f>
        <v>0.24336610730988906</v>
      </c>
      <c r="W75" s="138"/>
      <c r="X75" s="193">
        <f t="array" ref="X75">SUM(X11:Y11*X24:Y24)/X32</f>
        <v>0.24612402151050258</v>
      </c>
      <c r="Y75" s="138"/>
      <c r="Z75" s="193">
        <f t="array" ref="Z75">SUM(Z11:AA11*Z24:AA24)/Z32</f>
        <v>0.24897511568851213</v>
      </c>
      <c r="AA75" s="138"/>
      <c r="AB75" s="193">
        <f t="array" ref="AB75">SUM(AB11:AC11*AB24:AC24)/AB32</f>
        <v>0.25190967262228692</v>
      </c>
      <c r="AC75" s="138"/>
      <c r="AD75" s="193">
        <f t="array" ref="AD75">SUM(AD11:AE11*AD24:AE24)/AD32</f>
        <v>0.25491019805906501</v>
      </c>
      <c r="AE75" s="138"/>
      <c r="AF75" s="193">
        <f t="array" ref="AF75">SUM(AF11:AG11*AF24:AG24)/AF32</f>
        <v>0.25795073600871515</v>
      </c>
      <c r="AG75" s="138"/>
      <c r="AH75" s="193">
        <f t="array" ref="AH75">SUM(AH11:AI11*AH24:AI24)/AH32</f>
        <v>0.26099771372114622</v>
      </c>
      <c r="AI75" s="138"/>
      <c r="AJ75" s="193">
        <f t="array" ref="AJ75">SUM(AJ11:AK11*AJ24:AK24)/AJ32</f>
        <v>0.26401271684380956</v>
      </c>
      <c r="AK75" s="138"/>
      <c r="AL75" s="193">
        <f t="array" ref="AL75">SUM(AL11:AM11*AL24:AM24)/AL32</f>
        <v>0.26695685473298153</v>
      </c>
      <c r="AM75" s="138"/>
      <c r="AN75" s="193">
        <f t="array" ref="AN75">SUM(AN11:AO11*AN24:AO24)/AN32</f>
        <v>0.26979548242859397</v>
      </c>
      <c r="AO75" s="138"/>
      <c r="AP75" s="193" t="e">
        <f t="array" ref="AP75">SUM(AP11:AQ11*AP24:AQ24)/AP32</f>
        <v>#DIV/0!</v>
      </c>
      <c r="AQ75" s="138"/>
      <c r="AR75" s="193" t="e">
        <f t="array" ref="AR75">SUM(AR11:AS11*AR24:AS24)/AR32</f>
        <v>#DIV/0!</v>
      </c>
      <c r="AS75" s="138"/>
      <c r="AT75" s="193" t="e">
        <f t="array" ref="AT75">SUM(AT11:AU11*AT24:AU24)/AT32</f>
        <v>#DIV/0!</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0.22264280176236956</v>
      </c>
      <c r="E76" s="138"/>
      <c r="F76" s="193">
        <f t="array" ref="F76">SUM(F12:G12*F25:G25)/F32</f>
        <v>0.22227909517834035</v>
      </c>
      <c r="G76" s="138"/>
      <c r="H76" s="193">
        <f t="array" ref="H76">SUM(H12:I12*H25:I25)/H32</f>
        <v>0.22192888758192386</v>
      </c>
      <c r="I76" s="138"/>
      <c r="J76" s="193">
        <f t="array" ref="J76">SUM(J12:K12*J25:K25)/J32</f>
        <v>0.22159363662747769</v>
      </c>
      <c r="K76" s="138"/>
      <c r="L76" s="193">
        <f t="array" ref="L76">SUM(L12:M12*L25:M25)/L32</f>
        <v>0.22127500357851912</v>
      </c>
      <c r="M76" s="138"/>
      <c r="N76" s="193">
        <f t="array" ref="N76">SUM(N12:O12*N25:O25)/N32</f>
        <v>0.2209748781705799</v>
      </c>
      <c r="O76" s="138"/>
      <c r="P76" s="193">
        <f t="array" ref="P76">SUM(P12:Q12*P25:Q25)/P32</f>
        <v>0.22069537773672926</v>
      </c>
      <c r="Q76" s="138"/>
      <c r="R76" s="193">
        <f t="array" ref="R76">SUM(R12:S12*R25:S25)/R32</f>
        <v>0.22043883174769061</v>
      </c>
      <c r="S76" s="138"/>
      <c r="T76" s="193">
        <f t="array" ref="T76">SUM(T12:U12*T25:U25)/T32</f>
        <v>0.22020773156674076</v>
      </c>
      <c r="U76" s="138"/>
      <c r="V76" s="193">
        <f t="array" ref="V76">SUM(V12:W12*V25:W25)/V32</f>
        <v>0.22000463512612733</v>
      </c>
      <c r="W76" s="138"/>
      <c r="X76" s="193">
        <f t="array" ref="X76">SUM(X12:Y12*X25:Y25)/X32</f>
        <v>0.21983199533753159</v>
      </c>
      <c r="Y76" s="138"/>
      <c r="Z76" s="193">
        <f t="array" ref="Z76">SUM(Z12:AA12*Z25:AA25)/Z32</f>
        <v>0.2196919068153029</v>
      </c>
      <c r="AA76" s="138"/>
      <c r="AB76" s="193">
        <f t="array" ref="AB76">SUM(AB12:AC12*AB25:AC25)/AB32</f>
        <v>0.2195857695758581</v>
      </c>
      <c r="AC76" s="138"/>
      <c r="AD76" s="193">
        <f t="array" ref="AD76">SUM(AD12:AE12*AD25:AE25)/AD32</f>
        <v>0.21951390137197152</v>
      </c>
      <c r="AE76" s="138"/>
      <c r="AF76" s="193">
        <f t="array" ref="AF76">SUM(AF12:AG12*AF25:AG25)/AF32</f>
        <v>0.21947519201579663</v>
      </c>
      <c r="AG76" s="138"/>
      <c r="AH76" s="193">
        <f t="array" ref="AH76">SUM(AH12:AI12*AH25:AI25)/AH32</f>
        <v>0.21946692747764865</v>
      </c>
      <c r="AI76" s="138"/>
      <c r="AJ76" s="193">
        <f t="array" ref="AJ76">SUM(AJ12:AK12*AJ25:AK25)/AJ32</f>
        <v>0.21948490221043529</v>
      </c>
      <c r="AK76" s="138"/>
      <c r="AL76" s="193">
        <f t="array" ref="AL76">SUM(AL12:AM12*AL25:AM25)/AL32</f>
        <v>0.21952386527511045</v>
      </c>
      <c r="AM76" s="138"/>
      <c r="AN76" s="193">
        <f t="array" ref="AN76">SUM(AN12:AO12*AN25:AO25)/AN32</f>
        <v>0.21957817720353287</v>
      </c>
      <c r="AO76" s="138"/>
      <c r="AP76" s="193" t="e">
        <f t="array" ref="AP76">SUM(AP12:AQ12*AP25:AQ25)/AP32</f>
        <v>#DIV/0!</v>
      </c>
      <c r="AQ76" s="138"/>
      <c r="AR76" s="193" t="e">
        <f t="array" ref="AR76">SUM(AR12:AS12*AR25:AS25)/AR32</f>
        <v>#DIV/0!</v>
      </c>
      <c r="AS76" s="138"/>
      <c r="AT76" s="193" t="e">
        <f t="array" ref="AT76">SUM(AT12:AU12*AT25:AU25)/AT32</f>
        <v>#DIV/0!</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0.14548493329580869</v>
      </c>
      <c r="E77" s="138"/>
      <c r="F77" s="193">
        <f t="array" ref="F77">SUM(F4:G4*F19:G19)/F32</f>
        <v>0.14512122722235088</v>
      </c>
      <c r="G77" s="138"/>
      <c r="H77" s="193">
        <f t="array" ref="H77">SUM(H4:I4*H19:I19)/H32</f>
        <v>0.14477102038884143</v>
      </c>
      <c r="I77" s="138"/>
      <c r="J77" s="193">
        <f t="array" ref="J77">SUM(J4:K4*J19:K19)/J32</f>
        <v>0.14443576457804824</v>
      </c>
      <c r="K77" s="138"/>
      <c r="L77" s="193">
        <f t="array" ref="L77">SUM(L4:M4*L19:M19)/L32</f>
        <v>0.14411712949888314</v>
      </c>
      <c r="M77" s="138"/>
      <c r="N77" s="193">
        <f t="array" ref="N77">SUM(N4:O4*N19:O19)/N32</f>
        <v>0.14381700374497938</v>
      </c>
      <c r="O77" s="138"/>
      <c r="P77" s="193">
        <f t="array" ref="P77">SUM(P4:Q4*P19:Q19)/P32</f>
        <v>0.14353750345365679</v>
      </c>
      <c r="Q77" s="138"/>
      <c r="R77" s="193">
        <f t="array" ref="R77">SUM(R4:S4*R19:S19)/R32</f>
        <v>0.14328095724330206</v>
      </c>
      <c r="S77" s="138"/>
      <c r="T77" s="193">
        <f t="array" ref="T77">SUM(T4:U4*T19:U19)/T32</f>
        <v>0.14304985662729877</v>
      </c>
      <c r="U77" s="138"/>
      <c r="V77" s="193">
        <f t="array" ref="V77">SUM(V4:W4*V19:W19)/V32</f>
        <v>0.14284675867294644</v>
      </c>
      <c r="W77" s="138"/>
      <c r="X77" s="193">
        <f t="array" ref="X77">SUM(X4:Y4*X19:Y19)/X32</f>
        <v>0.14267412152224329</v>
      </c>
      <c r="Y77" s="138"/>
      <c r="Z77" s="193">
        <f t="array" ref="Z77">SUM(Z4:AA4*Z19:AA19)/Z32</f>
        <v>0.14253403279300478</v>
      </c>
      <c r="AA77" s="138"/>
      <c r="AB77" s="193">
        <f t="array" ref="AB77">SUM(AB4:AC4*AB19:AC19)/AB32</f>
        <v>0.14242789561163635</v>
      </c>
      <c r="AC77" s="138"/>
      <c r="AD77" s="193">
        <f t="array" ref="AD77">SUM(AD4:AE4*AD19:AE19)/AD32</f>
        <v>0.14235602773612141</v>
      </c>
      <c r="AE77" s="138"/>
      <c r="AF77" s="193">
        <f t="array" ref="AF77">SUM(AF4:AG4*AF19:AG19)/AF32</f>
        <v>0.14231731749486154</v>
      </c>
      <c r="AG77" s="138"/>
      <c r="AH77" s="193">
        <f t="array" ref="AH77">SUM(AH4:AI4*AH19:AI19)/AH32</f>
        <v>0.14230905458706333</v>
      </c>
      <c r="AI77" s="138"/>
      <c r="AJ77" s="193">
        <f t="array" ref="AJ77">SUM(AJ4:AK4*AJ19:AK19)/AJ32</f>
        <v>0.14232702804559971</v>
      </c>
      <c r="AK77" s="138"/>
      <c r="AL77" s="193">
        <f t="array" ref="AL77">SUM(AL4:AM4*AL19:AM19)/AL32</f>
        <v>0.14236599045216144</v>
      </c>
      <c r="AM77" s="138"/>
      <c r="AN77" s="193">
        <f t="array" ref="AN77">SUM(AN4:AO4*AN19:AO19)/AN32</f>
        <v>0.14242030582099963</v>
      </c>
      <c r="AO77" s="138"/>
      <c r="AP77" s="193" t="e">
        <f t="array" ref="AP77">SUM(AP4:AQ4*AP19:AQ19)/AP32</f>
        <v>#DIV/0!</v>
      </c>
      <c r="AQ77" s="138"/>
      <c r="AR77" s="193" t="e">
        <f t="array" ref="AR77">SUM(AR4:AS4*AR19:AS19)/AR32</f>
        <v>#DIV/0!</v>
      </c>
      <c r="AS77" s="138"/>
      <c r="AT77" s="193" t="e">
        <f t="array" ref="AT77">SUM(AT4:AU4*AT19:AU19)/AT32</f>
        <v>#DIV/0!</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0.3458094427781005</v>
      </c>
      <c r="E78" s="138"/>
      <c r="F78" s="193">
        <f t="array" ref="F78">SUM(F13:G13*F26:G26)/F32</f>
        <v>0.34469944469443853</v>
      </c>
      <c r="G78" s="138"/>
      <c r="H78" s="193">
        <f t="array" ref="H78">SUM(H13:I13*H26:I26)/H32</f>
        <v>0.34355628169763325</v>
      </c>
      <c r="I78" s="138"/>
      <c r="J78" s="193">
        <f t="array" ref="J78">SUM(J13:K13*J26:K26)/J32</f>
        <v>0.34237894950777514</v>
      </c>
      <c r="K78" s="138"/>
      <c r="L78" s="193">
        <f t="array" ref="L78">SUM(L13:M13*L26:M26)/L32</f>
        <v>0.34116696958023068</v>
      </c>
      <c r="M78" s="138"/>
      <c r="N78" s="193">
        <f t="array" ref="N78">SUM(N13:O13*N26:O26)/N32</f>
        <v>0.3399205814330134</v>
      </c>
      <c r="O78" s="138"/>
      <c r="P78" s="193">
        <f t="array" ref="P78">SUM(P13:Q13*P26:Q26)/P32</f>
        <v>0.33864104933279843</v>
      </c>
      <c r="Q78" s="138"/>
      <c r="R78" s="193">
        <f t="array" ref="R78">SUM(R13:S13*R26:S26)/R32</f>
        <v>0.33733104096383149</v>
      </c>
      <c r="S78" s="138"/>
      <c r="T78" s="193">
        <f t="array" ref="T78">SUM(T13:U13*T26:U26)/T32</f>
        <v>0.33599502343616516</v>
      </c>
      <c r="U78" s="138"/>
      <c r="V78" s="193">
        <f t="array" ref="V78">SUM(V13:W13*V26:W26)/V32</f>
        <v>0.3346397762584602</v>
      </c>
      <c r="W78" s="138"/>
      <c r="X78" s="193">
        <f t="array" ref="X78">SUM(X13:Y13*X26:Y26)/X32</f>
        <v>0.33327475218120473</v>
      </c>
      <c r="Y78" s="138"/>
      <c r="Z78" s="193">
        <f t="array" ref="Z78">SUM(Z13:AA13*Z26:AA26)/Z32</f>
        <v>0.33191235239476241</v>
      </c>
      <c r="AA78" s="138"/>
      <c r="AB78" s="193">
        <f t="array" ref="AB78">SUM(AB13:AC13*AB26:AC26)/AB32</f>
        <v>0.33056780740636621</v>
      </c>
      <c r="AC78" s="138"/>
      <c r="AD78" s="193">
        <f t="array" ref="AD78">SUM(AD13:AE13*AD26:AE26)/AD32</f>
        <v>0.32925851615854007</v>
      </c>
      <c r="AE78" s="138"/>
      <c r="AF78" s="193">
        <f t="array" ref="AF78">SUM(AF13:AG13*AF26:AG26)/AF32</f>
        <v>0.32800269448683944</v>
      </c>
      <c r="AG78" s="138"/>
      <c r="AH78" s="193">
        <f t="array" ref="AH78">SUM(AH13:AI13*AH26:AI26)/AH32</f>
        <v>0.32681742395645802</v>
      </c>
      <c r="AI78" s="138"/>
      <c r="AJ78" s="193">
        <f t="array" ref="AJ78">SUM(AJ13:AK13*AJ26:AK26)/AJ32</f>
        <v>0.32571652192975525</v>
      </c>
      <c r="AK78" s="138"/>
      <c r="AL78" s="193">
        <f t="array" ref="AL78">SUM(AL13:AM13*AL26:AM26)/AL32</f>
        <v>0.32470884028484231</v>
      </c>
      <c r="AM78" s="138"/>
      <c r="AN78" s="193">
        <f t="array" ref="AN78">SUM(AN13:AO13*AN26:AO26)/AN32</f>
        <v>0.32379756687874739</v>
      </c>
      <c r="AO78" s="138"/>
      <c r="AP78" s="193" t="e">
        <f t="array" ref="AP78">SUM(AP13:AQ13*AP26:AQ26)/AP32</f>
        <v>#DIV/0!</v>
      </c>
      <c r="AQ78" s="138"/>
      <c r="AR78" s="193" t="e">
        <f t="array" ref="AR78">SUM(AR13:AS13*AR26:AS26)/AR32</f>
        <v>#DIV/0!</v>
      </c>
      <c r="AS78" s="138"/>
      <c r="AT78" s="193" t="e">
        <f t="array" ref="AT78">SUM(AT13:AU13*AT26:AU26)/AT32</f>
        <v>#DIV/0!</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0.45230158575429685</v>
      </c>
      <c r="F79" s="193">
        <f t="array" ref="F79">SUM(F15:G15*F27:G27)/F32</f>
        <v>0.44994469444632118</v>
      </c>
      <c r="H79" s="193">
        <f t="array" ref="H79">SUM(H15:I15*H27:I27)/H32</f>
        <v>0.44753105950122818</v>
      </c>
      <c r="J79" s="193">
        <f t="array" ref="J79">SUM(J15:K15*J27:K27)/J32</f>
        <v>0.44505156125719642</v>
      </c>
      <c r="L79" s="193">
        <f t="array" ref="L79">SUM(L15:M15*L27:M27)/L32</f>
        <v>0.44249584987949186</v>
      </c>
      <c r="N79" s="193">
        <f t="array" ref="N79">SUM(N15:O15*N27:O27)/N32</f>
        <v>0.43985227904314533</v>
      </c>
      <c r="P79" s="193">
        <f t="array" ref="P79">SUM(P15:Q15*P27:Q27)/P32</f>
        <v>0.43710797847364702</v>
      </c>
      <c r="R79" s="193">
        <f t="array" ref="R79">SUM(R15:S15*R27:S27)/R32</f>
        <v>0.43424912415212413</v>
      </c>
      <c r="T79" s="193">
        <f t="array" ref="T79">SUM(T15:U15*T27:U27)/T32</f>
        <v>0.43126147410866694</v>
      </c>
      <c r="V79" s="193">
        <f t="array" ref="V79">SUM(V15:W15*V27:W27)/V32</f>
        <v>0.42813144703864442</v>
      </c>
      <c r="X79" s="193">
        <f t="array" ref="X79">SUM(X15:Y15*X27:Y27)/X32</f>
        <v>0.4248477181745029</v>
      </c>
      <c r="Z79" s="193">
        <f t="array" ref="Z79">SUM(Z15:AA15*Z27:AA27)/Z32</f>
        <v>0.42140360665933768</v>
      </c>
      <c r="AB79" s="193">
        <f t="array" ref="AB79">SUM(AB15:AC15*AB27:AC27)/AB32</f>
        <v>0.41780013287864365</v>
      </c>
      <c r="AD79" s="193">
        <f t="array" ref="AD79">SUM(AD15:AE15*AD27:AE27)/AD32</f>
        <v>0.41404926200481529</v>
      </c>
      <c r="AF79" s="193">
        <f t="array" ref="AF79">SUM(AF15:AG15*AF27:AG27)/AF32</f>
        <v>0.41017645738796182</v>
      </c>
      <c r="AH79" s="193">
        <f t="array" ref="AH79">SUM(AH15:AI15*AH27:AI27)/AH32</f>
        <v>0.40622121926729032</v>
      </c>
      <c r="AJ79" s="193">
        <f t="array" ref="AJ79">SUM(AJ15:AK15*AJ27:AK27)/AJ32</f>
        <v>0.40223455435791278</v>
      </c>
      <c r="AL79" s="193">
        <f t="array" ref="AL79">SUM(AL15:AM15*AL27:AM27)/AL32</f>
        <v>0.39827331012136441</v>
      </c>
      <c r="AN79" s="193">
        <f t="array" ref="AN79">SUM(AN15:AO15*AN27:AO27)/AN32</f>
        <v>0.39439288867130629</v>
      </c>
      <c r="AP79" s="193" t="e">
        <f t="array" ref="AP79">SUM(AP15:AQ15*AP27:AQ27)/AP32</f>
        <v>#DIV/0!</v>
      </c>
      <c r="AR79" s="193" t="e">
        <f t="array" ref="AR79">SUM(AR15:AS15*AR27:AS27)/AR32</f>
        <v>#DIV/0!</v>
      </c>
      <c r="AT79" s="193" t="e">
        <f t="array" ref="AT79">SUM(AT15:AU15*AT27:AU27)/AT32</f>
        <v>#DIV/0!</v>
      </c>
      <c r="AV79" s="193" t="e">
        <f t="array" ref="AV79">SUM(AV15:AW15*AV27:AW27)/AV32</f>
        <v>#DIV/0!</v>
      </c>
      <c r="XFD79" s="193"/>
    </row>
    <row r="80" spans="1:48 16384:16384" x14ac:dyDescent="0.2">
      <c r="A80" t="s">
        <v>169</v>
      </c>
      <c r="B80" s="236">
        <f>B55</f>
        <v>0.19850271905982084</v>
      </c>
      <c r="D80" s="236">
        <f>D55</f>
        <v>0.20188897698360075</v>
      </c>
      <c r="F80" s="236">
        <f>F55</f>
        <v>0.20535586710647435</v>
      </c>
      <c r="H80" s="236">
        <f>H55</f>
        <v>0.20891266607862621</v>
      </c>
      <c r="J80" s="236">
        <f>J55</f>
        <v>0.21256949103998879</v>
      </c>
      <c r="L80" s="236">
        <f>L55</f>
        <v>0.21633717796736476</v>
      </c>
      <c r="N80" s="236">
        <f>N55</f>
        <v>0.22022713571030678</v>
      </c>
      <c r="P80" s="236">
        <f>P55</f>
        <v>0.224250969258631</v>
      </c>
      <c r="R80" s="236">
        <f>R55</f>
        <v>0.2284198329541266</v>
      </c>
      <c r="T80" s="236">
        <f>T55</f>
        <v>0.23274349677870573</v>
      </c>
      <c r="V80" s="236">
        <f>V55</f>
        <v>0.23722876440122243</v>
      </c>
      <c r="X80" s="236">
        <f>X55</f>
        <v>0.24187753110991975</v>
      </c>
      <c r="Z80" s="236">
        <f>Z55</f>
        <v>0.24668404002038433</v>
      </c>
      <c r="AB80" s="236">
        <f>AB55</f>
        <v>0.25163205906443442</v>
      </c>
      <c r="AD80" s="236">
        <f>AD55</f>
        <v>0.25669222183773116</v>
      </c>
      <c r="AF80" s="236">
        <f>AF55</f>
        <v>0.26182084176277154</v>
      </c>
      <c r="AH80" s="236">
        <f>AH55</f>
        <v>0.26696136280885818</v>
      </c>
      <c r="AJ80" s="236">
        <f>AJ55</f>
        <v>0.27204891896788902</v>
      </c>
      <c r="AL80" s="236">
        <f>AL55</f>
        <v>0.27701783908604338</v>
      </c>
      <c r="AN80" s="236">
        <f>AN55</f>
        <v>0.28180955909537581</v>
      </c>
      <c r="AP80" s="236" t="e">
        <f>AP55</f>
        <v>#DIV/0!</v>
      </c>
      <c r="AR80" s="236" t="e">
        <f>AR55</f>
        <v>#DIV/0!</v>
      </c>
      <c r="AT80" s="236" t="e">
        <f>AT55</f>
        <v>#DIV/0!</v>
      </c>
      <c r="AV80" s="236" t="e">
        <f>AV55</f>
        <v>#DIV/0!</v>
      </c>
      <c r="XFD80" s="236"/>
    </row>
    <row r="81" spans="1:48 16384:16384" x14ac:dyDescent="0.2">
      <c r="A81" t="s">
        <v>191</v>
      </c>
      <c r="B81" s="236">
        <f>B51/B$32</f>
        <v>-2.7543485504603994E-2</v>
      </c>
      <c r="D81" s="236">
        <f>D51/D$32</f>
        <v>-2.41572275808241E-2</v>
      </c>
      <c r="F81" s="236">
        <f>F51/F$32</f>
        <v>-2.0690337457950507E-2</v>
      </c>
      <c r="H81" s="236">
        <f>H51/H$32</f>
        <v>-1.7133538485798631E-2</v>
      </c>
      <c r="J81" s="236">
        <f>J51/J$32</f>
        <v>-1.3476713524436055E-2</v>
      </c>
      <c r="L81" s="236">
        <f>L51/L$32</f>
        <v>-9.7090265970600827E-3</v>
      </c>
      <c r="N81" s="236">
        <f>N51/N$32</f>
        <v>-5.8190688541180542E-3</v>
      </c>
      <c r="P81" s="236">
        <f>P51/P$32</f>
        <v>-1.7952353057938588E-3</v>
      </c>
      <c r="R81" s="236">
        <f>R51/R$32</f>
        <v>2.3736283897017639E-3</v>
      </c>
      <c r="T81" s="236">
        <f>T51/T$32</f>
        <v>6.6972922142808774E-3</v>
      </c>
      <c r="V81" s="236">
        <f>V51/V$32</f>
        <v>1.1182559836797586E-2</v>
      </c>
      <c r="X81" s="236">
        <f>X51/X$32</f>
        <v>1.5831326545494902E-2</v>
      </c>
      <c r="Z81" s="236">
        <f>Z51/Z$32</f>
        <v>2.0637835455959479E-2</v>
      </c>
      <c r="AB81" s="236">
        <f>AB51/AB$32</f>
        <v>2.558585450000956E-2</v>
      </c>
      <c r="AD81" s="236">
        <f>AD51/AD$32</f>
        <v>3.0646017273306302E-2</v>
      </c>
      <c r="AF81" s="236">
        <f>AF51/AF$32</f>
        <v>3.5774637198346705E-2</v>
      </c>
      <c r="AH81" s="236">
        <f>AH51/AH$32</f>
        <v>4.0915158244433356E-2</v>
      </c>
      <c r="AJ81" s="236">
        <f>AJ51/AJ$32</f>
        <v>4.6002714403464179E-2</v>
      </c>
      <c r="AL81" s="236">
        <f>AL51/AL$32</f>
        <v>5.0971634521618521E-2</v>
      </c>
      <c r="AN81" s="236">
        <f>AN51/AN$32</f>
        <v>5.5763354530950979E-2</v>
      </c>
      <c r="AP81" s="236" t="e">
        <f>AP51/AP$32</f>
        <v>#DIV/0!</v>
      </c>
      <c r="AR81" s="236" t="e">
        <f>AR51/AR$32</f>
        <v>#DIV/0!</v>
      </c>
      <c r="AT81" s="236" t="e">
        <f>AT51/AT$32</f>
        <v>#DIV/0!</v>
      </c>
      <c r="AV81" s="236" t="e">
        <f>AV51/AV$32</f>
        <v>#DIV/0!</v>
      </c>
      <c r="XFD81" s="236"/>
    </row>
    <row r="82" spans="1:48 16384:16384" x14ac:dyDescent="0.2">
      <c r="A82" t="s">
        <v>192</v>
      </c>
      <c r="B82" s="236">
        <f>B52/B$32</f>
        <v>0.13907860278212886</v>
      </c>
      <c r="D82" s="236">
        <f>D52/D$32</f>
        <v>0.13864633698326953</v>
      </c>
      <c r="F82" s="236">
        <f>F52/F$32</f>
        <v>0.13820130237946626</v>
      </c>
      <c r="H82" s="236">
        <f>H52/H$32</f>
        <v>0.13774297087524653</v>
      </c>
      <c r="J82" s="236">
        <f>J52/J$32</f>
        <v>0.13727093982188673</v>
      </c>
      <c r="L82" s="236">
        <f>L52/L$32</f>
        <v>0.13678501735516244</v>
      </c>
      <c r="N82" s="236">
        <f>N52/N$32</f>
        <v>0.13628529950569376</v>
      </c>
      <c r="P82" s="236">
        <f>P52/P$32</f>
        <v>0.13577229315941777</v>
      </c>
      <c r="R82" s="236">
        <f>R52/R$32</f>
        <v>0.13524706787836255</v>
      </c>
      <c r="T82" s="236">
        <f>T52/T$32</f>
        <v>0.13471141467332487</v>
      </c>
      <c r="V82" s="236">
        <f>V52/V$32</f>
        <v>0.13416805167147566</v>
      </c>
      <c r="X82" s="236">
        <f>X52/X$32</f>
        <v>0.13362076879023035</v>
      </c>
      <c r="Z82" s="236">
        <f>Z52/Z$32</f>
        <v>0.13307453807316391</v>
      </c>
      <c r="AB82" s="236">
        <f>AB52/AB$32</f>
        <v>0.13253546592969453</v>
      </c>
      <c r="AD82" s="236">
        <f>AD52/AD$32</f>
        <v>0.13201052816600303</v>
      </c>
      <c r="AF82" s="236">
        <f>AF52/AF$32</f>
        <v>0.13150702810745424</v>
      </c>
      <c r="AH82" s="236">
        <f>AH52/AH$32</f>
        <v>0.13103181431325761</v>
      </c>
      <c r="AJ82" s="236">
        <f>AJ52/AJ$32</f>
        <v>0.130590426616746</v>
      </c>
      <c r="AL82" s="236">
        <f>AL52/AL$32</f>
        <v>0.13018641402590964</v>
      </c>
      <c r="AN82" s="236">
        <f>AN52/AN$32</f>
        <v>0.12982105465708982</v>
      </c>
      <c r="AP82" s="236" t="e">
        <f>AP52/AP$32</f>
        <v>#DIV/0!</v>
      </c>
      <c r="AR82" s="236" t="e">
        <f>AR52/AR$32</f>
        <v>#DIV/0!</v>
      </c>
      <c r="AT82" s="236" t="e">
        <f>AT52/AT$32</f>
        <v>#DIV/0!</v>
      </c>
      <c r="AV82" s="236" t="e">
        <f>AV52/AV$32</f>
        <v>#DIV/0!</v>
      </c>
    </row>
    <row r="83" spans="1:48 16384:16384" x14ac:dyDescent="0.2">
      <c r="A83" t="s">
        <v>193</v>
      </c>
      <c r="B83" s="236">
        <f>B53/B$32</f>
        <v>0.18600714462930035</v>
      </c>
      <c r="D83" s="236">
        <f>D53/D$32</f>
        <v>0.18506276643615385</v>
      </c>
      <c r="F83" s="236">
        <f>F53/F$32</f>
        <v>0.18409842574096064</v>
      </c>
      <c r="H83" s="236">
        <f>H53/H$32</f>
        <v>0.18311086793843606</v>
      </c>
      <c r="J83" s="236">
        <f>J53/J$32</f>
        <v>0.18209636164691187</v>
      </c>
      <c r="L83" s="236">
        <f>L53/L$32</f>
        <v>0.18105067214975568</v>
      </c>
      <c r="N83" s="236">
        <f>N53/N$32</f>
        <v>0.17996903426111474</v>
      </c>
      <c r="P83" s="236">
        <f>P53/P$32</f>
        <v>0.17884618200651409</v>
      </c>
      <c r="R83" s="236">
        <f>R53/R$32</f>
        <v>0.17767645917943917</v>
      </c>
      <c r="T83" s="236">
        <f>T53/T$32</f>
        <v>0.17645403856540748</v>
      </c>
      <c r="V83" s="236">
        <f>V53/V$32</f>
        <v>0.1751733632663536</v>
      </c>
      <c r="X83" s="236">
        <f>X53/X$32</f>
        <v>0.17382979966418133</v>
      </c>
      <c r="Z83" s="236">
        <f>Z53/Z$32</f>
        <v>0.17242061423351751</v>
      </c>
      <c r="AB83" s="236">
        <f>AB53/AB$32</f>
        <v>0.1709462244731472</v>
      </c>
      <c r="AD83" s="236">
        <f>AD53/AD$32</f>
        <v>0.16941152602786572</v>
      </c>
      <c r="AF83" s="236">
        <f>AF53/AF$32</f>
        <v>0.1678269374284993</v>
      </c>
      <c r="AH83" s="236">
        <f>AH53/AH$32</f>
        <v>0.16620862050992272</v>
      </c>
      <c r="AJ83" s="236">
        <f>AJ53/AJ$32</f>
        <v>0.16457744507251418</v>
      </c>
      <c r="AL83" s="236">
        <f>AL53/AL$32</f>
        <v>0.16295667070418562</v>
      </c>
      <c r="AN83" s="236">
        <f>AN53/AN$32</f>
        <v>0.16136896561734992</v>
      </c>
      <c r="AP83" s="236" t="e">
        <f>AP53/AP$32</f>
        <v>#DIV/0!</v>
      </c>
      <c r="AR83" s="236" t="e">
        <f>AR53/AR$32</f>
        <v>#DIV/0!</v>
      </c>
      <c r="AT83" s="236" t="e">
        <f>AT53/AT$32</f>
        <v>#DIV/0!</v>
      </c>
      <c r="AV83" s="236" t="e">
        <f>AV53/AV$32</f>
        <v>#DIV/0!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row>
    <row r="2" spans="1:49" x14ac:dyDescent="0.2">
      <c r="A2" s="229" t="s">
        <v>155</v>
      </c>
      <c r="B2" s="226">
        <v>5.7716594496607888E-3</v>
      </c>
      <c r="C2" s="227"/>
      <c r="D2" s="226">
        <v>4.4917778515141095E-2</v>
      </c>
      <c r="E2" s="227"/>
      <c r="F2" s="226">
        <v>8.6456810523513644E-2</v>
      </c>
      <c r="G2" s="227"/>
      <c r="H2" s="226">
        <v>0.13047240150606187</v>
      </c>
      <c r="I2" s="227"/>
      <c r="J2" s="226">
        <v>0.17700900885183657</v>
      </c>
      <c r="K2" s="227"/>
      <c r="L2" s="226">
        <v>0.22605436012204813</v>
      </c>
      <c r="M2" s="227"/>
      <c r="N2" s="226">
        <v>0.27752894528211203</v>
      </c>
      <c r="O2" s="227"/>
      <c r="P2" s="226">
        <v>0.33128812712730132</v>
      </c>
      <c r="Q2" s="227"/>
      <c r="R2" s="226">
        <v>0.38716317636260794</v>
      </c>
      <c r="S2" s="227"/>
      <c r="T2" s="226">
        <v>0.445093752293997</v>
      </c>
      <c r="U2" s="227"/>
      <c r="V2" s="226">
        <v>0.50546584782775483</v>
      </c>
      <c r="W2" s="227"/>
      <c r="X2" s="226">
        <v>0.56986257292733</v>
      </c>
      <c r="Y2" s="227"/>
      <c r="Z2" s="226">
        <v>0.64263511160749276</v>
      </c>
      <c r="AA2" s="227"/>
      <c r="AB2" s="226">
        <v>0.73395424706754175</v>
      </c>
      <c r="AC2" s="227"/>
      <c r="AD2" s="226">
        <v>0.86544420080066353</v>
      </c>
      <c r="AE2" s="227"/>
      <c r="AF2" s="226">
        <v>1.0816195676059328</v>
      </c>
      <c r="AG2" s="227"/>
      <c r="AH2" s="226">
        <v>1.4836118232853472</v>
      </c>
      <c r="AI2" s="227"/>
      <c r="AJ2" s="226">
        <v>2.3830829977608716</v>
      </c>
      <c r="AK2" s="227"/>
      <c r="AL2" s="226">
        <v>5.5115504436322844</v>
      </c>
      <c r="AM2" s="227"/>
      <c r="AN2" s="226">
        <v>47.591296141090531</v>
      </c>
      <c r="AO2" s="227"/>
      <c r="AP2" s="226">
        <v>113.99512572696543</v>
      </c>
      <c r="AQ2" s="227"/>
      <c r="AR2" s="226">
        <v>387.08883929515122</v>
      </c>
      <c r="AS2" s="227"/>
      <c r="AT2" s="226">
        <v>2549.6778712153791</v>
      </c>
      <c r="AU2" s="227"/>
      <c r="AV2" s="226"/>
      <c r="AW2" s="227"/>
    </row>
    <row r="3" spans="1:49" x14ac:dyDescent="0.2">
      <c r="A3" t="s">
        <v>12</v>
      </c>
      <c r="B3" s="84">
        <v>1000</v>
      </c>
      <c r="C3" s="85">
        <v>1000</v>
      </c>
      <c r="D3" s="84">
        <v>999.89668215747668</v>
      </c>
      <c r="E3" s="85">
        <v>1019.7439091256063</v>
      </c>
      <c r="F3" s="84">
        <v>1000.3896676090781</v>
      </c>
      <c r="G3" s="85">
        <v>1041.6261920265324</v>
      </c>
      <c r="H3" s="84">
        <v>1001.6408226137108</v>
      </c>
      <c r="I3" s="85">
        <v>1065.9437944061053</v>
      </c>
      <c r="J3" s="84">
        <v>1003.8703847155924</v>
      </c>
      <c r="K3" s="85">
        <v>1093.0513297937835</v>
      </c>
      <c r="L3" s="84">
        <v>1007.3837608016609</v>
      </c>
      <c r="M3" s="85">
        <v>1123.3821572946101</v>
      </c>
      <c r="N3" s="84">
        <v>1012.6104507503492</v>
      </c>
      <c r="O3" s="85">
        <v>1157.4859569089406</v>
      </c>
      <c r="P3" s="84">
        <v>1020.165519835926</v>
      </c>
      <c r="Q3" s="85">
        <v>1196.0977936784379</v>
      </c>
      <c r="R3" s="84">
        <v>1030.947924375366</v>
      </c>
      <c r="S3" s="85">
        <v>1240.2708668127227</v>
      </c>
      <c r="T3" s="84">
        <v>1046.3025864394476</v>
      </c>
      <c r="U3" s="85">
        <v>1291.6377648796363</v>
      </c>
      <c r="V3" s="84">
        <v>1068.2887732158163</v>
      </c>
      <c r="W3" s="85">
        <v>1352.9282480956133</v>
      </c>
      <c r="X3" s="84">
        <v>1100.1350415162808</v>
      </c>
      <c r="Y3" s="85">
        <v>1428.995216876983</v>
      </c>
      <c r="Z3" s="84">
        <v>1147.0139256682867</v>
      </c>
      <c r="AA3" s="85">
        <v>1528.8537789618767</v>
      </c>
      <c r="AB3" s="84">
        <v>1217.3656015016022</v>
      </c>
      <c r="AC3" s="85">
        <v>1669.7122779988681</v>
      </c>
      <c r="AD3" s="84">
        <v>1325.3896525118637</v>
      </c>
      <c r="AE3" s="85">
        <v>1885.2964061553062</v>
      </c>
      <c r="AF3" s="84">
        <v>1497.1012818198594</v>
      </c>
      <c r="AG3" s="85">
        <v>2245.9559744080339</v>
      </c>
      <c r="AH3" s="84">
        <v>1789.9382442017697</v>
      </c>
      <c r="AI3" s="85">
        <v>2922.7123555295207</v>
      </c>
      <c r="AJ3" s="84">
        <v>2374.4442651209579</v>
      </c>
      <c r="AK3" s="85">
        <v>4471.8678599991008</v>
      </c>
      <c r="AL3" s="84">
        <v>4068.1710403718762</v>
      </c>
      <c r="AM3" s="85">
        <v>9980.4608758340219</v>
      </c>
      <c r="AN3" s="84">
        <v>18113.941133740878</v>
      </c>
      <c r="AO3" s="85">
        <v>79744.740938106741</v>
      </c>
      <c r="AP3" s="84">
        <v>34298.640305496461</v>
      </c>
      <c r="AQ3" s="85">
        <v>184138.70045085839</v>
      </c>
      <c r="AR3" s="84">
        <v>86474.597593465209</v>
      </c>
      <c r="AS3" s="85">
        <v>597188.05039633787</v>
      </c>
      <c r="AT3" s="84">
        <v>382853.25763782923</v>
      </c>
      <c r="AU3" s="85">
        <v>3725257.4720425908</v>
      </c>
      <c r="AV3" s="84"/>
      <c r="AW3" s="85"/>
    </row>
    <row r="4" spans="1:49"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c r="AW4" s="102"/>
    </row>
    <row r="5" spans="1:49" x14ac:dyDescent="0.2">
      <c r="A5" t="s">
        <v>128</v>
      </c>
      <c r="B5" s="41">
        <v>1000</v>
      </c>
      <c r="C5" s="42">
        <v>1000</v>
      </c>
      <c r="D5" s="41">
        <v>999.89158742542065</v>
      </c>
      <c r="E5" s="42">
        <v>1017.2412087346619</v>
      </c>
      <c r="F5" s="41">
        <v>1000.4088479561557</v>
      </c>
      <c r="G5" s="42">
        <v>1036.1338912693602</v>
      </c>
      <c r="H5" s="41">
        <v>1001.7212222870978</v>
      </c>
      <c r="I5" s="42">
        <v>1056.8735568996772</v>
      </c>
      <c r="J5" s="41">
        <v>1004.0585063244851</v>
      </c>
      <c r="K5" s="42">
        <v>1079.6887145583717</v>
      </c>
      <c r="L5" s="41">
        <v>1007.738094064867</v>
      </c>
      <c r="M5" s="42">
        <v>1104.8532673104705</v>
      </c>
      <c r="N5" s="41">
        <v>1013.2041477250967</v>
      </c>
      <c r="O5" s="42">
        <v>1132.710257823946</v>
      </c>
      <c r="P5" s="41">
        <v>1021.0888618493567</v>
      </c>
      <c r="Q5" s="42">
        <v>1163.7163868193848</v>
      </c>
      <c r="R5" s="41">
        <v>1032.3092687113951</v>
      </c>
      <c r="S5" s="42">
        <v>1198.5280682696555</v>
      </c>
      <c r="T5" s="41">
        <v>1048.2245220078994</v>
      </c>
      <c r="U5" s="42">
        <v>1238.1687787035137</v>
      </c>
      <c r="V5" s="41">
        <v>1070.8916526781652</v>
      </c>
      <c r="W5" s="42">
        <v>1284.350547706737</v>
      </c>
      <c r="X5" s="41">
        <v>1103.4900427849891</v>
      </c>
      <c r="Y5" s="42">
        <v>1340.0775090432314</v>
      </c>
      <c r="Z5" s="41">
        <v>1151.0258052857155</v>
      </c>
      <c r="AA5" s="42">
        <v>1410.7435813584705</v>
      </c>
      <c r="AB5" s="41">
        <v>1221.5017491501646</v>
      </c>
      <c r="AC5" s="42">
        <v>1506.0014901758648</v>
      </c>
      <c r="AD5" s="41">
        <v>1328.0859028904142</v>
      </c>
      <c r="AE5" s="42">
        <v>1642.7775873628725</v>
      </c>
      <c r="AF5" s="41">
        <v>1494.4360012098014</v>
      </c>
      <c r="AG5" s="42">
        <v>1850.4809951364114</v>
      </c>
      <c r="AH5" s="41">
        <v>1772.0821210725867</v>
      </c>
      <c r="AI5" s="42">
        <v>2182.7068048871856</v>
      </c>
      <c r="AJ5" s="41">
        <v>2311.983759632943</v>
      </c>
      <c r="AK5" s="42">
        <v>2747.7098292239798</v>
      </c>
      <c r="AL5" s="41">
        <v>3819.0188019951247</v>
      </c>
      <c r="AM5" s="42">
        <v>3759.1025091337974</v>
      </c>
      <c r="AN5" s="41">
        <v>15267.140839745423</v>
      </c>
      <c r="AO5" s="42">
        <v>5088.7835381879013</v>
      </c>
      <c r="AP5" s="41">
        <v>27587.890031563904</v>
      </c>
      <c r="AQ5" s="42">
        <v>5239.081689796858</v>
      </c>
      <c r="AR5" s="41">
        <v>64968.780986061596</v>
      </c>
      <c r="AS5" s="42">
        <v>5322.1323586245098</v>
      </c>
      <c r="AT5" s="41">
        <v>257423.86417557957</v>
      </c>
      <c r="AU5" s="42">
        <v>5353.9026842582134</v>
      </c>
      <c r="AV5" s="41"/>
      <c r="AW5" s="42"/>
    </row>
    <row r="6" spans="1:49" x14ac:dyDescent="0.2">
      <c r="A6" t="s">
        <v>77</v>
      </c>
      <c r="B6" s="41">
        <v>999.99999999999943</v>
      </c>
      <c r="C6" s="42">
        <v>999.99999999999909</v>
      </c>
      <c r="D6" s="41">
        <v>999.88329539008998</v>
      </c>
      <c r="E6" s="42">
        <v>1021.2797764510511</v>
      </c>
      <c r="F6" s="41">
        <v>1000.4401282688744</v>
      </c>
      <c r="G6" s="42">
        <v>1044.792741173829</v>
      </c>
      <c r="H6" s="41">
        <v>1001.8530042089695</v>
      </c>
      <c r="I6" s="42">
        <v>1070.842100379155</v>
      </c>
      <c r="J6" s="41">
        <v>1004.3696281805506</v>
      </c>
      <c r="K6" s="42">
        <v>1099.7898251833433</v>
      </c>
      <c r="L6" s="41">
        <v>1008.3324659874702</v>
      </c>
      <c r="M6" s="42">
        <v>1132.0784634558495</v>
      </c>
      <c r="N6" s="41">
        <v>1014.2213557410951</v>
      </c>
      <c r="O6" s="42">
        <v>1168.2701408184109</v>
      </c>
      <c r="P6" s="41">
        <v>1022.720332302844</v>
      </c>
      <c r="Q6" s="42">
        <v>1209.1182630838766</v>
      </c>
      <c r="R6" s="41">
        <v>1034.8235992105922</v>
      </c>
      <c r="S6" s="42">
        <v>1255.7052079363464</v>
      </c>
      <c r="T6" s="41">
        <v>1052.0085360847152</v>
      </c>
      <c r="U6" s="42">
        <v>1309.7128130741983</v>
      </c>
      <c r="V6" s="41">
        <v>1076.5187829568495</v>
      </c>
      <c r="W6" s="42">
        <v>1373.9571474014708</v>
      </c>
      <c r="X6" s="41">
        <v>1111.8379955668725</v>
      </c>
      <c r="Y6" s="42">
        <v>1453.4451264243166</v>
      </c>
      <c r="Z6" s="41">
        <v>1163.4855717993046</v>
      </c>
      <c r="AA6" s="42">
        <v>1557.4681332105702</v>
      </c>
      <c r="AB6" s="41">
        <v>1240.36013154027</v>
      </c>
      <c r="AC6" s="42">
        <v>1703.7281999541819</v>
      </c>
      <c r="AD6" s="41">
        <v>1357.2696824217312</v>
      </c>
      <c r="AE6" s="42">
        <v>1926.8438491629731</v>
      </c>
      <c r="AF6" s="41">
        <v>1541.1751578094154</v>
      </c>
      <c r="AG6" s="42">
        <v>2298.9171272091089</v>
      </c>
      <c r="AH6" s="41">
        <v>1851.6079538536253</v>
      </c>
      <c r="AI6" s="42">
        <v>2995.188834750008</v>
      </c>
      <c r="AJ6" s="41">
        <v>2465.7666739052875</v>
      </c>
      <c r="AK6" s="42">
        <v>4586.012613332904</v>
      </c>
      <c r="AL6" s="41">
        <v>4234.3622370092244</v>
      </c>
      <c r="AM6" s="42">
        <v>10237.769307585544</v>
      </c>
      <c r="AN6" s="41">
        <v>18864.520957394616</v>
      </c>
      <c r="AO6" s="42">
        <v>81802.671940193817</v>
      </c>
      <c r="AP6" s="41">
        <v>35720.054685060139</v>
      </c>
      <c r="AQ6" s="42">
        <v>188890.68039738951</v>
      </c>
      <c r="AR6" s="41">
        <v>90058.383410138267</v>
      </c>
      <c r="AS6" s="42">
        <v>612599.40098711429</v>
      </c>
      <c r="AT6" s="41">
        <v>398719.95291935251</v>
      </c>
      <c r="AU6" s="42">
        <v>3821393.4365285072</v>
      </c>
      <c r="AV6" s="41"/>
      <c r="AW6" s="42"/>
    </row>
    <row r="7" spans="1:49" x14ac:dyDescent="0.2">
      <c r="A7" t="s">
        <v>13</v>
      </c>
      <c r="B7" s="33">
        <v>1015.9116825427475</v>
      </c>
      <c r="C7" s="34">
        <v>1015.9116825427475</v>
      </c>
      <c r="D7" s="33">
        <v>1015.8015449416978</v>
      </c>
      <c r="E7" s="34">
        <v>1015.8015449416978</v>
      </c>
      <c r="F7" s="33">
        <v>1016.3270359577897</v>
      </c>
      <c r="G7" s="34">
        <v>1016.3270359577897</v>
      </c>
      <c r="H7" s="33">
        <v>1017.660292372463</v>
      </c>
      <c r="I7" s="34">
        <v>1017.660292372463</v>
      </c>
      <c r="J7" s="33">
        <v>1020.0347665314654</v>
      </c>
      <c r="K7" s="34">
        <v>1020.0347665314654</v>
      </c>
      <c r="L7" s="33">
        <v>1023.7729027038605</v>
      </c>
      <c r="M7" s="34">
        <v>1023.7729027038605</v>
      </c>
      <c r="N7" s="33">
        <v>1029.3259304746935</v>
      </c>
      <c r="O7" s="34">
        <v>1029.3259304746935</v>
      </c>
      <c r="P7" s="33">
        <v>1037.336103667039</v>
      </c>
      <c r="Q7" s="34">
        <v>1037.336103667039</v>
      </c>
      <c r="R7" s="33">
        <v>1048.7350460810667</v>
      </c>
      <c r="S7" s="34">
        <v>1048.7350460810667</v>
      </c>
      <c r="T7" s="33">
        <v>1064.9035378356123</v>
      </c>
      <c r="U7" s="34">
        <v>1064.9035378356123</v>
      </c>
      <c r="V7" s="33">
        <v>1087.9313406932583</v>
      </c>
      <c r="W7" s="34">
        <v>1087.9313406932583</v>
      </c>
      <c r="X7" s="33">
        <v>1121.0484260348667</v>
      </c>
      <c r="Y7" s="34">
        <v>1121.0484260348667</v>
      </c>
      <c r="Z7" s="33">
        <v>1169.3405624979321</v>
      </c>
      <c r="AA7" s="34">
        <v>1169.3405624979321</v>
      </c>
      <c r="AB7" s="33">
        <v>1240.9378972080528</v>
      </c>
      <c r="AC7" s="34">
        <v>1240.9378972080528</v>
      </c>
      <c r="AD7" s="33">
        <v>1349.2179841667046</v>
      </c>
      <c r="AE7" s="34">
        <v>1349.2179841667046</v>
      </c>
      <c r="AF7" s="33">
        <v>1518.2149924415046</v>
      </c>
      <c r="AG7" s="34">
        <v>1518.2149924415046</v>
      </c>
      <c r="AH7" s="33">
        <v>1800.2789292227721</v>
      </c>
      <c r="AI7" s="34">
        <v>1800.2789292227721</v>
      </c>
      <c r="AJ7" s="33">
        <v>2348.77131126021</v>
      </c>
      <c r="AK7" s="34">
        <v>2348.77131126021</v>
      </c>
      <c r="AL7" s="33">
        <v>3879.7858167972549</v>
      </c>
      <c r="AM7" s="34">
        <v>3879.7858167972549</v>
      </c>
      <c r="AN7" s="33">
        <v>15510.066738122867</v>
      </c>
      <c r="AO7" s="34">
        <v>15510.066738122867</v>
      </c>
      <c r="AP7" s="33">
        <v>28026.859779770377</v>
      </c>
      <c r="AQ7" s="34">
        <v>28026.859779770377</v>
      </c>
      <c r="AR7" s="33">
        <v>66002.5436043011</v>
      </c>
      <c r="AS7" s="34">
        <v>66002.5436043011</v>
      </c>
      <c r="AT7" s="33">
        <v>261519.91098126874</v>
      </c>
      <c r="AU7" s="34">
        <v>261519.91098126874</v>
      </c>
      <c r="AV7" s="33"/>
      <c r="AW7" s="34"/>
    </row>
    <row r="8" spans="1:49" x14ac:dyDescent="0.2">
      <c r="B8" s="35">
        <v>1005.7716594496609</v>
      </c>
      <c r="C8" s="36">
        <v>1005.7716594496609</v>
      </c>
      <c r="D8" s="35">
        <v>1062.9334240450798</v>
      </c>
      <c r="E8" s="36">
        <v>1062.9334240450798</v>
      </c>
      <c r="F8" s="35">
        <v>1125.7147227838263</v>
      </c>
      <c r="G8" s="36">
        <v>1125.7147227838263</v>
      </c>
      <c r="H8" s="35">
        <v>1194.7663879566317</v>
      </c>
      <c r="I8" s="36">
        <v>1194.7663879566317</v>
      </c>
      <c r="J8" s="35">
        <v>1270.8033437908625</v>
      </c>
      <c r="K8" s="36">
        <v>1270.8033437908625</v>
      </c>
      <c r="L8" s="35">
        <v>1354.6101656810931</v>
      </c>
      <c r="M8" s="36">
        <v>1354.6101656810931</v>
      </c>
      <c r="N8" s="35">
        <v>1447.0701409880548</v>
      </c>
      <c r="O8" s="36">
        <v>1447.0701409880548</v>
      </c>
      <c r="P8" s="35">
        <v>1549.2418091161289</v>
      </c>
      <c r="Q8" s="36">
        <v>1549.2418091161289</v>
      </c>
      <c r="R8" s="35">
        <v>1662.5540021406759</v>
      </c>
      <c r="S8" s="36">
        <v>1662.5540021406759</v>
      </c>
      <c r="T8" s="35">
        <v>1789.2699663899364</v>
      </c>
      <c r="U8" s="36">
        <v>1789.2699663899364</v>
      </c>
      <c r="V8" s="35">
        <v>1933.5458862113639</v>
      </c>
      <c r="W8" s="36">
        <v>1933.5458862113639</v>
      </c>
      <c r="X8" s="35">
        <v>2103.7375262686546</v>
      </c>
      <c r="Y8" s="36">
        <v>2103.7375262686546</v>
      </c>
      <c r="Z8" s="35">
        <v>2317.3369402143253</v>
      </c>
      <c r="AA8" s="36">
        <v>2317.3369402143253</v>
      </c>
      <c r="AB8" s="35">
        <v>2611.3376799804873</v>
      </c>
      <c r="AC8" s="36">
        <v>2611.3376799804873</v>
      </c>
      <c r="AD8" s="35">
        <v>3064.5099235513758</v>
      </c>
      <c r="AE8" s="36">
        <v>3064.5099235513758</v>
      </c>
      <c r="AF8" s="35">
        <v>3851.9974489588531</v>
      </c>
      <c r="AG8" s="36">
        <v>3851.9974489588531</v>
      </c>
      <c r="AH8" s="35">
        <v>5420.9964273831974</v>
      </c>
      <c r="AI8" s="36">
        <v>5420.9964273831974</v>
      </c>
      <c r="AJ8" s="35">
        <v>9295.7304060280749</v>
      </c>
      <c r="AK8" s="36">
        <v>9295.7304060280749</v>
      </c>
      <c r="AL8" s="35">
        <v>24477.585611009414</v>
      </c>
      <c r="AM8" s="36">
        <v>24477.585611009414</v>
      </c>
      <c r="AN8" s="35">
        <v>247270.58790199479</v>
      </c>
      <c r="AO8" s="36">
        <v>247270.58790199479</v>
      </c>
      <c r="AP8" s="35">
        <v>602468.85761203221</v>
      </c>
      <c r="AQ8" s="36">
        <v>602468.85761203221</v>
      </c>
      <c r="AR8" s="35">
        <v>2065460.1696337515</v>
      </c>
      <c r="AS8" s="36">
        <v>2065460.1696337515</v>
      </c>
      <c r="AT8" s="35">
        <v>13656081.101378044</v>
      </c>
      <c r="AU8" s="36">
        <v>13656081.101378044</v>
      </c>
      <c r="AV8" s="35"/>
      <c r="AW8" s="36"/>
    </row>
    <row r="9" spans="1:49" x14ac:dyDescent="0.2">
      <c r="A9" t="s">
        <v>14</v>
      </c>
      <c r="B9" s="41">
        <v>1015.9116825427475</v>
      </c>
      <c r="C9" s="42">
        <v>1005.7716594496609</v>
      </c>
      <c r="D9" s="41">
        <v>1015.8015449416978</v>
      </c>
      <c r="E9" s="42">
        <v>1062.9334240450798</v>
      </c>
      <c r="F9" s="41">
        <v>1016.3270359577897</v>
      </c>
      <c r="G9" s="42">
        <v>1125.7147227838263</v>
      </c>
      <c r="H9" s="41">
        <v>1017.660292372463</v>
      </c>
      <c r="I9" s="42">
        <v>1194.7663879566317</v>
      </c>
      <c r="J9" s="41">
        <v>1020.0347665314654</v>
      </c>
      <c r="K9" s="42">
        <v>1270.8033437908625</v>
      </c>
      <c r="L9" s="41">
        <v>1023.7729027038605</v>
      </c>
      <c r="M9" s="42">
        <v>1354.6101656810931</v>
      </c>
      <c r="N9" s="41">
        <v>1029.3259304746935</v>
      </c>
      <c r="O9" s="42">
        <v>1447.0701409880548</v>
      </c>
      <c r="P9" s="41">
        <v>1037.336103667039</v>
      </c>
      <c r="Q9" s="42">
        <v>1549.2418091161289</v>
      </c>
      <c r="R9" s="41">
        <v>1048.7350460810667</v>
      </c>
      <c r="S9" s="42">
        <v>1662.5540021406759</v>
      </c>
      <c r="T9" s="41">
        <v>1064.9035378356123</v>
      </c>
      <c r="U9" s="42">
        <v>1789.2699663899364</v>
      </c>
      <c r="V9" s="41">
        <v>1087.9313406932583</v>
      </c>
      <c r="W9" s="42">
        <v>1933.5458862113639</v>
      </c>
      <c r="X9" s="41">
        <v>1121.0484260348667</v>
      </c>
      <c r="Y9" s="42">
        <v>2103.7375262686546</v>
      </c>
      <c r="Z9" s="41">
        <v>1169.3405624979321</v>
      </c>
      <c r="AA9" s="42">
        <v>2317.3369402143253</v>
      </c>
      <c r="AB9" s="41">
        <v>1240.9378972080528</v>
      </c>
      <c r="AC9" s="42">
        <v>2611.3376799804873</v>
      </c>
      <c r="AD9" s="41">
        <v>1349.2179841667046</v>
      </c>
      <c r="AE9" s="42">
        <v>3064.5099235513758</v>
      </c>
      <c r="AF9" s="41">
        <v>1518.2149924415046</v>
      </c>
      <c r="AG9" s="42">
        <v>3851.9974489588531</v>
      </c>
      <c r="AH9" s="41">
        <v>1800.2789292227721</v>
      </c>
      <c r="AI9" s="42">
        <v>5420.9964273831974</v>
      </c>
      <c r="AJ9" s="41">
        <v>2348.77131126021</v>
      </c>
      <c r="AK9" s="42">
        <v>9295.7304060280749</v>
      </c>
      <c r="AL9" s="41">
        <v>3879.7858167972549</v>
      </c>
      <c r="AM9" s="42">
        <v>24477.585611009414</v>
      </c>
      <c r="AN9" s="41">
        <v>15510.066738122867</v>
      </c>
      <c r="AO9" s="42">
        <v>247270.58790199479</v>
      </c>
      <c r="AP9" s="41">
        <v>28026.859779770377</v>
      </c>
      <c r="AQ9" s="42">
        <v>602468.85761203221</v>
      </c>
      <c r="AR9" s="41">
        <v>66002.5436043011</v>
      </c>
      <c r="AS9" s="42">
        <v>2065460.1696337515</v>
      </c>
      <c r="AT9" s="41">
        <v>261519.91098126874</v>
      </c>
      <c r="AU9" s="42">
        <v>13656081.101378044</v>
      </c>
      <c r="AV9" s="41"/>
      <c r="AW9" s="42"/>
    </row>
    <row r="10" spans="1:49" x14ac:dyDescent="0.2">
      <c r="A10" t="s">
        <v>15</v>
      </c>
      <c r="B10" s="41">
        <v>1015.9116825427475</v>
      </c>
      <c r="C10" s="42">
        <v>1005.7716594496609</v>
      </c>
      <c r="D10" s="41">
        <v>1015.8015449416978</v>
      </c>
      <c r="E10" s="42">
        <v>1062.9334240450798</v>
      </c>
      <c r="F10" s="41">
        <v>1016.3270359577897</v>
      </c>
      <c r="G10" s="42">
        <v>1125.7147227838263</v>
      </c>
      <c r="H10" s="41">
        <v>1017.660292372463</v>
      </c>
      <c r="I10" s="42">
        <v>1194.7663879566317</v>
      </c>
      <c r="J10" s="41">
        <v>1020.0347665314654</v>
      </c>
      <c r="K10" s="42">
        <v>1270.8033437908625</v>
      </c>
      <c r="L10" s="41">
        <v>1023.7729027038605</v>
      </c>
      <c r="M10" s="42">
        <v>1354.6101656810931</v>
      </c>
      <c r="N10" s="41">
        <v>1029.3259304746935</v>
      </c>
      <c r="O10" s="42">
        <v>1447.0701409880548</v>
      </c>
      <c r="P10" s="41">
        <v>1037.336103667039</v>
      </c>
      <c r="Q10" s="42">
        <v>1549.2418091161289</v>
      </c>
      <c r="R10" s="41">
        <v>1048.7350460810667</v>
      </c>
      <c r="S10" s="42">
        <v>1662.5540021406759</v>
      </c>
      <c r="T10" s="41">
        <v>1064.9035378356123</v>
      </c>
      <c r="U10" s="42">
        <v>1789.2699663899364</v>
      </c>
      <c r="V10" s="41">
        <v>1087.9313406932583</v>
      </c>
      <c r="W10" s="42">
        <v>1933.5458862113639</v>
      </c>
      <c r="X10" s="41">
        <v>1121.0484260348667</v>
      </c>
      <c r="Y10" s="42">
        <v>2103.7375262686546</v>
      </c>
      <c r="Z10" s="41">
        <v>1169.3405624979321</v>
      </c>
      <c r="AA10" s="42">
        <v>2317.3369402143253</v>
      </c>
      <c r="AB10" s="41">
        <v>1240.9378972080528</v>
      </c>
      <c r="AC10" s="42">
        <v>2611.3376799804873</v>
      </c>
      <c r="AD10" s="41">
        <v>1349.2179841667046</v>
      </c>
      <c r="AE10" s="42">
        <v>3064.5099235513758</v>
      </c>
      <c r="AF10" s="41">
        <v>1518.2149924415046</v>
      </c>
      <c r="AG10" s="42">
        <v>3851.9974489588531</v>
      </c>
      <c r="AH10" s="41">
        <v>1800.2789292227721</v>
      </c>
      <c r="AI10" s="42">
        <v>5420.9964273831974</v>
      </c>
      <c r="AJ10" s="41">
        <v>2348.77131126021</v>
      </c>
      <c r="AK10" s="42">
        <v>9295.7304060280749</v>
      </c>
      <c r="AL10" s="41">
        <v>3879.7858167972549</v>
      </c>
      <c r="AM10" s="42">
        <v>24477.585611009414</v>
      </c>
      <c r="AN10" s="41">
        <v>15510.066738122867</v>
      </c>
      <c r="AO10" s="42">
        <v>247270.58790199479</v>
      </c>
      <c r="AP10" s="41">
        <v>28026.859779770377</v>
      </c>
      <c r="AQ10" s="42">
        <v>602468.85761203221</v>
      </c>
      <c r="AR10" s="41">
        <v>66002.5436043011</v>
      </c>
      <c r="AS10" s="42">
        <v>2065460.1696337515</v>
      </c>
      <c r="AT10" s="41">
        <v>261519.91098126874</v>
      </c>
      <c r="AU10" s="42">
        <v>13656081.101378044</v>
      </c>
      <c r="AV10" s="41"/>
      <c r="AW10" s="42"/>
    </row>
    <row r="11" spans="1:49" x14ac:dyDescent="0.2">
      <c r="A11" t="s">
        <v>29</v>
      </c>
      <c r="B11" s="41">
        <v>1015.9116825427475</v>
      </c>
      <c r="C11" s="42">
        <v>1005.7716594496609</v>
      </c>
      <c r="D11" s="41">
        <v>1015.8015449416978</v>
      </c>
      <c r="E11" s="42">
        <v>1062.9334240450798</v>
      </c>
      <c r="F11" s="41">
        <v>1016.3270359577897</v>
      </c>
      <c r="G11" s="42">
        <v>1125.7147227838263</v>
      </c>
      <c r="H11" s="41">
        <v>1017.660292372463</v>
      </c>
      <c r="I11" s="42">
        <v>1194.7663879566317</v>
      </c>
      <c r="J11" s="41">
        <v>1020.0347665314654</v>
      </c>
      <c r="K11" s="42">
        <v>1270.8033437908625</v>
      </c>
      <c r="L11" s="41">
        <v>1023.7729027038605</v>
      </c>
      <c r="M11" s="42">
        <v>1354.6101656810931</v>
      </c>
      <c r="N11" s="41">
        <v>1029.3259304746935</v>
      </c>
      <c r="O11" s="42">
        <v>1447.0701409880548</v>
      </c>
      <c r="P11" s="41">
        <v>1037.336103667039</v>
      </c>
      <c r="Q11" s="42">
        <v>1549.2418091161289</v>
      </c>
      <c r="R11" s="41">
        <v>1048.7350460810667</v>
      </c>
      <c r="S11" s="42">
        <v>1662.5540021406759</v>
      </c>
      <c r="T11" s="41">
        <v>1064.9035378356123</v>
      </c>
      <c r="U11" s="42">
        <v>1789.2699663899364</v>
      </c>
      <c r="V11" s="41">
        <v>1087.9313406932583</v>
      </c>
      <c r="W11" s="42">
        <v>1933.5458862113639</v>
      </c>
      <c r="X11" s="41">
        <v>1121.0484260348667</v>
      </c>
      <c r="Y11" s="42">
        <v>2103.7375262686546</v>
      </c>
      <c r="Z11" s="41">
        <v>1169.3405624979321</v>
      </c>
      <c r="AA11" s="42">
        <v>2317.3369402143253</v>
      </c>
      <c r="AB11" s="41">
        <v>1240.9378972080528</v>
      </c>
      <c r="AC11" s="42">
        <v>2611.3376799804873</v>
      </c>
      <c r="AD11" s="41">
        <v>1349.2179841667046</v>
      </c>
      <c r="AE11" s="42">
        <v>3064.5099235513758</v>
      </c>
      <c r="AF11" s="41">
        <v>1518.2149924415046</v>
      </c>
      <c r="AG11" s="42">
        <v>3851.9974489588531</v>
      </c>
      <c r="AH11" s="41">
        <v>1800.2789292227721</v>
      </c>
      <c r="AI11" s="42">
        <v>5420.9964273831974</v>
      </c>
      <c r="AJ11" s="41">
        <v>2348.77131126021</v>
      </c>
      <c r="AK11" s="42">
        <v>9295.7304060280749</v>
      </c>
      <c r="AL11" s="41">
        <v>3879.7858167972549</v>
      </c>
      <c r="AM11" s="42">
        <v>24477.585611009414</v>
      </c>
      <c r="AN11" s="41">
        <v>15510.066738122867</v>
      </c>
      <c r="AO11" s="42">
        <v>247270.58790199479</v>
      </c>
      <c r="AP11" s="41">
        <v>28026.859779770377</v>
      </c>
      <c r="AQ11" s="42">
        <v>602468.85761203221</v>
      </c>
      <c r="AR11" s="41">
        <v>66002.5436043011</v>
      </c>
      <c r="AS11" s="42">
        <v>2065460.1696337515</v>
      </c>
      <c r="AT11" s="41">
        <v>261519.91098126874</v>
      </c>
      <c r="AU11" s="42">
        <v>13656081.101378044</v>
      </c>
      <c r="AV11" s="41"/>
      <c r="AW11" s="42"/>
    </row>
    <row r="12" spans="1:49"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c r="AW12" s="42"/>
    </row>
    <row r="13" spans="1:49" x14ac:dyDescent="0.2">
      <c r="A13" t="s">
        <v>17</v>
      </c>
      <c r="B13" s="97">
        <v>1000</v>
      </c>
      <c r="C13" s="98">
        <v>1000</v>
      </c>
      <c r="D13" s="97">
        <v>995.32605519272295</v>
      </c>
      <c r="E13" s="98">
        <v>995.32605519272295</v>
      </c>
      <c r="F13" s="97">
        <v>990.91489376740606</v>
      </c>
      <c r="G13" s="98">
        <v>990.91489376740606</v>
      </c>
      <c r="H13" s="97">
        <v>986.89467383614169</v>
      </c>
      <c r="I13" s="98">
        <v>986.89467383614169</v>
      </c>
      <c r="J13" s="97">
        <v>983.44857639100269</v>
      </c>
      <c r="K13" s="98">
        <v>983.44857639100269</v>
      </c>
      <c r="L13" s="97">
        <v>980.8411994736897</v>
      </c>
      <c r="M13" s="98">
        <v>980.8411994736897</v>
      </c>
      <c r="N13" s="97">
        <v>979.45631942971772</v>
      </c>
      <c r="O13" s="98">
        <v>979.45631942971772</v>
      </c>
      <c r="P13" s="97">
        <v>979.85611729771847</v>
      </c>
      <c r="Q13" s="98">
        <v>979.85611729771847</v>
      </c>
      <c r="R13" s="97">
        <v>982.87493309268609</v>
      </c>
      <c r="S13" s="98">
        <v>982.87493309268609</v>
      </c>
      <c r="T13" s="97">
        <v>989.77251188678144</v>
      </c>
      <c r="U13" s="98">
        <v>989.77251188678144</v>
      </c>
      <c r="V13" s="97">
        <v>1002.4859538315051</v>
      </c>
      <c r="W13" s="98">
        <v>1002.4859538315051</v>
      </c>
      <c r="X13" s="97">
        <v>1024.0568549955619</v>
      </c>
      <c r="Y13" s="98">
        <v>1024.0568549955619</v>
      </c>
      <c r="Z13" s="97">
        <v>1059.3606760066223</v>
      </c>
      <c r="AA13" s="98">
        <v>1059.3606760066223</v>
      </c>
      <c r="AB13" s="97">
        <v>1116.3587512580373</v>
      </c>
      <c r="AC13" s="98">
        <v>1116.3587512580373</v>
      </c>
      <c r="AD13" s="97">
        <v>1208.4612146187415</v>
      </c>
      <c r="AE13" s="98">
        <v>1208.4612146187415</v>
      </c>
      <c r="AF13" s="97">
        <v>1360.285889795789</v>
      </c>
      <c r="AG13" s="98">
        <v>1360.285889795789</v>
      </c>
      <c r="AH13" s="97">
        <v>1626.4614061007401</v>
      </c>
      <c r="AI13" s="98">
        <v>1626.4614061007401</v>
      </c>
      <c r="AJ13" s="97">
        <v>2171.0788765299485</v>
      </c>
      <c r="AK13" s="98">
        <v>2171.0788765299485</v>
      </c>
      <c r="AL13" s="97">
        <v>3799.2527027616779</v>
      </c>
      <c r="AM13" s="98">
        <v>3799.2527027616779</v>
      </c>
      <c r="AN13" s="97">
        <v>18320.159644569267</v>
      </c>
      <c r="AO13" s="98">
        <v>18320.159644569267</v>
      </c>
      <c r="AP13" s="97">
        <v>35999.621800678236</v>
      </c>
      <c r="AQ13" s="98">
        <v>35999.621800678236</v>
      </c>
      <c r="AR13" s="97">
        <v>95787.721104422613</v>
      </c>
      <c r="AS13" s="98">
        <v>95787.721104422613</v>
      </c>
      <c r="AT13" s="97">
        <v>461141.54340849514</v>
      </c>
      <c r="AU13" s="98">
        <v>461141.54340849514</v>
      </c>
      <c r="AV13" s="97"/>
      <c r="AW13" s="98"/>
    </row>
    <row r="14" spans="1:49" x14ac:dyDescent="0.2">
      <c r="A14" t="s">
        <v>36</v>
      </c>
      <c r="B14" s="41">
        <v>1457.0034251455234</v>
      </c>
      <c r="C14" s="42">
        <v>1457.0034251455236</v>
      </c>
      <c r="D14" s="41">
        <v>1450.1934715523794</v>
      </c>
      <c r="E14" s="42">
        <v>1450.1934715523796</v>
      </c>
      <c r="F14" s="41">
        <v>1443.766394246823</v>
      </c>
      <c r="G14" s="42">
        <v>1443.7663942468232</v>
      </c>
      <c r="H14" s="41">
        <v>1437.9089200371325</v>
      </c>
      <c r="I14" s="42">
        <v>1437.9089200371327</v>
      </c>
      <c r="J14" s="41">
        <v>1432.8879442561797</v>
      </c>
      <c r="K14" s="42">
        <v>1432.8879442561799</v>
      </c>
      <c r="L14" s="41">
        <v>1429.0889871570093</v>
      </c>
      <c r="M14" s="42">
        <v>1429.0889871570096</v>
      </c>
      <c r="N14" s="41">
        <v>1427.0712121895265</v>
      </c>
      <c r="O14" s="42">
        <v>1427.0712121895267</v>
      </c>
      <c r="P14" s="41">
        <v>1427.6537190525694</v>
      </c>
      <c r="Q14" s="42">
        <v>1427.6537190525696</v>
      </c>
      <c r="R14" s="41">
        <v>1432.0521440057207</v>
      </c>
      <c r="S14" s="42">
        <v>1432.0521440057209</v>
      </c>
      <c r="T14" s="41">
        <v>1442.1019399339286</v>
      </c>
      <c r="U14" s="42">
        <v>1442.1019399339289</v>
      </c>
      <c r="V14" s="41">
        <v>1460.6254683927798</v>
      </c>
      <c r="W14" s="42">
        <v>1460.62546839278</v>
      </c>
      <c r="X14" s="41">
        <v>1492.0543452722861</v>
      </c>
      <c r="Y14" s="42">
        <v>1492.0543452722864</v>
      </c>
      <c r="Z14" s="41">
        <v>1543.4921334061255</v>
      </c>
      <c r="AA14" s="42">
        <v>1543.492133406126</v>
      </c>
      <c r="AB14" s="41">
        <v>1626.5385242741395</v>
      </c>
      <c r="AC14" s="42">
        <v>1626.5385242741397</v>
      </c>
      <c r="AD14" s="41">
        <v>1760.7321288550256</v>
      </c>
      <c r="AE14" s="42">
        <v>1760.7321288550258</v>
      </c>
      <c r="AF14" s="41">
        <v>1981.9412006095904</v>
      </c>
      <c r="AG14" s="42">
        <v>1981.9412006095906</v>
      </c>
      <c r="AH14" s="41">
        <v>2369.759839555782</v>
      </c>
      <c r="AI14" s="42">
        <v>2369.7598395557825</v>
      </c>
      <c r="AJ14" s="41">
        <v>3163.2693593652298</v>
      </c>
      <c r="AK14" s="42">
        <v>3163.2693593652302</v>
      </c>
      <c r="AL14" s="41">
        <v>5535.5242009171516</v>
      </c>
      <c r="AM14" s="42">
        <v>5535.5242009171525</v>
      </c>
      <c r="AN14" s="41">
        <v>26692.535351350212</v>
      </c>
      <c r="AO14" s="42">
        <v>26692.53535135022</v>
      </c>
      <c r="AP14" s="41">
        <v>52451.572267531643</v>
      </c>
      <c r="AQ14" s="42">
        <v>52451.57226753165</v>
      </c>
      <c r="AR14" s="41">
        <v>139563.03773602788</v>
      </c>
      <c r="AS14" s="42">
        <v>139563.03773602791</v>
      </c>
      <c r="AT14" s="41">
        <v>671884.80822307046</v>
      </c>
      <c r="AU14" s="42">
        <v>671884.80822307058</v>
      </c>
      <c r="AV14" s="41"/>
      <c r="AW14" s="42"/>
    </row>
    <row r="15" spans="1:49" x14ac:dyDescent="0.2">
      <c r="A15" t="s">
        <v>18</v>
      </c>
      <c r="B15" s="154">
        <v>1000</v>
      </c>
      <c r="C15" s="155">
        <v>1000</v>
      </c>
      <c r="D15" s="154">
        <v>999.89158742542065</v>
      </c>
      <c r="E15" s="155">
        <v>999.89158742542065</v>
      </c>
      <c r="F15" s="154">
        <v>1000.4088479561557</v>
      </c>
      <c r="G15" s="155">
        <v>1000.4088479561557</v>
      </c>
      <c r="H15" s="154">
        <v>1001.7212222870978</v>
      </c>
      <c r="I15" s="155">
        <v>1001.7212222870978</v>
      </c>
      <c r="J15" s="154">
        <v>1004.0585063244851</v>
      </c>
      <c r="K15" s="155">
        <v>1004.0585063244851</v>
      </c>
      <c r="L15" s="154">
        <v>1007.738094064867</v>
      </c>
      <c r="M15" s="155">
        <v>1007.738094064867</v>
      </c>
      <c r="N15" s="154">
        <v>1013.2041477250967</v>
      </c>
      <c r="O15" s="155">
        <v>1013.2041477250967</v>
      </c>
      <c r="P15" s="154">
        <v>1021.0888618493567</v>
      </c>
      <c r="Q15" s="155">
        <v>1021.0888618493567</v>
      </c>
      <c r="R15" s="154">
        <v>1032.3092687113951</v>
      </c>
      <c r="S15" s="155">
        <v>1032.3092687113951</v>
      </c>
      <c r="T15" s="154">
        <v>1048.2245220078994</v>
      </c>
      <c r="U15" s="155">
        <v>1048.2245220078994</v>
      </c>
      <c r="V15" s="154">
        <v>1070.8916526781652</v>
      </c>
      <c r="W15" s="155">
        <v>1070.8916526781652</v>
      </c>
      <c r="X15" s="154">
        <v>1103.4900427849891</v>
      </c>
      <c r="Y15" s="155">
        <v>1103.4900427849891</v>
      </c>
      <c r="Z15" s="154">
        <v>1151.0258052857155</v>
      </c>
      <c r="AA15" s="155">
        <v>1151.0258052857155</v>
      </c>
      <c r="AB15" s="154">
        <v>1221.5017491501646</v>
      </c>
      <c r="AC15" s="155">
        <v>1221.5017491501646</v>
      </c>
      <c r="AD15" s="154">
        <v>1328.0859028904142</v>
      </c>
      <c r="AE15" s="155">
        <v>1328.0859028904142</v>
      </c>
      <c r="AF15" s="154">
        <v>1494.4360012098014</v>
      </c>
      <c r="AG15" s="155">
        <v>1494.4360012098014</v>
      </c>
      <c r="AH15" s="154">
        <v>1772.0821210725867</v>
      </c>
      <c r="AI15" s="155">
        <v>1772.0821210725867</v>
      </c>
      <c r="AJ15" s="154">
        <v>2311.983759632943</v>
      </c>
      <c r="AK15" s="155">
        <v>2311.983759632943</v>
      </c>
      <c r="AL15" s="154">
        <v>3819.0188019951247</v>
      </c>
      <c r="AM15" s="155">
        <v>3819.0188019951247</v>
      </c>
      <c r="AN15" s="154">
        <v>15267.140839745423</v>
      </c>
      <c r="AO15" s="155">
        <v>15267.140839745423</v>
      </c>
      <c r="AP15" s="154">
        <v>27587.890031563904</v>
      </c>
      <c r="AQ15" s="155">
        <v>27587.890031563904</v>
      </c>
      <c r="AR15" s="154">
        <v>64968.780986061596</v>
      </c>
      <c r="AS15" s="155">
        <v>64968.780986061596</v>
      </c>
      <c r="AT15" s="154">
        <v>257423.86417557957</v>
      </c>
      <c r="AU15" s="155">
        <v>257423.86417557957</v>
      </c>
      <c r="AV15" s="154"/>
      <c r="AW15" s="155"/>
    </row>
    <row r="16" spans="1:49" s="29" customFormat="1" x14ac:dyDescent="0.2">
      <c r="A16" t="s">
        <v>61</v>
      </c>
      <c r="B16" s="41">
        <v>1000</v>
      </c>
      <c r="C16" s="42">
        <v>1000</v>
      </c>
      <c r="D16" s="41">
        <v>997.45665931941039</v>
      </c>
      <c r="E16" s="42">
        <v>998.58814639487559</v>
      </c>
      <c r="F16" s="41">
        <v>995.34369453126283</v>
      </c>
      <c r="G16" s="42">
        <v>997.69764269175676</v>
      </c>
      <c r="H16" s="41">
        <v>993.80808112822433</v>
      </c>
      <c r="I16" s="42">
        <v>997.48596084128064</v>
      </c>
      <c r="J16" s="41">
        <v>993.05420616892729</v>
      </c>
      <c r="K16" s="42">
        <v>998.16936516358555</v>
      </c>
      <c r="L16" s="41">
        <v>993.37064221333912</v>
      </c>
      <c r="M16" s="42">
        <v>1000.0499063991509</v>
      </c>
      <c r="N16" s="41">
        <v>995.16855079739798</v>
      </c>
      <c r="O16" s="42">
        <v>1003.554183524107</v>
      </c>
      <c r="P16" s="41">
        <v>999.04185007592912</v>
      </c>
      <c r="Q16" s="42">
        <v>1009.2940223306017</v>
      </c>
      <c r="R16" s="41">
        <v>1005.8623969133621</v>
      </c>
      <c r="S16" s="42">
        <v>1018.1624115441366</v>
      </c>
      <c r="T16" s="41">
        <v>1016.9351538508247</v>
      </c>
      <c r="U16" s="42">
        <v>1031.4896488629995</v>
      </c>
      <c r="V16" s="41">
        <v>1034.2520259304363</v>
      </c>
      <c r="W16" s="42">
        <v>1051.2980553493246</v>
      </c>
      <c r="X16" s="41">
        <v>1060.9180472112403</v>
      </c>
      <c r="Y16" s="42">
        <v>1080.7273284351402</v>
      </c>
      <c r="Z16" s="41">
        <v>1101.8697851418906</v>
      </c>
      <c r="AA16" s="42">
        <v>1124.7463383098323</v>
      </c>
      <c r="AB16" s="41">
        <v>1165.0905696678963</v>
      </c>
      <c r="AC16" s="42">
        <v>1191.3471264809818</v>
      </c>
      <c r="AD16" s="41">
        <v>1263.8854521302364</v>
      </c>
      <c r="AE16" s="42">
        <v>1293.770046072375</v>
      </c>
      <c r="AF16" s="41">
        <v>1422.4417008528526</v>
      </c>
      <c r="AG16" s="42">
        <v>1455.9540271315059</v>
      </c>
      <c r="AH16" s="41">
        <v>1693.9770572099344</v>
      </c>
      <c r="AI16" s="42">
        <v>1730.3280390633474</v>
      </c>
      <c r="AJ16" s="41">
        <v>2236.5283977645545</v>
      </c>
      <c r="AK16" s="42">
        <v>2271.6307528734537</v>
      </c>
      <c r="AL16" s="41">
        <v>3808.4765270498101</v>
      </c>
      <c r="AM16" s="42">
        <v>3813.3754751692854</v>
      </c>
      <c r="AN16" s="41">
        <v>16874.136645522944</v>
      </c>
      <c r="AO16" s="42">
        <v>16129.968716105863</v>
      </c>
      <c r="AP16" s="41">
        <v>31989.344308519929</v>
      </c>
      <c r="AQ16" s="42">
        <v>29954.188862985877</v>
      </c>
      <c r="AR16" s="41">
        <v>80955.971616586743</v>
      </c>
      <c r="AS16" s="42">
        <v>73579.557021563785</v>
      </c>
      <c r="AT16" s="41">
        <v>361654.3864287638</v>
      </c>
      <c r="AU16" s="42">
        <v>313719.29651691561</v>
      </c>
      <c r="AV16" s="41"/>
      <c r="AW16" s="42"/>
    </row>
    <row r="17" spans="1:49" x14ac:dyDescent="0.2">
      <c r="A17" t="s">
        <v>62</v>
      </c>
      <c r="B17" s="35">
        <v>1000.0000000000002</v>
      </c>
      <c r="C17" s="36">
        <v>999.99999999999977</v>
      </c>
      <c r="D17" s="35">
        <v>999.90141785254764</v>
      </c>
      <c r="E17" s="36">
        <v>1029.4802251025753</v>
      </c>
      <c r="F17" s="35">
        <v>1000.3718253981341</v>
      </c>
      <c r="G17" s="36">
        <v>1061.9485364972297</v>
      </c>
      <c r="H17" s="35">
        <v>1001.5660495573393</v>
      </c>
      <c r="I17" s="36">
        <v>1097.7847550149606</v>
      </c>
      <c r="J17" s="35">
        <v>1003.6954588342056</v>
      </c>
      <c r="K17" s="36">
        <v>1137.4270840857887</v>
      </c>
      <c r="L17" s="35">
        <v>1007.0543285103047</v>
      </c>
      <c r="M17" s="36">
        <v>1181.389201646223</v>
      </c>
      <c r="N17" s="35">
        <v>1012.0585644610284</v>
      </c>
      <c r="O17" s="36">
        <v>1230.2959952355877</v>
      </c>
      <c r="P17" s="35">
        <v>1019.3073858780501</v>
      </c>
      <c r="Q17" s="36">
        <v>1284.9550251279543</v>
      </c>
      <c r="R17" s="35">
        <v>1029.6830791753407</v>
      </c>
      <c r="S17" s="36">
        <v>1346.5058864950677</v>
      </c>
      <c r="T17" s="35">
        <v>1044.5175137453734</v>
      </c>
      <c r="U17" s="36">
        <v>1416.7342852918675</v>
      </c>
      <c r="V17" s="35">
        <v>1065.8722230689891</v>
      </c>
      <c r="W17" s="36">
        <v>1498.7295115587572</v>
      </c>
      <c r="X17" s="35">
        <v>1097.0215011709186</v>
      </c>
      <c r="Y17" s="36">
        <v>1598.2399579003313</v>
      </c>
      <c r="Z17" s="35">
        <v>1143.291902477202</v>
      </c>
      <c r="AA17" s="36">
        <v>1726.4553931446337</v>
      </c>
      <c r="AB17" s="35">
        <v>1213.5280219146271</v>
      </c>
      <c r="AC17" s="36">
        <v>1905.6606208442845</v>
      </c>
      <c r="AD17" s="35">
        <v>1322.8857392013265</v>
      </c>
      <c r="AE17" s="36">
        <v>2181.1222430721186</v>
      </c>
      <c r="AF17" s="35">
        <v>1499.5828114653527</v>
      </c>
      <c r="AG17" s="36">
        <v>2649.9735148998825</v>
      </c>
      <c r="AH17" s="35">
        <v>1806.6560504496842</v>
      </c>
      <c r="AI17" s="36">
        <v>3553.6416497010664</v>
      </c>
      <c r="AJ17" s="35">
        <v>2433.5800515232331</v>
      </c>
      <c r="AK17" s="36">
        <v>5694.7890355311065</v>
      </c>
      <c r="AL17" s="35">
        <v>4309.877813887706</v>
      </c>
      <c r="AM17" s="36">
        <v>13665.457606038019</v>
      </c>
      <c r="AN17" s="35">
        <v>21076.903436843491</v>
      </c>
      <c r="AO17" s="36">
        <v>122426.3194766987</v>
      </c>
      <c r="AP17" s="35">
        <v>41494.602135097208</v>
      </c>
      <c r="AQ17" s="36">
        <v>290814.10587189655</v>
      </c>
      <c r="AR17" s="35">
        <v>110543.01591252488</v>
      </c>
      <c r="AS17" s="36">
        <v>972068.78581844538</v>
      </c>
      <c r="AT17" s="35">
        <v>533068.2186900411</v>
      </c>
      <c r="AU17" s="36">
        <v>6265266.9640271952</v>
      </c>
      <c r="AV17" s="35"/>
      <c r="AW17" s="36"/>
    </row>
    <row r="18" spans="1:49" x14ac:dyDescent="0.2">
      <c r="A18" t="s">
        <v>19</v>
      </c>
      <c r="B18" s="33">
        <v>27857.010133999996</v>
      </c>
      <c r="C18" s="34">
        <v>1236.7674480000003</v>
      </c>
      <c r="D18" s="33">
        <v>27557.6361809072</v>
      </c>
      <c r="E18" s="34">
        <v>1162.1519073865511</v>
      </c>
      <c r="F18" s="33">
        <v>27212.612681887087</v>
      </c>
      <c r="G18" s="34">
        <v>1088.0920186580806</v>
      </c>
      <c r="H18" s="33">
        <v>26813.244293148189</v>
      </c>
      <c r="I18" s="34">
        <v>1014.6589238887774</v>
      </c>
      <c r="J18" s="33">
        <v>26349.105421611763</v>
      </c>
      <c r="K18" s="34">
        <v>941.92773481898803</v>
      </c>
      <c r="L18" s="33">
        <v>25807.824824469768</v>
      </c>
      <c r="M18" s="34">
        <v>869.97632391832985</v>
      </c>
      <c r="N18" s="33">
        <v>25175.098280885126</v>
      </c>
      <c r="O18" s="34">
        <v>798.88100773101974</v>
      </c>
      <c r="P18" s="33">
        <v>24435.02254525918</v>
      </c>
      <c r="Q18" s="34">
        <v>728.70886285901622</v>
      </c>
      <c r="R18" s="33">
        <v>23571.079493771434</v>
      </c>
      <c r="S18" s="34">
        <v>659.50490607661823</v>
      </c>
      <c r="T18" s="33">
        <v>22568.240985846413</v>
      </c>
      <c r="U18" s="34">
        <v>591.27243040283793</v>
      </c>
      <c r="V18" s="33">
        <v>21416.869827770479</v>
      </c>
      <c r="W18" s="34">
        <v>523.94062355141421</v>
      </c>
      <c r="X18" s="33">
        <v>20118.96689735385</v>
      </c>
      <c r="Y18" s="34">
        <v>457.32759728379403</v>
      </c>
      <c r="Z18" s="33">
        <v>18696.73923885628</v>
      </c>
      <c r="AA18" s="34">
        <v>391.11053131161458</v>
      </c>
      <c r="AB18" s="33">
        <v>17200.645085249213</v>
      </c>
      <c r="AC18" s="34">
        <v>324.85466425650645</v>
      </c>
      <c r="AD18" s="33">
        <v>15708.282992478156</v>
      </c>
      <c r="AE18" s="34">
        <v>258.19037084047551</v>
      </c>
      <c r="AF18" s="33">
        <v>14302.704069839423</v>
      </c>
      <c r="AG18" s="34">
        <v>191.20824816886216</v>
      </c>
      <c r="AH18" s="33">
        <v>13033.587118376139</v>
      </c>
      <c r="AI18" s="34">
        <v>125.0789592421156</v>
      </c>
      <c r="AJ18" s="33">
        <v>11881.128039484633</v>
      </c>
      <c r="AK18" s="34">
        <v>63.322516268291125</v>
      </c>
      <c r="AL18" s="33">
        <v>10687.84094375462</v>
      </c>
      <c r="AM18" s="34">
        <v>15.846602637904383</v>
      </c>
      <c r="AN18" s="33">
        <v>8743.7221417180754</v>
      </c>
      <c r="AO18" s="34">
        <v>0.22741567747907801</v>
      </c>
      <c r="AP18" s="33">
        <v>8078.4286199602702</v>
      </c>
      <c r="AQ18" s="34">
        <v>3.6166477908387978E-2</v>
      </c>
      <c r="AR18" s="33">
        <v>7223.3956400733687</v>
      </c>
      <c r="AS18" s="34">
        <v>2.6613162015038942E-3</v>
      </c>
      <c r="AT18" s="33">
        <v>6066.8888754440695</v>
      </c>
      <c r="AU18" s="34">
        <v>4.6140755592899306E-5</v>
      </c>
      <c r="AV18" s="33"/>
      <c r="AW18" s="34"/>
    </row>
    <row r="19" spans="1:49" x14ac:dyDescent="0.2">
      <c r="A19" t="s">
        <v>3</v>
      </c>
      <c r="B19" s="41">
        <v>1886.3937400000138</v>
      </c>
      <c r="C19" s="42">
        <v>262.7871129999973</v>
      </c>
      <c r="D19" s="41">
        <v>1865.8510969111687</v>
      </c>
      <c r="E19" s="42">
        <v>258.33043534516401</v>
      </c>
      <c r="F19" s="41">
        <v>1843.7621894315639</v>
      </c>
      <c r="G19" s="42">
        <v>253.909161705396</v>
      </c>
      <c r="H19" s="41">
        <v>1819.8819516616211</v>
      </c>
      <c r="I19" s="42">
        <v>249.49917557993405</v>
      </c>
      <c r="J19" s="41">
        <v>1793.9406637366221</v>
      </c>
      <c r="K19" s="42">
        <v>245.07059687626219</v>
      </c>
      <c r="L19" s="41">
        <v>1765.6582250332015</v>
      </c>
      <c r="M19" s="42">
        <v>240.58832066967278</v>
      </c>
      <c r="N19" s="41">
        <v>1734.7775159669782</v>
      </c>
      <c r="O19" s="42">
        <v>236.01509405856396</v>
      </c>
      <c r="P19" s="41">
        <v>1701.1300997072865</v>
      </c>
      <c r="Q19" s="42">
        <v>231.31923590434417</v>
      </c>
      <c r="R19" s="41">
        <v>1664.7594320933904</v>
      </c>
      <c r="S19" s="42">
        <v>226.49142467742232</v>
      </c>
      <c r="T19" s="41">
        <v>1626.1437632387945</v>
      </c>
      <c r="U19" s="42">
        <v>221.57791018042303</v>
      </c>
      <c r="V19" s="41">
        <v>1586.5784611097411</v>
      </c>
      <c r="W19" s="42">
        <v>216.74109110701508</v>
      </c>
      <c r="X19" s="41">
        <v>1548.8040307805034</v>
      </c>
      <c r="Y19" s="42">
        <v>212.36181261506587</v>
      </c>
      <c r="Z19" s="41">
        <v>1517.9830978443274</v>
      </c>
      <c r="AA19" s="42">
        <v>209.19932978228434</v>
      </c>
      <c r="AB19" s="41">
        <v>1503.070578167426</v>
      </c>
      <c r="AC19" s="42">
        <v>208.60421020481658</v>
      </c>
      <c r="AD19" s="41">
        <v>1518.6738526351494</v>
      </c>
      <c r="AE19" s="42">
        <v>212.75651133575172</v>
      </c>
      <c r="AF19" s="41">
        <v>1588.722871258896</v>
      </c>
      <c r="AG19" s="42">
        <v>224.96420325849644</v>
      </c>
      <c r="AH19" s="41">
        <v>1759.5771428739672</v>
      </c>
      <c r="AI19" s="42">
        <v>250.3945623987629</v>
      </c>
      <c r="AJ19" s="41">
        <v>2158.7731884489253</v>
      </c>
      <c r="AK19" s="42">
        <v>297.60286488705174</v>
      </c>
      <c r="AL19" s="41">
        <v>3368.3818724304983</v>
      </c>
      <c r="AM19" s="42">
        <v>371.3406374761754</v>
      </c>
      <c r="AN19" s="41">
        <v>12475.618623728582</v>
      </c>
      <c r="AO19" s="42">
        <v>340.25303926273449</v>
      </c>
      <c r="AP19" s="41">
        <v>21965.262375452279</v>
      </c>
      <c r="AQ19" s="42">
        <v>288.51898716989268</v>
      </c>
      <c r="AR19" s="41">
        <v>49978.110128804641</v>
      </c>
      <c r="AS19" s="42">
        <v>223.30408171220466</v>
      </c>
      <c r="AT19" s="41">
        <v>188629.57176580775</v>
      </c>
      <c r="AU19" s="42">
        <v>150.65203591812079</v>
      </c>
      <c r="AV19" s="41"/>
      <c r="AW19" s="42"/>
    </row>
    <row r="20" spans="1:49" x14ac:dyDescent="0.2">
      <c r="A20" t="s">
        <v>127</v>
      </c>
      <c r="B20" s="82">
        <v>26548.356269999993</v>
      </c>
      <c r="C20" s="83">
        <v>1408.5418709999938</v>
      </c>
      <c r="D20" s="82">
        <v>26262.122885528988</v>
      </c>
      <c r="E20" s="83">
        <v>1338.1147774499941</v>
      </c>
      <c r="F20" s="82">
        <v>25937.666116070253</v>
      </c>
      <c r="G20" s="83">
        <v>1267.6876838999945</v>
      </c>
      <c r="H20" s="82">
        <v>25567.847307633354</v>
      </c>
      <c r="I20" s="83">
        <v>1197.2605903499946</v>
      </c>
      <c r="J20" s="82">
        <v>25144.138124666257</v>
      </c>
      <c r="K20" s="83">
        <v>1126.8334967999949</v>
      </c>
      <c r="L20" s="82">
        <v>24656.46315360372</v>
      </c>
      <c r="M20" s="83">
        <v>1056.4064032499953</v>
      </c>
      <c r="N20" s="82">
        <v>24093.236628108287</v>
      </c>
      <c r="O20" s="83">
        <v>985.97930969999561</v>
      </c>
      <c r="P20" s="82">
        <v>23441.675100226323</v>
      </c>
      <c r="Q20" s="83">
        <v>915.55221614999607</v>
      </c>
      <c r="R20" s="82">
        <v>22688.659994295733</v>
      </c>
      <c r="S20" s="83">
        <v>845.12512259999642</v>
      </c>
      <c r="T20" s="82">
        <v>21822.543557021283</v>
      </c>
      <c r="U20" s="83">
        <v>774.69802904999653</v>
      </c>
      <c r="V20" s="82">
        <v>20836.455983580574</v>
      </c>
      <c r="W20" s="83">
        <v>704.27093549999688</v>
      </c>
      <c r="X20" s="82">
        <v>19733.569822457379</v>
      </c>
      <c r="Y20" s="83">
        <v>633.84384194999734</v>
      </c>
      <c r="Z20" s="82">
        <v>18534.305200009418</v>
      </c>
      <c r="AA20" s="83">
        <v>563.41674839999757</v>
      </c>
      <c r="AB20" s="82">
        <v>17283.099055482089</v>
      </c>
      <c r="AC20" s="83">
        <v>492.98965484999775</v>
      </c>
      <c r="AD20" s="82">
        <v>16047.647547881794</v>
      </c>
      <c r="AE20" s="83">
        <v>422.56256129999798</v>
      </c>
      <c r="AF20" s="82">
        <v>14901.5464387993</v>
      </c>
      <c r="AG20" s="83">
        <v>352.13546774999827</v>
      </c>
      <c r="AH20" s="82">
        <v>13894.563860897102</v>
      </c>
      <c r="AI20" s="83">
        <v>281.70837419999856</v>
      </c>
      <c r="AJ20" s="82">
        <v>13031.298048928811</v>
      </c>
      <c r="AK20" s="83">
        <v>211.28128064999879</v>
      </c>
      <c r="AL20" s="82">
        <v>12247.721330511393</v>
      </c>
      <c r="AM20" s="83">
        <v>140.85418709999902</v>
      </c>
      <c r="AN20" s="82">
        <v>11191.082347501366</v>
      </c>
      <c r="AO20" s="83">
        <v>70.42709354999927</v>
      </c>
      <c r="AP20" s="82">
        <v>10839.668850157203</v>
      </c>
      <c r="AQ20" s="83">
        <v>56.341674839999328</v>
      </c>
      <c r="AR20" s="82">
        <v>10383.729225598741</v>
      </c>
      <c r="AS20" s="83">
        <v>42.256256129999379</v>
      </c>
      <c r="AT20" s="82">
        <v>9755.7300858195777</v>
      </c>
      <c r="AU20" s="83">
        <v>28.170837419999433</v>
      </c>
      <c r="AV20" s="82"/>
      <c r="AW20" s="83"/>
    </row>
    <row r="21" spans="1:49" x14ac:dyDescent="0.2">
      <c r="A21" t="s">
        <v>76</v>
      </c>
      <c r="B21" s="82">
        <v>24661.962530000252</v>
      </c>
      <c r="C21" s="83">
        <v>1145.7547579999959</v>
      </c>
      <c r="D21" s="82">
        <v>24396.271800542239</v>
      </c>
      <c r="E21" s="83">
        <v>1079.8755730432688</v>
      </c>
      <c r="F21" s="82">
        <v>24093.904094067817</v>
      </c>
      <c r="G21" s="83">
        <v>1014.1581475990751</v>
      </c>
      <c r="H21" s="82">
        <v>23747.968278464843</v>
      </c>
      <c r="I21" s="83">
        <v>948.6496397979671</v>
      </c>
      <c r="J21" s="82">
        <v>23350.213414580849</v>
      </c>
      <c r="K21" s="83">
        <v>883.40411782424951</v>
      </c>
      <c r="L21" s="82">
        <v>22890.861656854962</v>
      </c>
      <c r="M21" s="83">
        <v>818.48191811142658</v>
      </c>
      <c r="N21" s="82">
        <v>22358.619918912904</v>
      </c>
      <c r="O21" s="83">
        <v>753.94702252414629</v>
      </c>
      <c r="P21" s="82">
        <v>21740.941982270862</v>
      </c>
      <c r="Q21" s="83">
        <v>689.86131631035209</v>
      </c>
      <c r="R21" s="82">
        <v>21024.795665178088</v>
      </c>
      <c r="S21" s="83">
        <v>626.2734176683033</v>
      </c>
      <c r="T21" s="82">
        <v>20198.297679781423</v>
      </c>
      <c r="U21" s="83">
        <v>563.19905197971968</v>
      </c>
      <c r="V21" s="82">
        <v>19253.736030179723</v>
      </c>
      <c r="W21" s="83">
        <v>500.59036426874087</v>
      </c>
      <c r="X21" s="82">
        <v>18192.39306232017</v>
      </c>
      <c r="Y21" s="83">
        <v>438.29523511775665</v>
      </c>
      <c r="Z21" s="82">
        <v>17031.135760436493</v>
      </c>
      <c r="AA21" s="83">
        <v>376.01879692616006</v>
      </c>
      <c r="AB21" s="82">
        <v>15808.526239455952</v>
      </c>
      <c r="AC21" s="83">
        <v>313.3358242450405</v>
      </c>
      <c r="AD21" s="82">
        <v>14583.675520502213</v>
      </c>
      <c r="AE21" s="83">
        <v>249.84888985086079</v>
      </c>
      <c r="AF21" s="82">
        <v>13418.776353770314</v>
      </c>
      <c r="AG21" s="83">
        <v>185.58992311174742</v>
      </c>
      <c r="AH21" s="82">
        <v>12347.50102152066</v>
      </c>
      <c r="AI21" s="83">
        <v>121.69257557462524</v>
      </c>
      <c r="AJ21" s="82">
        <v>11343.075015932043</v>
      </c>
      <c r="AK21" s="83">
        <v>61.69560446201362</v>
      </c>
      <c r="AL21" s="82">
        <v>10250.869873518433</v>
      </c>
      <c r="AM21" s="83">
        <v>15.447187068779739</v>
      </c>
      <c r="AN21" s="82">
        <v>8395.6657100731609</v>
      </c>
      <c r="AO21" s="83">
        <v>0.2216943577029741</v>
      </c>
      <c r="AP21" s="82">
        <v>7756.9402480236504</v>
      </c>
      <c r="AQ21" s="83">
        <v>3.5256641749679865E-2</v>
      </c>
      <c r="AR21" s="82">
        <v>6935.9464005330838</v>
      </c>
      <c r="AS21" s="83">
        <v>2.5943653274977437E-3</v>
      </c>
      <c r="AT21" s="82">
        <v>5825.4625781775849</v>
      </c>
      <c r="AU21" s="83">
        <v>4.4979964063302541E-5</v>
      </c>
      <c r="AV21" s="82"/>
      <c r="AW21" s="83"/>
    </row>
    <row r="22" spans="1:49" x14ac:dyDescent="0.2">
      <c r="A22" t="s">
        <v>28</v>
      </c>
      <c r="B22" s="41">
        <v>6533.6044688320853</v>
      </c>
      <c r="C22" s="42">
        <v>379.90788307663502</v>
      </c>
      <c r="D22" s="41">
        <v>6440.9801128938016</v>
      </c>
      <c r="E22" s="42">
        <v>362.08008046513015</v>
      </c>
      <c r="F22" s="41">
        <v>6337.5061452417112</v>
      </c>
      <c r="G22" s="42">
        <v>344.11649281178489</v>
      </c>
      <c r="H22" s="41">
        <v>6221.2801351783801</v>
      </c>
      <c r="I22" s="42">
        <v>326.01893115679786</v>
      </c>
      <c r="J22" s="41">
        <v>6090.0505041809256</v>
      </c>
      <c r="K22" s="42">
        <v>307.79120039233095</v>
      </c>
      <c r="L22" s="41">
        <v>5941.1845911338451</v>
      </c>
      <c r="M22" s="42">
        <v>289.43995543185588</v>
      </c>
      <c r="N22" s="41">
        <v>5771.6881770166692</v>
      </c>
      <c r="O22" s="42">
        <v>270.97514378651101</v>
      </c>
      <c r="P22" s="41">
        <v>5578.2985167444776</v>
      </c>
      <c r="Q22" s="42">
        <v>252.41077407802072</v>
      </c>
      <c r="R22" s="41">
        <v>5357.7202004356577</v>
      </c>
      <c r="S22" s="42">
        <v>233.76576315530798</v>
      </c>
      <c r="T22" s="41">
        <v>5107.1051865224072</v>
      </c>
      <c r="U22" s="42">
        <v>215.06500522320695</v>
      </c>
      <c r="V22" s="41">
        <v>4824.9104309565819</v>
      </c>
      <c r="W22" s="42">
        <v>196.33959561657687</v>
      </c>
      <c r="X22" s="41">
        <v>4512.2393142699202</v>
      </c>
      <c r="Y22" s="42">
        <v>177.6258252096375</v>
      </c>
      <c r="Z22" s="41">
        <v>4174.6601737316223</v>
      </c>
      <c r="AA22" s="42">
        <v>158.96067886888764</v>
      </c>
      <c r="AB22" s="41">
        <v>3823.8466832453691</v>
      </c>
      <c r="AC22" s="42">
        <v>140.36845253744653</v>
      </c>
      <c r="AD22" s="41">
        <v>3477.197914470617</v>
      </c>
      <c r="AE22" s="42">
        <v>121.83364530404867</v>
      </c>
      <c r="AF22" s="41">
        <v>3153.0643300783609</v>
      </c>
      <c r="AG22" s="42">
        <v>103.26321421475231</v>
      </c>
      <c r="AH22" s="41">
        <v>2862.5807141388591</v>
      </c>
      <c r="AI22" s="42">
        <v>84.449040176062908</v>
      </c>
      <c r="AJ22" s="41">
        <v>2603.0088660069978</v>
      </c>
      <c r="AK22" s="42">
        <v>64.998526498382191</v>
      </c>
      <c r="AL22" s="41">
        <v>2347.4342061543803</v>
      </c>
      <c r="AM22" s="42">
        <v>44.104742191458584</v>
      </c>
      <c r="AN22" s="41">
        <v>1975.7148830253564</v>
      </c>
      <c r="AO22" s="42">
        <v>21.087804669098677</v>
      </c>
      <c r="AP22" s="41">
        <v>1855.6242048213524</v>
      </c>
      <c r="AQ22" s="42">
        <v>16.505105084830923</v>
      </c>
      <c r="AR22" s="41">
        <v>1703.619356888835</v>
      </c>
      <c r="AS22" s="42">
        <v>12.050700059605557</v>
      </c>
      <c r="AT22" s="41">
        <v>1499.7875947990515</v>
      </c>
      <c r="AU22" s="42">
        <v>7.7629486052808119</v>
      </c>
      <c r="AV22" s="41"/>
      <c r="AW22" s="42"/>
    </row>
    <row r="23" spans="1:49" x14ac:dyDescent="0.2">
      <c r="A23" t="s">
        <v>7</v>
      </c>
      <c r="B23" s="116">
        <v>3278.5018080150408</v>
      </c>
      <c r="C23" s="8">
        <v>0</v>
      </c>
      <c r="D23" s="116">
        <v>3247.2734814620749</v>
      </c>
      <c r="E23" s="8">
        <v>0</v>
      </c>
      <c r="F23" s="116">
        <v>3210.4836924687202</v>
      </c>
      <c r="G23" s="8">
        <v>0</v>
      </c>
      <c r="H23" s="116">
        <v>3167.0551466450547</v>
      </c>
      <c r="I23" s="8">
        <v>0</v>
      </c>
      <c r="J23" s="116">
        <v>3115.6952287501681</v>
      </c>
      <c r="K23" s="8">
        <v>0</v>
      </c>
      <c r="L23" s="116">
        <v>3054.8696515541324</v>
      </c>
      <c r="M23" s="8">
        <v>0</v>
      </c>
      <c r="N23" s="116">
        <v>2982.8069526565068</v>
      </c>
      <c r="O23" s="8">
        <v>0</v>
      </c>
      <c r="P23" s="116">
        <v>2897.5457876490323</v>
      </c>
      <c r="Q23" s="8">
        <v>0</v>
      </c>
      <c r="R23" s="116">
        <v>2797.0684102762502</v>
      </c>
      <c r="S23" s="8">
        <v>0</v>
      </c>
      <c r="T23" s="116">
        <v>2679.5815660159083</v>
      </c>
      <c r="U23" s="8">
        <v>0</v>
      </c>
      <c r="V23" s="116">
        <v>2544.0374388669989</v>
      </c>
      <c r="W23" s="8">
        <v>0</v>
      </c>
      <c r="X23" s="116">
        <v>2390.9676723871626</v>
      </c>
      <c r="Y23" s="8">
        <v>0</v>
      </c>
      <c r="Z23" s="116">
        <v>2223.6312429888785</v>
      </c>
      <c r="AA23" s="8">
        <v>0</v>
      </c>
      <c r="AB23" s="116">
        <v>2049.1187272606576</v>
      </c>
      <c r="AC23" s="8">
        <v>0</v>
      </c>
      <c r="AD23" s="116">
        <v>1878.3221360182379</v>
      </c>
      <c r="AE23" s="8">
        <v>0</v>
      </c>
      <c r="AF23" s="116">
        <v>1723.4141204270754</v>
      </c>
      <c r="AG23" s="8">
        <v>0</v>
      </c>
      <c r="AH23" s="116">
        <v>1593.6777751213165</v>
      </c>
      <c r="AI23" s="8">
        <v>0</v>
      </c>
      <c r="AJ23" s="116">
        <v>1493.579637419974</v>
      </c>
      <c r="AK23" s="8">
        <v>0</v>
      </c>
      <c r="AL23" s="116">
        <v>1424.4887828423246</v>
      </c>
      <c r="AM23" s="8">
        <v>0</v>
      </c>
      <c r="AN23" s="116">
        <v>1367.5142604842677</v>
      </c>
      <c r="AO23" s="8">
        <v>0</v>
      </c>
      <c r="AP23" s="116">
        <v>1347.2505340230944</v>
      </c>
      <c r="AQ23" s="8">
        <v>0</v>
      </c>
      <c r="AR23" s="116">
        <v>1319.1248868093658</v>
      </c>
      <c r="AS23" s="8">
        <v>0</v>
      </c>
      <c r="AT23" s="116">
        <v>1279.1593881220394</v>
      </c>
      <c r="AU23" s="8">
        <v>0</v>
      </c>
      <c r="AV23" s="116"/>
      <c r="AW23" s="8"/>
    </row>
    <row r="24" spans="1:49" x14ac:dyDescent="0.2">
      <c r="A24" t="s">
        <v>8</v>
      </c>
      <c r="B24" s="97">
        <v>3196.3846373657216</v>
      </c>
      <c r="C24" s="8">
        <v>0</v>
      </c>
      <c r="D24" s="97">
        <v>3196.3846373657216</v>
      </c>
      <c r="E24" s="8">
        <v>0</v>
      </c>
      <c r="F24" s="97">
        <v>3196.3846373657216</v>
      </c>
      <c r="G24" s="8">
        <v>0</v>
      </c>
      <c r="H24" s="97">
        <v>3196.3846373657216</v>
      </c>
      <c r="I24" s="8">
        <v>0</v>
      </c>
      <c r="J24" s="97">
        <v>3196.3846373657216</v>
      </c>
      <c r="K24" s="8">
        <v>0</v>
      </c>
      <c r="L24" s="97">
        <v>3196.3846373657216</v>
      </c>
      <c r="M24" s="8">
        <v>0</v>
      </c>
      <c r="N24" s="97">
        <v>3196.3846373657216</v>
      </c>
      <c r="O24" s="8">
        <v>0</v>
      </c>
      <c r="P24" s="97">
        <v>3196.3846373657216</v>
      </c>
      <c r="Q24" s="8">
        <v>0</v>
      </c>
      <c r="R24" s="97">
        <v>3196.3846373657216</v>
      </c>
      <c r="S24" s="8">
        <v>0</v>
      </c>
      <c r="T24" s="97">
        <v>3196.3846373657216</v>
      </c>
      <c r="U24" s="8">
        <v>0</v>
      </c>
      <c r="V24" s="97">
        <v>3196.3846373657216</v>
      </c>
      <c r="W24" s="8">
        <v>0</v>
      </c>
      <c r="X24" s="97">
        <v>3196.3846373657216</v>
      </c>
      <c r="Y24" s="8">
        <v>0</v>
      </c>
      <c r="Z24" s="97">
        <v>3196.3846373657216</v>
      </c>
      <c r="AA24" s="8">
        <v>0</v>
      </c>
      <c r="AB24" s="97">
        <v>3196.3846373657216</v>
      </c>
      <c r="AC24" s="8">
        <v>0</v>
      </c>
      <c r="AD24" s="97">
        <v>3196.3846373657216</v>
      </c>
      <c r="AE24" s="8">
        <v>0</v>
      </c>
      <c r="AF24" s="97">
        <v>3196.3846373657216</v>
      </c>
      <c r="AG24" s="8">
        <v>0</v>
      </c>
      <c r="AH24" s="97">
        <v>3196.3846373657216</v>
      </c>
      <c r="AI24" s="8">
        <v>0</v>
      </c>
      <c r="AJ24" s="97">
        <v>3196.3846373657216</v>
      </c>
      <c r="AK24" s="8">
        <v>0</v>
      </c>
      <c r="AL24" s="97">
        <v>3196.3846373657216</v>
      </c>
      <c r="AM24" s="8">
        <v>0</v>
      </c>
      <c r="AN24" s="97">
        <v>3196.3846373657216</v>
      </c>
      <c r="AO24" s="8">
        <v>0</v>
      </c>
      <c r="AP24" s="97">
        <v>3196.3846373657216</v>
      </c>
      <c r="AQ24" s="8">
        <v>0</v>
      </c>
      <c r="AR24" s="97">
        <v>3196.3846373657216</v>
      </c>
      <c r="AS24" s="8">
        <v>0</v>
      </c>
      <c r="AT24" s="97">
        <v>3196.3846373657216</v>
      </c>
      <c r="AU24" s="8">
        <v>0</v>
      </c>
      <c r="AV24" s="97"/>
      <c r="AW24" s="8"/>
    </row>
    <row r="25" spans="1:49" x14ac:dyDescent="0.2">
      <c r="A25" t="s">
        <v>0</v>
      </c>
      <c r="B25" s="41">
        <v>3195.0476040000012</v>
      </c>
      <c r="C25" s="42">
        <v>91.012690000004397</v>
      </c>
      <c r="D25" s="41">
        <v>3161.3642561968913</v>
      </c>
      <c r="E25" s="42">
        <v>82.242170607385745</v>
      </c>
      <c r="F25" s="41">
        <v>3118.7077275127021</v>
      </c>
      <c r="G25" s="42">
        <v>73.799895305584243</v>
      </c>
      <c r="H25" s="41">
        <v>3065.2659689520642</v>
      </c>
      <c r="I25" s="42">
        <v>65.715130219115224</v>
      </c>
      <c r="J25" s="41">
        <v>2998.8408739206684</v>
      </c>
      <c r="K25" s="42">
        <v>58.016346416890286</v>
      </c>
      <c r="L25" s="41">
        <v>2916.7844895736475</v>
      </c>
      <c r="M25" s="42">
        <v>50.730167346722432</v>
      </c>
      <c r="N25" s="41">
        <v>2815.9775958862779</v>
      </c>
      <c r="O25" s="42">
        <v>43.879789941529715</v>
      </c>
      <c r="P25" s="41">
        <v>2692.8632119118697</v>
      </c>
      <c r="Q25" s="42">
        <v>37.483020268893071</v>
      </c>
      <c r="R25" s="41">
        <v>2543.6001761796256</v>
      </c>
      <c r="S25" s="42">
        <v>31.549962712297962</v>
      </c>
      <c r="T25" s="41">
        <v>2364.4271843265878</v>
      </c>
      <c r="U25" s="42">
        <v>26.080749342795173</v>
      </c>
      <c r="V25" s="41">
        <v>2152.3926451124607</v>
      </c>
      <c r="W25" s="42">
        <v>21.064271708840245</v>
      </c>
      <c r="X25" s="41">
        <v>1906.5864887174378</v>
      </c>
      <c r="Y25" s="42">
        <v>16.480855969475556</v>
      </c>
      <c r="Z25" s="41">
        <v>1629.9388854552267</v>
      </c>
      <c r="AA25" s="42">
        <v>12.313499945859412</v>
      </c>
      <c r="AB25" s="41">
        <v>1331.2067588101224</v>
      </c>
      <c r="AC25" s="42">
        <v>8.5747157076588909</v>
      </c>
      <c r="AD25" s="41">
        <v>1025.6150766498013</v>
      </c>
      <c r="AE25" s="42">
        <v>5.345577947884868</v>
      </c>
      <c r="AF25" s="41">
        <v>731.91158195500236</v>
      </c>
      <c r="AG25" s="42">
        <v>2.7894465844871075</v>
      </c>
      <c r="AH25" s="41">
        <v>466.58491696761041</v>
      </c>
      <c r="AI25" s="42">
        <v>1.0775216689511053</v>
      </c>
      <c r="AJ25" s="41">
        <v>241.69994265557014</v>
      </c>
      <c r="AK25" s="42">
        <v>0.23302050809883382</v>
      </c>
      <c r="AL25" s="41">
        <v>74.068645924161345</v>
      </c>
      <c r="AM25" s="42">
        <v>1.1707087910672639E-2</v>
      </c>
      <c r="AN25" s="41">
        <v>3.0564217046348769</v>
      </c>
      <c r="AO25" s="42">
        <v>2.6316625620406517E-6</v>
      </c>
      <c r="AP25" s="41">
        <v>0.78761851273181871</v>
      </c>
      <c r="AQ25" s="42">
        <v>7.8492827536854029E-8</v>
      </c>
      <c r="AR25" s="41">
        <v>0.11079167653898268</v>
      </c>
      <c r="AS25" s="42">
        <v>5.4914642995999747E-10</v>
      </c>
      <c r="AT25" s="41">
        <v>4.7472726767333016E-3</v>
      </c>
      <c r="AU25" s="42">
        <v>2.446729836066554E-13</v>
      </c>
      <c r="AV25" s="41"/>
      <c r="AW25" s="42"/>
    </row>
    <row r="26" spans="1:49" x14ac:dyDescent="0.2">
      <c r="A26" t="s">
        <v>27</v>
      </c>
      <c r="B26" s="33">
        <v>5036.2953101960647</v>
      </c>
      <c r="C26" s="34">
        <v>74.905331803938267</v>
      </c>
      <c r="D26" s="33">
        <v>4991.4575124645753</v>
      </c>
      <c r="E26" s="34">
        <v>70.723576817841007</v>
      </c>
      <c r="F26" s="33">
        <v>4938.8694490706303</v>
      </c>
      <c r="G26" s="34">
        <v>66.553936279779094</v>
      </c>
      <c r="H26" s="33">
        <v>4876.9329612531683</v>
      </c>
      <c r="I26" s="34">
        <v>62.397717723774228</v>
      </c>
      <c r="J26" s="33">
        <v>4803.7060542779118</v>
      </c>
      <c r="K26" s="34">
        <v>58.256033492269516</v>
      </c>
      <c r="L26" s="33">
        <v>4716.8503114838149</v>
      </c>
      <c r="M26" s="34">
        <v>54.12968401018351</v>
      </c>
      <c r="N26" s="33">
        <v>4613.617261180274</v>
      </c>
      <c r="O26" s="34">
        <v>50.018941314818456</v>
      </c>
      <c r="P26" s="33">
        <v>4490.8899420105317</v>
      </c>
      <c r="Q26" s="34">
        <v>45.923200898976688</v>
      </c>
      <c r="R26" s="33">
        <v>4345.3419515562236</v>
      </c>
      <c r="S26" s="34">
        <v>41.840440687393382</v>
      </c>
      <c r="T26" s="33">
        <v>4173.8043843198357</v>
      </c>
      <c r="U26" s="34">
        <v>37.766429564884668</v>
      </c>
      <c r="V26" s="33">
        <v>3973.9733684346875</v>
      </c>
      <c r="W26" s="34">
        <v>33.693509592857517</v>
      </c>
      <c r="X26" s="33">
        <v>3745.57022558671</v>
      </c>
      <c r="Y26" s="34">
        <v>29.609320518066134</v>
      </c>
      <c r="Z26" s="33">
        <v>3491.965980354008</v>
      </c>
      <c r="AA26" s="34">
        <v>25.496155673861367</v>
      </c>
      <c r="AB26" s="33">
        <v>3221.7593931216988</v>
      </c>
      <c r="AC26" s="34">
        <v>21.333366858313159</v>
      </c>
      <c r="AD26" s="33">
        <v>2948.6965408276237</v>
      </c>
      <c r="AE26" s="34">
        <v>17.106414182551418</v>
      </c>
      <c r="AF26" s="33">
        <v>2687.6989540749028</v>
      </c>
      <c r="AG26" s="34">
        <v>12.824436377899367</v>
      </c>
      <c r="AH26" s="33">
        <v>2447.3582578952928</v>
      </c>
      <c r="AI26" s="34">
        <v>8.5480543427768723</v>
      </c>
      <c r="AJ26" s="33">
        <v>2222.0869902696713</v>
      </c>
      <c r="AK26" s="34">
        <v>4.4644819294602449</v>
      </c>
      <c r="AL26" s="33">
        <v>1975.5744838050744</v>
      </c>
      <c r="AM26" s="34">
        <v>1.1836287143631361</v>
      </c>
      <c r="AN26" s="33">
        <v>1550.2354020714215</v>
      </c>
      <c r="AO26" s="34">
        <v>1.9304143250731421E-2</v>
      </c>
      <c r="AP26" s="33">
        <v>1405.1045493754309</v>
      </c>
      <c r="AQ26" s="34">
        <v>3.2053814823536472E-3</v>
      </c>
      <c r="AR26" s="33">
        <v>1221.7745691160771</v>
      </c>
      <c r="AS26" s="34">
        <v>2.4906813637368591E-4</v>
      </c>
      <c r="AT26" s="33">
        <v>981.97354614159383</v>
      </c>
      <c r="AU26" s="34">
        <v>4.6482647196186081E-6</v>
      </c>
      <c r="AV26" s="33"/>
      <c r="AW26" s="34"/>
    </row>
    <row r="27" spans="1:49" x14ac:dyDescent="0.2">
      <c r="A27" t="s">
        <v>2</v>
      </c>
      <c r="B27" s="35">
        <v>6425.1981590000414</v>
      </c>
      <c r="C27" s="36">
        <v>273.22915400000028</v>
      </c>
      <c r="D27" s="35">
        <v>6359.2582132064581</v>
      </c>
      <c r="E27" s="36">
        <v>257.79851151057318</v>
      </c>
      <c r="F27" s="35">
        <v>6282.9057765636608</v>
      </c>
      <c r="G27" s="36">
        <v>242.41914299678928</v>
      </c>
      <c r="H27" s="35">
        <v>6194.1158398419275</v>
      </c>
      <c r="I27" s="36">
        <v>227.09713422538513</v>
      </c>
      <c r="J27" s="35">
        <v>6090.4525581323078</v>
      </c>
      <c r="K27" s="36">
        <v>211.83813367988782</v>
      </c>
      <c r="L27" s="35">
        <v>5969.0159870887919</v>
      </c>
      <c r="M27" s="36">
        <v>196.64704966119859</v>
      </c>
      <c r="N27" s="35">
        <v>5826.4407991148819</v>
      </c>
      <c r="O27" s="36">
        <v>181.52732236299946</v>
      </c>
      <c r="P27" s="35">
        <v>5658.9699338391492</v>
      </c>
      <c r="Q27" s="36">
        <v>166.47970333909203</v>
      </c>
      <c r="R27" s="35">
        <v>5462.6808726403706</v>
      </c>
      <c r="S27" s="36">
        <v>151.50040601713272</v>
      </c>
      <c r="T27" s="35">
        <v>5233.9763049699777</v>
      </c>
      <c r="U27" s="36">
        <v>136.57852029565674</v>
      </c>
      <c r="V27" s="35">
        <v>4970.5004985992982</v>
      </c>
      <c r="W27" s="36">
        <v>121.69156853184153</v>
      </c>
      <c r="X27" s="35">
        <v>4672.6147709850584</v>
      </c>
      <c r="Y27" s="36">
        <v>106.8011913534795</v>
      </c>
      <c r="Z27" s="35">
        <v>4345.4322160939028</v>
      </c>
      <c r="AA27" s="36">
        <v>91.85077391572473</v>
      </c>
      <c r="AB27" s="35">
        <v>4000.7493897263466</v>
      </c>
      <c r="AC27" s="36">
        <v>76.773288930695998</v>
      </c>
      <c r="AD27" s="35">
        <v>3656.8519972450677</v>
      </c>
      <c r="AE27" s="36">
        <v>61.521125395766866</v>
      </c>
      <c r="AF27" s="35">
        <v>3333.5104455874248</v>
      </c>
      <c r="AG27" s="36">
        <v>46.123846471680714</v>
      </c>
      <c r="AH27" s="35">
        <v>3042.9923583979539</v>
      </c>
      <c r="AI27" s="36">
        <v>30.781912249944238</v>
      </c>
      <c r="AJ27" s="35">
        <v>2781.9136197001662</v>
      </c>
      <c r="AK27" s="36">
        <v>16.132030838971971</v>
      </c>
      <c r="AL27" s="35">
        <v>2516.4752336169227</v>
      </c>
      <c r="AM27" s="36">
        <v>4.3141148825022793</v>
      </c>
      <c r="AN27" s="35">
        <v>2088.9327160641897</v>
      </c>
      <c r="AO27" s="36">
        <v>7.2367012961865831E-2</v>
      </c>
      <c r="AP27" s="35">
        <v>1941.5912855790968</v>
      </c>
      <c r="AQ27" s="36">
        <v>1.2168327456156588E-2</v>
      </c>
      <c r="AR27" s="35">
        <v>1751.2492253748999</v>
      </c>
      <c r="AS27" s="36">
        <v>9.6299321334469162E-4</v>
      </c>
      <c r="AT27" s="35">
        <v>1492.2127963804744</v>
      </c>
      <c r="AU27" s="36">
        <v>1.8504740846326097E-5</v>
      </c>
      <c r="AV27" s="35"/>
      <c r="AW27" s="36"/>
    </row>
    <row r="28" spans="1:49" x14ac:dyDescent="0.2">
      <c r="A28" t="s">
        <v>35</v>
      </c>
      <c r="B28" s="41">
        <v>13763.097676000029</v>
      </c>
      <c r="C28" s="42">
        <v>382.36647899999997</v>
      </c>
      <c r="D28" s="41">
        <v>13631.818245622397</v>
      </c>
      <c r="E28" s="42">
        <v>360.84288963004605</v>
      </c>
      <c r="F28" s="41">
        <v>13478.809721463645</v>
      </c>
      <c r="G28" s="42">
        <v>339.38798458076513</v>
      </c>
      <c r="H28" s="41">
        <v>13299.713444797351</v>
      </c>
      <c r="I28" s="42">
        <v>318.00974273092646</v>
      </c>
      <c r="J28" s="41">
        <v>13089.258482688887</v>
      </c>
      <c r="K28" s="42">
        <v>296.71542575631264</v>
      </c>
      <c r="L28" s="41">
        <v>12841.132087854534</v>
      </c>
      <c r="M28" s="42">
        <v>275.51110856227615</v>
      </c>
      <c r="N28" s="41">
        <v>12547.959189441661</v>
      </c>
      <c r="O28" s="42">
        <v>254.4006405961849</v>
      </c>
      <c r="P28" s="41">
        <v>12201.43770404291</v>
      </c>
      <c r="Q28" s="42">
        <v>233.38392396348723</v>
      </c>
      <c r="R28" s="41">
        <v>11792.798291226805</v>
      </c>
      <c r="S28" s="42">
        <v>212.45428400123814</v>
      </c>
      <c r="T28" s="41">
        <v>11313.832220654727</v>
      </c>
      <c r="U28" s="42">
        <v>191.59474427187621</v>
      </c>
      <c r="V28" s="41">
        <v>10758.84206863156</v>
      </c>
      <c r="W28" s="42">
        <v>170.77182085416081</v>
      </c>
      <c r="X28" s="41">
        <v>10127.811693410202</v>
      </c>
      <c r="Y28" s="42">
        <v>149.92936913248309</v>
      </c>
      <c r="Z28" s="41">
        <v>9430.8118591937018</v>
      </c>
      <c r="AA28" s="42">
        <v>128.98528475960799</v>
      </c>
      <c r="AB28" s="41">
        <v>8692.2325276181673</v>
      </c>
      <c r="AC28" s="42">
        <v>107.84283347278752</v>
      </c>
      <c r="AD28" s="41">
        <v>7950.4660072231882</v>
      </c>
      <c r="AE28" s="42">
        <v>86.433561179125476</v>
      </c>
      <c r="AF28" s="41">
        <v>7247.1014494859264</v>
      </c>
      <c r="AG28" s="42">
        <v>64.800408361092479</v>
      </c>
      <c r="AH28" s="41">
        <v>6606.9865690207453</v>
      </c>
      <c r="AI28" s="42">
        <v>43.231636169028143</v>
      </c>
      <c r="AJ28" s="41">
        <v>6018.6129593514297</v>
      </c>
      <c r="AK28" s="42">
        <v>22.635435858678967</v>
      </c>
      <c r="AL28" s="41">
        <v>5394.888599237689</v>
      </c>
      <c r="AM28" s="42">
        <v>6.0386634866630473</v>
      </c>
      <c r="AN28" s="41">
        <v>4342.2513869886761</v>
      </c>
      <c r="AO28" s="42">
        <v>0.10044123046375551</v>
      </c>
      <c r="AP28" s="41">
        <v>3978.3356751622737</v>
      </c>
      <c r="AQ28" s="42">
        <v>1.6819877196469098E-2</v>
      </c>
      <c r="AR28" s="41">
        <v>3511.675445108157</v>
      </c>
      <c r="AS28" s="42">
        <v>1.3227206689437948E-3</v>
      </c>
      <c r="AT28" s="41">
        <v>2886.4693229668387</v>
      </c>
      <c r="AU28" s="42">
        <v>2.5139226153748619E-5</v>
      </c>
      <c r="AV28" s="41"/>
      <c r="AW28" s="42"/>
    </row>
    <row r="29" spans="1:49" x14ac:dyDescent="0.2">
      <c r="A29" t="s">
        <v>53</v>
      </c>
      <c r="B29" s="35">
        <v>14362.768558000025</v>
      </c>
      <c r="C29" s="36">
        <v>817.26650999999993</v>
      </c>
      <c r="D29" s="35">
        <v>14208.367518568492</v>
      </c>
      <c r="E29" s="36">
        <v>765.41001819173914</v>
      </c>
      <c r="F29" s="35">
        <v>14030.699446635526</v>
      </c>
      <c r="G29" s="36">
        <v>714.17430779467225</v>
      </c>
      <c r="H29" s="35">
        <v>13825.336756566468</v>
      </c>
      <c r="I29" s="36">
        <v>663.62343696218795</v>
      </c>
      <c r="J29" s="35">
        <v>13586.966742742807</v>
      </c>
      <c r="K29" s="36">
        <v>613.82445074021075</v>
      </c>
      <c r="L29" s="35">
        <v>13309.277912555583</v>
      </c>
      <c r="M29" s="36">
        <v>564.84615166179049</v>
      </c>
      <c r="N29" s="35">
        <v>12984.958534276177</v>
      </c>
      <c r="O29" s="36">
        <v>516.75524725690764</v>
      </c>
      <c r="P29" s="35">
        <v>12605.852821565537</v>
      </c>
      <c r="Q29" s="36">
        <v>469.60993028187374</v>
      </c>
      <c r="R29" s="35">
        <v>12163.437807481616</v>
      </c>
      <c r="S29" s="36">
        <v>423.44946107069461</v>
      </c>
      <c r="T29" s="35">
        <v>11649.85369691224</v>
      </c>
      <c r="U29" s="36">
        <v>378.27844920389919</v>
      </c>
      <c r="V29" s="35">
        <v>11059.821572746047</v>
      </c>
      <c r="W29" s="36">
        <v>334.04175016746058</v>
      </c>
      <c r="X29" s="35">
        <v>10393.718178821287</v>
      </c>
      <c r="Y29" s="36">
        <v>290.59567195535323</v>
      </c>
      <c r="Z29" s="35">
        <v>9661.7906834575242</v>
      </c>
      <c r="AA29" s="36">
        <v>247.68451979593755</v>
      </c>
      <c r="AB29" s="35">
        <v>8888.0859334178076</v>
      </c>
      <c r="AC29" s="36">
        <v>204.96200998057344</v>
      </c>
      <c r="AD29" s="35">
        <v>8109.745873720708</v>
      </c>
      <c r="AE29" s="36">
        <v>162.12894961314348</v>
      </c>
      <c r="AF29" s="35">
        <v>7365.7728570247928</v>
      </c>
      <c r="AG29" s="36">
        <v>119.24444750972192</v>
      </c>
      <c r="AH29" s="35">
        <v>6676.385670059065</v>
      </c>
      <c r="AI29" s="36">
        <v>77.187907328432445</v>
      </c>
      <c r="AJ29" s="35">
        <v>6021.1961635912603</v>
      </c>
      <c r="AK29" s="36">
        <v>38.449241535777567</v>
      </c>
      <c r="AL29" s="35">
        <v>5292.3385006773142</v>
      </c>
      <c r="AM29" s="36">
        <v>9.3809337074147638</v>
      </c>
      <c r="AN29" s="35">
        <v>4054.5654071262206</v>
      </c>
      <c r="AO29" s="36">
        <v>0.12934081649129556</v>
      </c>
      <c r="AP29" s="35">
        <v>3645.2746994228683</v>
      </c>
      <c r="AQ29" s="36">
        <v>2.0366539104686384E-2</v>
      </c>
      <c r="AR29" s="35">
        <v>3136.1377582021832</v>
      </c>
      <c r="AS29" s="36">
        <v>1.4829177841497528E-3</v>
      </c>
      <c r="AT29" s="35">
        <v>2481.1006900692</v>
      </c>
      <c r="AU29" s="36">
        <v>2.5417697606993138E-5</v>
      </c>
      <c r="AV29" s="35"/>
      <c r="AW29" s="36"/>
    </row>
    <row r="30" spans="1:49" x14ac:dyDescent="0.2">
      <c r="A30" t="s">
        <v>48</v>
      </c>
      <c r="B30" s="119">
        <v>2924829.9599999995</v>
      </c>
      <c r="D30" s="119">
        <v>2937667.3355185767</v>
      </c>
      <c r="F30" s="119">
        <v>2946724.5552005186</v>
      </c>
      <c r="H30" s="119">
        <v>2951222.4381835405</v>
      </c>
      <c r="J30" s="119">
        <v>2950234.4621496066</v>
      </c>
      <c r="L30" s="119">
        <v>2942687.8091527298</v>
      </c>
      <c r="N30" s="119">
        <v>2927409.2506660703</v>
      </c>
      <c r="P30" s="119">
        <v>2903241.6937114662</v>
      </c>
      <c r="R30" s="119">
        <v>2869298.2426582407</v>
      </c>
      <c r="T30" s="119">
        <v>2825463.0728678424</v>
      </c>
      <c r="V30" s="119">
        <v>2773310.0885736998</v>
      </c>
      <c r="X30" s="119">
        <v>2717674.6343104909</v>
      </c>
      <c r="Z30" s="119">
        <v>2669191.5925354632</v>
      </c>
      <c r="AB30" s="119">
        <v>2648001.2110656044</v>
      </c>
      <c r="AD30" s="119">
        <v>2688897.5534466286</v>
      </c>
      <c r="AF30" s="119">
        <v>2850994.4943535943</v>
      </c>
      <c r="AH30" s="119">
        <v>3250963.5959029016</v>
      </c>
      <c r="AJ30" s="119">
        <v>4216236.8646054324</v>
      </c>
      <c r="AL30" s="119">
        <v>7312331.179768553</v>
      </c>
      <c r="AN30" s="119">
        <v>33537376.40006306</v>
      </c>
      <c r="AP30" s="119">
        <v>62893872.924991377</v>
      </c>
      <c r="AR30" s="119">
        <v>154359648.27826113</v>
      </c>
      <c r="AT30" s="119">
        <v>642939442.60562909</v>
      </c>
      <c r="AV30" s="119"/>
    </row>
    <row r="31" spans="1:49" x14ac:dyDescent="0.2">
      <c r="A31" t="s">
        <v>47</v>
      </c>
      <c r="B31" s="80">
        <v>1.0000000000000027</v>
      </c>
      <c r="D31" s="80">
        <v>0.98399349512862877</v>
      </c>
      <c r="F31" s="80">
        <v>0.96630196897220244</v>
      </c>
      <c r="H31" s="80">
        <v>0.94665074144809813</v>
      </c>
      <c r="J31" s="80">
        <v>0.924718097745723</v>
      </c>
      <c r="L31" s="80">
        <v>0.90013201458946002</v>
      </c>
      <c r="N31" s="80">
        <v>0.87247435008808871</v>
      </c>
      <c r="P31" s="80">
        <v>0.84129553445176564</v>
      </c>
      <c r="R31" s="80">
        <v>0.80614916081231081</v>
      </c>
      <c r="T31" s="80">
        <v>0.76666010843514143</v>
      </c>
      <c r="V31" s="80">
        <v>0.7226436242039066</v>
      </c>
      <c r="X31" s="80">
        <v>0.67428867511801105</v>
      </c>
      <c r="Z31" s="80">
        <v>0.62240240632160626</v>
      </c>
      <c r="AB31" s="80">
        <v>0.56862085931219664</v>
      </c>
      <c r="AD31" s="80">
        <v>0.51532446839863177</v>
      </c>
      <c r="AF31" s="80">
        <v>0.46492051443973437</v>
      </c>
      <c r="AH31" s="80">
        <v>0.41861333612317714</v>
      </c>
      <c r="AJ31" s="80">
        <v>0.37525413164013927</v>
      </c>
      <c r="AL31" s="80">
        <v>0.32912910271880857</v>
      </c>
      <c r="AN31" s="80">
        <v>0.25813481604920296</v>
      </c>
      <c r="AP31" s="80">
        <v>0.23578102341399376</v>
      </c>
      <c r="AR31" s="80">
        <v>0.20816506650535394</v>
      </c>
      <c r="AT31" s="80">
        <v>0.17233983988929916</v>
      </c>
      <c r="AV31" s="80"/>
    </row>
    <row r="32" spans="1:49" x14ac:dyDescent="0.2">
      <c r="A32" t="s">
        <v>64</v>
      </c>
      <c r="B32" s="86">
        <v>14734457.915000005</v>
      </c>
      <c r="D32" s="86">
        <v>14592527.336052928</v>
      </c>
      <c r="F32" s="86">
        <v>14434665.609382542</v>
      </c>
      <c r="H32" s="86">
        <v>14258086.185100909</v>
      </c>
      <c r="J32" s="86">
        <v>14059592.203131158</v>
      </c>
      <c r="L32" s="86">
        <v>13835634.960471749</v>
      </c>
      <c r="N32" s="86">
        <v>13582535.251524169</v>
      </c>
      <c r="P32" s="86">
        <v>13296966.712396331</v>
      </c>
      <c r="R32" s="86">
        <v>12976920.686615301</v>
      </c>
      <c r="T32" s="86">
        <v>12623507.194327448</v>
      </c>
      <c r="V32" s="86">
        <v>12244125.341425901</v>
      </c>
      <c r="X32" s="86">
        <v>11857710.90912498</v>
      </c>
      <c r="Z32" s="86">
        <v>11502879.305029515</v>
      </c>
      <c r="AB32" s="86">
        <v>11249156.292786844</v>
      </c>
      <c r="AD32" s="86">
        <v>11211274.309416423</v>
      </c>
      <c r="AF32" s="86">
        <v>11575125.363682223</v>
      </c>
      <c r="AH32" s="86">
        <v>12692380.852180284</v>
      </c>
      <c r="AJ32" s="86">
        <v>15519291.77583087</v>
      </c>
      <c r="AL32" s="86">
        <v>24449476.541789409</v>
      </c>
      <c r="AN32" s="86">
        <v>93831424.802360073</v>
      </c>
      <c r="AP32" s="86">
        <v>167041963.2926169</v>
      </c>
      <c r="AR32" s="86">
        <v>385167262.7236684</v>
      </c>
      <c r="AT32" s="86">
        <v>1479899430.1060588</v>
      </c>
      <c r="AV32" s="86"/>
    </row>
    <row r="33" spans="1:49 16319:16321" x14ac:dyDescent="0.2">
      <c r="A33" t="s">
        <v>54</v>
      </c>
      <c r="B33" s="117">
        <v>7019665.6910000108</v>
      </c>
      <c r="D33" s="117">
        <v>6927624.5693235938</v>
      </c>
      <c r="F33" s="117">
        <v>6828355.8382687429</v>
      </c>
      <c r="H33" s="117">
        <v>6720666.2220803155</v>
      </c>
      <c r="J33" s="117">
        <v>6603205.3308449984</v>
      </c>
      <c r="L33" s="117">
        <v>6474502.1003468176</v>
      </c>
      <c r="N33" s="117">
        <v>6333068.3427408729</v>
      </c>
      <c r="P33" s="117">
        <v>6177615.7727243723</v>
      </c>
      <c r="R33" s="117">
        <v>6007477.1463906784</v>
      </c>
      <c r="T33" s="117">
        <v>5823383.7358936938</v>
      </c>
      <c r="V33" s="117">
        <v>5628802.8912803149</v>
      </c>
      <c r="X33" s="117">
        <v>5432116.8952828888</v>
      </c>
      <c r="Z33" s="117">
        <v>5249964.928973469</v>
      </c>
      <c r="AB33" s="117">
        <v>5111705.6915440802</v>
      </c>
      <c r="AD33" s="117">
        <v>5064858.3757674098</v>
      </c>
      <c r="AF33" s="117">
        <v>5184799.1757840123</v>
      </c>
      <c r="AH33" s="117">
        <v>5611241.6879540384</v>
      </c>
      <c r="AJ33" s="117">
        <v>6718081.3265512418</v>
      </c>
      <c r="AL33" s="117">
        <v>10187119.541745413</v>
      </c>
      <c r="AN33" s="117">
        <v>35857863.549316347</v>
      </c>
      <c r="AP33" s="117">
        <v>61951131.19770056</v>
      </c>
      <c r="AR33" s="117">
        <v>137333451.87750506</v>
      </c>
      <c r="AT33" s="117">
        <v>498235774.02220345</v>
      </c>
      <c r="AV33" s="117"/>
    </row>
    <row r="34" spans="1:49 16319:16321" x14ac:dyDescent="0.2">
      <c r="A34" t="s">
        <v>75</v>
      </c>
      <c r="B34" s="117">
        <v>1136879.4409999943</v>
      </c>
      <c r="D34" s="117">
        <v>1119424.8945479444</v>
      </c>
      <c r="F34" s="117">
        <v>1094836.2716813267</v>
      </c>
      <c r="H34" s="117">
        <v>1061599.9719296247</v>
      </c>
      <c r="J34" s="117">
        <v>1017845.9597246745</v>
      </c>
      <c r="L34" s="117">
        <v>961268.11121749587</v>
      </c>
      <c r="N34" s="117">
        <v>889064.77580226562</v>
      </c>
      <c r="P34" s="117">
        <v>797896.89656913199</v>
      </c>
      <c r="R34" s="117">
        <v>683899.28212111071</v>
      </c>
      <c r="T34" s="117">
        <v>542786.26025016548</v>
      </c>
      <c r="V34" s="117">
        <v>370137.36460454494</v>
      </c>
      <c r="X34" s="117">
        <v>161901.50129134412</v>
      </c>
      <c r="Z34" s="117">
        <v>-84930.042225525482</v>
      </c>
      <c r="AB34" s="117">
        <v>-371893.31385446113</v>
      </c>
      <c r="AD34" s="117">
        <v>-700469.70937321498</v>
      </c>
      <c r="AF34" s="117">
        <v>-1078986.0459779031</v>
      </c>
      <c r="AH34" s="117">
        <v>-1542309.2666361688</v>
      </c>
      <c r="AJ34" s="117">
        <v>-2214443.0901723085</v>
      </c>
      <c r="AL34" s="117">
        <v>-3665642.1568946019</v>
      </c>
      <c r="AN34" s="117">
        <v>-12812815.23865502</v>
      </c>
      <c r="AP34" s="117">
        <v>-22252993.744030949</v>
      </c>
      <c r="AR34" s="117">
        <v>-50201303.41883976</v>
      </c>
      <c r="AT34" s="117">
        <v>-188780219.05445319</v>
      </c>
      <c r="AV34" s="117"/>
    </row>
    <row r="35" spans="1:49 16319:16321" x14ac:dyDescent="0.2">
      <c r="A35" t="s">
        <v>78</v>
      </c>
      <c r="B35" s="233">
        <v>1</v>
      </c>
      <c r="D35" s="233">
        <v>1.002942340875024</v>
      </c>
      <c r="F35" s="233">
        <v>1.0066747991032752</v>
      </c>
      <c r="H35" s="233">
        <v>1.011380108706794</v>
      </c>
      <c r="J35" s="233">
        <v>1.017301111816084</v>
      </c>
      <c r="L35" s="233">
        <v>1.0247674686877581</v>
      </c>
      <c r="N35" s="233">
        <v>1.0342350989252918</v>
      </c>
      <c r="P35" s="233">
        <v>1.0463490741296999</v>
      </c>
      <c r="R35" s="233">
        <v>1.0620458132165911</v>
      </c>
      <c r="T35" s="233">
        <v>1.0827245023005154</v>
      </c>
      <c r="V35" s="233">
        <v>1.1105368757626928</v>
      </c>
      <c r="X35" s="233">
        <v>1.1488877191998814</v>
      </c>
      <c r="Z35" s="233">
        <v>1.2033047616146446</v>
      </c>
      <c r="AB35" s="233">
        <v>1.2829577599508597</v>
      </c>
      <c r="AD35" s="233">
        <v>1.4035637687237161</v>
      </c>
      <c r="AF35" s="233">
        <v>1.5944445534826241</v>
      </c>
      <c r="AH35" s="233">
        <v>1.9213004877696322</v>
      </c>
      <c r="AJ35" s="233">
        <v>2.5820672916813434</v>
      </c>
      <c r="AL35" s="233">
        <v>4.5496834317953487</v>
      </c>
      <c r="AN35" s="233">
        <v>22.176169198933604</v>
      </c>
      <c r="AP35" s="233">
        <v>43.7257977506355</v>
      </c>
      <c r="AR35" s="233">
        <v>116.82953742042186</v>
      </c>
      <c r="AT35" s="233">
        <v>565.3635371587543</v>
      </c>
      <c r="AV35" s="233"/>
    </row>
    <row r="36" spans="1:49 16319:16321" x14ac:dyDescent="0.2">
      <c r="A36" t="s">
        <v>21</v>
      </c>
      <c r="B36" s="37">
        <v>0.47195767671988198</v>
      </c>
      <c r="C36" s="38">
        <v>0.31738834428178964</v>
      </c>
      <c r="D36" s="37">
        <v>0.47195935968651737</v>
      </c>
      <c r="E36" s="38">
        <v>0.31957981643941907</v>
      </c>
      <c r="F36" s="37">
        <v>0.47195134167140301</v>
      </c>
      <c r="G36" s="38">
        <v>0.32190520289475982</v>
      </c>
      <c r="H36" s="37">
        <v>0.47193115863321866</v>
      </c>
      <c r="I36" s="38">
        <v>0.32436692623255609</v>
      </c>
      <c r="J36" s="37">
        <v>0.47189577535896426</v>
      </c>
      <c r="K36" s="38">
        <v>0.32696367571251167</v>
      </c>
      <c r="L36" s="37">
        <v>0.4718415079886033</v>
      </c>
      <c r="M36" s="38">
        <v>0.32968859214184931</v>
      </c>
      <c r="N36" s="37">
        <v>0.47176407562159622</v>
      </c>
      <c r="O36" s="38">
        <v>0.33252748196470228</v>
      </c>
      <c r="P36" s="37">
        <v>0.47165889066822331</v>
      </c>
      <c r="Q36" s="38">
        <v>0.33545716557849564</v>
      </c>
      <c r="R36" s="37">
        <v>0.47152191828921902</v>
      </c>
      <c r="S36" s="38">
        <v>0.33844517049005973</v>
      </c>
      <c r="T36" s="37">
        <v>0.47135177073280293</v>
      </c>
      <c r="U36" s="38">
        <v>0.34145322474383188</v>
      </c>
      <c r="V36" s="37">
        <v>0.47115439411753457</v>
      </c>
      <c r="W36" s="38">
        <v>0.34445000773737039</v>
      </c>
      <c r="X36" s="37">
        <v>0.47095277473555047</v>
      </c>
      <c r="Y36" s="38">
        <v>0.34744238472503136</v>
      </c>
      <c r="Z36" s="37">
        <v>0.47080557300654186</v>
      </c>
      <c r="AA36" s="38">
        <v>0.35054136743742864</v>
      </c>
      <c r="AB36" s="37">
        <v>0.47083843309560697</v>
      </c>
      <c r="AC36" s="38">
        <v>0.35408097699692453</v>
      </c>
      <c r="AD36" s="37">
        <v>0.47128676167369776</v>
      </c>
      <c r="AE36" s="38">
        <v>0.35879360083061645</v>
      </c>
      <c r="AF36" s="37">
        <v>0.47254672368796252</v>
      </c>
      <c r="AG36" s="38">
        <v>0.3660280215848476</v>
      </c>
      <c r="AH36" s="37">
        <v>0.47528159493038125</v>
      </c>
      <c r="AI36" s="38">
        <v>0.37813488953840796</v>
      </c>
      <c r="AJ36" s="37">
        <v>0.48084720379554841</v>
      </c>
      <c r="AK36" s="38">
        <v>0.39982268499448892</v>
      </c>
      <c r="AL36" s="37">
        <v>0.49330582033187664</v>
      </c>
      <c r="AM36" s="38">
        <v>0.44423272674628783</v>
      </c>
      <c r="AN36" s="37">
        <v>0.53196336280249323</v>
      </c>
      <c r="AO36" s="38">
        <v>0.56607176474587206</v>
      </c>
      <c r="AP36" s="37">
        <v>0.54965976372440872</v>
      </c>
      <c r="AQ36" s="38">
        <v>0.61679419725103402</v>
      </c>
      <c r="AR36" s="37">
        <v>0.57654304400192646</v>
      </c>
      <c r="AS36" s="38">
        <v>0.68989533857490581</v>
      </c>
      <c r="AT36" s="37">
        <v>0.62311977456374923</v>
      </c>
      <c r="AU36" s="38">
        <v>0.80866490370994559</v>
      </c>
      <c r="AV36" s="37"/>
      <c r="AW36" s="38"/>
    </row>
    <row r="37" spans="1:49 16319:16321" x14ac:dyDescent="0.2">
      <c r="B37" s="39">
        <v>2.1403217525954466E-2</v>
      </c>
      <c r="C37" s="40">
        <v>0.3496246130199252</v>
      </c>
      <c r="D37" s="39">
        <v>2.08186652656853E-2</v>
      </c>
      <c r="E37" s="40">
        <v>0.34618673248438087</v>
      </c>
      <c r="F37" s="39">
        <v>2.0234884801975293E-2</v>
      </c>
      <c r="G37" s="40">
        <v>0.34273508894437182</v>
      </c>
      <c r="H37" s="39">
        <v>1.965394584406048E-2</v>
      </c>
      <c r="I37" s="40">
        <v>0.33928243500089789</v>
      </c>
      <c r="J37" s="39">
        <v>1.9078470052222837E-2</v>
      </c>
      <c r="K37" s="40">
        <v>0.33584515981603941</v>
      </c>
      <c r="L37" s="39">
        <v>1.8511750093696537E-2</v>
      </c>
      <c r="M37" s="40">
        <v>0.33244407540452992</v>
      </c>
      <c r="N37" s="39">
        <v>1.7957774994343614E-2</v>
      </c>
      <c r="O37" s="40">
        <v>0.32910463298480774</v>
      </c>
      <c r="P37" s="39">
        <v>1.7421180143336969E-2</v>
      </c>
      <c r="Q37" s="40">
        <v>0.32585665139738451</v>
      </c>
      <c r="R37" s="39">
        <v>1.6906973666599739E-2</v>
      </c>
      <c r="S37" s="40">
        <v>0.32273262335601693</v>
      </c>
      <c r="T37" s="39">
        <v>1.6419797243776773E-2</v>
      </c>
      <c r="U37" s="40">
        <v>0.3197630619576679</v>
      </c>
      <c r="V37" s="39">
        <v>1.5962192959420172E-2</v>
      </c>
      <c r="W37" s="40">
        <v>0.31696554970866592</v>
      </c>
      <c r="X37" s="39">
        <v>1.5531097851924483E-2</v>
      </c>
      <c r="Y37" s="40">
        <v>0.31432254359560885</v>
      </c>
      <c r="Z37" s="39">
        <v>1.5111265189875996E-2</v>
      </c>
      <c r="AA37" s="40">
        <v>0.31173968243818828</v>
      </c>
      <c r="AB37" s="39">
        <v>1.4664997699395249E-2</v>
      </c>
      <c r="AC37" s="40">
        <v>0.30898051032276042</v>
      </c>
      <c r="AD37" s="39">
        <v>1.4121612242605667E-2</v>
      </c>
      <c r="AE37" s="40">
        <v>0.30559867142572256</v>
      </c>
      <c r="AF37" s="39">
        <v>1.3377270311094355E-2</v>
      </c>
      <c r="AG37" s="40">
        <v>0.30093425046460442</v>
      </c>
      <c r="AH37" s="39">
        <v>1.2311209980711958E-2</v>
      </c>
      <c r="AI37" s="40">
        <v>0.29421501029430697</v>
      </c>
      <c r="AJ37" s="39">
        <v>1.079521411631339E-2</v>
      </c>
      <c r="AK37" s="40">
        <v>0.28462912220678777</v>
      </c>
      <c r="AL37" s="39">
        <v>8.650295114762974E-3</v>
      </c>
      <c r="AM37" s="40">
        <v>0.27112838659335436</v>
      </c>
      <c r="AN37" s="39">
        <v>5.6362498532081797E-3</v>
      </c>
      <c r="AO37" s="40">
        <v>0.25277957018051267</v>
      </c>
      <c r="AP37" s="39">
        <v>4.9301141245865938E-3</v>
      </c>
      <c r="AQ37" s="40">
        <v>0.24870380250843405</v>
      </c>
      <c r="AR37" s="39">
        <v>4.181538243597455E-3</v>
      </c>
      <c r="AS37" s="40">
        <v>0.24453545128655046</v>
      </c>
      <c r="AT37" s="39">
        <v>3.3638126794065361E-3</v>
      </c>
      <c r="AU37" s="40">
        <v>0.24021828955820476</v>
      </c>
      <c r="AV37" s="39"/>
      <c r="AW37" s="40"/>
    </row>
    <row r="38" spans="1:49 16319:16321" x14ac:dyDescent="0.2">
      <c r="A38" t="s">
        <v>22</v>
      </c>
      <c r="B38" s="37">
        <v>0.18079094942242827</v>
      </c>
      <c r="C38" s="38">
        <v>6.0565413429233668E-2</v>
      </c>
      <c r="D38" s="37">
        <v>0.18112792692730353</v>
      </c>
      <c r="E38" s="38">
        <v>6.085570773349612E-2</v>
      </c>
      <c r="F38" s="37">
        <v>0.18149192460149105</v>
      </c>
      <c r="G38" s="38">
        <v>6.1165724165368446E-2</v>
      </c>
      <c r="H38" s="37">
        <v>0.18188522462757001</v>
      </c>
      <c r="I38" s="38">
        <v>6.1496248891823674E-2</v>
      </c>
      <c r="J38" s="37">
        <v>0.18231002447384309</v>
      </c>
      <c r="K38" s="38">
        <v>6.1847667648797587E-2</v>
      </c>
      <c r="L38" s="37">
        <v>0.18276822411672289</v>
      </c>
      <c r="M38" s="38">
        <v>6.2219720838362726E-2</v>
      </c>
      <c r="N38" s="37">
        <v>0.18326114201044799</v>
      </c>
      <c r="O38" s="38">
        <v>6.2611253529336178E-2</v>
      </c>
      <c r="P38" s="37">
        <v>0.18378906480206389</v>
      </c>
      <c r="Q38" s="38">
        <v>6.3019956582937131E-2</v>
      </c>
      <c r="R38" s="37">
        <v>0.18435057048212253</v>
      </c>
      <c r="S38" s="38">
        <v>6.3442197778787346E-2</v>
      </c>
      <c r="T38" s="37">
        <v>0.1849415019512341</v>
      </c>
      <c r="U38" s="38">
        <v>6.3873144802564438E-2</v>
      </c>
      <c r="V38" s="37">
        <v>0.18555341655398122</v>
      </c>
      <c r="W38" s="38">
        <v>6.430787779820088E-2</v>
      </c>
      <c r="X38" s="37">
        <v>0.18617110136402415</v>
      </c>
      <c r="Y38" s="38">
        <v>6.4744224258332067E-2</v>
      </c>
      <c r="Z38" s="37">
        <v>0.18676871596395112</v>
      </c>
      <c r="AA38" s="38">
        <v>6.5189131032494449E-2</v>
      </c>
      <c r="AB38" s="37">
        <v>0.18730456777371615</v>
      </c>
      <c r="AC38" s="38">
        <v>6.567049578044E-2</v>
      </c>
      <c r="AD38" s="37">
        <v>0.18771603123266842</v>
      </c>
      <c r="AE38" s="38">
        <v>6.6255043233663893E-2</v>
      </c>
      <c r="AF38" s="37">
        <v>0.18791544178995781</v>
      </c>
      <c r="AG38" s="38">
        <v>6.707051866598189E-2</v>
      </c>
      <c r="AH38" s="37">
        <v>0.18777319211261084</v>
      </c>
      <c r="AI38" s="38">
        <v>6.83412653460794E-2</v>
      </c>
      <c r="AJ38" s="37">
        <v>0.18702660074742017</v>
      </c>
      <c r="AK38" s="38">
        <v>7.0503861699757545E-2</v>
      </c>
      <c r="AL38" s="37">
        <v>0.18484317779443474</v>
      </c>
      <c r="AM38" s="38">
        <v>7.4692900516855759E-2</v>
      </c>
      <c r="AN38" s="37">
        <v>0.17729696540503423</v>
      </c>
      <c r="AO38" s="38">
        <v>8.4884839359887054E-2</v>
      </c>
      <c r="AP38" s="37">
        <v>0.17393290396893316</v>
      </c>
      <c r="AQ38" s="38">
        <v>8.8628521983066338E-2</v>
      </c>
      <c r="AR38" s="37">
        <v>0.16914130555690668</v>
      </c>
      <c r="AS38" s="38">
        <v>9.3588329050467198E-2</v>
      </c>
      <c r="AT38" s="37">
        <v>0.16185784284201477</v>
      </c>
      <c r="AU38" s="38">
        <v>0.10074097530240574</v>
      </c>
      <c r="AV38" s="37"/>
      <c r="AW38" s="38"/>
    </row>
    <row r="39" spans="1:49 16319:16321" x14ac:dyDescent="0.2">
      <c r="A39" t="s">
        <v>23</v>
      </c>
      <c r="B39" s="39">
        <v>0.23064923795098771</v>
      </c>
      <c r="C39" s="40">
        <v>0.22092201281804777</v>
      </c>
      <c r="D39" s="39">
        <v>0.2307621078767399</v>
      </c>
      <c r="E39" s="40">
        <v>0.22182858357158389</v>
      </c>
      <c r="F39" s="39">
        <v>0.23088212256611468</v>
      </c>
      <c r="G39" s="40">
        <v>0.22279286938963061</v>
      </c>
      <c r="H39" s="39">
        <v>0.23100956274152776</v>
      </c>
      <c r="I39" s="40">
        <v>0.22381622915709806</v>
      </c>
      <c r="J39" s="39">
        <v>0.23114456679568582</v>
      </c>
      <c r="K39" s="40">
        <v>0.22489849894970673</v>
      </c>
      <c r="L39" s="39">
        <v>0.23128706226451332</v>
      </c>
      <c r="M39" s="40">
        <v>0.22603724291657745</v>
      </c>
      <c r="N39" s="39">
        <v>0.23143666547426212</v>
      </c>
      <c r="O39" s="40">
        <v>0.22722698450245174</v>
      </c>
      <c r="P39" s="39">
        <v>0.23159258082768119</v>
      </c>
      <c r="Q39" s="40">
        <v>0.2284584582736178</v>
      </c>
      <c r="R39" s="39">
        <v>0.23175352974749683</v>
      </c>
      <c r="S39" s="40">
        <v>0.22971839120713394</v>
      </c>
      <c r="T39" s="39">
        <v>0.23191777809588468</v>
      </c>
      <c r="U39" s="40">
        <v>0.23099084833467523</v>
      </c>
      <c r="V39" s="39">
        <v>0.23208342482215727</v>
      </c>
      <c r="W39" s="40">
        <v>0.23226213632182685</v>
      </c>
      <c r="X39" s="39">
        <v>0.23224923997462438</v>
      </c>
      <c r="Y39" s="40">
        <v>0.23353323085640107</v>
      </c>
      <c r="Z39" s="39">
        <v>0.23241658133965193</v>
      </c>
      <c r="AA39" s="40">
        <v>0.23484607690745937</v>
      </c>
      <c r="AB39" s="39">
        <v>0.23259298531525868</v>
      </c>
      <c r="AC39" s="40">
        <v>0.23633118861447383</v>
      </c>
      <c r="AD39" s="39">
        <v>0.2327976901737851</v>
      </c>
      <c r="AE39" s="40">
        <v>0.23827815574802388</v>
      </c>
      <c r="AF39" s="39">
        <v>0.23306854629097071</v>
      </c>
      <c r="AG39" s="40">
        <v>0.24122310053773027</v>
      </c>
      <c r="AH39" s="39">
        <v>0.23347312836905959</v>
      </c>
      <c r="AI39" s="40">
        <v>0.24609984314275934</v>
      </c>
      <c r="AJ39" s="39">
        <v>0.23414558032326679</v>
      </c>
      <c r="AK39" s="40">
        <v>0.2547597882974546</v>
      </c>
      <c r="AL39" s="39">
        <v>0.2354521597823189</v>
      </c>
      <c r="AM39" s="40">
        <v>0.27224225791988399</v>
      </c>
      <c r="AN39" s="39">
        <v>0.23890657573591767</v>
      </c>
      <c r="AO39" s="40">
        <v>0.31821470605747276</v>
      </c>
      <c r="AP39" s="39">
        <v>0.24034269248623324</v>
      </c>
      <c r="AQ39" s="40">
        <v>0.33645320639128162</v>
      </c>
      <c r="AR39" s="39">
        <v>0.24244127175582927</v>
      </c>
      <c r="AS39" s="40">
        <v>0.36184847662991332</v>
      </c>
      <c r="AT39" s="39">
        <v>0.24596013327691799</v>
      </c>
      <c r="AU39" s="40">
        <v>0.40104980095241066</v>
      </c>
      <c r="AV39" s="39"/>
      <c r="AW39" s="40"/>
    </row>
    <row r="40" spans="1:49 16319:16321"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49 16319:16321" x14ac:dyDescent="0.2">
      <c r="B41" s="135"/>
      <c r="C41" s="13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row>
    <row r="42" spans="1:49 16319:16321" x14ac:dyDescent="0.2">
      <c r="A42" t="s">
        <v>107</v>
      </c>
      <c r="B42" s="177">
        <f>10.8%+(1-10.8%)*(1-SUM(B26:C26)/SUM($B$26:$C$26))</f>
        <v>0.10800000000000001</v>
      </c>
      <c r="C42" s="135"/>
      <c r="D42" s="177">
        <f>10.8%+(1-10.8%)*(1-SUM(D26:E26)/SUM($B$26:$C$26))</f>
        <v>0.1165548277374958</v>
      </c>
      <c r="E42" s="135"/>
      <c r="F42" s="177">
        <f>10.8%+(1-10.8%)*(1-SUM(F26:G26)/SUM($B$26:$C$26))</f>
        <v>0.126460107426837</v>
      </c>
      <c r="G42" s="135"/>
      <c r="H42" s="177">
        <f>10.8%+(1-10.8%)*(1-SUM(H26:I26)/SUM($B$26:$C$26))</f>
        <v>0.13799451943967933</v>
      </c>
      <c r="I42" s="135"/>
      <c r="J42" s="177">
        <f>10.8%+(1-10.8%)*(1-SUM(J26:K26)/SUM($B$26:$C$26))</f>
        <v>0.15149678401316052</v>
      </c>
      <c r="K42" s="135"/>
      <c r="L42" s="177">
        <f>10.8%+(1-10.8%)*(1-SUM(L26:M26)/SUM($B$26:$C$26))</f>
        <v>0.16737485885206937</v>
      </c>
      <c r="M42" s="135"/>
      <c r="N42" s="177">
        <f>10.8%+(1-10.8%)*(1-SUM(N26:O26)/SUM($B$26:$C$26))</f>
        <v>0.18610835613805291</v>
      </c>
      <c r="O42" s="135"/>
      <c r="P42" s="177">
        <f>10.8%+(1-10.8%)*(1-SUM(P26:Q26)/SUM($B$26:$C$26))</f>
        <v>0.20824134935705413</v>
      </c>
      <c r="Q42" s="135"/>
      <c r="R42" s="177">
        <f>10.8%+(1-10.8%)*(1-SUM(R26:S26)/SUM($B$26:$C$26))</f>
        <v>0.23435471076517692</v>
      </c>
      <c r="S42" s="135"/>
      <c r="T42" s="177">
        <f>10.8%+(1-10.8%)*(1-SUM(T26:U26)/SUM($B$26:$C$26))</f>
        <v>0.26500221198219831</v>
      </c>
      <c r="U42" s="135"/>
      <c r="V42" s="177">
        <f>10.8%+(1-10.8%)*(1-SUM(V26:W26)/SUM($B$26:$C$26))</f>
        <v>0.30058725814337384</v>
      </c>
      <c r="W42" s="135"/>
      <c r="X42" s="177">
        <f>10.8%+(1-10.8%)*(1-SUM(X26:Y26)/SUM($B$26:$C$26))</f>
        <v>0.34116064091591225</v>
      </c>
      <c r="Y42" s="162"/>
      <c r="Z42" s="177">
        <f>10.8%+(1-10.8%)*(1-SUM(Z26:AA26)/SUM($B$26:$C$26))</f>
        <v>0.3861371436772375</v>
      </c>
      <c r="AA42" s="135"/>
      <c r="AB42" s="177">
        <f>10.8%+(1-10.8%)*(1-SUM(AB26:AC26)/SUM($B$26:$C$26))</f>
        <v>0.43401972559421809</v>
      </c>
      <c r="AC42" s="135"/>
      <c r="AD42" s="177">
        <f>10.8%+(1-10.8%)*(1-SUM(AD26:AE26)/SUM($B$26:$C$26))</f>
        <v>0.48241197691783466</v>
      </c>
      <c r="AE42" s="135"/>
      <c r="AF42" s="177">
        <f>10.8%+(1-10.8%)*(1-SUM(AF26:AG26)/SUM($B$26:$C$26))</f>
        <v>0.52870821691294145</v>
      </c>
      <c r="AG42" s="135"/>
      <c r="AH42" s="177">
        <f>10.8%+(1-10.8%)*(1-SUM(AH26:AI26)/SUM($B$26:$C$26))</f>
        <v>0.57139846702258323</v>
      </c>
      <c r="AI42" s="135"/>
      <c r="AJ42" s="177">
        <f>10.8%+(1-10.8%)*(1-SUM(AJ26:AK26)/SUM($B$26:$C$26))</f>
        <v>0.61142517143986064</v>
      </c>
      <c r="AK42" s="135"/>
      <c r="AL42" s="177">
        <f>10.8%+(1-10.8%)*(1-SUM(AL26:AM26)/SUM($B$26:$C$26))</f>
        <v>0.65501877936895569</v>
      </c>
      <c r="AM42" s="135"/>
      <c r="AN42" s="177">
        <f>10.8%+(1-10.8%)*(1-SUM(AN26:AO26)/SUM($B$26:$C$26))</f>
        <v>0.7294515917492157</v>
      </c>
      <c r="AO42" s="135"/>
      <c r="AP42" s="177">
        <f>10.8%+(1-10.8%)*(1-SUM(AP26:AQ26)/SUM($B$26:$C$26))</f>
        <v>0.75478244642872594</v>
      </c>
      <c r="AQ42" s="135"/>
      <c r="AR42" s="177">
        <f>10.8%+(1-10.8%)*(1-SUM(AR26:AS26)/SUM($B$26:$C$26))</f>
        <v>0.78677746890525657</v>
      </c>
      <c r="AS42" s="135"/>
      <c r="AT42" s="177">
        <f>10.8%+(1-10.8%)*(1-SUM(AT26:AU26)/SUM($B$26:$C$26))</f>
        <v>0.8286272700572741</v>
      </c>
      <c r="AU42" s="135"/>
      <c r="AV42" s="177">
        <f>10.8%+(1-10.8%)*(1-SUM(AV26:AW26)/SUM($B$26:$C$26))</f>
        <v>1</v>
      </c>
    </row>
    <row r="43" spans="1:49 16319:16321" x14ac:dyDescent="0.2">
      <c r="A43" t="s">
        <v>108</v>
      </c>
      <c r="B43" s="162">
        <f>SUM(B15:C15*B27:C27)/SUM(B15:C15*B27:C27,B13:C13*B26:C26)</f>
        <v>0.56058995943839207</v>
      </c>
      <c r="C43" s="135"/>
      <c r="D43" s="162">
        <f t="array" ref="D43">SUM(D15:E15*D27:E27)/SUM(D15:E15*D27:E27,D13:E13*D26:E26)</f>
        <v>0.56768929899372633</v>
      </c>
      <c r="E43" s="135"/>
      <c r="F43" s="162">
        <f t="array" ref="F43">SUM(F15:G15*F27:G27)/SUM(F15:G15*F27:G27,F13:G13*F26:G26)</f>
        <v>0.56824739755381737</v>
      </c>
      <c r="G43" s="135"/>
      <c r="H43" s="162">
        <f t="array" ref="H43">SUM(H15:I15*H27:I27)/SUM(H15:I15*H27:I27,H13:I13*H26:I26)</f>
        <v>0.56888143820360837</v>
      </c>
      <c r="I43" s="135"/>
      <c r="J43" s="162">
        <f t="array" ref="J43">SUM(J15:K15*J27:K27)/SUM(J15:K15*J27:K27,J13:K13*J26:K26)</f>
        <v>0.56959802928665482</v>
      </c>
      <c r="K43" s="135"/>
      <c r="L43" s="162">
        <f t="array" ref="L43">SUM(L15:M15*L27:M27)/SUM(L15:M15*L27:M27,L13:M13*L26:M26)</f>
        <v>0.5704033416954184</v>
      </c>
      <c r="M43" s="135"/>
      <c r="N43" s="162">
        <f t="array" ref="N43">SUM(N15:O15*N27:O27)/SUM(N15:O15*N27:O27,N13:O13*N26:O26)</f>
        <v>0.57130231241583884</v>
      </c>
      <c r="O43" s="135"/>
      <c r="P43" s="162">
        <f t="array" ref="P43">SUM(P15:Q15*P27:Q27)/SUM(P15:Q15*P27:Q27,P13:Q13*P26:Q26)</f>
        <v>0.5722973479495731</v>
      </c>
      <c r="Q43" s="135"/>
      <c r="R43" s="162">
        <f t="array" ref="R43">SUM(R15:S15*R27:S27)/SUM(R15:S15*R27:S27,R13:S13*R26:S26)</f>
        <v>0.57338618457984258</v>
      </c>
      <c r="S43" s="135"/>
      <c r="T43" s="162">
        <f t="array" ref="T43">SUM(T15:U15*T27:U27)/SUM(T15:U15*T27:U27,T13:U13*T26:U26)</f>
        <v>0.57455825868031463</v>
      </c>
      <c r="U43" s="135"/>
      <c r="V43" s="162">
        <f t="array" ref="V43">SUM(V15:W15*V27:W27)/SUM(V15:W15*V27:W27,V13:W13*V26:W26)</f>
        <v>0.57578841497831001</v>
      </c>
      <c r="W43" s="135"/>
      <c r="X43" s="162">
        <f t="array" ref="X43">SUM(X15:Y15*X27:Y27)/SUM(X15:Y15*X27:Y27,X13:Y13*X26:Y26)</f>
        <v>0.57702592021401033</v>
      </c>
      <c r="Y43" s="135"/>
      <c r="Z43" s="162">
        <f t="array" ref="Z43">SUM(Z15:AA15*Z27:AA27)/SUM(Z15:AA15*Z27:AA27,Z13:AA13*Z26:AA26)</f>
        <v>0.57817607520089043</v>
      </c>
      <c r="AA43" s="135"/>
      <c r="AB43" s="162">
        <f t="array" ref="AB43">SUM(AB15:AC15*AB27:AC27)/SUM(AB15:AC15*AB27:AC27,AB13:AC13*AB26:AC26)</f>
        <v>0.57907344603979705</v>
      </c>
      <c r="AC43" s="135"/>
      <c r="AD43" s="162">
        <f t="array" ref="AD43">SUM(AD15:AE15*AD27:AE27)/SUM(AD15:AE15*AD27:AE27,AD13:AE13*AD26:AE26)</f>
        <v>0.5794532512190147</v>
      </c>
      <c r="AE43" s="135"/>
      <c r="AF43" s="162">
        <f t="array" ref="AF43">SUM(AF15:AG15*AF27:AG27)/SUM(AF15:AG15*AF27:AG27,AF13:AG13*AF26:AG26)</f>
        <v>0.57892839359652415</v>
      </c>
      <c r="AG43" s="135"/>
      <c r="AH43" s="162">
        <f t="array" ref="AH43">SUM(AH15:AI15*AH27:AI27)/SUM(AH15:AI15*AH27:AI27,AH13:AI13*AH26:AI26)</f>
        <v>0.57692402289290534</v>
      </c>
      <c r="AI43" s="135"/>
      <c r="AJ43" s="162">
        <f t="array" ref="AJ43">SUM(AJ15:AK15*AJ27:AK27)/SUM(AJ15:AK15*AJ27:AK27,AJ13:AK13*AJ26:AK26)</f>
        <v>0.57232634177549113</v>
      </c>
      <c r="AK43" s="135"/>
      <c r="AL43" s="162">
        <f t="array" ref="AL43">SUM(AL15:AM15*AL27:AM27)/SUM(AL15:AM15*AL27:AM27,AL13:AM13*AL26:AM26)</f>
        <v>0.56175877755388703</v>
      </c>
      <c r="AM43" s="135"/>
      <c r="AN43" s="162">
        <f t="array" ref="AN43">SUM(AN15:AO15*AN27:AO27)/SUM(AN15:AO15*AN27:AO27,AN13:AO13*AN26:AO26)</f>
        <v>0.52895991558094113</v>
      </c>
      <c r="AO43" s="135"/>
      <c r="AP43" s="162">
        <f t="array" ref="AP43">SUM(AP15:AQ15*AP27:AQ27)/SUM(AP15:AQ15*AP27:AQ27,AP13:AQ13*AP26:AQ26)</f>
        <v>0.51431324761372677</v>
      </c>
      <c r="AQ43" s="135"/>
      <c r="AR43" s="162">
        <f t="array" ref="AR43">SUM(AR15:AS15*AR27:AS27)/SUM(AR15:AS15*AR27:AS27,AR13:AS13*AR26:AS26)</f>
        <v>0.49294989554389285</v>
      </c>
      <c r="AS43" s="135"/>
      <c r="AT43" s="162">
        <f t="array" ref="AT43">SUM(AT15:AU15*AT27:AU27)/SUM(AT15:AU15*AT27:AU27,AT13:AU13*AT26:AU26)</f>
        <v>0.45896003941604369</v>
      </c>
      <c r="AU43" s="135"/>
      <c r="AV43" s="162" t="e">
        <f t="array" ref="AV43">SUM(AV15:AW15*AV27:AW27)/SUM(AV15:AW15*AV27:AW27,AV13:AW13*AV26:AW26)</f>
        <v>#DIV/0!</v>
      </c>
    </row>
    <row r="44" spans="1:49 16319:16321" x14ac:dyDescent="0.2">
      <c r="A44" t="s">
        <v>142</v>
      </c>
      <c r="B44" s="193">
        <f>(SUM(B11:C11*B24:C24)+B34)/B32</f>
        <v>0.29754226190682309</v>
      </c>
      <c r="D44" s="193">
        <f>(SUM(D11:E11*D24:E24)+D34)/D32</f>
        <v>0.29921597862108101</v>
      </c>
      <c r="F44" s="193">
        <f>(SUM(F11:G11*F24:G24)+F34)/F32</f>
        <v>0.30090121333555708</v>
      </c>
      <c r="H44" s="193">
        <f>(SUM(H11:I11*H24:I24)+H34)/H32</f>
        <v>0.30259556861386294</v>
      </c>
      <c r="J44" s="193">
        <f>(SUM(J11:K11*J24:K24)+J34)/J32</f>
        <v>0.30429541306980329</v>
      </c>
      <c r="L44" s="193">
        <f>(SUM(L11:M11*L24:M24)+L34)/L32</f>
        <v>0.30599535920591198</v>
      </c>
      <c r="N44" s="193">
        <f>(SUM(N11:O11*N24:O24)+N34)/N32</f>
        <v>0.30768824003933903</v>
      </c>
      <c r="P44" s="193">
        <f>(SUM(P11:Q11*P24:Q24)+P34)/P32</f>
        <v>0.30936544936073834</v>
      </c>
      <c r="R44" s="193">
        <f>(SUM(R11:S11*R24:S24)+R34)/R32</f>
        <v>0.31101830469261871</v>
      </c>
      <c r="T44" s="193">
        <f>(SUM(T11:U11*T24:U24)+T34)/T32</f>
        <v>0.31264113119353998</v>
      </c>
      <c r="V44" s="193">
        <f>(SUM(V11:W11*V24:W24)+V34)/V32</f>
        <v>0.31423921931667309</v>
      </c>
      <c r="X44" s="193">
        <f>(SUM(X11:Y11*X24:Y24)+X34)/X32</f>
        <v>0.31584540192577398</v>
      </c>
      <c r="Z44" s="193">
        <f>(SUM(Z11:AA11*Z24:AA24)+Z34)/Z32</f>
        <v>0.31754937791917343</v>
      </c>
      <c r="AB44" s="193">
        <f>(SUM(AB11:AC11*AB24:AC24)+AB34)/AB32</f>
        <v>0.31954587732159218</v>
      </c>
      <c r="AD44" s="193">
        <f>(SUM(AD11:AE11*AD24:AE24)+AD34)/AD32</f>
        <v>0.32218905968975525</v>
      </c>
      <c r="AF44" s="193">
        <f>(SUM(AF11:AG11*AF24:AG24)+AF34)/AF32</f>
        <v>0.32602783240007432</v>
      </c>
      <c r="AH44" s="193">
        <f>(SUM(AH11:AI11*AH24:AI24)+AH34)/AH32</f>
        <v>0.331858513761913</v>
      </c>
      <c r="AJ44" s="193">
        <f>(SUM(AJ11:AK11*AJ24:AK24)+AJ34)/AJ32</f>
        <v>0.34106797670164846</v>
      </c>
      <c r="AL44" s="193">
        <f>(SUM(AL11:AM11*AL24:AM24)+AL34)/AL32</f>
        <v>0.35729376902014515</v>
      </c>
      <c r="AN44" s="193">
        <f>(SUM(AN11:AO11*AN24:AO24)+AN34)/AN32</f>
        <v>0.39180182849225265</v>
      </c>
      <c r="AP44" s="193">
        <f>(SUM(AP11:AQ11*AP24:AQ24)+AP34)/AP32</f>
        <v>0.40308212955855688</v>
      </c>
      <c r="AR44" s="193">
        <f>(SUM(AR11:AS11*AR24:AS24)+AR34)/AR32</f>
        <v>0.41739843580722436</v>
      </c>
      <c r="AT44" s="193">
        <f>(SUM(AT11:AU11*AT24:AU24)+AT34)/AT32</f>
        <v>0.43728512465536079</v>
      </c>
      <c r="AV44" s="193" t="e">
        <f>(SUM(AV11:AW11*AV24:AW24)+AV34)/AV32</f>
        <v>#DIV/0!</v>
      </c>
    </row>
    <row r="45" spans="1:49 16319:16321" x14ac:dyDescent="0.2">
      <c r="A45" t="s">
        <v>82</v>
      </c>
      <c r="B45" s="193">
        <f>SUM(B11:C11*B24:C24)/B32</f>
        <v>0.22038438833194082</v>
      </c>
      <c r="D45" s="193">
        <f>SUM(D11:E11*D24:E24)/D32</f>
        <v>0.22250377731635942</v>
      </c>
      <c r="F45" s="193">
        <f>SUM(F11:G11*F24:G24)/F32</f>
        <v>0.2250535074510728</v>
      </c>
      <c r="H45" s="193">
        <f>SUM(H11:I11*H24:I24)/H32</f>
        <v>0.22813957514126415</v>
      </c>
      <c r="J45" s="193">
        <f>SUM(J11:K11*J24:K24)/J32</f>
        <v>0.23190028631086396</v>
      </c>
      <c r="L45" s="193">
        <f>SUM(L11:M11*L24:M24)/L32</f>
        <v>0.23651765804049185</v>
      </c>
      <c r="N45" s="193">
        <f>SUM(N11:O11*N24:O24)/N32</f>
        <v>0.24223177264658929</v>
      </c>
      <c r="P45" s="193">
        <f>SUM(P11:Q11*P24:Q24)/P32</f>
        <v>0.24935951614100046</v>
      </c>
      <c r="R45" s="193">
        <f>SUM(R11:S11*R24:S24)/R32</f>
        <v>0.25831710549160175</v>
      </c>
      <c r="T45" s="193">
        <f>SUM(T11:U11*T24:U24)/T32</f>
        <v>0.26964307590712366</v>
      </c>
      <c r="V45" s="193">
        <f>SUM(V11:W11*V24:W24)/V32</f>
        <v>0.28400942712790411</v>
      </c>
      <c r="X45" s="193">
        <f>SUM(X11:Y11*X24:Y24)/X32</f>
        <v>0.30219171256430083</v>
      </c>
      <c r="Z45" s="193">
        <f>SUM(Z11:AA11*Z24:AA24)/Z32</f>
        <v>0.32493275037518016</v>
      </c>
      <c r="AB45" s="193">
        <f>SUM(AB11:AC11*AB24:AC24)/AB32</f>
        <v>0.35260554012429729</v>
      </c>
      <c r="AD45" s="193">
        <f>SUM(AD11:AE11*AD24:AE24)/AD32</f>
        <v>0.38466810444784183</v>
      </c>
      <c r="AF45" s="193">
        <f>SUM(AF11:AG11*AF24:AG24)/AF32</f>
        <v>0.41924375983730955</v>
      </c>
      <c r="AH45" s="193">
        <f>SUM(AH11:AI11*AH24:AI24)/AH32</f>
        <v>0.45337308889154537</v>
      </c>
      <c r="AJ45" s="193">
        <f>SUM(AJ11:AK11*AJ24:AK24)/AJ32</f>
        <v>0.48375767686058191</v>
      </c>
      <c r="AL45" s="193">
        <f>SUM(AL11:AM11*AL24:AM24)/AL32</f>
        <v>0.50722099345905003</v>
      </c>
      <c r="AN45" s="193">
        <f>SUM(AN11:AO11*AN24:AO24)/AN32</f>
        <v>0.52835325852374837</v>
      </c>
      <c r="AP45" s="193">
        <f>SUM(AP11:AQ11*AP24:AQ24)/AP32</f>
        <v>0.53630011446124337</v>
      </c>
      <c r="AR45" s="193">
        <f>SUM(AR11:AS11*AR24:AS24)/AR32</f>
        <v>0.54773480724192702</v>
      </c>
      <c r="AT45" s="193">
        <f>SUM(AT11:AU11*AT24:AU24)/AT32</f>
        <v>0.56484799495184035</v>
      </c>
      <c r="AV45" s="193" t="e">
        <f>SUM(AV11:AW11*AV24:AW24)/AV32</f>
        <v>#DIV/0!</v>
      </c>
      <c r="XCQ45" s="193"/>
    </row>
    <row r="46" spans="1:49 16319:16321" x14ac:dyDescent="0.2">
      <c r="A46" t="s">
        <v>139</v>
      </c>
      <c r="B46" s="193">
        <f>B34/B32</f>
        <v>7.715787357488231E-2</v>
      </c>
      <c r="D46" s="193">
        <f>D34/D32</f>
        <v>7.6712201304721561E-2</v>
      </c>
      <c r="F46" s="193">
        <f>F34/F32</f>
        <v>7.5847705884484251E-2</v>
      </c>
      <c r="H46" s="193">
        <f>H34/H32</f>
        <v>7.4455993472598819E-2</v>
      </c>
      <c r="J46" s="193">
        <f>J34/J32</f>
        <v>7.2395126758939277E-2</v>
      </c>
      <c r="L46" s="193">
        <f>L34/L32</f>
        <v>6.9477701165420153E-2</v>
      </c>
      <c r="N46" s="193">
        <f>N34/N32</f>
        <v>6.545646739274974E-2</v>
      </c>
      <c r="P46" s="193">
        <f>P34/P32</f>
        <v>6.0005933219737892E-2</v>
      </c>
      <c r="R46" s="193">
        <f>R34/R32</f>
        <v>5.2701199201016957E-2</v>
      </c>
      <c r="T46" s="193">
        <f>T34/T32</f>
        <v>4.2998055286416301E-2</v>
      </c>
      <c r="V46" s="193">
        <f>V34/V32</f>
        <v>3.0229792188768971E-2</v>
      </c>
      <c r="X46" s="193">
        <f>X34/X32</f>
        <v>1.3653689361473173E-2</v>
      </c>
      <c r="Z46" s="193">
        <f>Z34/Z32</f>
        <v>-7.3833724560067931E-3</v>
      </c>
      <c r="AB46" s="193">
        <f>AB34/AB32</f>
        <v>-3.3059662802705093E-2</v>
      </c>
      <c r="AD46" s="193">
        <f>AD34/AD32</f>
        <v>-6.2479044758086591E-2</v>
      </c>
      <c r="AF46" s="193">
        <f>AF34/AF32</f>
        <v>-9.3215927437235224E-2</v>
      </c>
      <c r="AH46" s="193">
        <f>AH34/AH32</f>
        <v>-0.1215145751296324</v>
      </c>
      <c r="AJ46" s="193">
        <f>AJ34/AJ32</f>
        <v>-0.14268970015893342</v>
      </c>
      <c r="AL46" s="193">
        <f>AL34/AL32</f>
        <v>-0.14992722443890494</v>
      </c>
      <c r="AN46" s="193">
        <f>AN34/AN32</f>
        <v>-0.13655143003149567</v>
      </c>
      <c r="AP46" s="193">
        <f>AP34/AP32</f>
        <v>-0.13321798490268649</v>
      </c>
      <c r="AR46" s="193">
        <f>AR34/AR32</f>
        <v>-0.1303363714347027</v>
      </c>
      <c r="AT46" s="193">
        <f>AT34/AT32</f>
        <v>-0.12756287029647956</v>
      </c>
      <c r="AV46" s="193" t="e">
        <f>AV34/AV32</f>
        <v>#DIV/0!</v>
      </c>
      <c r="XCS46" s="193"/>
    </row>
    <row r="48" spans="1:49 16319:16321" x14ac:dyDescent="0.2">
      <c r="A48" t="s">
        <v>159</v>
      </c>
      <c r="B48" s="191">
        <f>B24/$B$24</f>
        <v>1</v>
      </c>
      <c r="C48" s="191"/>
      <c r="D48" s="191">
        <f>D24/$B$24</f>
        <v>1</v>
      </c>
      <c r="E48" s="191"/>
      <c r="F48" s="191">
        <f>F24/$B$24</f>
        <v>1</v>
      </c>
      <c r="G48" s="191"/>
      <c r="H48" s="191">
        <f>H24/$B$24</f>
        <v>1</v>
      </c>
      <c r="I48" s="191"/>
      <c r="J48" s="191">
        <f>J24/$B$24</f>
        <v>1</v>
      </c>
      <c r="K48" s="191"/>
      <c r="L48" s="191">
        <f>L24/$B$24</f>
        <v>1</v>
      </c>
      <c r="M48" s="191"/>
      <c r="N48" s="191">
        <f>N24/$B$24</f>
        <v>1</v>
      </c>
      <c r="O48" s="191"/>
      <c r="P48" s="191">
        <f>P24/$B$24</f>
        <v>1</v>
      </c>
      <c r="Q48" s="191"/>
      <c r="R48" s="191">
        <f>R24/$B$24</f>
        <v>1</v>
      </c>
      <c r="S48" s="191"/>
      <c r="T48" s="191">
        <f>T24/$B$24</f>
        <v>1</v>
      </c>
      <c r="U48" s="191"/>
      <c r="V48" s="191">
        <f>V24/$B$24</f>
        <v>1</v>
      </c>
      <c r="W48" s="191"/>
      <c r="X48" s="191">
        <f>X24/$B$24</f>
        <v>1</v>
      </c>
      <c r="Y48" s="191"/>
      <c r="Z48" s="191">
        <f>Z24/$B$24</f>
        <v>1</v>
      </c>
      <c r="AA48" s="191"/>
      <c r="AB48" s="191">
        <f>AB24/$B$24</f>
        <v>1</v>
      </c>
      <c r="AC48" s="191"/>
      <c r="AD48" s="191">
        <f>AD24/$B$24</f>
        <v>1</v>
      </c>
      <c r="AE48" s="191"/>
      <c r="AF48" s="191">
        <f>AF24/$B$24</f>
        <v>1</v>
      </c>
      <c r="AG48" s="191"/>
      <c r="AH48" s="191">
        <f>AH24/$B$24</f>
        <v>1</v>
      </c>
      <c r="AI48" s="191"/>
      <c r="AJ48" s="191">
        <f>AJ24/$B$24</f>
        <v>1</v>
      </c>
      <c r="AK48" s="191"/>
      <c r="AL48" s="191">
        <f>AL24/$B$24</f>
        <v>1</v>
      </c>
      <c r="AM48" s="191"/>
      <c r="AN48" s="191">
        <f>AN24/$B$24</f>
        <v>1</v>
      </c>
      <c r="AO48" s="191"/>
      <c r="AP48" s="191">
        <f>AP24/$B$24</f>
        <v>1</v>
      </c>
      <c r="AQ48" s="191"/>
      <c r="AR48" s="191">
        <f>AR24/$B$24</f>
        <v>1</v>
      </c>
      <c r="AS48" s="191"/>
      <c r="AT48" s="191">
        <f>AT24/$B$24</f>
        <v>1</v>
      </c>
      <c r="AU48" s="191"/>
      <c r="AV48" s="191">
        <f>AV24/$B$24</f>
        <v>0</v>
      </c>
    </row>
    <row r="49" spans="1:48 16321:16384" x14ac:dyDescent="0.2">
      <c r="A49" t="s">
        <v>160</v>
      </c>
      <c r="B49" s="191">
        <f>B13/B35/$B$13*$B$35</f>
        <v>1</v>
      </c>
      <c r="C49" s="191"/>
      <c r="D49" s="191">
        <f>D13/D35/$B$13*$B$35</f>
        <v>0.99240605828281592</v>
      </c>
      <c r="E49" s="191"/>
      <c r="F49" s="191">
        <f>F13/F35/$B$13*$B$35</f>
        <v>0.98434459137160513</v>
      </c>
      <c r="G49" s="191"/>
      <c r="H49" s="191">
        <f>H13/H35/$B$13*$B$35</f>
        <v>0.97579007668841666</v>
      </c>
      <c r="I49" s="191"/>
      <c r="J49" s="191">
        <f>J13/J35/$B$13*$B$35</f>
        <v>0.96672319037905319</v>
      </c>
      <c r="K49" s="191"/>
      <c r="L49" s="191">
        <f>L13/L35/$B$13*$B$35</f>
        <v>0.95713537894570644</v>
      </c>
      <c r="M49" s="191"/>
      <c r="N49" s="191">
        <f>N13/N35/$B$13*$B$35</f>
        <v>0.94703449964858433</v>
      </c>
      <c r="O49" s="191"/>
      <c r="P49" s="191">
        <f>P13/P35/$B$13*$B$35</f>
        <v>0.93645241490055608</v>
      </c>
      <c r="Q49" s="191"/>
      <c r="R49" s="191">
        <f>R13/R35/$B$13*$B$35</f>
        <v>0.92545436445521867</v>
      </c>
      <c r="S49" s="191"/>
      <c r="T49" s="191">
        <f>T13/T35/$B$13*$B$35</f>
        <v>0.91414991512962473</v>
      </c>
      <c r="U49" s="191"/>
      <c r="V49" s="191">
        <f>V13/V35/$B$13*$B$35</f>
        <v>0.90270388648104938</v>
      </c>
      <c r="W49" s="191"/>
      <c r="X49" s="191">
        <f>X13/X35/$B$13*$B$35</f>
        <v>0.89134633252825157</v>
      </c>
      <c r="Y49" s="191"/>
      <c r="Z49" s="191">
        <f>Z13/Z35/$B$13*$B$35</f>
        <v>0.88037603589727997</v>
      </c>
      <c r="AA49" s="191"/>
      <c r="AB49" s="191">
        <f>AB13/AB35/$B$13*$B$35</f>
        <v>0.87014458784737891</v>
      </c>
      <c r="AC49" s="191"/>
      <c r="AD49" s="191">
        <f>AD13/AD35/$B$13*$B$35</f>
        <v>0.86099487714592071</v>
      </c>
      <c r="AE49" s="191"/>
      <c r="AF49" s="191">
        <f>AF13/AF35/$B$13*$B$35</f>
        <v>0.85314091783538026</v>
      </c>
      <c r="AG49" s="191"/>
      <c r="AH49" s="191">
        <f>AH13/AH35/$B$13*$B$35</f>
        <v>0.84654192119049521</v>
      </c>
      <c r="AI49" s="191"/>
      <c r="AJ49" s="191">
        <f>AJ13/AJ35/$B$13*$B$35</f>
        <v>0.8408297039835182</v>
      </c>
      <c r="AK49" s="191"/>
      <c r="AL49" s="191">
        <f>AL13/AL35/$B$13*$B$35</f>
        <v>0.83505869358089735</v>
      </c>
      <c r="AM49" s="191"/>
      <c r="AN49" s="191">
        <f>AN13/AN35/$B$13*$B$35</f>
        <v>0.82611922195517151</v>
      </c>
      <c r="AO49" s="191"/>
      <c r="AP49" s="191">
        <f>AP13/AP35/$B$13*$B$35</f>
        <v>0.82330394532721884</v>
      </c>
      <c r="AQ49" s="191"/>
      <c r="AR49" s="191">
        <f>AR13/AR35/$B$13*$B$35</f>
        <v>0.81989301010173199</v>
      </c>
      <c r="AS49" s="191"/>
      <c r="AT49" s="191">
        <f>AT13/AT35/$B$13*$B$35</f>
        <v>0.81565490715225664</v>
      </c>
      <c r="AU49" s="191"/>
      <c r="AV49" s="191" t="e">
        <f>AV13/AV35/$B$13*$B$35</f>
        <v>#DIV/0!</v>
      </c>
    </row>
    <row r="51" spans="1:48 16321:16384" x14ac:dyDescent="0.2">
      <c r="A51" t="s">
        <v>166</v>
      </c>
      <c r="B51" s="29">
        <f>B30-B10*B23</f>
        <v>-405838.32800000021</v>
      </c>
      <c r="D51" s="29">
        <f>D30-D10*D23</f>
        <v>-360918.08379880479</v>
      </c>
      <c r="F51" s="29">
        <f>F30-F10*F23</f>
        <v>-316176.81995703559</v>
      </c>
      <c r="H51" s="29">
        <f>H30-H10*H23</f>
        <v>-271763.82831097953</v>
      </c>
      <c r="J51" s="29">
        <f>J30-J10*J23</f>
        <v>-227882.99309177184</v>
      </c>
      <c r="L51" s="29">
        <f>L30-L10*L23</f>
        <v>-184804.96140077524</v>
      </c>
      <c r="N51" s="29">
        <f>N30-N10*N23</f>
        <v>-142871.29130347352</v>
      </c>
      <c r="P51" s="29">
        <f>P30-P10*P23</f>
        <v>-102487.16384522244</v>
      </c>
      <c r="R51" s="29">
        <f>R30-R10*R23</f>
        <v>-64085.425484718289</v>
      </c>
      <c r="T51" s="29">
        <f>T30-T10*T23</f>
        <v>-28032.816701588687</v>
      </c>
      <c r="V51" s="29">
        <f>V30-V10*V23</f>
        <v>5572.0269332826138</v>
      </c>
      <c r="X51" s="29">
        <f>X30-X10*X23</f>
        <v>37284.08848061366</v>
      </c>
      <c r="Z51" s="29">
        <f>Z30-Z10*Z23</f>
        <v>69009.384070872329</v>
      </c>
      <c r="AB51" s="29">
        <f>AB30-AB10*AB23</f>
        <v>105172.12652912224</v>
      </c>
      <c r="AD51" s="29">
        <f>AD30-AD10*AD23</f>
        <v>154631.54747240292</v>
      </c>
      <c r="AF51" s="29">
        <f>AF30-AF10*AF23</f>
        <v>234481.33853581967</v>
      </c>
      <c r="AH51" s="29">
        <f>AH30-AH10*AH23</f>
        <v>381899.07738136826</v>
      </c>
      <c r="AJ51" s="29">
        <f>AJ30-AJ10*AJ23</f>
        <v>708159.86115097115</v>
      </c>
      <c r="AL51" s="29">
        <f>AL30-AL10*AL23</f>
        <v>1785619.8039101176</v>
      </c>
      <c r="AN51" s="29">
        <f>AN30-AN10*AN23</f>
        <v>12327138.954617329</v>
      </c>
      <c r="AP51" s="29">
        <f>AP30-AP10*AP23</f>
        <v>25134671.119705349</v>
      </c>
      <c r="AQ51" s="29"/>
      <c r="AR51" s="29">
        <f>AR30-AR10*AR23</f>
        <v>67294050.41710721</v>
      </c>
      <c r="AT51" s="29">
        <f>AT30-AT10*AT23</f>
        <v>308413793.29309916</v>
      </c>
      <c r="AV51" s="29">
        <f>AV30-AV10*AV23</f>
        <v>0</v>
      </c>
      <c r="XFD51" s="29"/>
    </row>
    <row r="52" spans="1:48 16321:16384" x14ac:dyDescent="0.2">
      <c r="A52" t="s">
        <v>167</v>
      </c>
      <c r="B52" s="29">
        <f t="array" ref="B52">Calibration!sL*SUM(B13:C13*B26:C26)</f>
        <v>2049247.8195702801</v>
      </c>
      <c r="D52" s="29">
        <f t="array" ref="D52">Calibration!sL*SUM(D13:E13*D26:E26)</f>
        <v>2020108.0630079503</v>
      </c>
      <c r="F52" s="29">
        <f t="array" ref="F52">Calibration!sL*SUM(F13:G13*F26:G26)</f>
        <v>1988605.9125993182</v>
      </c>
      <c r="H52" s="29">
        <f t="array" ref="H52">Calibration!sL*SUM(H13:I13*H26:I26)</f>
        <v>1954386.5242944802</v>
      </c>
      <c r="J52" s="29">
        <f t="array" ref="J52">Calibration!sL*SUM(J13:K13*J26:K26)</f>
        <v>1917055.8965274431</v>
      </c>
      <c r="L52" s="29">
        <f t="array" ref="L52">Calibration!sL*SUM(L13:M13*L26:M26)</f>
        <v>1876194.4517252897</v>
      </c>
      <c r="N52" s="29">
        <f t="array" ref="N52">Calibration!sL*SUM(N13:O13*N26:O26)</f>
        <v>1831391.9023064726</v>
      </c>
      <c r="P52" s="29">
        <f t="array" ref="P52">Calibration!sL*SUM(P13:Q13*P26:Q26)</f>
        <v>1782316.1923860894</v>
      </c>
      <c r="R52" s="29">
        <f t="array" ref="R52">Calibration!sL*SUM(R13:S13*R26:S26)</f>
        <v>1728842.782468518</v>
      </c>
      <c r="T52" s="29">
        <f t="array" ref="T52">Calibration!sL*SUM(T13:U13*T26:U26)</f>
        <v>1671287.0486811681</v>
      </c>
      <c r="V52" s="29">
        <f t="array" ref="V52">Calibration!sL*SUM(V13:W13*V26:W26)</f>
        <v>1610799.4163312872</v>
      </c>
      <c r="X52" s="29">
        <f t="array" ref="X52">Calibration!sL*SUM(X13:Y13*X26:Y26)</f>
        <v>1550005.4756603811</v>
      </c>
      <c r="Z52" s="29">
        <f t="array" ref="Z52">Calibration!sL*SUM(Z13:AA13*Z26:AA26)</f>
        <v>1493980.1623938689</v>
      </c>
      <c r="AB52" s="29">
        <f t="array" ref="AB52">Calibration!sL*SUM(AB13:AC13*AB26:AC26)</f>
        <v>1451559.0368976833</v>
      </c>
      <c r="AD52" s="29">
        <f t="array" ref="AD52">Calibration!sL*SUM(AD13:AE13*AD26:AE26)</f>
        <v>1436966.2298540289</v>
      </c>
      <c r="AF52" s="29">
        <f t="array" ref="AF52">Calibration!sL*SUM(AF13:AG13*AF26:AG26)</f>
        <v>1472820.05226297</v>
      </c>
      <c r="AH52" s="29">
        <f t="array" ref="AH52">Calibration!sL*SUM(AH13:AI13*AH26:AI26)</f>
        <v>1601500.615124427</v>
      </c>
      <c r="AJ52" s="29">
        <f t="array" ref="AJ52">Calibration!sL*SUM(AJ13:AK13*AJ26:AK26)</f>
        <v>1938116.5640897343</v>
      </c>
      <c r="AL52" s="29">
        <f t="array" ref="AL52">Calibration!sL*SUM(AL13:AM13*AL26:AM26)</f>
        <v>3011086.7158760726</v>
      </c>
      <c r="AN52" s="29">
        <f t="array" ref="AN52">Calibration!sL*SUM(AN13:AO13*AN26:AO26)</f>
        <v>11386856.937458115</v>
      </c>
      <c r="AP52" s="29">
        <f t="array" ref="AP52">Calibration!sL*SUM(AP13:AQ13*AP26:AQ26)</f>
        <v>20280521.616170455</v>
      </c>
      <c r="AQ52" s="29"/>
      <c r="AR52" s="29">
        <f t="array" ref="AR52">Calibration!sL*SUM(AR13:AS13*AR26:AS26)</f>
        <v>46921572.972956508</v>
      </c>
      <c r="AT52" s="29">
        <f t="array" ref="AT52">Calibration!sL*SUM(AT13:AU13*AT26:AU26)</f>
        <v>181553903.58759457</v>
      </c>
      <c r="AV52" s="29">
        <f t="array" ref="AV52">Calibration!sL*SUM(AV13:AW13*AV26:AW26)</f>
        <v>0</v>
      </c>
    </row>
    <row r="53" spans="1:48 16321:16384" x14ac:dyDescent="0.2">
      <c r="A53" t="s">
        <v>168</v>
      </c>
      <c r="B53" s="29">
        <f t="array" ref="B53">Calibration!sK*SUM(B15:C15*B27:C27)</f>
        <v>2740714.444429745</v>
      </c>
      <c r="D53" s="29">
        <f t="array" ref="D53">Calibration!sK*SUM(D15:E15*D27:E27)</f>
        <v>2707127.5070225988</v>
      </c>
      <c r="F53" s="29">
        <f t="array" ref="F53">Calibration!sK*SUM(F15:G15*F27:G27)</f>
        <v>2670979.811205653</v>
      </c>
      <c r="H53" s="29">
        <f t="array" ref="H53">Calibration!sK*SUM(H15:I15*H27:I27)</f>
        <v>2631812.1581204268</v>
      </c>
      <c r="J53" s="29">
        <f t="array" ref="J53">Calibration!sK*SUM(J15:K15*J27:K27)</f>
        <v>2589097.4112289432</v>
      </c>
      <c r="L53" s="29">
        <f t="array" ref="L53">Calibration!sK*SUM(L15:M15*L27:M27)</f>
        <v>2542250.852592479</v>
      </c>
      <c r="N53" s="29">
        <f t="array" ref="N53">Calibration!sK*SUM(N15:O15*N27:O27)</f>
        <v>2490666.1488959072</v>
      </c>
      <c r="P53" s="29">
        <f t="array" ref="P53">Calibration!sK*SUM(P15:Q15*P27:Q27)</f>
        <v>2433794.641082631</v>
      </c>
      <c r="R53" s="29">
        <f t="array" ref="R53">Calibration!sK*SUM(R15:S15*R27:S27)</f>
        <v>2371303.8039780017</v>
      </c>
      <c r="T53" s="29">
        <f t="array" ref="T53">Calibration!sK*SUM(T15:U15*T27:U27)</f>
        <v>2303373.7298053498</v>
      </c>
      <c r="V53" s="29">
        <f t="array" ref="V53">Calibration!sK*SUM(V15:W15*V27:W27)</f>
        <v>2231214.1165581578</v>
      </c>
      <c r="X53" s="29">
        <f t="array" ref="X53">Calibration!sK*SUM(X15:Y15*X27:Y27)</f>
        <v>2157914.2753149746</v>
      </c>
      <c r="Z53" s="29">
        <f t="array" ref="Z53">Calibration!sK*SUM(Z15:AA15*Z27:AA27)</f>
        <v>2089744.1922453109</v>
      </c>
      <c r="AB53" s="29">
        <f t="array" ref="AB53">Calibration!sK*SUM(AB15:AC15*AB27:AC27)</f>
        <v>2037893.1899885957</v>
      </c>
      <c r="AD53" s="29">
        <f t="array" ref="AD53">Calibration!sK*SUM(AD15:AE15*AD27:AE27)</f>
        <v>2020552.1951479861</v>
      </c>
      <c r="AF53" s="29">
        <f t="array" ref="AF53">Calibration!sK*SUM(AF15:AG15*AF27:AG27)</f>
        <v>2066512.1781613277</v>
      </c>
      <c r="AH53" s="29">
        <f t="array" ref="AH53">Calibration!sK*SUM(AH15:AI15*AH27:AI27)</f>
        <v>2228675.0670472509</v>
      </c>
      <c r="AJ53" s="29">
        <f t="array" ref="AJ53">Calibration!sK*SUM(AJ15:AK15*AJ27:AK27)</f>
        <v>2646857.2188515537</v>
      </c>
      <c r="AL53" s="29">
        <f t="array" ref="AL53">Calibration!sK*SUM(AL15:AM15*AL27:AM27)</f>
        <v>3938939.3266330343</v>
      </c>
      <c r="AN53" s="29">
        <f t="array" ref="AN53">Calibration!sK*SUM(AN15:AO15*AN27:AO27)</f>
        <v>13049328.027337333</v>
      </c>
      <c r="AP53" s="29">
        <f t="array" ref="AP53">Calibration!sK*SUM(AP15:AQ15*AP27:AQ27)</f>
        <v>21916437.518452972</v>
      </c>
      <c r="AQ53" s="29"/>
      <c r="AR53" s="29">
        <f t="array" ref="AR53">Calibration!sK*SUM(AR15:AS15*AR27:AS27)</f>
        <v>46552590.468664624</v>
      </c>
      <c r="AT53" s="29">
        <f t="array" ref="AT53">Calibration!sK*SUM(AT15:AU15*AT27:AU27)</f>
        <v>157170310.13390738</v>
      </c>
      <c r="AV53" s="29">
        <f t="array" ref="AV53">Calibration!sK*SUM(AV15:AW15*AV27:AW27)</f>
        <v>0</v>
      </c>
      <c r="XFD53" s="29"/>
    </row>
    <row r="55" spans="1:48 16321:16384" x14ac:dyDescent="0.2">
      <c r="A55" t="s">
        <v>169</v>
      </c>
      <c r="B55" s="193">
        <f>B30/B32</f>
        <v>0.19850271905982084</v>
      </c>
      <c r="D55" s="193">
        <f>D30/D32</f>
        <v>0.20131312882729019</v>
      </c>
      <c r="F55" s="193">
        <f>F30/F32</f>
        <v>0.20414221118396714</v>
      </c>
      <c r="H55" s="193">
        <f>H30/H32</f>
        <v>0.20698587453254713</v>
      </c>
      <c r="J55" s="193">
        <f>J30/J32</f>
        <v>0.20983784021079724</v>
      </c>
      <c r="L55" s="193">
        <f>L30/L32</f>
        <v>0.21268903216657242</v>
      </c>
      <c r="N55" s="193">
        <f>N30/N32</f>
        <v>0.21552745466554707</v>
      </c>
      <c r="P55" s="193">
        <f>P30/P32</f>
        <v>0.21833864493357483</v>
      </c>
      <c r="R55" s="193">
        <f>R30/R32</f>
        <v>0.221107789124249</v>
      </c>
      <c r="T55" s="193">
        <f>T30/T32</f>
        <v>0.22382552086138979</v>
      </c>
      <c r="V55" s="193">
        <f>V30/V32</f>
        <v>0.22650128214472617</v>
      </c>
      <c r="X55" s="193">
        <f>X30/X32</f>
        <v>0.2291904951249176</v>
      </c>
      <c r="Z55" s="193">
        <f>Z30/Z32</f>
        <v>0.23204551849625918</v>
      </c>
      <c r="AB55" s="193">
        <f>AB30/AB32</f>
        <v>0.23539553919821962</v>
      </c>
      <c r="AD55" s="193">
        <f>AD30/AD32</f>
        <v>0.23983870871736729</v>
      </c>
      <c r="AF55" s="193">
        <f>AF30/AF32</f>
        <v>0.24630355221022415</v>
      </c>
      <c r="AH55" s="193">
        <f>AH30/AH32</f>
        <v>0.2561350493469044</v>
      </c>
      <c r="AJ55" s="193">
        <f>AJ30/AJ32</f>
        <v>0.27167714387402864</v>
      </c>
      <c r="AL55" s="193">
        <f>AL30/AL32</f>
        <v>0.29907925297583399</v>
      </c>
      <c r="AN55" s="193">
        <f>AN30/AN32</f>
        <v>0.35742158312850769</v>
      </c>
      <c r="AP55" s="193">
        <f>AP30/AP32</f>
        <v>0.37651540777700632</v>
      </c>
      <c r="AR55" s="193">
        <f>AR30/AR32</f>
        <v>0.40076004171985868</v>
      </c>
      <c r="AT55" s="193">
        <f>AT30/AT32</f>
        <v>0.43444806419011328</v>
      </c>
      <c r="AV55" s="193" t="e">
        <f>AV30/AV32</f>
        <v>#DIV/0!</v>
      </c>
      <c r="XCS55" s="193"/>
      <c r="XFD55" s="193"/>
    </row>
    <row r="56" spans="1:48 16321:16384" x14ac:dyDescent="0.2">
      <c r="A56" t="s">
        <v>170</v>
      </c>
      <c r="B56" s="193">
        <f>(Model!$C$52*B5*B20+B2*C5*C20)/B32</f>
        <v>2.9221206744340551E-2</v>
      </c>
      <c r="D56" s="193">
        <f>(Model!$C$52*D5*D20+D2*E5*E20)/D32</f>
        <v>3.2823011181479692E-2</v>
      </c>
      <c r="F56" s="193">
        <f>(Model!$C$52*F5*F20+F2*G5*G20)/F32</f>
        <v>3.6470617098427471E-2</v>
      </c>
      <c r="H56" s="193">
        <f>(Model!$C$52*H5*H20+H2*I5*I20)/H32</f>
        <v>4.016116574487625E-2</v>
      </c>
      <c r="J56" s="193">
        <f>(Model!$C$52*J5*J20+J2*K5*K20)/J32</f>
        <v>4.3889157693363511E-2</v>
      </c>
      <c r="L56" s="193">
        <f>(Model!$C$52*L5*L20+L2*M5*M20)/L32</f>
        <v>4.7645551285529095E-2</v>
      </c>
      <c r="N56" s="193">
        <f>(Model!$C$52*N5*N20+N2*O5*O20)/N32</f>
        <v>5.141737196479134E-2</v>
      </c>
      <c r="P56" s="193">
        <f>(Model!$C$52*P5*P20+P2*Q5*Q20)/P32</f>
        <v>5.518786612037916E-2</v>
      </c>
      <c r="R56" s="193">
        <f>(Model!$C$52*R5*R20+R2*S5*S20)/R32</f>
        <v>5.8938393059893755E-2</v>
      </c>
      <c r="T56" s="193">
        <f>(Model!$C$52*T5*T20+T2*U5*U20)/T32</f>
        <v>6.2654184856939424E-2</v>
      </c>
      <c r="V56" s="193">
        <f>(Model!$C$52*V5*V20+V2*W5*W20)/V32</f>
        <v>6.6338435373835644E-2</v>
      </c>
      <c r="X56" s="193">
        <f>(Model!$C$52*X5*X20+X2*Y5*Y20)/X32</f>
        <v>7.0041409126744933E-2</v>
      </c>
      <c r="Z56" s="193">
        <f>(Model!$C$52*Z5*Z20+Z2*AA5*AA20)/Z32</f>
        <v>7.3915509296105963E-2</v>
      </c>
      <c r="AB56" s="193">
        <f>(Model!$C$52*AB5*AB20+AB2*AC5*AC20)/AB32</f>
        <v>7.8302421614614592E-2</v>
      </c>
      <c r="AD56" s="193">
        <f>(Model!$C$52*AD5*AD20+AD2*AE5*AE20)/AD32</f>
        <v>8.3834453051293598E-2</v>
      </c>
      <c r="AF56" s="193">
        <f>(Model!$C$52*AF5*AF20+AF2*AG5*AG20)/AF32</f>
        <v>9.1502134232279375E-2</v>
      </c>
      <c r="AH56" s="193">
        <f>(Model!$C$52*AH5*AH20+AH2*AI5*AI20)/AH32</f>
        <v>0.10274161100628265</v>
      </c>
      <c r="AJ56" s="193">
        <f>(Model!$C$52*AJ5*AJ20+AJ2*AK5*AK20)/AJ32</f>
        <v>0.12003535662858909</v>
      </c>
      <c r="AL56" s="193">
        <f>(Model!$C$52*AL5*AL20+AL2*AM5*AM20)/AL32</f>
        <v>0.14980044879010956</v>
      </c>
      <c r="AN56" s="193">
        <f>(Model!$C$52*AN5*AN20+AN2*AO5*AO20)/AN32</f>
        <v>0.21074777844173587</v>
      </c>
      <c r="AP56" s="193">
        <f>(Model!$C$52*AP5*AP20+AP2*AQ5*AQ20)/AP32</f>
        <v>0.22992553361152251</v>
      </c>
      <c r="AR56" s="193">
        <f>(Model!$C$52*AR5*AR20+AR2*AS5*AS20)/AR32</f>
        <v>0.2538845876622523</v>
      </c>
      <c r="AT56" s="193">
        <f>(Model!$C$52*AT5*AT20+AT2*AU5*AU20)/AT32</f>
        <v>0.28685215697659322</v>
      </c>
      <c r="AV56" s="193" t="e">
        <f>(Model!$C$52*AV5*AV20+AV2*AW5*AW20)/AV32</f>
        <v>#DIV/0!</v>
      </c>
      <c r="XFD56" s="193"/>
    </row>
    <row r="57" spans="1:48 16321:16384" x14ac:dyDescent="0.2">
      <c r="A57" t="s">
        <v>171</v>
      </c>
      <c r="B57" s="193">
        <f t="array" ref="B57">SUM(Model!tauL*B13:C13*B26:C26)/B32</f>
        <v>0.15852881819439493</v>
      </c>
      <c r="D57" s="193">
        <f t="array" ref="D57">SUM(Model!tauL*D13:E13*D26:E26)/D32</f>
        <v>0.15779454649625016</v>
      </c>
      <c r="F57" s="193">
        <f t="array" ref="F57">SUM(Model!tauL*F13:G13*F26:G26)/F32</f>
        <v>0.15703262908406629</v>
      </c>
      <c r="H57" s="193">
        <f t="array" ref="H57">SUM(Model!tauL*H13:I13*H26:I26)/H32</f>
        <v>0.15624176162184195</v>
      </c>
      <c r="J57" s="193">
        <f t="array" ref="J57">SUM(Model!tauL*J13:K13*J26:K26)/J32</f>
        <v>0.15542109157513392</v>
      </c>
      <c r="L57" s="193">
        <f t="array" ref="L57">SUM(Model!tauL*L13:M13*L26:M26)/L32</f>
        <v>0.15457051549650314</v>
      </c>
      <c r="N57" s="193">
        <f t="array" ref="N57">SUM(Model!tauL*N13:O13*N26:O26)/N32</f>
        <v>0.15369097005776972</v>
      </c>
      <c r="P57" s="193">
        <f t="array" ref="P57">SUM(Model!tauL*P13:Q13*P26:Q26)/P32</f>
        <v>0.1527847733205796</v>
      </c>
      <c r="R57" s="193">
        <f t="array" ref="R57">SUM(Model!tauL*R13:S13*R26:S26)/R32</f>
        <v>0.1518559293305467</v>
      </c>
      <c r="T57" s="193">
        <f t="array" ref="T57">SUM(Model!tauL*T13:U13*T26:U26)/T32</f>
        <v>0.15091031264913296</v>
      </c>
      <c r="V57" s="193">
        <f t="array" ref="V57">SUM(Model!tauL*V13:W13*V26:W26)/V32</f>
        <v>0.14995522398082684</v>
      </c>
      <c r="X57" s="193">
        <f t="array" ref="X57">SUM(Model!tauL*X13:Y13*X26:Y26)/X32</f>
        <v>0.14899794458317037</v>
      </c>
      <c r="Y57" s="193"/>
      <c r="Z57" s="193">
        <f t="array" ref="Z57">SUM(Model!tauL*Z13:AA13*Z26:AA26)/Z32</f>
        <v>0.14804241834634926</v>
      </c>
      <c r="AB57" s="193">
        <f t="array" ref="AB57">SUM(Model!tauL*AB13:AC13*AB26:AC26)/AB32</f>
        <v>0.14708305983958109</v>
      </c>
      <c r="AD57" s="193">
        <f t="array" ref="AD57">SUM(Model!tauL*AD13:AE13*AD26:AE26)/AD32</f>
        <v>0.14609639049081488</v>
      </c>
      <c r="AF57" s="193">
        <f t="array" ref="AF57">SUM(Model!tauL*AF13:AG13*AF26:AG26)/AF32</f>
        <v>0.14503468903405703</v>
      </c>
      <c r="AH57" s="193">
        <f t="array" ref="AH57">SUM(Model!tauL*AH13:AI13*AH26:AI26)/AH32</f>
        <v>0.1438241836467844</v>
      </c>
      <c r="AJ57" s="193">
        <f t="array" ref="AJ57">SUM(Model!tauL*AJ13:AK13*AJ26:AK26)/AJ32</f>
        <v>0.1423494842528398</v>
      </c>
      <c r="AL57" s="193">
        <f t="array" ref="AL57">SUM(Model!tauL*AL13:AM13*AL26:AM26)/AL32</f>
        <v>0.14037882421117531</v>
      </c>
      <c r="AN57" s="193">
        <f t="array" ref="AN57">SUM(Model!tauL*AN13:AO13*AN26:AO26)/AN32</f>
        <v>0.13832588462738654</v>
      </c>
      <c r="AP57" s="193">
        <f t="array" ref="AP57">SUM(Model!tauL*AP13:AQ13*AP26:AQ26)/AP32</f>
        <v>0.13838895763789241</v>
      </c>
      <c r="AR57" s="193">
        <f t="array" ref="AR57">SUM(Model!tauL*AR13:AS13*AR26:AS26)/AR32</f>
        <v>0.13885806166477543</v>
      </c>
      <c r="AT57" s="193">
        <f t="array" ref="AT57">SUM(Model!tauL*AT13:AU13*AT26:AU26)/AT32</f>
        <v>0.13983674014942019</v>
      </c>
      <c r="AV57" s="193" t="e">
        <f t="array" ref="AV57">SUM(Model!tauL*AV13:AW13*AV26:AW26)/AV32</f>
        <v>#DIV/0!</v>
      </c>
      <c r="XFD57" s="193"/>
    </row>
    <row r="58" spans="1:48 16321:16384" x14ac:dyDescent="0.2">
      <c r="A58" t="s">
        <v>172</v>
      </c>
      <c r="B58" s="193">
        <f t="array" ref="B58">SUM(Model!tauY/(1+Model!tauY)*B3:C3*B18:C18)/B32</f>
        <v>1.075269412108535E-2</v>
      </c>
      <c r="D58" s="193">
        <f t="array" ref="D58">SUM(Model!tauY/(1+Model!tauY)*D3:E3*D18:E18)/D32</f>
        <v>1.0695571149560341E-2</v>
      </c>
      <c r="F58" s="193">
        <f t="array" ref="F58">SUM(Model!tauY/(1+Model!tauY)*F3:G3*F18:G18)/F32</f>
        <v>1.0638965001473393E-2</v>
      </c>
      <c r="H58" s="193">
        <f t="array" ref="H58">SUM(Model!tauY/(1+Model!tauY)*H3:I3*H18:I18)/H32</f>
        <v>1.0582947165828945E-2</v>
      </c>
      <c r="J58" s="193">
        <f t="array" ref="J58">SUM(Model!tauY/(1+Model!tauY)*J3:K3*J18:K18)/J32</f>
        <v>1.0527590942299773E-2</v>
      </c>
      <c r="L58" s="193">
        <f t="array" ref="L58">SUM(Model!tauY/(1+Model!tauY)*L3:M3*L18:M18)/L32</f>
        <v>1.0472965384540209E-2</v>
      </c>
      <c r="N58" s="193">
        <f t="array" ref="N58">SUM(Model!tauY/(1+Model!tauY)*N3:O3*N18:O18)/N32</f>
        <v>1.0419112642986022E-2</v>
      </c>
      <c r="P58" s="193">
        <f t="array" ref="P58">SUM(Model!tauY/(1+Model!tauY)*P3:Q3*P18:Q18)/P32</f>
        <v>1.0366005492616029E-2</v>
      </c>
      <c r="R58" s="193">
        <f t="array" ref="R58">SUM(Model!tauY/(1+Model!tauY)*R3:S3*R18:S18)/R32</f>
        <v>1.0313466733808526E-2</v>
      </c>
      <c r="T58" s="193">
        <f t="array" ref="T58">SUM(Model!tauY/(1+Model!tauY)*T3:U3*T18:U18)/T32</f>
        <v>1.0261023355317441E-2</v>
      </c>
      <c r="V58" s="193">
        <f t="array" ref="V58">SUM(Model!tauY/(1+Model!tauY)*V3:W3*V18:W18)/V32</f>
        <v>1.0207622790063693E-2</v>
      </c>
      <c r="X58" s="193">
        <f t="array" ref="X58">SUM(Model!tauY/(1+Model!tauY)*X3:Y3*X18:Y18)/X32</f>
        <v>1.0151141415002299E-2</v>
      </c>
      <c r="Y58" s="193"/>
      <c r="Z58" s="193">
        <f t="array" ref="Z58">SUM(Model!tauY/(1+Model!tauY)*Z3:AA3*Z18:AA18)/Z32</f>
        <v>1.0087590853803915E-2</v>
      </c>
      <c r="AB58" s="193">
        <f t="array" ref="AB58">SUM(Model!tauY/(1+Model!tauY)*AB3:AC3*AB18:AC18)/AB32</f>
        <v>1.0010057744023927E-2</v>
      </c>
      <c r="AD58" s="193">
        <f t="array" ref="AD58">SUM(Model!tauY/(1+Model!tauY)*AD3:AE3*AD18:AE18)/AD32</f>
        <v>9.9078651752588058E-3</v>
      </c>
      <c r="AF58" s="193">
        <f t="array" ref="AF58">SUM(Model!tauY/(1+Model!tauY)*AF3:AG3*AF18:AG18)/AF32</f>
        <v>9.7667289438877324E-3</v>
      </c>
      <c r="AH58" s="193">
        <f t="array" ref="AH58">SUM(Model!tauY/(1+Model!tauY)*AH3:AI3*AH18:AI18)/AH32</f>
        <v>9.5692546938373653E-3</v>
      </c>
      <c r="AJ58" s="193">
        <f t="array" ref="AJ58">SUM(Model!tauY/(1+Model!tauY)*AJ3:AK3*AJ18:AK18)/AJ32</f>
        <v>9.292302992599694E-3</v>
      </c>
      <c r="AL58" s="193">
        <f t="array" ref="AL58">SUM(Model!tauY/(1+Model!tauY)*AL3:AM3*AL18:AM18)/AL32</f>
        <v>8.8999799745491312E-3</v>
      </c>
      <c r="AN58" s="193">
        <f t="array" ref="AN58">SUM(Model!tauY/(1+Model!tauY)*AN3:AO3*AN18:AO18)/AN32</f>
        <v>8.347920059385304E-3</v>
      </c>
      <c r="AP58" s="193">
        <f t="array" ref="AP58">SUM(Model!tauY/(1+Model!tauY)*AP3:AQ3*AP18:AQ18)/AP32</f>
        <v>8.2009165275913933E-3</v>
      </c>
      <c r="AR58" s="193">
        <f t="array" ref="AR58">SUM(Model!tauY/(1+Model!tauY)*AR3:AS3*AR18:AS18)/AR32</f>
        <v>8.0173923928310228E-3</v>
      </c>
      <c r="AT58" s="193">
        <f t="array" ref="AT58">SUM(Model!tauY/(1+Model!tauY)*AT3:AU3*AT18:AU18)/AT32</f>
        <v>7.7591670640998547E-3</v>
      </c>
      <c r="AV58" s="193" t="e">
        <f t="array" ref="AV58">SUM(Model!tauY/(1+Model!tauY)*AV3:AW3*AV18:AW18)/AV32</f>
        <v>#DIV/0!</v>
      </c>
      <c r="XFD58" s="193"/>
    </row>
    <row r="59" spans="1:48 16321:16384" x14ac:dyDescent="0.2">
      <c r="A59" t="s">
        <v>173</v>
      </c>
      <c r="B59" s="193">
        <f>(B2*C5*C20)/B32</f>
        <v>5.5174232040962052E-4</v>
      </c>
      <c r="D59" s="193">
        <f>(D2*E5*E20)/D32</f>
        <v>4.1899135847591308E-3</v>
      </c>
      <c r="F59" s="193">
        <f>(F2*G5*G20)/F32</f>
        <v>7.8672080044995697E-3</v>
      </c>
      <c r="H59" s="193">
        <f>(H2*I5*I20)/H32</f>
        <v>1.1578948967835328E-2</v>
      </c>
      <c r="J59" s="193">
        <f>(J2*K5*K20)/J32</f>
        <v>1.5317255496195788E-2</v>
      </c>
      <c r="L59" s="193">
        <f>(L2*M5*M20)/L32</f>
        <v>1.9069944201938371E-2</v>
      </c>
      <c r="N59" s="193">
        <f>(N2*O5*O20)/N32</f>
        <v>2.2819917994671722E-2</v>
      </c>
      <c r="P59" s="193">
        <f>(P2*Q5*Q20)/P32</f>
        <v>2.6545050642029958E-2</v>
      </c>
      <c r="R59" s="193">
        <f>(R2*S5*S20)/R32</f>
        <v>3.0219802041081049E-2</v>
      </c>
      <c r="T59" s="193">
        <f>(T2*U5*U20)/T32</f>
        <v>3.3820791427887326E-2</v>
      </c>
      <c r="V59" s="193">
        <f>(V2*W5*W20)/V32</f>
        <v>3.7341124467584558E-2</v>
      </c>
      <c r="X59" s="193">
        <f>(X2*Y5*Y20)/X32</f>
        <v>4.0820796102329873E-2</v>
      </c>
      <c r="Z59" s="193">
        <f>(Z2*AA5*AA20)/Z32</f>
        <v>4.4405393538664725E-2</v>
      </c>
      <c r="AB59" s="193">
        <f>(AB2*AC5*AC20)/AB32</f>
        <v>4.8440904590720667E-2</v>
      </c>
      <c r="AD59" s="193">
        <f>(AD2*AE5*AE20)/AD32</f>
        <v>5.3586313284499025E-2</v>
      </c>
      <c r="AF59" s="193">
        <f>(AF2*AG5*AG20)/AF32</f>
        <v>6.0889615492844572E-2</v>
      </c>
      <c r="AH59" s="193">
        <f>(AH2*AI5*AI20)/AH32</f>
        <v>7.187408850762407E-2</v>
      </c>
      <c r="AJ59" s="193">
        <f>(AJ2*AK5*AK20)/AJ32</f>
        <v>8.9145445112661675E-2</v>
      </c>
      <c r="AL59" s="193">
        <f>(AL2*AM5*AM20)/AL32</f>
        <v>0.11935981902400979</v>
      </c>
      <c r="AN59" s="193">
        <f>(AN2*AO5*AO20)/AN32</f>
        <v>0.18177450281676258</v>
      </c>
      <c r="AP59" s="193">
        <f>(AP2*AQ5*AQ20)/AP32</f>
        <v>0.20143995662234587</v>
      </c>
      <c r="AR59" s="193">
        <f>(AR2*AS5*AS20)/AR32</f>
        <v>0.22601536784476711</v>
      </c>
      <c r="AT59" s="193">
        <f>(AT2*AU5*AU20)/AT32</f>
        <v>0.25985037142125766</v>
      </c>
      <c r="AV59" s="193" t="e">
        <f>(AV2*AW5*AW20)/AV32</f>
        <v>#DIV/0!</v>
      </c>
      <c r="XFD59" s="193"/>
    </row>
    <row r="60" spans="1:48 16321:16384" x14ac:dyDescent="0.2">
      <c r="A60" t="s">
        <v>174</v>
      </c>
      <c r="B60" s="193">
        <f>Model!$C$52*B5*B20/B32</f>
        <v>2.8669464423930927E-2</v>
      </c>
      <c r="D60" s="193">
        <f>Model!$C$52*D5*D20/D32</f>
        <v>2.8633097596720562E-2</v>
      </c>
      <c r="F60" s="193">
        <f>Model!$C$52*F5*F20/F32</f>
        <v>2.86034090939279E-2</v>
      </c>
      <c r="H60" s="193">
        <f>Model!$C$52*H5*H20/H32</f>
        <v>2.8582216777040925E-2</v>
      </c>
      <c r="J60" s="193">
        <f>Model!$C$52*J5*J20/J32</f>
        <v>2.8571902197167723E-2</v>
      </c>
      <c r="L60" s="193">
        <f>Model!$C$52*L5*L20/L32</f>
        <v>2.8575607083590724E-2</v>
      </c>
      <c r="N60" s="193">
        <f>Model!$C$52*N5*N20/N32</f>
        <v>2.8597453970119618E-2</v>
      </c>
      <c r="P60" s="193">
        <f>Model!$C$52*P5*P20/P32</f>
        <v>2.8642815478349196E-2</v>
      </c>
      <c r="R60" s="193">
        <f>Model!$C$52*R5*R20/R32</f>
        <v>2.8718591018812707E-2</v>
      </c>
      <c r="T60" s="193">
        <f>Model!$C$52*T5*T20/T32</f>
        <v>2.8833393429052102E-2</v>
      </c>
      <c r="V60" s="193">
        <f>Model!$C$52*V5*V20/V32</f>
        <v>2.8997310906251083E-2</v>
      </c>
      <c r="X60" s="193">
        <f>Model!$C$52*X5*X20/X32</f>
        <v>2.9220613024415056E-2</v>
      </c>
      <c r="Z60" s="193">
        <f>Model!$C$52*Z5*Z20/Z32</f>
        <v>2.9510115757441238E-2</v>
      </c>
      <c r="AB60" s="193">
        <f>Model!$C$52*AB5*AB20/AB32</f>
        <v>2.9861517023893929E-2</v>
      </c>
      <c r="AD60" s="193">
        <f>Model!$C$52*AD5*AD20/AD32</f>
        <v>3.0248139766794583E-2</v>
      </c>
      <c r="AF60" s="193">
        <f>Model!$C$52*AF5*AF20/AF32</f>
        <v>3.0612518739434817E-2</v>
      </c>
      <c r="AH60" s="193">
        <f>Model!$C$52*AH5*AH20/AH32</f>
        <v>3.0867522498658585E-2</v>
      </c>
      <c r="AJ60" s="193">
        <f>Model!$C$52*AJ5*AJ20/AJ32</f>
        <v>3.0889911515927407E-2</v>
      </c>
      <c r="AL60" s="193">
        <f>Model!$C$52*AL5*AL20/AL32</f>
        <v>3.0440629766099778E-2</v>
      </c>
      <c r="AN60" s="193">
        <f>Model!$C$52*AN5*AN20/AN32</f>
        <v>2.8973275624973278E-2</v>
      </c>
      <c r="AP60" s="193">
        <f>Model!$C$52*AP5*AP20/AP32</f>
        <v>2.8485576989176652E-2</v>
      </c>
      <c r="AR60" s="193">
        <f>Model!$C$52*AR5*AR20/AR32</f>
        <v>2.7869219817485212E-2</v>
      </c>
      <c r="AT60" s="193">
        <f>Model!$C$52*AT5*AT20/AT32</f>
        <v>2.7001785555335524E-2</v>
      </c>
      <c r="AV60" s="193" t="e">
        <f>Model!$C$52*AV5*AV20/AV32</f>
        <v>#DIV/0!</v>
      </c>
      <c r="XFD60" s="193"/>
    </row>
    <row r="62" spans="1:48 16321:16384" x14ac:dyDescent="0.2">
      <c r="A62" t="s">
        <v>175</v>
      </c>
      <c r="B62">
        <f>B13/B15</f>
        <v>1</v>
      </c>
      <c r="D62">
        <f>D13/D15</f>
        <v>0.99543397275253276</v>
      </c>
      <c r="F62">
        <f>F13/F15</f>
        <v>0.99050992580868724</v>
      </c>
      <c r="H62">
        <f>H13/H15</f>
        <v>0.98519892748492977</v>
      </c>
      <c r="J62">
        <f>J13/J15</f>
        <v>0.9794733774937795</v>
      </c>
      <c r="L62">
        <f>L13/L15</f>
        <v>0.97330963794106007</v>
      </c>
      <c r="N62">
        <f>N13/N15</f>
        <v>0.96669197577689403</v>
      </c>
      <c r="P62">
        <f>P13/P15</f>
        <v>0.95961884798453378</v>
      </c>
      <c r="R62">
        <f>R13/R15</f>
        <v>0.9521128627660036</v>
      </c>
      <c r="T62">
        <f>T13/T15</f>
        <v>0.94423712773943536</v>
      </c>
      <c r="V62">
        <f>V13/V15</f>
        <v>0.93612267060296339</v>
      </c>
      <c r="X62">
        <f>X13/X15</f>
        <v>0.928016398236858</v>
      </c>
      <c r="Z62">
        <f>Z13/Z15</f>
        <v>0.92036222918882393</v>
      </c>
      <c r="AB62">
        <f>AB13/AB15</f>
        <v>0.91392317042093596</v>
      </c>
      <c r="AD62">
        <f>AD13/AD15</f>
        <v>0.90992699492455686</v>
      </c>
      <c r="AF62">
        <f>AF13/AF15</f>
        <v>0.91023361903392797</v>
      </c>
      <c r="AH62">
        <f>AH13/AH15</f>
        <v>0.91782507523764933</v>
      </c>
      <c r="AJ62">
        <f>AJ13/AJ15</f>
        <v>0.93905455325284592</v>
      </c>
      <c r="AL62">
        <f>AL13/AL15</f>
        <v>0.99482429905212288</v>
      </c>
      <c r="AN62">
        <f>AN13/AN15</f>
        <v>1.1999731866542964</v>
      </c>
      <c r="AP62">
        <f>AP13/AP15</f>
        <v>1.3049066731631265</v>
      </c>
      <c r="AR62">
        <f>AR13/AR15</f>
        <v>1.4743653744245704</v>
      </c>
      <c r="AT62">
        <f>AT13/AT15</f>
        <v>1.7913706053839944</v>
      </c>
      <c r="AV62" t="e">
        <f>AV13/AV15</f>
        <v>#DIV/0!</v>
      </c>
    </row>
    <row r="65" spans="1:48 16384:16384" x14ac:dyDescent="0.2">
      <c r="A65" t="s">
        <v>176</v>
      </c>
      <c r="B65" s="191">
        <f>SQRT((B9:C9*$B$22:$C$22+B10:C10*$B$23:$C$23+B11:C11*$B$24:$C$24+B4:C4*($B$25:$C$25-$B$19:$C$19))/($B$9:$C$9*$B$22:$C$22+$B$10:$C$10*$B$23:$C$23+$B$11:$C$11*$B$24:$C$24+$B$4:$C$4*($B$25:$C$25-$B$19:$C$19))*(B9:C9*B22:C22+B10:C10*B23:C23+B11:C11*B24:C24+B4:C4*(B25:C25-B19:C19))/($B$9:$C$9*B22:C22+$B$10:$C$10*B23:C23+$B$11:$C$11*B24:C24+$B$4:$C$4*(B25:C25-B19:C19)))</f>
        <v>1</v>
      </c>
      <c r="C65" s="191"/>
      <c r="D65" s="191">
        <f t="array" ref="D65">SQRT((D9:E9*$B$22:$C$22+D10:E10*$B$23:$C$23+D11:E11*$B$24:$C$24+D4:E4*($B$25:$C$25-$B$19:$C$19))/($B$9:$C$9*$B$22:$C$22+$B$10:$C$10*$B$23:$C$23+$B$11:$C$11*$B$24:$C$24+$B$4:$C$4*($B$25:$C$25-$B$19:$C$19))*(D9:E9*D22:E22+D10:E10*D23:E23+D11:E11*D24:E24+D4:E4*(D25:E25-D19:E19))/($B$9:$C$9*D22:E22+$B$10:$C$10*D23:E23+$B$11:$C$11*D24:E24+$B$4:$C$4*(D25:E25-D19:E19)))</f>
        <v>0.9999013532839075</v>
      </c>
      <c r="E65" s="191"/>
      <c r="F65" s="191">
        <f t="array" ref="F65">SQRT((F9:G9*$B$22:$C$22+F10:G10*$B$23:$C$23+F11:G11*$B$24:$C$24+F4:G4*($B$25:$C$25-$B$19:$C$19))/($B$9:$C$9*$B$22:$C$22+$B$10:$C$10*$B$23:$C$23+$B$11:$C$11*$B$24:$C$24+$B$4:$C$4*($B$25:$C$25-$B$19:$C$19))*(F9:G9*F22:G22+F10:G10*F23:G23+F11:G11*F24:G24+F4:G4*(F25:G25-F19:G19))/($B$9:$C$9*F22:G22+$B$10:$C$10*F23:G23+$B$11:$C$11*F24:G24+$B$4:$C$4*(F25:G25-F19:G19)))</f>
        <v>1.0003721032800568</v>
      </c>
      <c r="G65" s="191"/>
      <c r="H65" s="191">
        <f t="array" ref="H65">SQRT((H9:I9*$B$22:$C$22+H10:I10*$B$23:$C$23+H11:I11*$B$24:$C$24+H4:I4*($B$25:$C$25-$B$19:$C$19))/($B$9:$C$9*$B$22:$C$22+$B$10:$C$10*$B$23:$C$23+$B$11:$C$11*$B$24:$C$24+$B$4:$C$4*($B$25:$C$25-$B$19:$C$19))*(H9:I9*H22:I22+H10:I10*H23:I23+H11:I11*H24:I24+H4:I4*(H25:I25-H19:I19))/($B$9:$C$9*H22:I22+$B$10:$C$10*H23:I23+$B$11:$C$11*H24:I24+$B$4:$C$4*(H25:I25-H19:I19)))</f>
        <v>1.0015672885367066</v>
      </c>
      <c r="I65" s="191"/>
      <c r="J65" s="191">
        <f t="array" ref="J65">SQRT((J9:K9*$B$22:$C$22+J10:K10*$B$23:$C$23+J11:K11*$B$24:$C$24+J4:K4*($B$25:$C$25-$B$19:$C$19))/($B$9:$C$9*$B$22:$C$22+$B$10:$C$10*$B$23:$C$23+$B$11:$C$11*$B$24:$C$24+$B$4:$C$4*($B$25:$C$25-$B$19:$C$19))*(J9:K9*J22:K22+J10:K10*J23:K23+J11:K11*J24:K24+J4:K4*(J25:K25-J19:K19))/($B$9:$C$9*J22:K22+$B$10:$C$10*J23:K23+$B$11:$C$11*J24:K24+$B$4:$C$4*(J25:K25-J19:K19)))</f>
        <v>1.003698545184105</v>
      </c>
      <c r="K65" s="191"/>
      <c r="L65" s="191">
        <f t="array" ref="L65">SQRT((L9:M9*$B$22:$C$22+L10:M10*$B$23:$C$23+L11:M11*$B$24:$C$24+L4:M4*($B$25:$C$25-$B$19:$C$19))/($B$9:$C$9*$B$22:$C$22+$B$10:$C$10*$B$23:$C$23+$B$11:$C$11*$B$24:$C$24+$B$4:$C$4*($B$25:$C$25-$B$19:$C$19))*(L9:M9*L22:M22+L10:M10*L23:M23+L11:M11*L24:M24+L4:M4*(L25:M25-L19:M19))/($B$9:$C$9*L22:M22+$B$10:$C$10*L23:M23+$B$11:$C$11*L24:M24+$B$4:$C$4*(L25:M25-L19:M19)))</f>
        <v>1.007060492092468</v>
      </c>
      <c r="M65" s="191"/>
      <c r="N65" s="191">
        <f t="array" ref="N65">SQRT((N9:O9*$B$22:$C$22+N10:O10*$B$23:$C$23+N11:O11*$B$24:$C$24+N4:O4*($B$25:$C$25-$B$19:$C$19))/($B$9:$C$9*$B$22:$C$22+$B$10:$C$10*$B$23:$C$23+$B$11:$C$11*$B$24:$C$24+$B$4:$C$4*($B$25:$C$25-$B$19:$C$19))*(N9:O9*N22:O22+N10:O10*N23:O23+N11:O11*N24:O24+N4:O4*(N25:O25-N19:O19))/($B$9:$C$9*N22:O22+$B$10:$C$10*N23:O23+$B$11:$C$11*N24:O24+$B$4:$C$4*(N25:O25-N19:O19)))</f>
        <v>1.0120694255354334</v>
      </c>
      <c r="O65" s="191"/>
      <c r="P65" s="191">
        <f t="array" ref="P65">SQRT((P9:Q9*$B$22:$C$22+P10:Q10*$B$23:$C$23+P11:Q11*$B$24:$C$24+P4:Q4*($B$25:$C$25-$B$19:$C$19))/($B$9:$C$9*$B$22:$C$22+$B$10:$C$10*$B$23:$C$23+$B$11:$C$11*$B$24:$C$24+$B$4:$C$4*($B$25:$C$25-$B$19:$C$19))*(P9:Q9*P22:Q22+P10:Q10*P23:Q23+P11:Q11*P24:Q24+P4:Q4*(P25:Q25-P19:Q19))/($B$9:$C$9*P22:Q22+$B$10:$C$10*P23:Q23+$B$11:$C$11*P24:Q24+$B$4:$C$4*(P25:Q25-P19:Q19)))</f>
        <v>1.0193249635459189</v>
      </c>
      <c r="Q65" s="191"/>
      <c r="R65" s="191">
        <f t="array" ref="R65">SQRT((R9:S9*$B$22:$C$22+R10:S10*$B$23:$C$23+R11:S11*$B$24:$C$24+R4:S4*($B$25:$C$25-$B$19:$C$19))/($B$9:$C$9*$B$22:$C$22+$B$10:$C$10*$B$23:$C$23+$B$11:$C$11*$B$24:$C$24+$B$4:$C$4*($B$25:$C$25-$B$19:$C$19))*(R9:S9*R22:S22+R10:S10*R23:S23+R11:S11*R24:S24+R4:S4*(R25:S25-R19:S19))/($B$9:$C$9*R22:S22+$B$10:$C$10*R23:S23+$B$11:$C$11*R24:S24+$B$4:$C$4*(R25:S25-R19:S19)))</f>
        <v>1.0297096891421282</v>
      </c>
      <c r="S65" s="191"/>
      <c r="T65" s="191">
        <f t="array" ref="T65">SQRT((T9:U9*$B$22:$C$22+T10:U10*$B$23:$C$23+T11:U11*$B$24:$C$24+T4:U4*($B$25:$C$25-$B$19:$C$19))/($B$9:$C$9*$B$22:$C$22+$B$10:$C$10*$B$23:$C$23+$B$11:$C$11*$B$24:$C$24+$B$4:$C$4*($B$25:$C$25-$B$19:$C$19))*(T9:U9*T22:U22+T10:U10*T23:U23+T11:U11*T24:U24+T4:U4*(T25:U25-T19:U19))/($B$9:$C$9*T22:U22+$B$10:$C$10*T23:U23+$B$11:$C$11*T24:U24+$B$4:$C$4*(T25:U25-T19:U19)))</f>
        <v>1.0445553109527002</v>
      </c>
      <c r="U65" s="191"/>
      <c r="V65" s="191">
        <f t="array" ref="V65">SQRT((V9:W9*$B$22:$C$22+V10:W10*$B$23:$C$23+V11:W11*$B$24:$C$24+V4:W4*($B$25:$C$25-$B$19:$C$19))/($B$9:$C$9*$B$22:$C$22+$B$10:$C$10*$B$23:$C$23+$B$11:$C$11*$B$24:$C$24+$B$4:$C$4*($B$25:$C$25-$B$19:$C$19))*(V9:W9*V22:W22+V10:W10*V23:W23+V11:W11*V24:W24+V4:W4*(V25:W25-V19:W19))/($B$9:$C$9*V22:W22+$B$10:$C$10*V23:W23+$B$11:$C$11*V24:W24+$B$4:$C$4*(V25:W25-V19:W19)))</f>
        <v>1.0659220056259737</v>
      </c>
      <c r="W65" s="191"/>
      <c r="X65" s="191">
        <f t="array" ref="X65">SQRT((X9:Y9*$B$22:$C$22+X10:Y10*$B$23:$C$23+X11:Y11*$B$24:$C$24+X4:Y4*($B$25:$C$25-$B$19:$C$19))/($B$9:$C$9*$B$22:$C$22+$B$10:$C$10*$B$23:$C$23+$B$11:$C$11*$B$24:$C$24+$B$4:$C$4*($B$25:$C$25-$B$19:$C$19))*(X9:Y9*X22:Y22+X10:Y10*X23:Y23+X11:Y11*X24:Y24+X4:Y4*(X25:Y25-X19:Y19))/($B$9:$C$9*X22:Y22+$B$10:$C$10*X23:Y23+$B$11:$C$11*X24:Y24+$B$4:$C$4*(X25:Y25-X19:Y19)))</f>
        <v>1.0970802486125371</v>
      </c>
      <c r="Y65" s="191"/>
      <c r="Z65" s="191">
        <f t="array" ref="Z65">SQRT((Z9:AA9*$B$22:$C$22+Z10:AA10*$B$23:$C$23+Z11:AA11*$B$24:$C$24+Z4:AA4*($B$25:$C$25-$B$19:$C$19))/($B$9:$C$9*$B$22:$C$22+$B$10:$C$10*$B$23:$C$23+$B$11:$C$11*$B$24:$C$24+$B$4:$C$4*($B$25:$C$25-$B$19:$C$19))*(Z9:AA9*Z22:AA22+Z10:AA10*Z23:AA23+Z11:AA11*Z24:AA24+Z4:AA4*(Z25:AA25-Z19:AA19))/($B$9:$C$9*Z22:AA22+$B$10:$C$10*Z23:AA23+$B$11:$C$11*Z24:AA24+$B$4:$C$4*(Z25:AA25-Z19:AA19)))</f>
        <v>1.1433490004608247</v>
      </c>
      <c r="AA65" s="191"/>
      <c r="AB65" s="191">
        <f t="array" ref="AB65">SQRT((AB9:AC9*$B$22:$C$22+AB10:AC10*$B$23:$C$23+AB11:AC11*$B$24:$C$24+AB4:AC4*($B$25:$C$25-$B$19:$C$19))/($B$9:$C$9*$B$22:$C$22+$B$10:$C$10*$B$23:$C$23+$B$11:$C$11*$B$24:$C$24+$B$4:$C$4*($B$25:$C$25-$B$19:$C$19))*(AB9:AC9*AB22:AC22+AB10:AC10*AB23:AC23+AB11:AC11*AB24:AC24+AB4:AC4*(AB25:AC25-AB19:AC19))/($B$9:$C$9*AB22:AC22+$B$10:$C$10*AB23:AC23+$B$11:$C$11*AB24:AC24+$B$4:$C$4*(AB25:AC25-AB19:AC19)))</f>
        <v>1.2135678290468459</v>
      </c>
      <c r="AC65" s="191"/>
      <c r="AD65" s="191">
        <f t="array" ref="AD65">SQRT((AD9:AE9*$B$22:$C$22+AD10:AE10*$B$23:$C$23+AD11:AE11*$B$24:$C$24+AD4:AE4*($B$25:$C$25-$B$19:$C$19))/($B$9:$C$9*$B$22:$C$22+$B$10:$C$10*$B$23:$C$23+$B$11:$C$11*$B$24:$C$24+$B$4:$C$4*($B$25:$C$25-$B$19:$C$19))*(AD9:AE9*AD22:AE22+AD10:AE10*AD23:AE23+AD11:AE11*AD24:AE24+AD4:AE4*(AD25:AE25-AD19:AE19))/($B$9:$C$9*AD22:AE22+$B$10:$C$10*AD23:AE23+$B$11:$C$11*AD24:AE24+$B$4:$C$4*(AD25:AE25-AD19:AE19)))</f>
        <v>1.3229455335408442</v>
      </c>
      <c r="AE65" s="191"/>
      <c r="AF65" s="191">
        <f t="array" ref="AF65">SQRT((AF9:AG9*$B$22:$C$22+AF10:AG10*$B$23:$C$23+AF11:AG11*$B$24:$C$24+AF4:AG4*($B$25:$C$25-$B$19:$C$19))/($B$9:$C$9*$B$22:$C$22+$B$10:$C$10*$B$23:$C$23+$B$11:$C$11*$B$24:$C$24+$B$4:$C$4*($B$25:$C$25-$B$19:$C$19))*(AF9:AG9*AF22:AG22+AF10:AG10*AF23:AG23+AF11:AG11*AF24:AG24+AF4:AG4*(AF25:AG25-AF19:AG19))/($B$9:$C$9*AF22:AG22+$B$10:$C$10*AF23:AG23+$B$11:$C$11*AF24:AG24+$B$4:$C$4*(AF25:AG25-AF19:AG19)))</f>
        <v>1.5001310565955734</v>
      </c>
      <c r="AG65" s="191"/>
      <c r="AH65" s="191">
        <f t="array" ref="AH65">SQRT((AH9:AI9*$B$22:$C$22+AH10:AI10*$B$23:$C$23+AH11:AI11*$B$24:$C$24+AH4:AI4*($B$25:$C$25-$B$19:$C$19))/($B$9:$C$9*$B$22:$C$22+$B$10:$C$10*$B$23:$C$23+$B$11:$C$11*$B$24:$C$24+$B$4:$C$4*($B$25:$C$25-$B$19:$C$19))*(AH9:AI9*AH22:AI22+AH10:AI10*AH23:AI23+AH11:AI11*AH24:AI24+AH4:AI4*(AH25:AI25-AH19:AI19))/($B$9:$C$9*AH22:AI22+$B$10:$C$10*AH23:AI23+$B$11:$C$11*AH24:AI24+$B$4:$C$4*(AH25:AI25-AH19:AI19)))</f>
        <v>1.8108636087826919</v>
      </c>
      <c r="AI65" s="191"/>
      <c r="AJ65" s="191">
        <f t="array" ref="AJ65">SQRT((AJ9:AK9*$B$22:$C$22+AJ10:AK10*$B$23:$C$23+AJ11:AK11*$B$24:$C$24+AJ4:AK4*($B$25:$C$25-$B$19:$C$19))/($B$9:$C$9*$B$22:$C$22+$B$10:$C$10*$B$23:$C$23+$B$11:$C$11*$B$24:$C$24+$B$4:$C$4*($B$25:$C$25-$B$19:$C$19))*(AJ9:AK9*AJ22:AK22+AJ10:AK10*AJ23:AK23+AJ11:AK11*AJ24:AK24+AJ4:AK4*(AJ25:AK25-AJ19:AK19))/($B$9:$C$9*AJ22:AK22+$B$10:$C$10*AJ23:AK23+$B$11:$C$11*AJ24:AK24+$B$4:$C$4*(AJ25:AK25-AJ19:AK19)))</f>
        <v>2.4650871483691814</v>
      </c>
      <c r="AK65" s="191"/>
      <c r="AL65" s="191">
        <f t="array" ref="AL65">SQRT((AL9:AM9*$B$22:$C$22+AL10:AM10*$B$23:$C$23+AL11:AM11*$B$24:$C$24+AL4:AM4*($B$25:$C$25-$B$19:$C$19))/($B$9:$C$9*$B$22:$C$22+$B$10:$C$10*$B$23:$C$23+$B$11:$C$11*$B$24:$C$24+$B$4:$C$4*($B$25:$C$25-$B$19:$C$19))*(AL9:AM9*AL22:AM22+AL10:AM10*AL23:AM23+AL11:AM11*AL24:AM24+AL4:AM4*(AL25:AM25-AL19:AM19))/($B$9:$C$9*AL22:AM22+$B$10:$C$10*AL23:AM23+$B$11:$C$11*AL24:AM24+$B$4:$C$4*(AL25:AM25-AL19:AM19)))</f>
        <v>4.7288653528031652</v>
      </c>
      <c r="AM65" s="191"/>
      <c r="AN65" s="191" t="e">
        <f t="array" ref="AN65">SQRT((AN9:AO9*$B$22:$C$22+AN10:AO10*$B$23:$C$23+AN11:AO11*$B$24:$C$24+AN4:AO4*($B$25:$C$25-$B$19:$C$19))/($B$9:$C$9*$B$22:$C$22+$B$10:$C$10*$B$23:$C$23+$B$11:$C$11*$B$24:$C$24+$B$4:$C$4*($B$25:$C$25-$B$19:$C$19))*(AN9:AO9*AN22:AO22+AN10:AO10*AN23:AO23+AN11:AO11*AN24:AO24+AN4:AO4*(AN25:AO25-AN19:AO19))/($B$9:$C$9*AN22:AO22+$B$10:$C$10*AN23:AO23+$B$11:$C$11*AN24:AO24+$B$4:$C$4*(AN25:AO25-AN19:AO19)))</f>
        <v>#NUM!</v>
      </c>
      <c r="AO65" s="191"/>
      <c r="AP65" s="19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91"/>
      <c r="AR65" s="19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91"/>
      <c r="AT65" s="19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91"/>
      <c r="AV65" s="19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182</v>
      </c>
      <c r="B66" s="191">
        <f t="array" ref="B66">SQRT((B9:C9*$B$22:$C$22)/($B$9:$C$9*$B$22:$C$22)*(B9:C9*B22:C22)/($B$9:$C$9*B22:C22))</f>
        <v>1</v>
      </c>
      <c r="C66" s="191"/>
      <c r="D66" s="191">
        <f t="array" ref="D66">SQRT((D9:E9*$B$22:$C$22)/($B$9:$C$9*$B$22:$C$22)*(D9:E9*D22:E22)/($B$9:$C$9*D22:E22))</f>
        <v>0.99989158742542061</v>
      </c>
      <c r="E66" s="191"/>
      <c r="F66" s="191">
        <f t="array" ref="F66">SQRT((F9:G9*$B$22:$C$22)/($B$9:$C$9*$B$22:$C$22)*(F9:G9*F22:G22)/($B$9:$C$9*F22:G22))</f>
        <v>1.0004088479561555</v>
      </c>
      <c r="G66" s="191"/>
      <c r="H66" s="191">
        <f t="array" ref="H66">SQRT((H9:I9*$B$22:$C$22)/($B$9:$C$9*$B$22:$C$22)*(H9:I9*H22:I22)/($B$9:$C$9*H22:I22))</f>
        <v>1.0017212222870977</v>
      </c>
      <c r="I66" s="191"/>
      <c r="J66" s="191">
        <f t="array" ref="J66">SQRT((J9:K9*$B$22:$C$22)/($B$9:$C$9*$B$22:$C$22)*(J9:K9*J22:K22)/($B$9:$C$9*J22:K22))</f>
        <v>1.0040585063244849</v>
      </c>
      <c r="K66" s="191"/>
      <c r="L66" s="191">
        <f t="array" ref="L66">SQRT((L9:M9*$B$22:$C$22)/($B$9:$C$9*$B$22:$C$22)*(L9:M9*L22:M22)/($B$9:$C$9*L22:M22))</f>
        <v>1.0077380940648668</v>
      </c>
      <c r="M66" s="191"/>
      <c r="N66" s="191">
        <f t="array" ref="N66">SQRT((N9:O9*$B$22:$C$22)/($B$9:$C$9*$B$22:$C$22)*(N9:O9*N22:O22)/($B$9:$C$9*N22:O22))</f>
        <v>1.0132041477250966</v>
      </c>
      <c r="O66" s="191"/>
      <c r="P66" s="191">
        <f t="array" ref="P66">SQRT((P9:Q9*$B$22:$C$22)/($B$9:$C$9*$B$22:$C$22)*(P9:Q9*P22:Q22)/($B$9:$C$9*P22:Q22))</f>
        <v>1.0210888618493565</v>
      </c>
      <c r="Q66" s="191"/>
      <c r="R66" s="191">
        <f t="array" ref="R66">SQRT((R9:S9*$B$22:$C$22)/($B$9:$C$9*$B$22:$C$22)*(R9:S9*R22:S22)/($B$9:$C$9*R22:S22))</f>
        <v>1.0323092687113951</v>
      </c>
      <c r="S66" s="191"/>
      <c r="T66" s="191">
        <f t="array" ref="T66">SQRT((T9:U9*$B$22:$C$22)/($B$9:$C$9*$B$22:$C$22)*(T9:U9*T22:U22)/($B$9:$C$9*T22:U22))</f>
        <v>1.0482245220078994</v>
      </c>
      <c r="U66" s="191"/>
      <c r="V66" s="191">
        <f t="array" ref="V66">SQRT((V9:W9*$B$22:$C$22)/($B$9:$C$9*$B$22:$C$22)*(V9:W9*V22:W22)/($B$9:$C$9*V22:W22))</f>
        <v>1.0708916526781651</v>
      </c>
      <c r="W66" s="191"/>
      <c r="X66" s="191">
        <f t="array" ref="X66">SQRT((X9:Y9*$B$22:$C$22)/($B$9:$C$9*$B$22:$C$22)*(X9:Y9*X22:Y22)/($B$9:$C$9*X22:Y22))</f>
        <v>1.1034900427849892</v>
      </c>
      <c r="Y66" s="191"/>
      <c r="Z66" s="191">
        <f t="array" ref="Z66">SQRT((Z9:AA9*$B$22:$C$22)/($B$9:$C$9*$B$22:$C$22)*(Z9:AA9*Z22:AA22)/($B$9:$C$9*Z22:AA22))</f>
        <v>1.1510258052857154</v>
      </c>
      <c r="AA66" s="191"/>
      <c r="AB66" s="191">
        <f t="array" ref="AB66">SQRT((AB9:AC9*$B$22:$C$22)/($B$9:$C$9*$B$22:$C$22)*(AB9:AC9*AB22:AC22)/($B$9:$C$9*AB22:AC22))</f>
        <v>1.2215017491501645</v>
      </c>
      <c r="AC66" s="191"/>
      <c r="AD66" s="191">
        <f t="array" ref="AD66">SQRT((AD9:AE9*$B$22:$C$22)/($B$9:$C$9*$B$22:$C$22)*(AD9:AE9*AD22:AE22)/($B$9:$C$9*AD22:AE22))</f>
        <v>1.3280859028904142</v>
      </c>
      <c r="AE66" s="191"/>
      <c r="AF66" s="191">
        <f t="array" ref="AF66">SQRT((AF9:AG9*$B$22:$C$22)/($B$9:$C$9*$B$22:$C$22)*(AF9:AG9*AF22:AG22)/($B$9:$C$9*AF22:AG22))</f>
        <v>1.4944360012098015</v>
      </c>
      <c r="AG66" s="191"/>
      <c r="AH66" s="191">
        <f t="array" ref="AH66">SQRT((AH9:AI9*$B$22:$C$22)/($B$9:$C$9*$B$22:$C$22)*(AH9:AI9*AH22:AI22)/($B$9:$C$9*AH22:AI22))</f>
        <v>1.7720821210725866</v>
      </c>
      <c r="AI66" s="191"/>
      <c r="AJ66" s="191">
        <f t="array" ref="AJ66">SQRT((AJ9:AK9*$B$22:$C$22)/($B$9:$C$9*$B$22:$C$22)*(AJ9:AK9*AJ22:AK22)/($B$9:$C$9*AJ22:AK22))</f>
        <v>2.3119837596329429</v>
      </c>
      <c r="AK66" s="191"/>
      <c r="AL66" s="191">
        <f t="array" ref="AL66">SQRT((AL9:AM9*$B$22:$C$22)/($B$9:$C$9*$B$22:$C$22)*(AL9:AM9*AL22:AM22)/($B$9:$C$9*AL22:AM22))</f>
        <v>3.8190188019951248</v>
      </c>
      <c r="AM66" s="191"/>
      <c r="AN66" s="191">
        <f t="array" ref="AN66">SQRT((AN9:AO9*$B$22:$C$22)/($B$9:$C$9*$B$22:$C$22)*(AN9:AO9*AN22:AO22)/($B$9:$C$9*AN22:AO22))</f>
        <v>15.267140839745421</v>
      </c>
      <c r="AO66" s="191"/>
      <c r="AP66" s="191">
        <f t="array" ref="AP66">SQRT((AP9:AQ9*$B$22:$C$22)/($B$9:$C$9*$B$22:$C$22)*(AP9:AQ9*AP22:AQ22)/($B$9:$C$9*AP22:AQ22))</f>
        <v>27.587890031563902</v>
      </c>
      <c r="AQ66" s="191"/>
      <c r="AR66" s="191">
        <f t="array" ref="AR66">SQRT((AR9:AS9*$B$22:$C$22)/($B$9:$C$9*$B$22:$C$22)*(AR9:AS9*AR22:AS22)/($B$9:$C$9*AR22:AS22))</f>
        <v>64.968780986061603</v>
      </c>
      <c r="AS66" s="191"/>
      <c r="AT66" s="191">
        <f t="array" ref="AT66">SQRT((AT9:AU9*$B$22:$C$22)/($B$9:$C$9*$B$22:$C$22)*(AT9:AU9*AT22:AU22)/($B$9:$C$9*AT22:AU22))</f>
        <v>257.42386417557958</v>
      </c>
      <c r="AU66" s="191"/>
      <c r="AV66" s="191" t="e">
        <f t="array" ref="AV66">SQRT((AV9:AW9*$B$22:$C$22)/($B$9:$C$9*$B$22:$C$22)*(AV9:AW9*AV22:AW22)/($B$9:$C$9*AV22:AW22))</f>
        <v>#DIV/0!</v>
      </c>
      <c r="XFD66" s="191"/>
    </row>
    <row r="67" spans="1:48 16384:16384" x14ac:dyDescent="0.2">
      <c r="A67" t="s">
        <v>183</v>
      </c>
      <c r="B67" s="191">
        <f t="array" ref="B67">SQRT((B4:C4*$B$19:$C$19)/($B$4:$C$4*$B$19:$C$19)*(B4:C4*B19:C19)/($B$4:$C$4*B19:C19))</f>
        <v>1</v>
      </c>
      <c r="C67" s="191"/>
      <c r="D67" s="191">
        <f t="array" ref="D67">SQRT((D4:E4*$B$19:$C$19)/($B$4:$C$4*$B$19:$C$19)*(D4:E4*D19:E19)/($B$4:$C$4*D19:E19))</f>
        <v>1</v>
      </c>
      <c r="E67" s="191"/>
      <c r="F67" s="191">
        <f t="array" ref="F67">SQRT((F4:G4*$B$19:$C$19)/($B$4:$C$4*$B$19:$C$19)*(F4:G4*F19:G19)/($B$4:$C$4*F19:G19))</f>
        <v>1</v>
      </c>
      <c r="G67" s="191"/>
      <c r="H67" s="191">
        <f t="array" ref="H67">SQRT((H4:I4*$B$19:$C$19)/($B$4:$C$4*$B$19:$C$19)*(H4:I4*H19:I19)/($B$4:$C$4*H19:I19))</f>
        <v>1</v>
      </c>
      <c r="I67" s="191"/>
      <c r="J67" s="191">
        <f t="array" ref="J67">SQRT((J4:K4*$B$19:$C$19)/($B$4:$C$4*$B$19:$C$19)*(J4:K4*J19:K19)/($B$4:$C$4*J19:K19))</f>
        <v>1</v>
      </c>
      <c r="K67" s="191"/>
      <c r="L67" s="191">
        <f t="array" ref="L67">SQRT((L4:M4*$B$19:$C$19)/($B$4:$C$4*$B$19:$C$19)*(L4:M4*L19:M19)/($B$4:$C$4*L19:M19))</f>
        <v>1</v>
      </c>
      <c r="M67" s="191"/>
      <c r="N67" s="191">
        <f t="array" ref="N67">SQRT((N4:O4*$B$19:$C$19)/($B$4:$C$4*$B$19:$C$19)*(N4:O4*N19:O19)/($B$4:$C$4*N19:O19))</f>
        <v>1</v>
      </c>
      <c r="O67" s="191"/>
      <c r="P67" s="191">
        <f t="array" ref="P67">SQRT((P4:Q4*$B$19:$C$19)/($B$4:$C$4*$B$19:$C$19)*(P4:Q4*P19:Q19)/($B$4:$C$4*P19:Q19))</f>
        <v>1</v>
      </c>
      <c r="Q67" s="191"/>
      <c r="R67" s="191">
        <f t="array" ref="R67">SQRT((R4:S4*$B$19:$C$19)/($B$4:$C$4*$B$19:$C$19)*(R4:S4*R19:S19)/($B$4:$C$4*R19:S19))</f>
        <v>1</v>
      </c>
      <c r="S67" s="191"/>
      <c r="T67" s="191">
        <f t="array" ref="T67">SQRT((T4:U4*$B$19:$C$19)/($B$4:$C$4*$B$19:$C$19)*(T4:U4*T19:U19)/($B$4:$C$4*T19:U19))</f>
        <v>1</v>
      </c>
      <c r="U67" s="191"/>
      <c r="V67" s="191">
        <f t="array" ref="V67">SQRT((V4:W4*$B$19:$C$19)/($B$4:$C$4*$B$19:$C$19)*(V4:W4*V19:W19)/($B$4:$C$4*V19:W19))</f>
        <v>1</v>
      </c>
      <c r="W67" s="191"/>
      <c r="X67" s="191">
        <f t="array" ref="X67">SQRT((X4:Y4*$B$19:$C$19)/($B$4:$C$4*$B$19:$C$19)*(X4:Y4*X19:Y19)/($B$4:$C$4*X19:Y19))</f>
        <v>1</v>
      </c>
      <c r="Y67" s="191"/>
      <c r="Z67" s="191">
        <f t="array" ref="Z67">SQRT((Z4:AA4*$B$19:$C$19)/($B$4:$C$4*$B$19:$C$19)*(Z4:AA4*Z19:AA19)/($B$4:$C$4*Z19:AA19))</f>
        <v>1</v>
      </c>
      <c r="AA67" s="191"/>
      <c r="AB67" s="191">
        <f t="array" ref="AB67">SQRT((AB4:AC4*$B$19:$C$19)/($B$4:$C$4*$B$19:$C$19)*(AB4:AC4*AB19:AC19)/($B$4:$C$4*AB19:AC19))</f>
        <v>1</v>
      </c>
      <c r="AC67" s="191"/>
      <c r="AD67" s="191">
        <f t="array" ref="AD67">SQRT((AD4:AE4*$B$19:$C$19)/($B$4:$C$4*$B$19:$C$19)*(AD4:AE4*AD19:AE19)/($B$4:$C$4*AD19:AE19))</f>
        <v>1</v>
      </c>
      <c r="AE67" s="191"/>
      <c r="AF67" s="191">
        <f t="array" ref="AF67">SQRT((AF4:AG4*$B$19:$C$19)/($B$4:$C$4*$B$19:$C$19)*(AF4:AG4*AF19:AG19)/($B$4:$C$4*AF19:AG19))</f>
        <v>1</v>
      </c>
      <c r="AG67" s="191"/>
      <c r="AH67" s="191">
        <f t="array" ref="AH67">SQRT((AH4:AI4*$B$19:$C$19)/($B$4:$C$4*$B$19:$C$19)*(AH4:AI4*AH19:AI19)/($B$4:$C$4*AH19:AI19))</f>
        <v>1</v>
      </c>
      <c r="AI67" s="191"/>
      <c r="AJ67" s="191">
        <f t="array" ref="AJ67">SQRT((AJ4:AK4*$B$19:$C$19)/($B$4:$C$4*$B$19:$C$19)*(AJ4:AK4*AJ19:AK19)/($B$4:$C$4*AJ19:AK19))</f>
        <v>1</v>
      </c>
      <c r="AK67" s="191"/>
      <c r="AL67" s="191">
        <f t="array" ref="AL67">SQRT((AL4:AM4*$B$19:$C$19)/($B$4:$C$4*$B$19:$C$19)*(AL4:AM4*AL19:AM19)/($B$4:$C$4*AL19:AM19))</f>
        <v>1</v>
      </c>
      <c r="AM67" s="191"/>
      <c r="AN67" s="191">
        <f t="array" ref="AN67">SQRT((AN4:AO4*$B$19:$C$19)/($B$4:$C$4*$B$19:$C$19)*(AN4:AO4*AN19:AO19)/($B$4:$C$4*AN19:AO19))</f>
        <v>1</v>
      </c>
      <c r="AO67" s="191"/>
      <c r="AP67" s="191">
        <f t="array" ref="AP67">SQRT((AP4:AQ4*$B$19:$C$19)/($B$4:$C$4*$B$19:$C$19)*(AP4:AQ4*AP19:AQ19)/($B$4:$C$4*AP19:AQ19))</f>
        <v>1</v>
      </c>
      <c r="AQ67" s="191"/>
      <c r="AR67" s="191">
        <f t="array" ref="AR67">SQRT((AR4:AS4*$B$19:$C$19)/($B$4:$C$4*$B$19:$C$19)*(AR4:AS4*AR19:AS19)/($B$4:$C$4*AR19:AS19))</f>
        <v>1</v>
      </c>
      <c r="AS67" s="191"/>
      <c r="AT67" s="191">
        <f t="array" ref="AT67">SQRT((AT4:AU4*$B$19:$C$19)/($B$4:$C$4*$B$19:$C$19)*(AT4:AU4*AT19:AU19)/($B$4:$C$4*AT19:AU19))</f>
        <v>1</v>
      </c>
      <c r="AU67" s="191"/>
      <c r="AV67" s="191" t="e">
        <f t="array" ref="AV67">SQRT((AV4:AW4*$B$19:$C$19)/($B$4:$C$4*$B$19:$C$19)*(AV4:AW4*AV19:AW19)/($B$4:$C$4*AV19:AW19))</f>
        <v>#DIV/0!</v>
      </c>
      <c r="XFD67" s="191"/>
    </row>
    <row r="68" spans="1:48 16384:16384" x14ac:dyDescent="0.2">
      <c r="A68" t="s">
        <v>181</v>
      </c>
      <c r="B68" s="191">
        <f>B66/B67</f>
        <v>1</v>
      </c>
      <c r="C68" s="191"/>
      <c r="D68" s="191">
        <f>D66/D67</f>
        <v>0.99989158742542061</v>
      </c>
      <c r="E68" s="191"/>
      <c r="F68" s="191">
        <f>F66/F67</f>
        <v>1.0004088479561555</v>
      </c>
      <c r="G68" s="191"/>
      <c r="H68" s="191">
        <f>H66/H67</f>
        <v>1.0017212222870977</v>
      </c>
      <c r="I68" s="191"/>
      <c r="J68" s="191">
        <f>J66/J67</f>
        <v>1.0040585063244849</v>
      </c>
      <c r="K68" s="191"/>
      <c r="L68" s="191">
        <f>L66/L67</f>
        <v>1.0077380940648668</v>
      </c>
      <c r="M68" s="191"/>
      <c r="N68" s="191">
        <f>N66/N67</f>
        <v>1.0132041477250966</v>
      </c>
      <c r="O68" s="191"/>
      <c r="P68" s="191">
        <f>P66/P67</f>
        <v>1.0210888618493565</v>
      </c>
      <c r="Q68" s="191"/>
      <c r="R68" s="191">
        <f>R66/R67</f>
        <v>1.0323092687113951</v>
      </c>
      <c r="S68" s="191"/>
      <c r="T68" s="191">
        <f>T66/T67</f>
        <v>1.0482245220078994</v>
      </c>
      <c r="U68" s="191"/>
      <c r="V68" s="191">
        <f>V66/V67</f>
        <v>1.0708916526781651</v>
      </c>
      <c r="W68" s="191"/>
      <c r="X68" s="191">
        <f>X66/X67</f>
        <v>1.1034900427849892</v>
      </c>
      <c r="Y68" s="191"/>
      <c r="Z68" s="191">
        <f>Z66/Z67</f>
        <v>1.1510258052857154</v>
      </c>
      <c r="AA68" s="191"/>
      <c r="AB68" s="191">
        <f>AB66/AB67</f>
        <v>1.2215017491501645</v>
      </c>
      <c r="AC68" s="191"/>
      <c r="AD68" s="191">
        <f>AD66/AD67</f>
        <v>1.3280859028904142</v>
      </c>
      <c r="AE68" s="191"/>
      <c r="AF68" s="191">
        <f>AF66/AF67</f>
        <v>1.4944360012098015</v>
      </c>
      <c r="AG68" s="191"/>
      <c r="AH68" s="191">
        <f>AH66/AH67</f>
        <v>1.7720821210725866</v>
      </c>
      <c r="AI68" s="191"/>
      <c r="AJ68" s="191">
        <f>AJ66/AJ67</f>
        <v>2.3119837596329429</v>
      </c>
      <c r="AK68" s="191"/>
      <c r="AL68" s="191">
        <f>AL66/AL67</f>
        <v>3.8190188019951248</v>
      </c>
      <c r="AM68" s="191"/>
      <c r="AN68" s="191">
        <f>AN66/AN67</f>
        <v>15.267140839745421</v>
      </c>
      <c r="AO68" s="191"/>
      <c r="AP68" s="191">
        <f>AP66/AP67</f>
        <v>27.587890031563902</v>
      </c>
      <c r="AQ68" s="191"/>
      <c r="AR68" s="191">
        <f>AR66/AR67</f>
        <v>64.968780986061603</v>
      </c>
      <c r="AS68" s="191"/>
      <c r="AT68" s="191">
        <f>AT66/AT67</f>
        <v>257.42386417557958</v>
      </c>
      <c r="AU68" s="191"/>
      <c r="AV68" s="191" t="e">
        <f>AV66/AV67</f>
        <v>#DIV/0!</v>
      </c>
      <c r="XFD68" s="191"/>
    </row>
    <row r="69" spans="1:48 16384:16384" x14ac:dyDescent="0.2">
      <c r="A69" t="s">
        <v>177</v>
      </c>
      <c r="B69" s="191">
        <f>B32/B65/($B$32)</f>
        <v>1</v>
      </c>
      <c r="C69" s="191"/>
      <c r="D69" s="191">
        <f>D32/D65/($B$32)</f>
        <v>0.99046514416479337</v>
      </c>
      <c r="E69" s="191"/>
      <c r="F69" s="191">
        <f>F32/F65/($B$32)</f>
        <v>0.97928926222430535</v>
      </c>
      <c r="G69" s="191"/>
      <c r="H69" s="191">
        <f>H32/H65/($B$32)</f>
        <v>0.966155300782223</v>
      </c>
      <c r="I69" s="191"/>
      <c r="J69" s="191">
        <f>J32/J65/($B$32)</f>
        <v>0.95068199065704695</v>
      </c>
      <c r="K69" s="191"/>
      <c r="L69" s="191">
        <f>L32/L65/($B$32)</f>
        <v>0.93241526270654607</v>
      </c>
      <c r="M69" s="191"/>
      <c r="N69" s="191">
        <f>N32/N65/($B$32)</f>
        <v>0.91082800042722456</v>
      </c>
      <c r="O69" s="191"/>
      <c r="P69" s="191">
        <f>P32/P65/($B$32)</f>
        <v>0.88533117772095016</v>
      </c>
      <c r="Q69" s="191"/>
      <c r="R69" s="191">
        <f>R32/R65/($B$32)</f>
        <v>0.85530830363726873</v>
      </c>
      <c r="S69" s="191"/>
      <c r="T69" s="191">
        <f>T32/T65/($B$32)</f>
        <v>0.82018992021002768</v>
      </c>
      <c r="U69" s="191"/>
      <c r="V69" s="191">
        <f>V32/V65/($B$32)</f>
        <v>0.77959343981737217</v>
      </c>
      <c r="W69" s="191"/>
      <c r="X69" s="191">
        <f>X32/X65/($B$32)</f>
        <v>0.73354759763090194</v>
      </c>
      <c r="Y69" s="191"/>
      <c r="Z69" s="191">
        <f>Z32/Z65/($B$32)</f>
        <v>0.68280011226952364</v>
      </c>
      <c r="AA69" s="191"/>
      <c r="AB69" s="191">
        <f>AB32/AB65/($B$32)</f>
        <v>0.62910296650753283</v>
      </c>
      <c r="AC69" s="191"/>
      <c r="AD69" s="191">
        <f>AD32/AD65/($B$32)</f>
        <v>0.57514699049894935</v>
      </c>
      <c r="AE69" s="191"/>
      <c r="AF69" s="191">
        <f>AF32/AF65/($B$32)</f>
        <v>0.52367559941413244</v>
      </c>
      <c r="AG69" s="191"/>
      <c r="AH69" s="191">
        <f>AH32/AH65/($B$32)</f>
        <v>0.47568909046499241</v>
      </c>
      <c r="AI69" s="191"/>
      <c r="AJ69" s="191">
        <f>AJ32/AJ65/($B$32)</f>
        <v>0.42727300800933571</v>
      </c>
      <c r="AK69" s="191"/>
      <c r="AL69" s="191">
        <f>AL32/AL65/($B$32)</f>
        <v>0.35089602979138973</v>
      </c>
      <c r="AM69" s="191"/>
      <c r="AN69" s="191" t="e">
        <f>AN32/AN65/($B$32)</f>
        <v>#NUM!</v>
      </c>
      <c r="AO69" s="191"/>
      <c r="AP69" s="191" t="e">
        <f>AP32/AP65/($B$32)</f>
        <v>#NUM!</v>
      </c>
      <c r="AQ69" s="191"/>
      <c r="AR69" s="191" t="e">
        <f>AR32/AR65/($B$32)</f>
        <v>#NUM!</v>
      </c>
      <c r="AS69" s="191"/>
      <c r="AT69" s="191" t="e">
        <f>AT32/AT65/($B$32)</f>
        <v>#NUM!</v>
      </c>
      <c r="AU69" s="191"/>
      <c r="AV69" s="191" t="e">
        <f>AV32/AV65/($B$32)</f>
        <v>#DIV/0!</v>
      </c>
    </row>
    <row r="70" spans="1:48 16384:16384" x14ac:dyDescent="0.2">
      <c r="A70" t="s">
        <v>178</v>
      </c>
      <c r="B70" s="138">
        <f>B18/$B$18</f>
        <v>1</v>
      </c>
      <c r="C70" s="138"/>
      <c r="D70" s="138">
        <f>D18/$B$18</f>
        <v>0.9892531915071745</v>
      </c>
      <c r="E70" s="138"/>
      <c r="F70" s="138">
        <f>F18/$B$18</f>
        <v>0.97686767355817516</v>
      </c>
      <c r="G70" s="138"/>
      <c r="H70" s="138">
        <f>H18/$B$18</f>
        <v>0.96253130411946575</v>
      </c>
      <c r="I70" s="138"/>
      <c r="J70" s="138">
        <f>J18/$B$18</f>
        <v>0.94586982934870645</v>
      </c>
      <c r="K70" s="138"/>
      <c r="L70" s="138">
        <f>L18/$B$18</f>
        <v>0.9264391512343545</v>
      </c>
      <c r="M70" s="138"/>
      <c r="N70" s="138">
        <f>N18/$B$18</f>
        <v>0.90372578247937863</v>
      </c>
      <c r="O70" s="138"/>
      <c r="P70" s="138">
        <f>P18/$B$18</f>
        <v>0.87715883462438715</v>
      </c>
      <c r="Q70" s="138"/>
      <c r="R70" s="138">
        <f>R18/$B$18</f>
        <v>0.84614534655327189</v>
      </c>
      <c r="S70" s="138"/>
      <c r="T70" s="138">
        <f>T18/$B$18</f>
        <v>0.81014584398278466</v>
      </c>
      <c r="U70" s="138"/>
      <c r="V70" s="138">
        <f>V18/$B$18</f>
        <v>0.76881437472109737</v>
      </c>
      <c r="W70" s="138"/>
      <c r="X70" s="138">
        <f>X18/$B$18</f>
        <v>0.7222227654933534</v>
      </c>
      <c r="Y70" s="138"/>
      <c r="Z70" s="138">
        <f>Z18/$B$18</f>
        <v>0.67116819604543865</v>
      </c>
      <c r="AA70" s="138"/>
      <c r="AB70" s="138">
        <f>AB18/$B$18</f>
        <v>0.61746199619088005</v>
      </c>
      <c r="AC70" s="138"/>
      <c r="AD70" s="138">
        <f>AD18/$B$18</f>
        <v>0.56388976838924676</v>
      </c>
      <c r="AE70" s="138"/>
      <c r="AF70" s="138">
        <f>AF18/$B$18</f>
        <v>0.51343284871705264</v>
      </c>
      <c r="AG70" s="138"/>
      <c r="AH70" s="138">
        <f>AH18/$B$18</f>
        <v>0.46787458724683467</v>
      </c>
      <c r="AI70" s="138"/>
      <c r="AJ70" s="138">
        <f>AJ18/$B$18</f>
        <v>0.4265040642313403</v>
      </c>
      <c r="AK70" s="138"/>
      <c r="AL70" s="138">
        <f>AL18/$B$18</f>
        <v>0.38366791311569765</v>
      </c>
      <c r="AM70" s="138"/>
      <c r="AN70" s="138">
        <f>AN18/$B$18</f>
        <v>0.31387870053743494</v>
      </c>
      <c r="AO70" s="138"/>
      <c r="AP70" s="138">
        <f>AP18/$B$18</f>
        <v>0.28999625520114231</v>
      </c>
      <c r="AQ70" s="138"/>
      <c r="AR70" s="138">
        <f>AR18/$B$18</f>
        <v>0.25930261737806098</v>
      </c>
      <c r="AS70" s="138"/>
      <c r="AT70" s="138">
        <f>AT18/$B$18</f>
        <v>0.21778679213098032</v>
      </c>
      <c r="AU70" s="138"/>
      <c r="AV70" s="138">
        <f>AV18/$B$18</f>
        <v>0</v>
      </c>
    </row>
    <row r="71" spans="1:48 16384:16384" x14ac:dyDescent="0.2">
      <c r="A71" t="s">
        <v>179</v>
      </c>
      <c r="B71" s="138">
        <f>C18/$C$18</f>
        <v>1</v>
      </c>
      <c r="D71" s="138">
        <f>E18/$C$18</f>
        <v>0.93966889997459802</v>
      </c>
      <c r="E71" s="138"/>
      <c r="F71" s="138">
        <f>G18/$C$18</f>
        <v>0.87978707752832153</v>
      </c>
      <c r="G71" s="138"/>
      <c r="H71" s="138">
        <f>I18/$C$18</f>
        <v>0.82041205525711502</v>
      </c>
      <c r="I71" s="138"/>
      <c r="J71" s="138">
        <f>K18/$C$18</f>
        <v>0.76160456546798427</v>
      </c>
      <c r="K71" s="138"/>
      <c r="L71" s="138">
        <f>M18/$C$18</f>
        <v>0.70342757268165879</v>
      </c>
      <c r="M71" s="138"/>
      <c r="N71" s="138">
        <f>O18/$C$18</f>
        <v>0.64594278336069166</v>
      </c>
      <c r="O71" s="138"/>
      <c r="P71" s="138">
        <f>Q18/$C$18</f>
        <v>0.58920443292506197</v>
      </c>
      <c r="Q71" s="138"/>
      <c r="R71" s="138">
        <f>S18/$C$18</f>
        <v>0.53324892011276326</v>
      </c>
      <c r="S71" s="138"/>
      <c r="T71" s="138">
        <f>U18/$C$18</f>
        <v>0.47807890752541687</v>
      </c>
      <c r="U71" s="138"/>
      <c r="V71" s="138">
        <f>W18/$C$18</f>
        <v>0.4236371392202215</v>
      </c>
      <c r="W71" s="138"/>
      <c r="X71" s="138">
        <f>Y18/$C$18</f>
        <v>0.36977654774415919</v>
      </c>
      <c r="Y71" s="138"/>
      <c r="Z71" s="138">
        <f>AA18/$C$18</f>
        <v>0.31623611370438859</v>
      </c>
      <c r="AA71" s="138"/>
      <c r="AB71" s="138">
        <f>AC18/$C$18</f>
        <v>0.26266430668258206</v>
      </c>
      <c r="AC71" s="138"/>
      <c r="AD71" s="138">
        <f>AE18/$C$18</f>
        <v>0.20876226266950992</v>
      </c>
      <c r="AE71" s="138"/>
      <c r="AF71" s="138">
        <f>AG18/$C$18</f>
        <v>0.15460323481028596</v>
      </c>
      <c r="AG71" s="138"/>
      <c r="AH71" s="138">
        <f>AI18/$C$18</f>
        <v>0.10113377372955855</v>
      </c>
      <c r="AI71" s="138"/>
      <c r="AJ71" s="138">
        <f>AK18/$C$18</f>
        <v>5.1200018540826855E-2</v>
      </c>
      <c r="AK71" s="138"/>
      <c r="AL71" s="138">
        <f>AM18/$C$18</f>
        <v>1.2812920216755558E-2</v>
      </c>
      <c r="AM71" s="138"/>
      <c r="AN71" s="138">
        <f>AO18/$C$18</f>
        <v>1.8387909371873925E-4</v>
      </c>
      <c r="AO71" s="138"/>
      <c r="AP71" s="138">
        <f>AQ18/$C$18</f>
        <v>2.924274726576404E-5</v>
      </c>
      <c r="AQ71" s="138"/>
      <c r="AR71" s="138">
        <f>AS18/$C$18</f>
        <v>2.1518323479547899E-6</v>
      </c>
      <c r="AS71" s="138"/>
      <c r="AT71" s="138">
        <f>AU18/$C$18</f>
        <v>3.7307543683749422E-8</v>
      </c>
      <c r="AU71" s="138"/>
      <c r="AV71" s="138">
        <f>AW18/$C$18</f>
        <v>0</v>
      </c>
      <c r="XFD71" s="138"/>
    </row>
    <row r="72" spans="1:48 16384:16384" x14ac:dyDescent="0.2">
      <c r="A72" t="s">
        <v>180</v>
      </c>
      <c r="B72" s="138">
        <f>C19/$C$19</f>
        <v>1</v>
      </c>
      <c r="D72" s="138">
        <f>E19/$C$19</f>
        <v>0.98304072979852197</v>
      </c>
      <c r="E72" s="138"/>
      <c r="F72" s="138">
        <f>G19/$C$19</f>
        <v>0.9662161846779701</v>
      </c>
      <c r="G72" s="138"/>
      <c r="H72" s="138">
        <f>I19/$C$19</f>
        <v>0.94943459263139973</v>
      </c>
      <c r="I72" s="138"/>
      <c r="J72" s="138">
        <f>K19/$C$19</f>
        <v>0.93258224910087084</v>
      </c>
      <c r="K72" s="138"/>
      <c r="L72" s="138">
        <f>M19/$C$19</f>
        <v>0.91552556715243205</v>
      </c>
      <c r="M72" s="138"/>
      <c r="N72" s="138">
        <f>O19/$C$19</f>
        <v>0.89812278602324913</v>
      </c>
      <c r="O72" s="138"/>
      <c r="P72" s="138">
        <f>Q19/$C$19</f>
        <v>0.88025334752372941</v>
      </c>
      <c r="Q72" s="138"/>
      <c r="R72" s="138">
        <f>S19/$C$19</f>
        <v>0.86188177986271586</v>
      </c>
      <c r="S72" s="138"/>
      <c r="T72" s="138">
        <f>U19/$C$19</f>
        <v>0.84318408026509772</v>
      </c>
      <c r="U72" s="138"/>
      <c r="V72" s="138">
        <f>W19/$C$19</f>
        <v>0.82477823449058285</v>
      </c>
      <c r="W72" s="138"/>
      <c r="X72" s="138">
        <f>Y19/$C$19</f>
        <v>0.80811349609471927</v>
      </c>
      <c r="Y72" s="138"/>
      <c r="Z72" s="138">
        <f>AA19/$C$19</f>
        <v>0.79607910522722813</v>
      </c>
      <c r="AA72" s="138"/>
      <c r="AB72" s="138">
        <f>AC19/$C$19</f>
        <v>0.79381446001432621</v>
      </c>
      <c r="AC72" s="138"/>
      <c r="AD72" s="138">
        <f>AE19/$C$19</f>
        <v>0.80961546746683088</v>
      </c>
      <c r="AE72" s="138"/>
      <c r="AF72" s="138">
        <f>AG19/$C$19</f>
        <v>0.85607015005526066</v>
      </c>
      <c r="AG72" s="138"/>
      <c r="AH72" s="138">
        <f>AI19/$C$19</f>
        <v>0.95284186328712961</v>
      </c>
      <c r="AI72" s="138"/>
      <c r="AJ72" s="138">
        <f>AK19/$C$19</f>
        <v>1.1324865267919542</v>
      </c>
      <c r="AK72" s="138"/>
      <c r="AL72" s="138">
        <f>AM19/$C$19</f>
        <v>1.4130854182190404</v>
      </c>
      <c r="AM72" s="138"/>
      <c r="AN72" s="138">
        <f>AO19/$C$19</f>
        <v>1.2947858644146601</v>
      </c>
      <c r="AO72" s="138"/>
      <c r="AP72" s="138">
        <f>AQ19/$C$19</f>
        <v>1.0979190869603093</v>
      </c>
      <c r="AQ72" s="138"/>
      <c r="AR72" s="138">
        <f>AS19/$C$19</f>
        <v>0.84975278720082048</v>
      </c>
      <c r="AS72" s="138"/>
      <c r="AT72" s="138">
        <f>AU19/$C$19</f>
        <v>0.57328547887400527</v>
      </c>
      <c r="AU72" s="138"/>
      <c r="AV72" s="138">
        <f>AW19/$C$19</f>
        <v>0</v>
      </c>
      <c r="XFD72" s="138"/>
    </row>
    <row r="73" spans="1:48 16384:16384" x14ac:dyDescent="0.2">
      <c r="A73" t="s">
        <v>184</v>
      </c>
      <c r="B73" s="193">
        <f t="array" ref="B73">SUM(B9:C9*B22:C22)/B32</f>
        <v>0.47641153352875221</v>
      </c>
      <c r="D73" s="193">
        <f t="array" ref="D73">SUM(D9:E9*D22:E22)/D32</f>
        <v>0.47473781681449412</v>
      </c>
      <c r="E73" s="138"/>
      <c r="F73" s="193">
        <f t="array" ref="F73">SUM(F9:G9*F22:G22)/F32</f>
        <v>0.47305258210001844</v>
      </c>
      <c r="G73" s="138"/>
      <c r="H73" s="193">
        <f t="array" ref="H73">SUM(H9:I9*H22:I22)/H32</f>
        <v>0.47135822682171219</v>
      </c>
      <c r="I73" s="138"/>
      <c r="J73" s="193">
        <f t="array" ref="J73">SUM(J9:K9*J22:K22)/J32</f>
        <v>0.46965838236577201</v>
      </c>
      <c r="K73" s="138"/>
      <c r="L73" s="193">
        <f t="array" ref="L73">SUM(L9:M9*L22:M22)/L32</f>
        <v>0.46795843622966338</v>
      </c>
      <c r="M73" s="138"/>
      <c r="N73" s="193">
        <f t="array" ref="N73">SUM(N9:O9*N22:O22)/N32</f>
        <v>0.46626555539623638</v>
      </c>
      <c r="O73" s="138"/>
      <c r="P73" s="193">
        <f t="array" ref="P73">SUM(P9:Q9*P22:Q22)/P32</f>
        <v>0.46458834607483701</v>
      </c>
      <c r="Q73" s="138"/>
      <c r="R73" s="193">
        <f t="array" ref="R73">SUM(R9:S9*R22:S22)/R32</f>
        <v>0.46293549074295648</v>
      </c>
      <c r="S73" s="138"/>
      <c r="T73" s="193">
        <f t="array" ref="T73">SUM(T9:U9*T22:U22)/T32</f>
        <v>0.46131266424203526</v>
      </c>
      <c r="U73" s="138"/>
      <c r="V73" s="193">
        <f t="array" ref="V73">SUM(V9:W9*V22:W22)/V32</f>
        <v>0.4597145761189021</v>
      </c>
      <c r="W73" s="138"/>
      <c r="X73" s="193">
        <f t="array" ref="X73">SUM(X9:Y9*X22:Y22)/X32</f>
        <v>0.45810839350980137</v>
      </c>
      <c r="Y73" s="138"/>
      <c r="Z73" s="193">
        <f t="array" ref="Z73">SUM(Z9:AA9*Z22:AA22)/Z32</f>
        <v>0.45640441751640193</v>
      </c>
      <c r="AA73" s="138"/>
      <c r="AB73" s="193">
        <f t="array" ref="AB73">SUM(AB9:AC9*AB22:AC22)/AB32</f>
        <v>0.45440791811398312</v>
      </c>
      <c r="AC73" s="138"/>
      <c r="AD73" s="193">
        <f t="array" ref="AD73">SUM(AD9:AE9*AD22:AE22)/AD32</f>
        <v>0.45176473574581999</v>
      </c>
      <c r="AE73" s="138"/>
      <c r="AF73" s="193">
        <f t="array" ref="AF73">SUM(AF9:AG9*AF22:AG22)/AF32</f>
        <v>0.44792596303550103</v>
      </c>
      <c r="AG73" s="138"/>
      <c r="AH73" s="193">
        <f t="array" ref="AH73">SUM(AH9:AI9*AH22:AI22)/AH32</f>
        <v>0.4420952816736623</v>
      </c>
      <c r="AI73" s="138"/>
      <c r="AJ73" s="193">
        <f t="array" ref="AJ73">SUM(AJ9:AK9*AJ22:AK22)/AJ32</f>
        <v>0.43288581873392673</v>
      </c>
      <c r="AK73" s="138"/>
      <c r="AL73" s="193">
        <f t="array" ref="AL73">SUM(AL9:AM9*AL22:AM22)/AL32</f>
        <v>0.41666002641543015</v>
      </c>
      <c r="AM73" s="138"/>
      <c r="AN73" s="193">
        <f t="array" ref="AN73">SUM(AN9:AO9*AN22:AO22)/AN32</f>
        <v>0.38215196694332237</v>
      </c>
      <c r="AO73" s="138"/>
      <c r="AP73" s="193">
        <f t="array" ref="AP73">SUM(AP9:AQ9*AP22:AQ22)/AP32</f>
        <v>0.37087166587701831</v>
      </c>
      <c r="AQ73" s="138"/>
      <c r="AR73" s="193">
        <f t="array" ref="AR73">SUM(AR9:AS9*AR22:AS22)/AR32</f>
        <v>0.35655535962835083</v>
      </c>
      <c r="AS73" s="138"/>
      <c r="AT73" s="193">
        <f t="array" ref="AT73">SUM(AT9:AU9*AT22:AU22)/AT32</f>
        <v>0.33666867078021429</v>
      </c>
      <c r="AU73" s="138"/>
      <c r="AV73" s="193" t="e">
        <f t="array" ref="AV73">SUM(AV9:AW9*AV22:AW22)/AV32</f>
        <v>#DIV/0!</v>
      </c>
      <c r="XFD73" s="193"/>
    </row>
    <row r="74" spans="1:48 16384:16384" x14ac:dyDescent="0.2">
      <c r="A74" t="s">
        <v>185</v>
      </c>
      <c r="B74" s="193">
        <f t="array" ref="B74">SUM(B10:C10*B23:C23)/B32</f>
        <v>0.22604620456442484</v>
      </c>
      <c r="D74" s="193">
        <f t="array" ref="D74">SUM(D10:E10*D23:E23)/D32</f>
        <v>0.22604620456442481</v>
      </c>
      <c r="E74" s="138"/>
      <c r="F74" s="193">
        <f t="array" ref="F74">SUM(F10:G10*F23:G23)/F32</f>
        <v>0.22604620456442484</v>
      </c>
      <c r="G74" s="138"/>
      <c r="H74" s="193">
        <f t="array" ref="H74">SUM(H10:I10*H23:I23)/H32</f>
        <v>0.22604620456442484</v>
      </c>
      <c r="I74" s="138"/>
      <c r="J74" s="193">
        <f t="array" ref="J74">SUM(J10:K10*J23:K23)/J32</f>
        <v>0.22604620456442484</v>
      </c>
      <c r="K74" s="138"/>
      <c r="L74" s="193">
        <f t="array" ref="L74">SUM(L10:M10*L23:M23)/L32</f>
        <v>0.22604620456442484</v>
      </c>
      <c r="M74" s="138"/>
      <c r="N74" s="193">
        <f t="array" ref="N74">SUM(N10:O10*N23:O23)/N32</f>
        <v>0.22604620456442484</v>
      </c>
      <c r="O74" s="138"/>
      <c r="P74" s="193">
        <f t="array" ref="P74">SUM(P10:Q10*P23:Q23)/P32</f>
        <v>0.22604620456442484</v>
      </c>
      <c r="Q74" s="138"/>
      <c r="R74" s="193">
        <f t="array" ref="R74">SUM(R10:S10*R23:S23)/R32</f>
        <v>0.22604620456442484</v>
      </c>
      <c r="S74" s="138"/>
      <c r="T74" s="193">
        <f t="array" ref="T74">SUM(T10:U10*T23:U23)/T32</f>
        <v>0.22604620456442487</v>
      </c>
      <c r="U74" s="138"/>
      <c r="V74" s="193">
        <f t="array" ref="V74">SUM(V10:W10*V23:W23)/V32</f>
        <v>0.22604620456442481</v>
      </c>
      <c r="W74" s="138"/>
      <c r="X74" s="193">
        <f t="array" ref="X74">SUM(X10:Y10*X23:Y23)/X32</f>
        <v>0.22604620456442484</v>
      </c>
      <c r="Y74" s="138"/>
      <c r="Z74" s="193">
        <f t="array" ref="Z74">SUM(Z10:AA10*Z23:AA23)/Z32</f>
        <v>0.22604620456442484</v>
      </c>
      <c r="AA74" s="138"/>
      <c r="AB74" s="193">
        <f t="array" ref="AB74">SUM(AB10:AC10*AB23:AC23)/AB32</f>
        <v>0.22604620456442487</v>
      </c>
      <c r="AC74" s="138"/>
      <c r="AD74" s="193">
        <f t="array" ref="AD74">SUM(AD10:AE10*AD23:AE23)/AD32</f>
        <v>0.22604620456442487</v>
      </c>
      <c r="AE74" s="138"/>
      <c r="AF74" s="193">
        <f t="array" ref="AF74">SUM(AF10:AG10*AF23:AG23)/AF32</f>
        <v>0.22604620456442487</v>
      </c>
      <c r="AG74" s="138"/>
      <c r="AH74" s="193">
        <f t="array" ref="AH74">SUM(AH10:AI10*AH23:AI23)/AH32</f>
        <v>0.22604620456442484</v>
      </c>
      <c r="AI74" s="138"/>
      <c r="AJ74" s="193">
        <f t="array" ref="AJ74">SUM(AJ10:AK10*AJ23:AK23)/AJ32</f>
        <v>0.22604620456442487</v>
      </c>
      <c r="AK74" s="138"/>
      <c r="AL74" s="193">
        <f t="array" ref="AL74">SUM(AL10:AM10*AL23:AM23)/AL32</f>
        <v>0.22604620456442484</v>
      </c>
      <c r="AM74" s="138"/>
      <c r="AN74" s="193">
        <f t="array" ref="AN74">SUM(AN10:AO10*AN23:AO23)/AN32</f>
        <v>0.22604620456442484</v>
      </c>
      <c r="AO74" s="138"/>
      <c r="AP74" s="193">
        <f t="array" ref="AP74">SUM(AP10:AQ10*AP23:AQ23)/AP32</f>
        <v>0.22604620456442484</v>
      </c>
      <c r="AQ74" s="138"/>
      <c r="AR74" s="193">
        <f t="array" ref="AR74">SUM(AR10:AS10*AR23:AS23)/AR32</f>
        <v>0.22604620456442484</v>
      </c>
      <c r="AS74" s="138"/>
      <c r="AT74" s="193">
        <f t="array" ref="AT74">SUM(AT10:AU10*AT23:AU23)/AT32</f>
        <v>0.22604620456442484</v>
      </c>
      <c r="AU74" s="138"/>
      <c r="AV74" s="193" t="e">
        <f t="array" ref="AV74">SUM(AV10:AW10*AV23:AW23)/AV32</f>
        <v>#DIV/0!</v>
      </c>
      <c r="XFD74" s="193"/>
    </row>
    <row r="75" spans="1:48 16384:16384" x14ac:dyDescent="0.2">
      <c r="A75" t="s">
        <v>186</v>
      </c>
      <c r="B75" s="193">
        <f t="array" ref="B75">SUM(B11:C11*B24:C24)/B32</f>
        <v>0.22038438833194082</v>
      </c>
      <c r="D75" s="193">
        <f t="array" ref="D75">SUM(D11:E11*D24:E24)/D32</f>
        <v>0.22250377731635942</v>
      </c>
      <c r="E75" s="138"/>
      <c r="F75" s="193">
        <f t="array" ref="F75">SUM(F11:G11*F24:G24)/F32</f>
        <v>0.2250535074510728</v>
      </c>
      <c r="G75" s="138"/>
      <c r="H75" s="193">
        <f t="array" ref="H75">SUM(H11:I11*H24:I24)/H32</f>
        <v>0.22813957514126415</v>
      </c>
      <c r="I75" s="138"/>
      <c r="J75" s="193">
        <f t="array" ref="J75">SUM(J11:K11*J24:K24)/J32</f>
        <v>0.23190028631086396</v>
      </c>
      <c r="K75" s="138"/>
      <c r="L75" s="193">
        <f t="array" ref="L75">SUM(L11:M11*L24:M24)/L32</f>
        <v>0.23651765804049185</v>
      </c>
      <c r="M75" s="138"/>
      <c r="N75" s="193">
        <f t="array" ref="N75">SUM(N11:O11*N24:O24)/N32</f>
        <v>0.24223177264658929</v>
      </c>
      <c r="O75" s="138"/>
      <c r="P75" s="193">
        <f t="array" ref="P75">SUM(P11:Q11*P24:Q24)/P32</f>
        <v>0.24935951614100046</v>
      </c>
      <c r="Q75" s="138"/>
      <c r="R75" s="193">
        <f t="array" ref="R75">SUM(R11:S11*R24:S24)/R32</f>
        <v>0.25831710549160175</v>
      </c>
      <c r="S75" s="138"/>
      <c r="T75" s="193">
        <f t="array" ref="T75">SUM(T11:U11*T24:U24)/T32</f>
        <v>0.26964307590712366</v>
      </c>
      <c r="U75" s="138"/>
      <c r="V75" s="193">
        <f t="array" ref="V75">SUM(V11:W11*V24:W24)/V32</f>
        <v>0.28400942712790411</v>
      </c>
      <c r="W75" s="138"/>
      <c r="X75" s="193">
        <f t="array" ref="X75">SUM(X11:Y11*X24:Y24)/X32</f>
        <v>0.30219171256430083</v>
      </c>
      <c r="Y75" s="138"/>
      <c r="Z75" s="193">
        <f t="array" ref="Z75">SUM(Z11:AA11*Z24:AA24)/Z32</f>
        <v>0.32493275037518016</v>
      </c>
      <c r="AA75" s="138"/>
      <c r="AB75" s="193">
        <f t="array" ref="AB75">SUM(AB11:AC11*AB24:AC24)/AB32</f>
        <v>0.35260554012429729</v>
      </c>
      <c r="AC75" s="138"/>
      <c r="AD75" s="193">
        <f t="array" ref="AD75">SUM(AD11:AE11*AD24:AE24)/AD32</f>
        <v>0.38466810444784183</v>
      </c>
      <c r="AE75" s="138"/>
      <c r="AF75" s="193">
        <f t="array" ref="AF75">SUM(AF11:AG11*AF24:AG24)/AF32</f>
        <v>0.41924375983730955</v>
      </c>
      <c r="AG75" s="138"/>
      <c r="AH75" s="193">
        <f t="array" ref="AH75">SUM(AH11:AI11*AH24:AI24)/AH32</f>
        <v>0.45337308889154537</v>
      </c>
      <c r="AI75" s="138"/>
      <c r="AJ75" s="193">
        <f t="array" ref="AJ75">SUM(AJ11:AK11*AJ24:AK24)/AJ32</f>
        <v>0.48375767686058191</v>
      </c>
      <c r="AK75" s="138"/>
      <c r="AL75" s="193">
        <f t="array" ref="AL75">SUM(AL11:AM11*AL24:AM24)/AL32</f>
        <v>0.50722099345905003</v>
      </c>
      <c r="AM75" s="138"/>
      <c r="AN75" s="193">
        <f t="array" ref="AN75">SUM(AN11:AO11*AN24:AO24)/AN32</f>
        <v>0.52835325852374837</v>
      </c>
      <c r="AO75" s="138"/>
      <c r="AP75" s="193">
        <f t="array" ref="AP75">SUM(AP11:AQ11*AP24:AQ24)/AP32</f>
        <v>0.53630011446124337</v>
      </c>
      <c r="AQ75" s="138"/>
      <c r="AR75" s="193">
        <f t="array" ref="AR75">SUM(AR11:AS11*AR24:AS24)/AR32</f>
        <v>0.54773480724192702</v>
      </c>
      <c r="AS75" s="138"/>
      <c r="AT75" s="193">
        <f t="array" ref="AT75">SUM(AT11:AU11*AT24:AU24)/AT32</f>
        <v>0.56484799495184035</v>
      </c>
      <c r="AU75" s="138"/>
      <c r="AV75" s="193" t="e">
        <f t="array" ref="AV75">SUM(AV11:AW11*AV24:AW24)/AV32</f>
        <v>#DIV/0!</v>
      </c>
      <c r="XFD75" s="193"/>
    </row>
    <row r="76" spans="1:48 16384:16384" x14ac:dyDescent="0.2">
      <c r="A76" t="s">
        <v>187</v>
      </c>
      <c r="B76" s="193">
        <f t="array" ref="B76">SUM(B12:C12*B25:C25)/B32</f>
        <v>0.22301874374724867</v>
      </c>
      <c r="D76" s="193">
        <f t="array" ref="D76">SUM(D12:E12*D25:E25)/D32</f>
        <v>0.22227859178241749</v>
      </c>
      <c r="E76" s="138"/>
      <c r="F76" s="193">
        <f t="array" ref="F76">SUM(F12:G12*F25:G25)/F32</f>
        <v>0.2211694894229593</v>
      </c>
      <c r="G76" s="138"/>
      <c r="H76" s="193">
        <f t="array" ref="H76">SUM(H12:I12*H25:I25)/H32</f>
        <v>0.21959336326939313</v>
      </c>
      <c r="I76" s="138"/>
      <c r="J76" s="193">
        <f t="array" ref="J76">SUM(J12:K12*J25:K25)/J32</f>
        <v>0.21742147113319385</v>
      </c>
      <c r="K76" s="138"/>
      <c r="L76" s="193">
        <f t="array" ref="L76">SUM(L12:M12*L25:M25)/L32</f>
        <v>0.21448344549408288</v>
      </c>
      <c r="M76" s="138"/>
      <c r="N76" s="193">
        <f t="array" ref="N76">SUM(N12:O12*N25:O25)/N32</f>
        <v>0.21055401903020188</v>
      </c>
      <c r="O76" s="138"/>
      <c r="P76" s="193">
        <f t="array" ref="P76">SUM(P12:Q12*P25:Q25)/P32</f>
        <v>0.20533602070578619</v>
      </c>
      <c r="Q76" s="138"/>
      <c r="R76" s="193">
        <f t="array" ref="R76">SUM(R12:S12*R25:S25)/R32</f>
        <v>0.19844077043238723</v>
      </c>
      <c r="S76" s="138"/>
      <c r="T76" s="193">
        <f t="array" ref="T76">SUM(T12:U12*T25:U25)/T32</f>
        <v>0.18936955450412318</v>
      </c>
      <c r="U76" s="138"/>
      <c r="V76" s="193">
        <f t="array" ref="V76">SUM(V12:W12*V25:W25)/V32</f>
        <v>0.17751018192110316</v>
      </c>
      <c r="W76" s="138"/>
      <c r="X76" s="193">
        <f t="array" ref="X76">SUM(X12:Y12*X25:Y25)/X32</f>
        <v>0.16217863291025561</v>
      </c>
      <c r="Y76" s="138"/>
      <c r="Z76" s="193">
        <f t="array" ref="Z76">SUM(Z12:AA12*Z25:AA25)/Z32</f>
        <v>0.14276880960430735</v>
      </c>
      <c r="AA76" s="138"/>
      <c r="AB76" s="193">
        <f t="array" ref="AB76">SUM(AB12:AC12*AB25:AC25)/AB32</f>
        <v>0.11910061871723417</v>
      </c>
      <c r="AC76" s="138"/>
      <c r="AD76" s="193">
        <f t="array" ref="AD76">SUM(AD12:AE12*AD25:AE25)/AD32</f>
        <v>9.195749083864406E-2</v>
      </c>
      <c r="AE76" s="138"/>
      <c r="AF76" s="193">
        <f t="array" ref="AF76">SUM(AF12:AG12*AF25:AG25)/AF32</f>
        <v>6.3472403577128078E-2</v>
      </c>
      <c r="AG76" s="138"/>
      <c r="AH76" s="193">
        <f t="array" ref="AH76">SUM(AH12:AI12*AH25:AI25)/AH32</f>
        <v>3.6845919144966953E-2</v>
      </c>
      <c r="AI76" s="138"/>
      <c r="AJ76" s="193">
        <f t="array" ref="AJ76">SUM(AJ12:AK12*AJ25:AK25)/AJ32</f>
        <v>1.5589175502225286E-2</v>
      </c>
      <c r="AK76" s="138"/>
      <c r="AL76" s="193">
        <f t="array" ref="AL76">SUM(AL12:AM12*AL25:AM25)/AL32</f>
        <v>3.0299361577517943E-3</v>
      </c>
      <c r="AM76" s="138"/>
      <c r="AN76" s="193">
        <f t="array" ref="AN76">SUM(AN12:AO12*AN25:AO25)/AN32</f>
        <v>3.257356842587946E-5</v>
      </c>
      <c r="AO76" s="138"/>
      <c r="AP76" s="193">
        <f t="array" ref="AP76">SUM(AP12:AQ12*AP25:AQ25)/AP32</f>
        <v>4.7150941936962869E-6</v>
      </c>
      <c r="AQ76" s="138"/>
      <c r="AR76" s="193">
        <f t="array" ref="AR76">SUM(AR12:AS12*AR25:AS25)/AR32</f>
        <v>2.8764562259180033E-7</v>
      </c>
      <c r="AS76" s="138"/>
      <c r="AT76" s="193">
        <f t="array" ref="AT76">SUM(AT12:AU12*AT25:AU25)/AT32</f>
        <v>3.2078346544384815E-9</v>
      </c>
      <c r="AU76" s="138"/>
      <c r="AV76" s="193" t="e">
        <f t="array" ref="AV76">SUM(AV12:AW12*AV25:AW25)/AV32</f>
        <v>#DIV/0!</v>
      </c>
      <c r="XFD76" s="193"/>
    </row>
    <row r="77" spans="1:48 16384:16384" x14ac:dyDescent="0.2">
      <c r="A77" t="s">
        <v>188</v>
      </c>
      <c r="B77" s="193">
        <f t="array" ref="B77">SUM(B4:C4*B19:C19)/B32</f>
        <v>0.14586087017236635</v>
      </c>
      <c r="D77" s="193">
        <f t="array" ref="D77">SUM(D4:E4*D19:E19)/D32</f>
        <v>0.14556639047769596</v>
      </c>
      <c r="E77" s="138"/>
      <c r="F77" s="193">
        <f t="array" ref="F77">SUM(F4:G4*F19:G19)/F32</f>
        <v>0.14532178353847508</v>
      </c>
      <c r="G77" s="138"/>
      <c r="H77" s="193">
        <f t="array" ref="H77">SUM(H4:I4*H19:I19)/H32</f>
        <v>0.14513736979679431</v>
      </c>
      <c r="I77" s="138"/>
      <c r="J77" s="193">
        <f t="array" ref="J77">SUM(J4:K4*J19:K19)/J32</f>
        <v>0.1450263443742546</v>
      </c>
      <c r="K77" s="138"/>
      <c r="L77" s="193">
        <f t="array" ref="L77">SUM(L4:M4*L19:M19)/L32</f>
        <v>0.14500574432866273</v>
      </c>
      <c r="M77" s="138"/>
      <c r="N77" s="193">
        <f t="array" ref="N77">SUM(N4:O4*N19:O19)/N32</f>
        <v>0.14509755163745214</v>
      </c>
      <c r="O77" s="138"/>
      <c r="P77" s="193">
        <f t="array" ref="P77">SUM(P4:Q4*P19:Q19)/P32</f>
        <v>0.14533008748604828</v>
      </c>
      <c r="Q77" s="138"/>
      <c r="R77" s="193">
        <f t="array" ref="R77">SUM(R4:S4*R19:S19)/R32</f>
        <v>0.14573957123137024</v>
      </c>
      <c r="S77" s="138"/>
      <c r="T77" s="193">
        <f t="array" ref="T77">SUM(T4:U4*T19:U19)/T32</f>
        <v>0.1463714992177069</v>
      </c>
      <c r="U77" s="138"/>
      <c r="V77" s="193">
        <f t="array" ref="V77">SUM(V4:W4*V19:W19)/V32</f>
        <v>0.14728038973233418</v>
      </c>
      <c r="W77" s="138"/>
      <c r="X77" s="193">
        <f t="array" ref="X77">SUM(X4:Y4*X19:Y19)/X32</f>
        <v>0.14852494354878243</v>
      </c>
      <c r="Y77" s="138"/>
      <c r="Z77" s="193">
        <f t="array" ref="Z77">SUM(Z4:AA4*Z19:AA19)/Z32</f>
        <v>0.15015218206031414</v>
      </c>
      <c r="AA77" s="138"/>
      <c r="AB77" s="193">
        <f t="array" ref="AB77">SUM(AB4:AC4*AB19:AC19)/AB32</f>
        <v>0.15216028151993927</v>
      </c>
      <c r="AC77" s="138"/>
      <c r="AD77" s="193">
        <f t="array" ref="AD77">SUM(AD4:AE4*AD19:AE19)/AD32</f>
        <v>0.15443653559673065</v>
      </c>
      <c r="AE77" s="138"/>
      <c r="AF77" s="193">
        <f t="array" ref="AF77">SUM(AF4:AG4*AF19:AG19)/AF32</f>
        <v>0.1566883310143633</v>
      </c>
      <c r="AG77" s="138"/>
      <c r="AH77" s="193">
        <f t="array" ref="AH77">SUM(AH4:AI4*AH19:AI19)/AH32</f>
        <v>0.15836049427459936</v>
      </c>
      <c r="AI77" s="138"/>
      <c r="AJ77" s="193">
        <f t="array" ref="AJ77">SUM(AJ4:AK4*AJ19:AK19)/AJ32</f>
        <v>0.1582788756611587</v>
      </c>
      <c r="AK77" s="138"/>
      <c r="AL77" s="193">
        <f t="array" ref="AL77">SUM(AL4:AM4*AL19:AM19)/AL32</f>
        <v>0.15295716059665673</v>
      </c>
      <c r="AM77" s="138"/>
      <c r="AN77" s="193">
        <f t="array" ref="AN77">SUM(AN4:AO4*AN19:AO19)/AN32</f>
        <v>0.13658400359992157</v>
      </c>
      <c r="AO77" s="138"/>
      <c r="AP77" s="193">
        <f t="array" ref="AP77">SUM(AP4:AQ4*AP19:AQ19)/AP32</f>
        <v>0.13322269999688016</v>
      </c>
      <c r="AQ77" s="138"/>
      <c r="AR77" s="193">
        <f t="array" ref="AR77">SUM(AR4:AS4*AR19:AS19)/AR32</f>
        <v>0.13033665908032527</v>
      </c>
      <c r="AS77" s="138"/>
      <c r="AT77" s="193">
        <f t="array" ref="AT77">SUM(AT4:AU4*AT19:AU19)/AT32</f>
        <v>0.12756287350431419</v>
      </c>
      <c r="AU77" s="138"/>
      <c r="AV77" s="193" t="e">
        <f t="array" ref="AV77">SUM(AV4:AW4*AV19:AW19)/AV32</f>
        <v>#DIV/0!</v>
      </c>
      <c r="XFD77" s="193"/>
    </row>
    <row r="78" spans="1:48 16384:16384" x14ac:dyDescent="0.2">
      <c r="A78" t="s">
        <v>189</v>
      </c>
      <c r="B78" s="193">
        <f t="array" ref="B78">SUM(B13:C13*B26:C26)/B32</f>
        <v>0.346887593115773</v>
      </c>
      <c r="D78" s="193">
        <f t="array" ref="D78">SUM(D13:E13*D26:E26)/D32</f>
        <v>0.3452808837176739</v>
      </c>
      <c r="E78" s="138"/>
      <c r="F78" s="193">
        <f t="array" ref="F78">SUM(F13:G13*F26:G26)/F32</f>
        <v>0.34361368086915856</v>
      </c>
      <c r="G78" s="138"/>
      <c r="H78" s="193">
        <f t="array" ref="H78">SUM(H13:I13*H26:I26)/H32</f>
        <v>0.34188313046470048</v>
      </c>
      <c r="I78" s="138"/>
      <c r="J78" s="193">
        <f t="array" ref="J78">SUM(J13:K13*J26:K26)/J32</f>
        <v>0.34008736701621722</v>
      </c>
      <c r="K78" s="138"/>
      <c r="L78" s="193">
        <f t="array" ref="L78">SUM(L13:M13*L26:M26)/L32</f>
        <v>0.33822616416339407</v>
      </c>
      <c r="M78" s="138"/>
      <c r="N78" s="193">
        <f t="array" ref="N78">SUM(N13:O13*N26:O26)/N32</f>
        <v>0.33630157150097939</v>
      </c>
      <c r="O78" s="138"/>
      <c r="P78" s="193">
        <f t="array" ref="P78">SUM(P13:Q13*P26:Q26)/P32</f>
        <v>0.33431866133591542</v>
      </c>
      <c r="Q78" s="138"/>
      <c r="R78" s="193">
        <f t="array" ref="R78">SUM(R13:S13*R26:S26)/R32</f>
        <v>0.33228619519031249</v>
      </c>
      <c r="S78" s="138"/>
      <c r="T78" s="193">
        <f t="array" ref="T78">SUM(T13:U13*T26:U26)/T32</f>
        <v>0.33021702758809451</v>
      </c>
      <c r="U78" s="138"/>
      <c r="V78" s="193">
        <f t="array" ref="V78">SUM(V13:W13*V26:W26)/V32</f>
        <v>0.32812713369287483</v>
      </c>
      <c r="W78" s="138"/>
      <c r="X78" s="193">
        <f t="array" ref="X78">SUM(X13:Y13*X26:Y26)/X32</f>
        <v>0.32603244611509213</v>
      </c>
      <c r="Y78" s="138"/>
      <c r="Z78" s="193">
        <f t="array" ref="Z78">SUM(Z13:AA13*Z26:AA26)/Z32</f>
        <v>0.32394159474670936</v>
      </c>
      <c r="AA78" s="138"/>
      <c r="AB78" s="193">
        <f t="array" ref="AB78">SUM(AB13:AC13*AB26:AC26)/AB32</f>
        <v>0.32184235773013192</v>
      </c>
      <c r="AC78" s="138"/>
      <c r="AD78" s="193">
        <f t="array" ref="AD78">SUM(AD13:AE13*AD26:AE26)/AD32</f>
        <v>0.31968336001922415</v>
      </c>
      <c r="AE78" s="138"/>
      <c r="AF78" s="193">
        <f t="array" ref="AF78">SUM(AF13:AG13*AF26:AG26)/AF32</f>
        <v>0.31736017949509621</v>
      </c>
      <c r="AG78" s="138"/>
      <c r="AH78" s="193">
        <f t="array" ref="AH78">SUM(AH13:AI13*AH26:AI26)/AH32</f>
        <v>0.31471139106011414</v>
      </c>
      <c r="AI78" s="138"/>
      <c r="AJ78" s="193">
        <f t="array" ref="AJ78">SUM(AJ13:AK13*AJ26:AK26)/AJ32</f>
        <v>0.31148450191048682</v>
      </c>
      <c r="AK78" s="138"/>
      <c r="AL78" s="193">
        <f t="array" ref="AL78">SUM(AL13:AM13*AL26:AM26)/AL32</f>
        <v>0.30717236783613727</v>
      </c>
      <c r="AM78" s="138"/>
      <c r="AN78" s="193">
        <f t="array" ref="AN78">SUM(AN13:AO13*AN26:AO26)/AN32</f>
        <v>0.30268019234941079</v>
      </c>
      <c r="AO78" s="138"/>
      <c r="AP78" s="193">
        <f t="array" ref="AP78">SUM(AP13:AQ13*AP26:AQ26)/AP32</f>
        <v>0.30281820665528997</v>
      </c>
      <c r="AQ78" s="138"/>
      <c r="AR78" s="193">
        <f t="array" ref="AR78">SUM(AR13:AS13*AR26:AS26)/AR32</f>
        <v>0.30384468479762256</v>
      </c>
      <c r="AS78" s="138"/>
      <c r="AT78" s="193">
        <f t="array" ref="AT78">SUM(AT13:AU13*AT26:AU26)/AT32</f>
        <v>0.30598619716010234</v>
      </c>
      <c r="AU78" s="138"/>
      <c r="AV78" s="193" t="e">
        <f t="array" ref="AV78">SUM(AV13:AW13*AV26:AW26)/AV32</f>
        <v>#DIV/0!</v>
      </c>
      <c r="XFD78" s="193"/>
    </row>
    <row r="79" spans="1:48 16384:16384" x14ac:dyDescent="0.2">
      <c r="A79" t="s">
        <v>190</v>
      </c>
      <c r="B79" s="193">
        <f t="array" ref="B79">SUM(B15:C15*B27:C27)/B32</f>
        <v>0.45460968782440875</v>
      </c>
      <c r="D79" s="193">
        <f t="array" ref="D79">SUM(D15:E15*D27:E27)/D32</f>
        <v>0.453405993368589</v>
      </c>
      <c r="F79" s="193">
        <f t="array" ref="F79">SUM(F15:G15*F27:G27)/F32</f>
        <v>0.45224412965090538</v>
      </c>
      <c r="H79" s="193">
        <f t="array" ref="H79">SUM(H15:I15*H27:I27)/H32</f>
        <v>0.45113104419791772</v>
      </c>
      <c r="J79" s="193">
        <f t="array" ref="J79">SUM(J15:K15*J27:K27)/J32</f>
        <v>0.4500748305512306</v>
      </c>
      <c r="L79" s="193">
        <f t="array" ref="L79">SUM(L15:M15*L27:M27)/L32</f>
        <v>0.44908481143454365</v>
      </c>
      <c r="N79" s="193">
        <f t="array" ref="N79">SUM(N15:O15*N27:O27)/N32</f>
        <v>0.44817098629642493</v>
      </c>
      <c r="P79" s="193">
        <f t="array" ref="P79">SUM(P15:Q15*P27:Q27)/P32</f>
        <v>0.44734275631762466</v>
      </c>
      <c r="R79" s="193">
        <f t="array" ref="R79">SUM(R15:S15*R27:S27)/R32</f>
        <v>0.44660605625507294</v>
      </c>
      <c r="T79" s="193">
        <f t="array" ref="T79">SUM(T15:U15*T27:U27)/T32</f>
        <v>0.44595746474965414</v>
      </c>
      <c r="V79" s="193">
        <f t="array" ref="V79">SUM(V15:W15*V27:W27)/V32</f>
        <v>0.44537162324488688</v>
      </c>
      <c r="X79" s="193">
        <f t="array" ref="X79">SUM(X15:Y15*X27:Y27)/X32</f>
        <v>0.44477707081808093</v>
      </c>
      <c r="Z79" s="193">
        <f t="array" ref="Z79">SUM(Z15:AA15*Z27:AA27)/Z32</f>
        <v>0.44401293723244317</v>
      </c>
      <c r="AB79" s="193">
        <f t="array" ref="AB79">SUM(AB15:AC15*AB27:AC27)/AB32</f>
        <v>0.44276219074071843</v>
      </c>
      <c r="AD79" s="193">
        <f t="array" ref="AD79">SUM(AD15:AE15*AD27:AE27)/AD32</f>
        <v>0.44047793226486087</v>
      </c>
      <c r="AF79" s="193">
        <f t="array" ref="AF79">SUM(AF15:AG15*AF27:AG27)/AF32</f>
        <v>0.43633628131778951</v>
      </c>
      <c r="AH79" s="193">
        <f t="array" ref="AH79">SUM(AH15:AI15*AH27:AI27)/AH32</f>
        <v>0.42915356012913791</v>
      </c>
      <c r="AJ79" s="193">
        <f t="array" ref="AJ79">SUM(AJ15:AK15*AJ27:AK27)/AJ32</f>
        <v>0.41683835810295811</v>
      </c>
      <c r="AL79" s="193">
        <f t="array" ref="AL79">SUM(AL15:AM15*AL27:AM27)/AL32</f>
        <v>0.39374838562837255</v>
      </c>
      <c r="AN79" s="193">
        <f t="array" ref="AN79">SUM(AN15:AO15*AN27:AO27)/AN32</f>
        <v>0.33989822583916235</v>
      </c>
      <c r="AP79" s="193">
        <f t="array" ref="AP79">SUM(AP15:AQ15*AP27:AQ27)/AP32</f>
        <v>0.32066638535280045</v>
      </c>
      <c r="AR79" s="193">
        <f t="array" ref="AR79">SUM(AR15:AS15*AR27:AS27)/AR32</f>
        <v>0.29539527615957883</v>
      </c>
      <c r="AT79" s="193">
        <f t="array" ref="AT79">SUM(AT15:AU15*AT27:AU27)/AT32</f>
        <v>0.25956573883709222</v>
      </c>
      <c r="AV79" s="193" t="e">
        <f t="array" ref="AV79">SUM(AV15:AW15*AV27:AW27)/AV32</f>
        <v>#DIV/0!</v>
      </c>
      <c r="XFD79" s="193"/>
    </row>
    <row r="80" spans="1:48 16384:16384" x14ac:dyDescent="0.2">
      <c r="A80" t="s">
        <v>169</v>
      </c>
      <c r="B80" s="236">
        <f>B55</f>
        <v>0.19850271905982084</v>
      </c>
      <c r="D80" s="236">
        <f>D55</f>
        <v>0.20131312882729019</v>
      </c>
      <c r="F80" s="236">
        <f>F55</f>
        <v>0.20414221118396714</v>
      </c>
      <c r="H80" s="236">
        <f>H55</f>
        <v>0.20698587453254713</v>
      </c>
      <c r="J80" s="236">
        <f>J55</f>
        <v>0.20983784021079724</v>
      </c>
      <c r="L80" s="236">
        <f>L55</f>
        <v>0.21268903216657242</v>
      </c>
      <c r="N80" s="236">
        <f>N55</f>
        <v>0.21552745466554707</v>
      </c>
      <c r="P80" s="236">
        <f>P55</f>
        <v>0.21833864493357483</v>
      </c>
      <c r="R80" s="236">
        <f>R55</f>
        <v>0.221107789124249</v>
      </c>
      <c r="T80" s="236">
        <f>T55</f>
        <v>0.22382552086138979</v>
      </c>
      <c r="V80" s="236">
        <f>V55</f>
        <v>0.22650128214472617</v>
      </c>
      <c r="X80" s="236">
        <f>X55</f>
        <v>0.2291904951249176</v>
      </c>
      <c r="Z80" s="236">
        <f>Z55</f>
        <v>0.23204551849625918</v>
      </c>
      <c r="AB80" s="236">
        <f>AB55</f>
        <v>0.23539553919821962</v>
      </c>
      <c r="AD80" s="236">
        <f>AD55</f>
        <v>0.23983870871736729</v>
      </c>
      <c r="AF80" s="236">
        <f>AF55</f>
        <v>0.24630355221022415</v>
      </c>
      <c r="AH80" s="236">
        <f>AH55</f>
        <v>0.2561350493469044</v>
      </c>
      <c r="AJ80" s="236">
        <f>AJ55</f>
        <v>0.27167714387402864</v>
      </c>
      <c r="AL80" s="236">
        <f>AL55</f>
        <v>0.29907925297583399</v>
      </c>
      <c r="AN80" s="236">
        <f>AN55</f>
        <v>0.35742158312850769</v>
      </c>
      <c r="AP80" s="236">
        <f>AP55</f>
        <v>0.37651540777700632</v>
      </c>
      <c r="AR80" s="236">
        <f>AR55</f>
        <v>0.40076004171985868</v>
      </c>
      <c r="AT80" s="236">
        <f>AT55</f>
        <v>0.43444806419011328</v>
      </c>
      <c r="AV80" s="236" t="e">
        <f>AV55</f>
        <v>#DIV/0!</v>
      </c>
      <c r="XFD80" s="236"/>
    </row>
    <row r="81" spans="1:48 16384:16384" x14ac:dyDescent="0.2">
      <c r="A81" t="s">
        <v>191</v>
      </c>
      <c r="B81" s="236">
        <f>B51/B$32</f>
        <v>-2.7543485504603994E-2</v>
      </c>
      <c r="D81" s="236">
        <f>D51/D$32</f>
        <v>-2.4733075737134649E-2</v>
      </c>
      <c r="F81" s="236">
        <f>F51/F$32</f>
        <v>-2.19039933804577E-2</v>
      </c>
      <c r="H81" s="236">
        <f>H51/H$32</f>
        <v>-1.9060330031877709E-2</v>
      </c>
      <c r="J81" s="236">
        <f>J51/J$32</f>
        <v>-1.6208364353627616E-2</v>
      </c>
      <c r="L81" s="236">
        <f>L51/L$32</f>
        <v>-1.3357172397852422E-2</v>
      </c>
      <c r="N81" s="236">
        <f>N51/N$32</f>
        <v>-1.0518749898877765E-2</v>
      </c>
      <c r="P81" s="236">
        <f>P51/P$32</f>
        <v>-7.7075596308500182E-3</v>
      </c>
      <c r="R81" s="236">
        <f>R51/R$32</f>
        <v>-4.9384154401758418E-3</v>
      </c>
      <c r="T81" s="236">
        <f>T51/T$32</f>
        <v>-2.2206837030350514E-3</v>
      </c>
      <c r="V81" s="236">
        <f>V51/V$32</f>
        <v>4.5507758030135603E-4</v>
      </c>
      <c r="X81" s="236">
        <f>X51/X$32</f>
        <v>3.1442905604927569E-3</v>
      </c>
      <c r="Z81" s="236">
        <f>Z51/Z$32</f>
        <v>5.9993139318343268E-3</v>
      </c>
      <c r="AB81" s="236">
        <f>AB51/AB$32</f>
        <v>9.3493346337947536E-3</v>
      </c>
      <c r="AD81" s="236">
        <f>AD51/AD$32</f>
        <v>1.3792504152942442E-2</v>
      </c>
      <c r="AF81" s="236">
        <f>AF51/AF$32</f>
        <v>2.0257347645799284E-2</v>
      </c>
      <c r="AH81" s="236">
        <f>AH51/AH$32</f>
        <v>3.0088844782479564E-2</v>
      </c>
      <c r="AJ81" s="236">
        <f>AJ51/AJ$32</f>
        <v>4.5630939309603755E-2</v>
      </c>
      <c r="AL81" s="236">
        <f>AL51/AL$32</f>
        <v>7.3033048411409118E-2</v>
      </c>
      <c r="AN81" s="236">
        <f>AN51/AN$32</f>
        <v>0.13137537856408288</v>
      </c>
      <c r="AP81" s="236">
        <f>AP51/AP$32</f>
        <v>0.15046920321258148</v>
      </c>
      <c r="AR81" s="236">
        <f>AR51/AR$32</f>
        <v>0.17471383715543387</v>
      </c>
      <c r="AT81" s="236">
        <f>AT51/AT$32</f>
        <v>0.20840185962568841</v>
      </c>
      <c r="AV81" s="236" t="e">
        <f>AV51/AV$32</f>
        <v>#DIV/0!</v>
      </c>
      <c r="XFD81" s="236"/>
    </row>
    <row r="82" spans="1:48 16384:16384" x14ac:dyDescent="0.2">
      <c r="A82" t="s">
        <v>192</v>
      </c>
      <c r="B82" s="236">
        <f>B52/B$32</f>
        <v>0.13907860278212886</v>
      </c>
      <c r="D82" s="236">
        <f>D52/D$32</f>
        <v>0.1384344203362898</v>
      </c>
      <c r="F82" s="236">
        <f>F52/F$32</f>
        <v>0.1377659840839488</v>
      </c>
      <c r="H82" s="236">
        <f>H52/H$32</f>
        <v>0.13707214972067785</v>
      </c>
      <c r="J82" s="236">
        <f>J52/J$32</f>
        <v>0.13635216931117697</v>
      </c>
      <c r="L82" s="236">
        <f>L52/L$32</f>
        <v>0.1356059521001787</v>
      </c>
      <c r="N82" s="236">
        <f>N52/N$32</f>
        <v>0.13483431983737809</v>
      </c>
      <c r="P82" s="236">
        <f>P52/P$32</f>
        <v>0.1340393061768361</v>
      </c>
      <c r="R82" s="236">
        <f>R52/R$32</f>
        <v>0.13322442389986144</v>
      </c>
      <c r="T82" s="236">
        <f>T52/T$32</f>
        <v>0.13239482680630821</v>
      </c>
      <c r="V82" s="236">
        <f>V52/V$32</f>
        <v>0.13155691986273804</v>
      </c>
      <c r="X82" s="236">
        <f>X52/X$32</f>
        <v>0.13071709097475048</v>
      </c>
      <c r="Z82" s="236">
        <f>Z52/Z$32</f>
        <v>0.12987880014881503</v>
      </c>
      <c r="AB82" s="236">
        <f>AB52/AB$32</f>
        <v>0.12903714724174012</v>
      </c>
      <c r="AD82" s="236">
        <f>AD52/AD$32</f>
        <v>0.12817153431408876</v>
      </c>
      <c r="AF82" s="236">
        <f>AF52/AF$32</f>
        <v>0.1272400951167274</v>
      </c>
      <c r="AH82" s="236">
        <f>AH52/AH$32</f>
        <v>0.12617810903848847</v>
      </c>
      <c r="AJ82" s="236">
        <f>AJ52/AJ$32</f>
        <v>0.12488434344072841</v>
      </c>
      <c r="AL82" s="236">
        <f>AL52/AL$32</f>
        <v>0.12315546759168763</v>
      </c>
      <c r="AN82" s="236">
        <f>AN52/AN$32</f>
        <v>0.12135440724088535</v>
      </c>
      <c r="AP82" s="236">
        <f>AP52/AP$32</f>
        <v>0.12140974169852106</v>
      </c>
      <c r="AR82" s="236">
        <f>AR52/AR$32</f>
        <v>0.12182129042109059</v>
      </c>
      <c r="AT82" s="236">
        <f>AT52/AT$32</f>
        <v>0.12267989289960284</v>
      </c>
      <c r="AV82" s="236" t="e">
        <f>AV52/AV$32</f>
        <v>#DIV/0!</v>
      </c>
    </row>
    <row r="83" spans="1:48 16384:16384" x14ac:dyDescent="0.2">
      <c r="A83" t="s">
        <v>193</v>
      </c>
      <c r="B83" s="236">
        <f>B53/B$32</f>
        <v>0.18600714462930035</v>
      </c>
      <c r="D83" s="236">
        <f>D53/D$32</f>
        <v>0.18551464353499977</v>
      </c>
      <c r="F83" s="236">
        <f>F53/F$32</f>
        <v>0.18503925781761887</v>
      </c>
      <c r="H83" s="236">
        <f>H53/H$32</f>
        <v>0.18458383011252646</v>
      </c>
      <c r="J83" s="236">
        <f>J53/J$32</f>
        <v>0.18415167195619908</v>
      </c>
      <c r="L83" s="236">
        <f>L53/L$32</f>
        <v>0.18374659781467642</v>
      </c>
      <c r="N83" s="236">
        <f>N53/N$32</f>
        <v>0.18337269904132339</v>
      </c>
      <c r="P83" s="236">
        <f>P53/P$32</f>
        <v>0.18303382220350173</v>
      </c>
      <c r="R83" s="236">
        <f>R53/R$32</f>
        <v>0.18273239555388665</v>
      </c>
      <c r="T83" s="236">
        <f>T53/T$32</f>
        <v>0.18246701921637146</v>
      </c>
      <c r="V83" s="236">
        <f>V53/V$32</f>
        <v>0.18222731753727045</v>
      </c>
      <c r="X83" s="236">
        <f>X53/X$32</f>
        <v>0.1819840517156118</v>
      </c>
      <c r="Z83" s="236">
        <f>Z53/Z$32</f>
        <v>0.18167140042333504</v>
      </c>
      <c r="AB83" s="236">
        <f>AB53/AB$32</f>
        <v>0.18115964761689091</v>
      </c>
      <c r="AD83" s="236">
        <f>AD53/AD$32</f>
        <v>0.18022502521866859</v>
      </c>
      <c r="AF83" s="236">
        <f>AF53/AF$32</f>
        <v>0.17853043601973903</v>
      </c>
      <c r="AH83" s="236">
        <f>AH53/AH$32</f>
        <v>0.17559156891076205</v>
      </c>
      <c r="AJ83" s="236">
        <f>AJ53/AJ$32</f>
        <v>0.17055270672684072</v>
      </c>
      <c r="AL83" s="236">
        <f>AL53/AL$32</f>
        <v>0.16110526210655432</v>
      </c>
      <c r="AN83" s="236">
        <f>AN53/AN$32</f>
        <v>0.13907204387894057</v>
      </c>
      <c r="AP83" s="236">
        <f>AP53/AP$32</f>
        <v>0.13120318443612103</v>
      </c>
      <c r="AR83" s="236">
        <f>AR53/AR$32</f>
        <v>0.1208633104991142</v>
      </c>
      <c r="AT83" s="236">
        <f>AT53/AT$32</f>
        <v>0.10620337229445623</v>
      </c>
      <c r="AV83" s="236" t="e">
        <f>AV53/AV$32</f>
        <v>#DIV/0!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4"/>
  <dimension ref="A1:XFD83"/>
  <sheetViews>
    <sheetView workbookViewId="0">
      <pane xSplit="1" ySplit="1" topLeftCell="B59" activePane="bottomRight" state="frozen"/>
      <selection pane="topRight" activeCell="B1" sqref="B1"/>
      <selection pane="bottomLeft" activeCell="A2" sqref="A2"/>
      <selection pane="bottomRight" activeCell="AT54" sqref="A51:AT54"/>
    </sheetView>
  </sheetViews>
  <sheetFormatPr baseColWidth="10" defaultRowHeight="10" x14ac:dyDescent="0.2"/>
  <sheetData>
    <row r="1" spans="1:97" x14ac:dyDescent="0.2">
      <c r="B1" s="94">
        <v>0</v>
      </c>
      <c r="D1" s="94">
        <v>0.05</v>
      </c>
      <c r="F1" s="94">
        <v>0.1</v>
      </c>
      <c r="H1" s="94">
        <v>0.15000000000000002</v>
      </c>
      <c r="J1" s="94">
        <v>0.2</v>
      </c>
      <c r="L1" s="94">
        <v>0.25</v>
      </c>
      <c r="N1" s="94">
        <v>0.3</v>
      </c>
      <c r="P1" s="94">
        <v>0.35</v>
      </c>
      <c r="R1" s="94">
        <v>0.39999999999999997</v>
      </c>
      <c r="T1" s="94">
        <v>0.44999999999999996</v>
      </c>
      <c r="V1" s="94">
        <v>0.49999999999999994</v>
      </c>
      <c r="X1" s="94">
        <v>0.54999999999999993</v>
      </c>
      <c r="Z1" s="94">
        <v>0.6</v>
      </c>
      <c r="AB1" s="94">
        <v>0.65</v>
      </c>
      <c r="AD1" s="94">
        <v>0.70000000000000007</v>
      </c>
      <c r="AF1" s="94">
        <v>0.75000000000000011</v>
      </c>
      <c r="AH1" s="94">
        <v>0.80000000000000016</v>
      </c>
      <c r="AJ1" s="94">
        <v>0.8500000000000002</v>
      </c>
      <c r="AL1" s="94">
        <v>0.90000000000000024</v>
      </c>
      <c r="AN1" s="94">
        <v>0.95000000000000029</v>
      </c>
      <c r="AP1" s="94">
        <v>0.9600000000000003</v>
      </c>
      <c r="AR1" s="94">
        <v>0.97000000000000031</v>
      </c>
      <c r="AT1" s="94">
        <v>0.98000000000000032</v>
      </c>
      <c r="AV1" s="94">
        <v>0.99000000000000032</v>
      </c>
      <c r="AX1" s="94"/>
      <c r="AZ1" s="94"/>
      <c r="BB1" s="94"/>
      <c r="BD1" s="94"/>
      <c r="BF1" s="94"/>
      <c r="BH1" s="94"/>
      <c r="BJ1" s="94"/>
      <c r="BL1" s="94"/>
      <c r="BN1" s="94"/>
      <c r="BP1" s="94"/>
      <c r="BR1" s="94"/>
      <c r="BT1" s="94"/>
      <c r="BV1" s="94"/>
      <c r="BX1" s="94"/>
      <c r="BZ1" s="94"/>
      <c r="CB1" s="94"/>
      <c r="CD1" s="94"/>
      <c r="CF1" s="94"/>
      <c r="CH1" s="94"/>
      <c r="CJ1" s="94"/>
      <c r="CL1" s="94"/>
      <c r="CN1" s="94"/>
      <c r="CP1" s="94"/>
      <c r="CR1" s="94"/>
    </row>
    <row r="2" spans="1:97" x14ac:dyDescent="0.2">
      <c r="A2" s="81" t="s">
        <v>155</v>
      </c>
      <c r="B2" s="95">
        <v>8.6827325972948285E-3</v>
      </c>
      <c r="C2" s="81"/>
      <c r="D2" s="95">
        <v>5.4995561909206597E-2</v>
      </c>
      <c r="E2" s="81"/>
      <c r="F2" s="95">
        <v>0.10590495885417066</v>
      </c>
      <c r="G2" s="81"/>
      <c r="H2" s="95">
        <v>0.16220408576695314</v>
      </c>
      <c r="I2" s="81"/>
      <c r="J2" s="95">
        <v>0.22489155262613042</v>
      </c>
      <c r="K2" s="81"/>
      <c r="L2" s="95">
        <v>0.2952482365843303</v>
      </c>
      <c r="M2" s="81"/>
      <c r="N2" s="95">
        <v>0.37495185091212635</v>
      </c>
      <c r="O2" s="81"/>
      <c r="P2" s="95">
        <v>0.46625336978538245</v>
      </c>
      <c r="Q2" s="81"/>
      <c r="R2" s="95">
        <v>0.57225880883340152</v>
      </c>
      <c r="S2" s="81"/>
      <c r="T2" s="95">
        <v>0.69740479658125121</v>
      </c>
      <c r="U2" s="81"/>
      <c r="V2" s="95">
        <v>0.84828183669145607</v>
      </c>
      <c r="W2" s="81"/>
      <c r="X2" s="95">
        <v>1.035158231149079</v>
      </c>
      <c r="Y2" s="81"/>
      <c r="Z2" s="95">
        <v>1.2749576073063682</v>
      </c>
      <c r="AA2" s="81"/>
      <c r="AB2" s="95">
        <v>1.597492736180363</v>
      </c>
      <c r="AC2" s="81"/>
      <c r="AD2" s="95">
        <v>2.0595297870258498</v>
      </c>
      <c r="AE2" s="81"/>
      <c r="AF2" s="95">
        <v>2.7790317446744317</v>
      </c>
      <c r="AG2" s="81"/>
      <c r="AH2" s="95">
        <v>4.0250992266236496</v>
      </c>
      <c r="AI2" s="81"/>
      <c r="AJ2" s="95">
        <v>6.4815483937825933</v>
      </c>
      <c r="AK2" s="81"/>
      <c r="AL2" s="95">
        <v>12.25655510876787</v>
      </c>
      <c r="AM2" s="81"/>
      <c r="AN2" s="95">
        <v>31.481870647785311</v>
      </c>
      <c r="AO2" s="81"/>
      <c r="AP2" s="95">
        <v>40.923779933765381</v>
      </c>
      <c r="AQ2" s="81"/>
      <c r="AR2" s="95">
        <v>55.683972901289032</v>
      </c>
      <c r="AS2" s="81"/>
      <c r="AT2" s="95">
        <v>81.094779006669967</v>
      </c>
      <c r="AU2" s="81"/>
      <c r="AV2" s="95">
        <v>132.20301626109219</v>
      </c>
      <c r="AW2" s="81"/>
      <c r="AX2" s="95"/>
      <c r="AZ2" s="95"/>
      <c r="BB2" s="95"/>
      <c r="BD2" s="95"/>
      <c r="BF2" s="95"/>
      <c r="BH2" s="95"/>
      <c r="BJ2" s="95"/>
      <c r="BL2" s="95"/>
      <c r="BN2" s="95"/>
      <c r="BP2" s="95"/>
      <c r="BR2" s="95"/>
      <c r="BT2" s="95"/>
      <c r="BV2" s="95"/>
      <c r="BX2" s="95"/>
      <c r="BZ2" s="95"/>
      <c r="CB2" s="95"/>
      <c r="CD2" s="95"/>
      <c r="CF2" s="95"/>
      <c r="CH2" s="95"/>
      <c r="CJ2" s="95"/>
      <c r="CL2" s="95"/>
      <c r="CN2" s="95"/>
      <c r="CP2" s="95"/>
      <c r="CR2" s="95"/>
    </row>
    <row r="3" spans="1:97" x14ac:dyDescent="0.2">
      <c r="A3" t="s">
        <v>12</v>
      </c>
      <c r="B3" s="84">
        <v>1000</v>
      </c>
      <c r="C3" s="85">
        <v>1000</v>
      </c>
      <c r="D3" s="84">
        <v>997.14372327780904</v>
      </c>
      <c r="E3" s="85">
        <v>1017.7961527932962</v>
      </c>
      <c r="F3" s="84">
        <v>994.28417791049253</v>
      </c>
      <c r="G3" s="85">
        <v>1037.8819813387163</v>
      </c>
      <c r="H3" s="84">
        <v>991.4194459434068</v>
      </c>
      <c r="I3" s="85">
        <v>1060.6746678751244</v>
      </c>
      <c r="J3" s="84">
        <v>988.54708399580204</v>
      </c>
      <c r="K3" s="85">
        <v>1086.6984776046306</v>
      </c>
      <c r="L3" s="84">
        <v>985.66434751316456</v>
      </c>
      <c r="M3" s="85">
        <v>1116.622983200984</v>
      </c>
      <c r="N3" s="84">
        <v>982.76868528787998</v>
      </c>
      <c r="O3" s="85">
        <v>1151.3193237623068</v>
      </c>
      <c r="P3" s="84">
        <v>979.85861582647169</v>
      </c>
      <c r="Q3" s="85">
        <v>1191.9442203430299</v>
      </c>
      <c r="R3" s="84">
        <v>976.93555566915791</v>
      </c>
      <c r="S3" s="85">
        <v>1240.0723418744224</v>
      </c>
      <c r="T3" s="84">
        <v>974.00725406450567</v>
      </c>
      <c r="U3" s="85">
        <v>1297.912618181349</v>
      </c>
      <c r="V3" s="84">
        <v>971.09412910185358</v>
      </c>
      <c r="W3" s="85">
        <v>1368.6745317972618</v>
      </c>
      <c r="X3" s="84">
        <v>968.24117033089954</v>
      </c>
      <c r="Y3" s="85">
        <v>1457.2261899253544</v>
      </c>
      <c r="Z3" s="84">
        <v>965.54010886607307</v>
      </c>
      <c r="AA3" s="85">
        <v>1571.3426460978085</v>
      </c>
      <c r="AB3" s="84">
        <v>963.1703584759739</v>
      </c>
      <c r="AC3" s="85">
        <v>1724.2366390334487</v>
      </c>
      <c r="AD3" s="84">
        <v>961.47061448728584</v>
      </c>
      <c r="AE3" s="85">
        <v>1940.071875763733</v>
      </c>
      <c r="AF3" s="84">
        <v>961.04024737577538</v>
      </c>
      <c r="AG3" s="85">
        <v>2266.9068544090451</v>
      </c>
      <c r="AH3" s="84">
        <v>962.7761454497504</v>
      </c>
      <c r="AI3" s="85">
        <v>2809.6040255054877</v>
      </c>
      <c r="AJ3" s="84">
        <v>967.51113156017345</v>
      </c>
      <c r="AK3" s="85">
        <v>3824.8994907832844</v>
      </c>
      <c r="AL3" s="84">
        <v>975.12943529750191</v>
      </c>
      <c r="AM3" s="85">
        <v>6088.3765923086612</v>
      </c>
      <c r="AN3" s="84">
        <v>984.66733140778535</v>
      </c>
      <c r="AO3" s="85">
        <v>13293.322262585707</v>
      </c>
      <c r="AP3" s="84">
        <v>986.8601167712128</v>
      </c>
      <c r="AQ3" s="85">
        <v>16771.380309975044</v>
      </c>
      <c r="AR3" s="84">
        <v>989.3017217926722</v>
      </c>
      <c r="AS3" s="85">
        <v>22175.959145506742</v>
      </c>
      <c r="AT3" s="84">
        <v>992.25792918498621</v>
      </c>
      <c r="AU3" s="85">
        <v>31430.181180897169</v>
      </c>
      <c r="AV3" s="84">
        <v>996.47204962446233</v>
      </c>
      <c r="AW3" s="85">
        <v>49958.206456102693</v>
      </c>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c r="CR3" s="84"/>
      <c r="CS3" s="85"/>
    </row>
    <row r="4" spans="1:97" x14ac:dyDescent="0.2">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01">
        <v>1000</v>
      </c>
      <c r="S4" s="102">
        <v>1000</v>
      </c>
      <c r="T4" s="101">
        <v>1000</v>
      </c>
      <c r="U4" s="102">
        <v>1000</v>
      </c>
      <c r="V4" s="101">
        <v>1000</v>
      </c>
      <c r="W4" s="102">
        <v>1000</v>
      </c>
      <c r="X4" s="101">
        <v>1000</v>
      </c>
      <c r="Y4" s="102">
        <v>1000</v>
      </c>
      <c r="Z4" s="101">
        <v>1000</v>
      </c>
      <c r="AA4" s="102">
        <v>1000</v>
      </c>
      <c r="AB4" s="101">
        <v>1000</v>
      </c>
      <c r="AC4" s="102">
        <v>1000</v>
      </c>
      <c r="AD4" s="101">
        <v>1000</v>
      </c>
      <c r="AE4" s="102">
        <v>1000</v>
      </c>
      <c r="AF4" s="101">
        <v>1000</v>
      </c>
      <c r="AG4" s="102">
        <v>1000</v>
      </c>
      <c r="AH4" s="101">
        <v>1000</v>
      </c>
      <c r="AI4" s="102">
        <v>1000</v>
      </c>
      <c r="AJ4" s="101">
        <v>1000</v>
      </c>
      <c r="AK4" s="102">
        <v>1000</v>
      </c>
      <c r="AL4" s="101">
        <v>1000</v>
      </c>
      <c r="AM4" s="102">
        <v>1000</v>
      </c>
      <c r="AN4" s="101">
        <v>1000</v>
      </c>
      <c r="AO4" s="102">
        <v>1000</v>
      </c>
      <c r="AP4" s="101">
        <v>1000</v>
      </c>
      <c r="AQ4" s="102">
        <v>1000</v>
      </c>
      <c r="AR4" s="101">
        <v>1000</v>
      </c>
      <c r="AS4" s="102">
        <v>1000</v>
      </c>
      <c r="AT4" s="101">
        <v>1000</v>
      </c>
      <c r="AU4" s="102">
        <v>1000</v>
      </c>
      <c r="AV4" s="101">
        <v>1000</v>
      </c>
      <c r="AW4" s="102">
        <v>1000</v>
      </c>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c r="CR4" s="59"/>
      <c r="CS4" s="60"/>
    </row>
    <row r="5" spans="1:97" x14ac:dyDescent="0.2">
      <c r="A5" t="s">
        <v>128</v>
      </c>
      <c r="B5" s="41">
        <v>1000</v>
      </c>
      <c r="C5" s="42">
        <v>1000</v>
      </c>
      <c r="D5" s="41">
        <v>996.99082399845292</v>
      </c>
      <c r="E5" s="42">
        <v>1016.3266274279071</v>
      </c>
      <c r="F5" s="41">
        <v>993.97506265331708</v>
      </c>
      <c r="G5" s="42">
        <v>1034.2765443930705</v>
      </c>
      <c r="H5" s="41">
        <v>990.9506495353321</v>
      </c>
      <c r="I5" s="42">
        <v>1054.050902330373</v>
      </c>
      <c r="J5" s="41">
        <v>987.91495280820084</v>
      </c>
      <c r="K5" s="42">
        <v>1075.8807996453907</v>
      </c>
      <c r="L5" s="41">
        <v>984.86500983069186</v>
      </c>
      <c r="M5" s="42">
        <v>1100.0316236368972</v>
      </c>
      <c r="N5" s="41">
        <v>981.79804895482539</v>
      </c>
      <c r="O5" s="42">
        <v>1126.8083530166016</v>
      </c>
      <c r="P5" s="41">
        <v>978.71242007789533</v>
      </c>
      <c r="Q5" s="42">
        <v>1156.558132045745</v>
      </c>
      <c r="R5" s="41">
        <v>975.60954223032184</v>
      </c>
      <c r="S5" s="42">
        <v>1189.673549054851</v>
      </c>
      <c r="T5" s="41">
        <v>972.49757319561331</v>
      </c>
      <c r="U5" s="42">
        <v>1226.5867520544143</v>
      </c>
      <c r="V5" s="41">
        <v>969.39819361228535</v>
      </c>
      <c r="W5" s="42">
        <v>1267.7540531644111</v>
      </c>
      <c r="X5" s="41">
        <v>966.35937055277043</v>
      </c>
      <c r="Y5" s="42">
        <v>1313.6090931163692</v>
      </c>
      <c r="Z5" s="41">
        <v>963.47915669625809</v>
      </c>
      <c r="AA5" s="42">
        <v>1364.4533071618557</v>
      </c>
      <c r="AB5" s="41">
        <v>960.94965408268399</v>
      </c>
      <c r="AC5" s="42">
        <v>1420.2082076925217</v>
      </c>
      <c r="AD5" s="41">
        <v>959.13383096118866</v>
      </c>
      <c r="AE5" s="42">
        <v>1479.8803931934303</v>
      </c>
      <c r="AF5" s="41">
        <v>958.67387406883631</v>
      </c>
      <c r="AG5" s="42">
        <v>1540.5386592609275</v>
      </c>
      <c r="AH5" s="41">
        <v>960.52863094841643</v>
      </c>
      <c r="AI5" s="42">
        <v>1595.9962257360105</v>
      </c>
      <c r="AJ5" s="41">
        <v>965.58121743869458</v>
      </c>
      <c r="AK5" s="42">
        <v>1637.4021858652916</v>
      </c>
      <c r="AL5" s="41">
        <v>973.69055883830742</v>
      </c>
      <c r="AM5" s="42">
        <v>1659.3670414460257</v>
      </c>
      <c r="AN5" s="41">
        <v>983.80939303856098</v>
      </c>
      <c r="AO5" s="42">
        <v>1666.1265225096988</v>
      </c>
      <c r="AP5" s="41">
        <v>986.13053797979546</v>
      </c>
      <c r="AQ5" s="42">
        <v>1666.4900689570652</v>
      </c>
      <c r="AR5" s="41">
        <v>988.71281733005696</v>
      </c>
      <c r="AS5" s="42">
        <v>1666.6948072398231</v>
      </c>
      <c r="AT5" s="41">
        <v>991.83620155374808</v>
      </c>
      <c r="AU5" s="42">
        <v>1666.796099998895</v>
      </c>
      <c r="AV5" s="41">
        <v>996.28274050827542</v>
      </c>
      <c r="AW5" s="42">
        <v>1666.8372911713345</v>
      </c>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c r="CR5" s="41"/>
      <c r="CS5" s="42"/>
    </row>
    <row r="6" spans="1:97" x14ac:dyDescent="0.2">
      <c r="A6" t="s">
        <v>77</v>
      </c>
      <c r="B6" s="41">
        <v>999.99999999999932</v>
      </c>
      <c r="C6" s="42">
        <v>1000.0000000000007</v>
      </c>
      <c r="D6" s="41">
        <v>996.80874383105891</v>
      </c>
      <c r="E6" s="42">
        <v>1021.0142795880407</v>
      </c>
      <c r="F6" s="41">
        <v>993.61167331084175</v>
      </c>
      <c r="G6" s="42">
        <v>1044.5800611719692</v>
      </c>
      <c r="H6" s="41">
        <v>990.4066056883305</v>
      </c>
      <c r="I6" s="42">
        <v>1071.1438569805737</v>
      </c>
      <c r="J6" s="41">
        <v>987.19076301723487</v>
      </c>
      <c r="K6" s="42">
        <v>1101.2651160161915</v>
      </c>
      <c r="L6" s="41">
        <v>983.96102114039934</v>
      </c>
      <c r="M6" s="42">
        <v>1135.6565743794711</v>
      </c>
      <c r="N6" s="41">
        <v>980.71446276465792</v>
      </c>
      <c r="O6" s="42">
        <v>1175.2436696464099</v>
      </c>
      <c r="P6" s="41">
        <v>977.44936148411705</v>
      </c>
      <c r="Q6" s="42">
        <v>1221.2532120175504</v>
      </c>
      <c r="R6" s="41">
        <v>974.1672395444657</v>
      </c>
      <c r="S6" s="42">
        <v>1275.3532369721761</v>
      </c>
      <c r="T6" s="41">
        <v>970.87674099839251</v>
      </c>
      <c r="U6" s="42">
        <v>1339.8816602428967</v>
      </c>
      <c r="V6" s="41">
        <v>967.60078748757803</v>
      </c>
      <c r="W6" s="42">
        <v>1418.233366793813</v>
      </c>
      <c r="X6" s="41">
        <v>964.39003478758775</v>
      </c>
      <c r="Y6" s="42">
        <v>1515.555704142432</v>
      </c>
      <c r="Z6" s="41">
        <v>961.34795601717565</v>
      </c>
      <c r="AA6" s="42">
        <v>1640.0673717105649</v>
      </c>
      <c r="AB6" s="41">
        <v>958.67717333435212</v>
      </c>
      <c r="AC6" s="42">
        <v>1805.7313514587954</v>
      </c>
      <c r="AD6" s="41">
        <v>956.76043567537613</v>
      </c>
      <c r="AE6" s="42">
        <v>2038.0763879930498</v>
      </c>
      <c r="AF6" s="41">
        <v>956.27498353951944</v>
      </c>
      <c r="AG6" s="42">
        <v>2387.8641229680356</v>
      </c>
      <c r="AH6" s="41">
        <v>958.23271426344866</v>
      </c>
      <c r="AI6" s="42">
        <v>2965.8552762854056</v>
      </c>
      <c r="AJ6" s="41">
        <v>963.56804565656171</v>
      </c>
      <c r="AK6" s="42">
        <v>4043.35565806462</v>
      </c>
      <c r="AL6" s="41">
        <v>972.13801993178913</v>
      </c>
      <c r="AM6" s="42">
        <v>6440.612346575218</v>
      </c>
      <c r="AN6" s="41">
        <v>982.84345244109329</v>
      </c>
      <c r="AO6" s="42">
        <v>14065.318821956978</v>
      </c>
      <c r="AP6" s="41">
        <v>985.3010091510622</v>
      </c>
      <c r="AQ6" s="42">
        <v>17745.558676468107</v>
      </c>
      <c r="AR6" s="41">
        <v>988.0358601459925</v>
      </c>
      <c r="AS6" s="42">
        <v>23464.213196971454</v>
      </c>
      <c r="AT6" s="41">
        <v>991.3449318242192</v>
      </c>
      <c r="AU6" s="42">
        <v>33256.137707156013</v>
      </c>
      <c r="AV6" s="41">
        <v>996.057984949927</v>
      </c>
      <c r="AW6" s="42">
        <v>52860.626908508217</v>
      </c>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c r="CR6" s="41"/>
      <c r="CS6" s="42"/>
    </row>
    <row r="7" spans="1:97" x14ac:dyDescent="0.2">
      <c r="A7" t="s">
        <v>13</v>
      </c>
      <c r="B7" s="33">
        <v>1016.8034022777628</v>
      </c>
      <c r="C7" s="34">
        <v>1016.8034022777628</v>
      </c>
      <c r="D7" s="33">
        <v>1013.7436618813372</v>
      </c>
      <c r="E7" s="34">
        <v>1013.7436618813372</v>
      </c>
      <c r="F7" s="33">
        <v>1010.6772254851452</v>
      </c>
      <c r="G7" s="34">
        <v>1010.6772254851452</v>
      </c>
      <c r="H7" s="33">
        <v>1007.6019919368846</v>
      </c>
      <c r="I7" s="34">
        <v>1007.6019919368846</v>
      </c>
      <c r="J7" s="33">
        <v>1004.5152851764541</v>
      </c>
      <c r="K7" s="34">
        <v>1004.5152851764541</v>
      </c>
      <c r="L7" s="33">
        <v>1001.4140927801698</v>
      </c>
      <c r="M7" s="34">
        <v>1001.4140927801698</v>
      </c>
      <c r="N7" s="33">
        <v>998.29559652693592</v>
      </c>
      <c r="O7" s="34">
        <v>998.29559652693592</v>
      </c>
      <c r="P7" s="33">
        <v>995.15811858670691</v>
      </c>
      <c r="Q7" s="34">
        <v>995.15811858670691</v>
      </c>
      <c r="R7" s="33">
        <v>992.00310183444196</v>
      </c>
      <c r="S7" s="34">
        <v>992.00310183444196</v>
      </c>
      <c r="T7" s="33">
        <v>988.8388411321672</v>
      </c>
      <c r="U7" s="34">
        <v>988.8388411321672</v>
      </c>
      <c r="V7" s="33">
        <v>985.68738142688915</v>
      </c>
      <c r="W7" s="34">
        <v>985.68738142688915</v>
      </c>
      <c r="X7" s="33">
        <v>982.59749580105427</v>
      </c>
      <c r="Y7" s="34">
        <v>982.59749580105427</v>
      </c>
      <c r="Z7" s="33">
        <v>979.66888455246499</v>
      </c>
      <c r="AA7" s="34">
        <v>979.66888455246499</v>
      </c>
      <c r="AB7" s="33">
        <v>977.09687768891229</v>
      </c>
      <c r="AC7" s="34">
        <v>977.09687768891229</v>
      </c>
      <c r="AD7" s="33">
        <v>975.25054256104124</v>
      </c>
      <c r="AE7" s="34">
        <v>975.25054256104124</v>
      </c>
      <c r="AF7" s="33">
        <v>974.78285682799628</v>
      </c>
      <c r="AG7" s="34">
        <v>974.78285682799628</v>
      </c>
      <c r="AH7" s="33">
        <v>976.66877993355138</v>
      </c>
      <c r="AI7" s="34">
        <v>976.66877993355138</v>
      </c>
      <c r="AJ7" s="33">
        <v>981.80626706716885</v>
      </c>
      <c r="AK7" s="34">
        <v>981.80626706716885</v>
      </c>
      <c r="AL7" s="33">
        <v>990.05187299252714</v>
      </c>
      <c r="AM7" s="34">
        <v>990.05187299252714</v>
      </c>
      <c r="AN7" s="33">
        <v>1000.3407380344296</v>
      </c>
      <c r="AO7" s="34">
        <v>1000.3407380344296</v>
      </c>
      <c r="AP7" s="33">
        <v>1002.7008861078566</v>
      </c>
      <c r="AQ7" s="34">
        <v>1002.7008861078566</v>
      </c>
      <c r="AR7" s="33">
        <v>1005.3265565368341</v>
      </c>
      <c r="AS7" s="34">
        <v>1005.3265565368341</v>
      </c>
      <c r="AT7" s="33">
        <v>1008.5024242421039</v>
      </c>
      <c r="AU7" s="34">
        <v>1008.5024242421039</v>
      </c>
      <c r="AV7" s="33">
        <v>1013.023680179428</v>
      </c>
      <c r="AW7" s="34">
        <v>1013.023680179428</v>
      </c>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c r="CR7" s="33"/>
      <c r="CS7" s="34"/>
    </row>
    <row r="8" spans="1:97" x14ac:dyDescent="0.2">
      <c r="B8" s="35">
        <v>1008.6827325972949</v>
      </c>
      <c r="C8" s="36">
        <v>1008.6827325972949</v>
      </c>
      <c r="D8" s="35">
        <v>1072.2200813865936</v>
      </c>
      <c r="E8" s="36">
        <v>1072.2200813865936</v>
      </c>
      <c r="F8" s="35">
        <v>1143.8115592708525</v>
      </c>
      <c r="G8" s="36">
        <v>1143.8115592708525</v>
      </c>
      <c r="H8" s="35">
        <v>1225.0222652947032</v>
      </c>
      <c r="I8" s="36">
        <v>1225.0222652947032</v>
      </c>
      <c r="J8" s="35">
        <v>1317.8373031182853</v>
      </c>
      <c r="K8" s="36">
        <v>1317.8373031182853</v>
      </c>
      <c r="L8" s="35">
        <v>1424.8140207026888</v>
      </c>
      <c r="M8" s="36">
        <v>1424.8140207026888</v>
      </c>
      <c r="N8" s="35">
        <v>1549.307230603421</v>
      </c>
      <c r="O8" s="36">
        <v>1549.307230603421</v>
      </c>
      <c r="P8" s="35">
        <v>1695.8072584647607</v>
      </c>
      <c r="Q8" s="36">
        <v>1695.8072584647607</v>
      </c>
      <c r="R8" s="35">
        <v>1870.4747171375855</v>
      </c>
      <c r="S8" s="36">
        <v>1870.4747171375855</v>
      </c>
      <c r="T8" s="35">
        <v>2082.0142363601808</v>
      </c>
      <c r="U8" s="36">
        <v>2082.0142363601808</v>
      </c>
      <c r="V8" s="35">
        <v>2343.1667898557557</v>
      </c>
      <c r="W8" s="36">
        <v>2343.1667898557557</v>
      </c>
      <c r="X8" s="35">
        <v>2673.402358368056</v>
      </c>
      <c r="Y8" s="36">
        <v>2673.402358368056</v>
      </c>
      <c r="Z8" s="35">
        <v>3104.0734309421969</v>
      </c>
      <c r="AA8" s="36">
        <v>3104.0734309421969</v>
      </c>
      <c r="AB8" s="35">
        <v>3688.9805033450571</v>
      </c>
      <c r="AC8" s="36">
        <v>3688.9805033450571</v>
      </c>
      <c r="AD8" s="35">
        <v>4527.7381442108272</v>
      </c>
      <c r="AE8" s="36">
        <v>4527.7381442108272</v>
      </c>
      <c r="AF8" s="35">
        <v>5821.7444972452331</v>
      </c>
      <c r="AG8" s="36">
        <v>5821.7444972452331</v>
      </c>
      <c r="AH8" s="35">
        <v>8020.03939964029</v>
      </c>
      <c r="AI8" s="36">
        <v>8020.03939964029</v>
      </c>
      <c r="AJ8" s="35">
        <v>12250.303693636579</v>
      </c>
      <c r="AK8" s="36">
        <v>12250.303693636579</v>
      </c>
      <c r="AL8" s="35">
        <v>21997.490630602337</v>
      </c>
      <c r="AM8" s="36">
        <v>21997.490630602337</v>
      </c>
      <c r="AN8" s="35">
        <v>54118.906187004402</v>
      </c>
      <c r="AO8" s="36">
        <v>54118.906187004402</v>
      </c>
      <c r="AP8" s="35">
        <v>69865.562912761496</v>
      </c>
      <c r="AQ8" s="36">
        <v>69865.562912761496</v>
      </c>
      <c r="AR8" s="35">
        <v>94474.88328830128</v>
      </c>
      <c r="AS8" s="36">
        <v>94474.88328830128</v>
      </c>
      <c r="AT8" s="35">
        <v>136835.25747858867</v>
      </c>
      <c r="AU8" s="36">
        <v>136835.25747858867</v>
      </c>
      <c r="AV8" s="35">
        <v>222027.75480049013</v>
      </c>
      <c r="AW8" s="36">
        <v>222027.75480049013</v>
      </c>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c r="CR8" s="35"/>
      <c r="CS8" s="36"/>
    </row>
    <row r="9" spans="1:97" x14ac:dyDescent="0.2">
      <c r="A9" t="s">
        <v>14</v>
      </c>
      <c r="B9" s="41">
        <v>1016.8034022777628</v>
      </c>
      <c r="C9" s="42">
        <v>1008.6827325972949</v>
      </c>
      <c r="D9" s="41">
        <v>1013.7436618813372</v>
      </c>
      <c r="E9" s="42">
        <v>1072.2200813865936</v>
      </c>
      <c r="F9" s="41">
        <v>1010.6772254851452</v>
      </c>
      <c r="G9" s="42">
        <v>1143.8115592708525</v>
      </c>
      <c r="H9" s="41">
        <v>1007.6019919368846</v>
      </c>
      <c r="I9" s="42">
        <v>1225.0222652947032</v>
      </c>
      <c r="J9" s="41">
        <v>1004.5152851764541</v>
      </c>
      <c r="K9" s="42">
        <v>1317.8373031182853</v>
      </c>
      <c r="L9" s="41">
        <v>1001.4140927801698</v>
      </c>
      <c r="M9" s="42">
        <v>1424.8140207026888</v>
      </c>
      <c r="N9" s="41">
        <v>998.29559652693592</v>
      </c>
      <c r="O9" s="42">
        <v>1549.307230603421</v>
      </c>
      <c r="P9" s="41">
        <v>995.15811858670691</v>
      </c>
      <c r="Q9" s="42">
        <v>1695.8072584647607</v>
      </c>
      <c r="R9" s="41">
        <v>992.00310183444196</v>
      </c>
      <c r="S9" s="42">
        <v>1870.4747171375855</v>
      </c>
      <c r="T9" s="41">
        <v>988.8388411321672</v>
      </c>
      <c r="U9" s="42">
        <v>2082.0142363601808</v>
      </c>
      <c r="V9" s="41">
        <v>985.68738142688915</v>
      </c>
      <c r="W9" s="42">
        <v>2343.1667898557557</v>
      </c>
      <c r="X9" s="41">
        <v>982.59749580105427</v>
      </c>
      <c r="Y9" s="42">
        <v>2673.402358368056</v>
      </c>
      <c r="Z9" s="41">
        <v>979.66888455246499</v>
      </c>
      <c r="AA9" s="42">
        <v>3104.0734309421969</v>
      </c>
      <c r="AB9" s="41">
        <v>977.09687768891229</v>
      </c>
      <c r="AC9" s="42">
        <v>3688.9805033450571</v>
      </c>
      <c r="AD9" s="41">
        <v>975.25054256104124</v>
      </c>
      <c r="AE9" s="42">
        <v>4527.7381442108272</v>
      </c>
      <c r="AF9" s="41">
        <v>974.78285682799628</v>
      </c>
      <c r="AG9" s="42">
        <v>5821.7444972452331</v>
      </c>
      <c r="AH9" s="41">
        <v>976.66877993355138</v>
      </c>
      <c r="AI9" s="42">
        <v>8020.03939964029</v>
      </c>
      <c r="AJ9" s="41">
        <v>981.80626706716885</v>
      </c>
      <c r="AK9" s="42">
        <v>12250.303693636579</v>
      </c>
      <c r="AL9" s="41">
        <v>990.05187299252714</v>
      </c>
      <c r="AM9" s="42">
        <v>21997.490630602337</v>
      </c>
      <c r="AN9" s="41">
        <v>1000.3407380344296</v>
      </c>
      <c r="AO9" s="42">
        <v>54118.906187004402</v>
      </c>
      <c r="AP9" s="41">
        <v>1002.7008861078566</v>
      </c>
      <c r="AQ9" s="42">
        <v>69865.562912761496</v>
      </c>
      <c r="AR9" s="41">
        <v>1005.3265565368341</v>
      </c>
      <c r="AS9" s="42">
        <v>94474.88328830128</v>
      </c>
      <c r="AT9" s="41">
        <v>1008.5024242421039</v>
      </c>
      <c r="AU9" s="42">
        <v>136835.25747858867</v>
      </c>
      <c r="AV9" s="41">
        <v>1013.023680179428</v>
      </c>
      <c r="AW9" s="42">
        <v>222027.75480049013</v>
      </c>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c r="CR9" s="41"/>
      <c r="CS9" s="42"/>
    </row>
    <row r="10" spans="1:97" x14ac:dyDescent="0.2">
      <c r="A10" t="s">
        <v>15</v>
      </c>
      <c r="B10" s="41">
        <v>1016.8034022777628</v>
      </c>
      <c r="C10" s="42">
        <v>1008.6827325972949</v>
      </c>
      <c r="D10" s="41">
        <v>1013.7436618813372</v>
      </c>
      <c r="E10" s="42">
        <v>1072.2200813865936</v>
      </c>
      <c r="F10" s="41">
        <v>1010.6772254851452</v>
      </c>
      <c r="G10" s="42">
        <v>1143.8115592708525</v>
      </c>
      <c r="H10" s="41">
        <v>1007.6019919368846</v>
      </c>
      <c r="I10" s="42">
        <v>1225.0222652947032</v>
      </c>
      <c r="J10" s="41">
        <v>1004.5152851764541</v>
      </c>
      <c r="K10" s="42">
        <v>1317.8373031182853</v>
      </c>
      <c r="L10" s="41">
        <v>1001.4140927801698</v>
      </c>
      <c r="M10" s="42">
        <v>1424.8140207026888</v>
      </c>
      <c r="N10" s="41">
        <v>998.29559652693592</v>
      </c>
      <c r="O10" s="42">
        <v>1549.307230603421</v>
      </c>
      <c r="P10" s="41">
        <v>995.15811858670691</v>
      </c>
      <c r="Q10" s="42">
        <v>1695.8072584647607</v>
      </c>
      <c r="R10" s="41">
        <v>992.00310183444196</v>
      </c>
      <c r="S10" s="42">
        <v>1870.4747171375855</v>
      </c>
      <c r="T10" s="41">
        <v>988.8388411321672</v>
      </c>
      <c r="U10" s="42">
        <v>2082.0142363601808</v>
      </c>
      <c r="V10" s="41">
        <v>985.68738142688915</v>
      </c>
      <c r="W10" s="42">
        <v>2343.1667898557557</v>
      </c>
      <c r="X10" s="41">
        <v>982.59749580105427</v>
      </c>
      <c r="Y10" s="42">
        <v>2673.402358368056</v>
      </c>
      <c r="Z10" s="41">
        <v>979.66888455246499</v>
      </c>
      <c r="AA10" s="42">
        <v>3104.0734309421969</v>
      </c>
      <c r="AB10" s="41">
        <v>977.09687768891229</v>
      </c>
      <c r="AC10" s="42">
        <v>3688.9805033450571</v>
      </c>
      <c r="AD10" s="41">
        <v>975.25054256104124</v>
      </c>
      <c r="AE10" s="42">
        <v>4527.7381442108272</v>
      </c>
      <c r="AF10" s="41">
        <v>974.78285682799628</v>
      </c>
      <c r="AG10" s="42">
        <v>5821.7444972452331</v>
      </c>
      <c r="AH10" s="41">
        <v>976.66877993355138</v>
      </c>
      <c r="AI10" s="42">
        <v>8020.03939964029</v>
      </c>
      <c r="AJ10" s="41">
        <v>981.80626706716885</v>
      </c>
      <c r="AK10" s="42">
        <v>12250.303693636579</v>
      </c>
      <c r="AL10" s="41">
        <v>990.05187299252714</v>
      </c>
      <c r="AM10" s="42">
        <v>21997.490630602337</v>
      </c>
      <c r="AN10" s="41">
        <v>1000.3407380344296</v>
      </c>
      <c r="AO10" s="42">
        <v>54118.906187004402</v>
      </c>
      <c r="AP10" s="41">
        <v>1002.7008861078566</v>
      </c>
      <c r="AQ10" s="42">
        <v>69865.562912761496</v>
      </c>
      <c r="AR10" s="41">
        <v>1005.3265565368341</v>
      </c>
      <c r="AS10" s="42">
        <v>94474.88328830128</v>
      </c>
      <c r="AT10" s="41">
        <v>1008.5024242421039</v>
      </c>
      <c r="AU10" s="42">
        <v>136835.25747858867</v>
      </c>
      <c r="AV10" s="41">
        <v>1013.023680179428</v>
      </c>
      <c r="AW10" s="42">
        <v>222027.75480049013</v>
      </c>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c r="CR10" s="41"/>
      <c r="CS10" s="42"/>
    </row>
    <row r="11" spans="1:97" x14ac:dyDescent="0.2">
      <c r="A11" t="s">
        <v>29</v>
      </c>
      <c r="B11" s="41">
        <v>1016.8034022777628</v>
      </c>
      <c r="C11" s="42">
        <v>1008.6827325972949</v>
      </c>
      <c r="D11" s="41">
        <v>1013.7436618813372</v>
      </c>
      <c r="E11" s="42">
        <v>1072.2200813865936</v>
      </c>
      <c r="F11" s="41">
        <v>1010.6772254851452</v>
      </c>
      <c r="G11" s="42">
        <v>1143.8115592708525</v>
      </c>
      <c r="H11" s="41">
        <v>1007.6019919368846</v>
      </c>
      <c r="I11" s="42">
        <v>1225.0222652947032</v>
      </c>
      <c r="J11" s="41">
        <v>1004.5152851764541</v>
      </c>
      <c r="K11" s="42">
        <v>1317.8373031182853</v>
      </c>
      <c r="L11" s="41">
        <v>1001.4140927801698</v>
      </c>
      <c r="M11" s="42">
        <v>1424.8140207026888</v>
      </c>
      <c r="N11" s="41">
        <v>998.29559652693592</v>
      </c>
      <c r="O11" s="42">
        <v>1549.307230603421</v>
      </c>
      <c r="P11" s="41">
        <v>995.15811858670691</v>
      </c>
      <c r="Q11" s="42">
        <v>1695.8072584647607</v>
      </c>
      <c r="R11" s="41">
        <v>992.00310183444196</v>
      </c>
      <c r="S11" s="42">
        <v>1870.4747171375855</v>
      </c>
      <c r="T11" s="41">
        <v>988.8388411321672</v>
      </c>
      <c r="U11" s="42">
        <v>2082.0142363601808</v>
      </c>
      <c r="V11" s="41">
        <v>985.68738142688915</v>
      </c>
      <c r="W11" s="42">
        <v>2343.1667898557557</v>
      </c>
      <c r="X11" s="41">
        <v>982.59749580105427</v>
      </c>
      <c r="Y11" s="42">
        <v>2673.402358368056</v>
      </c>
      <c r="Z11" s="41">
        <v>979.66888455246499</v>
      </c>
      <c r="AA11" s="42">
        <v>3104.0734309421969</v>
      </c>
      <c r="AB11" s="41">
        <v>977.09687768891229</v>
      </c>
      <c r="AC11" s="42">
        <v>3688.9805033450571</v>
      </c>
      <c r="AD11" s="41">
        <v>975.25054256104124</v>
      </c>
      <c r="AE11" s="42">
        <v>4527.7381442108272</v>
      </c>
      <c r="AF11" s="41">
        <v>974.78285682799628</v>
      </c>
      <c r="AG11" s="42">
        <v>5821.7444972452331</v>
      </c>
      <c r="AH11" s="41">
        <v>976.66877993355138</v>
      </c>
      <c r="AI11" s="42">
        <v>8020.03939964029</v>
      </c>
      <c r="AJ11" s="41">
        <v>981.80626706716885</v>
      </c>
      <c r="AK11" s="42">
        <v>12250.303693636579</v>
      </c>
      <c r="AL11" s="41">
        <v>990.05187299252714</v>
      </c>
      <c r="AM11" s="42">
        <v>21997.490630602337</v>
      </c>
      <c r="AN11" s="41">
        <v>1000.3407380344296</v>
      </c>
      <c r="AO11" s="42">
        <v>54118.906187004402</v>
      </c>
      <c r="AP11" s="41">
        <v>1002.7008861078566</v>
      </c>
      <c r="AQ11" s="42">
        <v>69865.562912761496</v>
      </c>
      <c r="AR11" s="41">
        <v>1005.3265565368341</v>
      </c>
      <c r="AS11" s="42">
        <v>94474.88328830128</v>
      </c>
      <c r="AT11" s="41">
        <v>1008.5024242421039</v>
      </c>
      <c r="AU11" s="42">
        <v>136835.25747858867</v>
      </c>
      <c r="AV11" s="41">
        <v>1013.023680179428</v>
      </c>
      <c r="AW11" s="42">
        <v>222027.75480049013</v>
      </c>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c r="CR11" s="41"/>
      <c r="CS11" s="42"/>
    </row>
    <row r="12" spans="1:97" x14ac:dyDescent="0.2">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41">
        <v>1000</v>
      </c>
      <c r="S12" s="42">
        <v>1000</v>
      </c>
      <c r="T12" s="41">
        <v>1000</v>
      </c>
      <c r="U12" s="42">
        <v>1000</v>
      </c>
      <c r="V12" s="41">
        <v>1000</v>
      </c>
      <c r="W12" s="42">
        <v>1000</v>
      </c>
      <c r="X12" s="41">
        <v>1000</v>
      </c>
      <c r="Y12" s="42">
        <v>1000</v>
      </c>
      <c r="Z12" s="41">
        <v>1000</v>
      </c>
      <c r="AA12" s="42">
        <v>1000</v>
      </c>
      <c r="AB12" s="41">
        <v>1000</v>
      </c>
      <c r="AC12" s="42">
        <v>1000</v>
      </c>
      <c r="AD12" s="41">
        <v>1000</v>
      </c>
      <c r="AE12" s="42">
        <v>1000</v>
      </c>
      <c r="AF12" s="41">
        <v>1000</v>
      </c>
      <c r="AG12" s="42">
        <v>1000</v>
      </c>
      <c r="AH12" s="41">
        <v>1000</v>
      </c>
      <c r="AI12" s="42">
        <v>1000</v>
      </c>
      <c r="AJ12" s="41">
        <v>1000</v>
      </c>
      <c r="AK12" s="42">
        <v>1000</v>
      </c>
      <c r="AL12" s="41">
        <v>1000</v>
      </c>
      <c r="AM12" s="42">
        <v>1000</v>
      </c>
      <c r="AN12" s="41">
        <v>1000</v>
      </c>
      <c r="AO12" s="42">
        <v>1000</v>
      </c>
      <c r="AP12" s="41">
        <v>1000</v>
      </c>
      <c r="AQ12" s="42">
        <v>1000</v>
      </c>
      <c r="AR12" s="41">
        <v>1000</v>
      </c>
      <c r="AS12" s="42">
        <v>1000</v>
      </c>
      <c r="AT12" s="41">
        <v>1000</v>
      </c>
      <c r="AU12" s="42">
        <v>1000</v>
      </c>
      <c r="AV12" s="41">
        <v>1000</v>
      </c>
      <c r="AW12" s="42">
        <v>1000</v>
      </c>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c r="CR12" s="41"/>
      <c r="CS12" s="42"/>
    </row>
    <row r="13" spans="1:97" x14ac:dyDescent="0.2">
      <c r="A13" t="s">
        <v>17</v>
      </c>
      <c r="B13" s="97">
        <v>1000</v>
      </c>
      <c r="C13" s="98">
        <v>1000</v>
      </c>
      <c r="D13" s="97">
        <v>996.82162637402269</v>
      </c>
      <c r="E13" s="98">
        <v>996.82162637402269</v>
      </c>
      <c r="F13" s="97">
        <v>993.33368843116239</v>
      </c>
      <c r="G13" s="98">
        <v>993.33368843116239</v>
      </c>
      <c r="H13" s="97">
        <v>989.4898601374407</v>
      </c>
      <c r="I13" s="98">
        <v>989.4898601374407</v>
      </c>
      <c r="J13" s="97">
        <v>985.233665486419</v>
      </c>
      <c r="K13" s="98">
        <v>985.233665486419</v>
      </c>
      <c r="L13" s="97">
        <v>980.49558215649688</v>
      </c>
      <c r="M13" s="98">
        <v>980.49558215649688</v>
      </c>
      <c r="N13" s="97">
        <v>975.18887390924522</v>
      </c>
      <c r="O13" s="98">
        <v>975.18887390924522</v>
      </c>
      <c r="P13" s="97">
        <v>969.20416720978028</v>
      </c>
      <c r="Q13" s="98">
        <v>969.20416720978028</v>
      </c>
      <c r="R13" s="97">
        <v>962.40098946956778</v>
      </c>
      <c r="S13" s="98">
        <v>962.40098946956778</v>
      </c>
      <c r="T13" s="97">
        <v>954.59554242036575</v>
      </c>
      <c r="U13" s="98">
        <v>954.59554242036575</v>
      </c>
      <c r="V13" s="97">
        <v>945.54103284267273</v>
      </c>
      <c r="W13" s="98">
        <v>945.54103284267273</v>
      </c>
      <c r="X13" s="97">
        <v>934.89546430929238</v>
      </c>
      <c r="Y13" s="98">
        <v>934.89546430929238</v>
      </c>
      <c r="Z13" s="97">
        <v>922.16512812541032</v>
      </c>
      <c r="AA13" s="98">
        <v>922.16512812541032</v>
      </c>
      <c r="AB13" s="97">
        <v>906.59897613018188</v>
      </c>
      <c r="AC13" s="98">
        <v>906.59897613018188</v>
      </c>
      <c r="AD13" s="97">
        <v>886.97633761631596</v>
      </c>
      <c r="AE13" s="98">
        <v>886.97633761631596</v>
      </c>
      <c r="AF13" s="97">
        <v>861.14708284211076</v>
      </c>
      <c r="AG13" s="98">
        <v>861.14708284211076</v>
      </c>
      <c r="AH13" s="97">
        <v>824.96776738799201</v>
      </c>
      <c r="AI13" s="98">
        <v>824.96776738799201</v>
      </c>
      <c r="AJ13" s="97">
        <v>769.68954216691861</v>
      </c>
      <c r="AK13" s="98">
        <v>769.68954216691861</v>
      </c>
      <c r="AL13" s="97">
        <v>674.64553632142918</v>
      </c>
      <c r="AM13" s="98">
        <v>674.64553632142918</v>
      </c>
      <c r="AN13" s="97">
        <v>478.82720971220948</v>
      </c>
      <c r="AO13" s="98">
        <v>478.82720971220948</v>
      </c>
      <c r="AP13" s="97">
        <v>412.97289858560202</v>
      </c>
      <c r="AQ13" s="98">
        <v>412.97289858560202</v>
      </c>
      <c r="AR13" s="97">
        <v>330.99142264495589</v>
      </c>
      <c r="AS13" s="98">
        <v>330.99142264495589</v>
      </c>
      <c r="AT13" s="97">
        <v>227.73401952118127</v>
      </c>
      <c r="AU13" s="98">
        <v>227.73401952118127</v>
      </c>
      <c r="AV13" s="97">
        <v>101.15574272558386</v>
      </c>
      <c r="AW13" s="98">
        <v>101.15574272558386</v>
      </c>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c r="CR13" s="97"/>
      <c r="CS13" s="98"/>
    </row>
    <row r="14" spans="1:97" x14ac:dyDescent="0.2">
      <c r="A14" t="s">
        <v>36</v>
      </c>
      <c r="B14" s="41">
        <v>1458.0317178388773</v>
      </c>
      <c r="C14" s="42">
        <v>1458.0310870324465</v>
      </c>
      <c r="D14" s="41">
        <v>1453.3975482810599</v>
      </c>
      <c r="E14" s="42">
        <v>1453.3969194795675</v>
      </c>
      <c r="F14" s="41">
        <v>1448.3120241305157</v>
      </c>
      <c r="G14" s="42">
        <v>1448.3113975292372</v>
      </c>
      <c r="H14" s="41">
        <v>1442.7076005603431</v>
      </c>
      <c r="I14" s="42">
        <v>1442.706976383776</v>
      </c>
      <c r="J14" s="41">
        <v>1436.5019337618573</v>
      </c>
      <c r="K14" s="42">
        <v>1436.5013122701253</v>
      </c>
      <c r="L14" s="41">
        <v>1429.5936579850672</v>
      </c>
      <c r="M14" s="42">
        <v>1429.5930394821485</v>
      </c>
      <c r="N14" s="41">
        <v>1421.8563090432572</v>
      </c>
      <c r="O14" s="42">
        <v>1421.8556938878442</v>
      </c>
      <c r="P14" s="41">
        <v>1413.1304168534743</v>
      </c>
      <c r="Q14" s="42">
        <v>1413.1298054732529</v>
      </c>
      <c r="R14" s="41">
        <v>1403.2111679261491</v>
      </c>
      <c r="S14" s="42">
        <v>1403.2105608374159</v>
      </c>
      <c r="T14" s="41">
        <v>1391.8305785565008</v>
      </c>
      <c r="U14" s="42">
        <v>1391.8299763914938</v>
      </c>
      <c r="V14" s="41">
        <v>1378.6288164027485</v>
      </c>
      <c r="W14" s="42">
        <v>1378.6282199493842</v>
      </c>
      <c r="X14" s="41">
        <v>1363.1072398266524</v>
      </c>
      <c r="Y14" s="42">
        <v>1363.1066500885813</v>
      </c>
      <c r="Z14" s="41">
        <v>1344.5460058918004</v>
      </c>
      <c r="AA14" s="42">
        <v>1344.5454241841073</v>
      </c>
      <c r="AB14" s="41">
        <v>1321.8500625580564</v>
      </c>
      <c r="AC14" s="42">
        <v>1321.8494906695921</v>
      </c>
      <c r="AD14" s="41">
        <v>1293.2396332171531</v>
      </c>
      <c r="AE14" s="42">
        <v>1293.2390737067753</v>
      </c>
      <c r="AF14" s="41">
        <v>1255.5797605082207</v>
      </c>
      <c r="AG14" s="42">
        <v>1255.5792172911029</v>
      </c>
      <c r="AH14" s="41">
        <v>1202.8291710464173</v>
      </c>
      <c r="AI14" s="42">
        <v>1202.8286506514444</v>
      </c>
      <c r="AJ14" s="41">
        <v>1122.2317653682514</v>
      </c>
      <c r="AK14" s="42">
        <v>1122.2312798431383</v>
      </c>
      <c r="AL14" s="41">
        <v>983.65459025506402</v>
      </c>
      <c r="AM14" s="42">
        <v>983.65416468432124</v>
      </c>
      <c r="AN14" s="41">
        <v>698.14525912468912</v>
      </c>
      <c r="AO14" s="42">
        <v>698.14495707740593</v>
      </c>
      <c r="AP14" s="41">
        <v>602.12758474566579</v>
      </c>
      <c r="AQ14" s="42">
        <v>602.12732423970556</v>
      </c>
      <c r="AR14" s="41">
        <v>482.59599254895892</v>
      </c>
      <c r="AS14" s="42">
        <v>482.59578375744093</v>
      </c>
      <c r="AT14" s="41">
        <v>332.04342369282034</v>
      </c>
      <c r="AU14" s="42">
        <v>332.04328003673629</v>
      </c>
      <c r="AV14" s="41">
        <v>147.48828133545055</v>
      </c>
      <c r="AW14" s="42">
        <v>147.48821752575753</v>
      </c>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c r="CR14" s="41"/>
      <c r="CS14" s="42"/>
    </row>
    <row r="15" spans="1:97" x14ac:dyDescent="0.2">
      <c r="A15" t="s">
        <v>18</v>
      </c>
      <c r="B15" s="154">
        <v>1000</v>
      </c>
      <c r="C15" s="155">
        <v>1000</v>
      </c>
      <c r="D15" s="154">
        <v>990.7742632859796</v>
      </c>
      <c r="E15" s="155">
        <v>990.7742632859796</v>
      </c>
      <c r="F15" s="154">
        <v>981.33649407781741</v>
      </c>
      <c r="G15" s="155">
        <v>981.33649407781741</v>
      </c>
      <c r="H15" s="154">
        <v>971.64841669033638</v>
      </c>
      <c r="I15" s="155">
        <v>971.64841669033638</v>
      </c>
      <c r="J15" s="154">
        <v>961.66310718300895</v>
      </c>
      <c r="K15" s="155">
        <v>961.66310718300895</v>
      </c>
      <c r="L15" s="154">
        <v>951.32277508023583</v>
      </c>
      <c r="M15" s="155">
        <v>951.32277508023583</v>
      </c>
      <c r="N15" s="154">
        <v>940.55593770010353</v>
      </c>
      <c r="O15" s="155">
        <v>940.55593770010353</v>
      </c>
      <c r="P15" s="154">
        <v>929.27297792388526</v>
      </c>
      <c r="Q15" s="155">
        <v>929.27297792388526</v>
      </c>
      <c r="R15" s="154">
        <v>917.36042210386302</v>
      </c>
      <c r="S15" s="155">
        <v>917.36042210386302</v>
      </c>
      <c r="T15" s="154">
        <v>904.67185684733329</v>
      </c>
      <c r="U15" s="155">
        <v>904.67185684733329</v>
      </c>
      <c r="V15" s="154">
        <v>891.01399082205819</v>
      </c>
      <c r="W15" s="155">
        <v>891.01399082205819</v>
      </c>
      <c r="X15" s="154">
        <v>876.12300438202908</v>
      </c>
      <c r="Y15" s="155">
        <v>876.12300438202908</v>
      </c>
      <c r="Z15" s="154">
        <v>859.62187263119699</v>
      </c>
      <c r="AA15" s="155">
        <v>859.62187263119699</v>
      </c>
      <c r="AB15" s="154">
        <v>840.93647319995341</v>
      </c>
      <c r="AC15" s="155">
        <v>840.93647319995341</v>
      </c>
      <c r="AD15" s="154">
        <v>819.11549646081608</v>
      </c>
      <c r="AE15" s="155">
        <v>819.11549646081608</v>
      </c>
      <c r="AF15" s="154">
        <v>792.4103018928339</v>
      </c>
      <c r="AG15" s="155">
        <v>792.4103018928339</v>
      </c>
      <c r="AH15" s="154">
        <v>757.23881634531006</v>
      </c>
      <c r="AI15" s="155">
        <v>757.23881634531006</v>
      </c>
      <c r="AJ15" s="154">
        <v>705.60382592076974</v>
      </c>
      <c r="AK15" s="155">
        <v>705.60382592076974</v>
      </c>
      <c r="AL15" s="154">
        <v>618.22981406860129</v>
      </c>
      <c r="AM15" s="155">
        <v>618.22981406860129</v>
      </c>
      <c r="AN15" s="154">
        <v>438.76220539616344</v>
      </c>
      <c r="AO15" s="155">
        <v>438.76220539616344</v>
      </c>
      <c r="AP15" s="154">
        <v>378.41772338697979</v>
      </c>
      <c r="AQ15" s="155">
        <v>378.41772338697979</v>
      </c>
      <c r="AR15" s="154">
        <v>303.29585483950569</v>
      </c>
      <c r="AS15" s="155">
        <v>303.29585483950569</v>
      </c>
      <c r="AT15" s="154">
        <v>208.67844450652817</v>
      </c>
      <c r="AU15" s="155">
        <v>208.67844450652817</v>
      </c>
      <c r="AV15" s="154">
        <v>92.691564004554593</v>
      </c>
      <c r="AW15" s="155">
        <v>92.691564004554593</v>
      </c>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c r="CR15" s="99"/>
      <c r="CS15" s="100"/>
    </row>
    <row r="16" spans="1:97" s="29" customFormat="1" x14ac:dyDescent="0.2">
      <c r="A16" t="s">
        <v>61</v>
      </c>
      <c r="B16" s="41">
        <v>1000</v>
      </c>
      <c r="C16" s="42">
        <v>1000</v>
      </c>
      <c r="D16" s="41">
        <v>994.06404816217207</v>
      </c>
      <c r="E16" s="42">
        <v>992.92169813017063</v>
      </c>
      <c r="F16" s="41">
        <v>987.86029956821812</v>
      </c>
      <c r="G16" s="42">
        <v>985.59547946312398</v>
      </c>
      <c r="H16" s="41">
        <v>981.34618240725285</v>
      </c>
      <c r="I16" s="42">
        <v>977.98024717847306</v>
      </c>
      <c r="J16" s="41">
        <v>974.46967166855256</v>
      </c>
      <c r="K16" s="42">
        <v>970.02572856346819</v>
      </c>
      <c r="L16" s="41">
        <v>967.16670396924258</v>
      </c>
      <c r="M16" s="42">
        <v>961.67001683993294</v>
      </c>
      <c r="N16" s="41">
        <v>959.35762561437764</v>
      </c>
      <c r="O16" s="42">
        <v>952.83627068787598</v>
      </c>
      <c r="P16" s="41">
        <v>950.9422265243802</v>
      </c>
      <c r="Q16" s="42">
        <v>943.42792826884511</v>
      </c>
      <c r="R16" s="41">
        <v>941.79253995929469</v>
      </c>
      <c r="S16" s="42">
        <v>933.32201777365253</v>
      </c>
      <c r="T16" s="41">
        <v>931.74207088026196</v>
      </c>
      <c r="U16" s="42">
        <v>922.35896830622573</v>
      </c>
      <c r="V16" s="41">
        <v>920.56877527118775</v>
      </c>
      <c r="W16" s="42">
        <v>910.32665257934445</v>
      </c>
      <c r="X16" s="41">
        <v>907.96681082280872</v>
      </c>
      <c r="Y16" s="42">
        <v>896.93372414568523</v>
      </c>
      <c r="Z16" s="41">
        <v>893.49642610689239</v>
      </c>
      <c r="AA16" s="42">
        <v>881.76207076519404</v>
      </c>
      <c r="AB16" s="41">
        <v>876.4883836602429</v>
      </c>
      <c r="AC16" s="42">
        <v>864.17526864345984</v>
      </c>
      <c r="AD16" s="41">
        <v>855.84654496943745</v>
      </c>
      <c r="AE16" s="42">
        <v>843.12714815904747</v>
      </c>
      <c r="AF16" s="41">
        <v>829.60629572405787</v>
      </c>
      <c r="AG16" s="42">
        <v>816.72763037581649</v>
      </c>
      <c r="AH16" s="41">
        <v>793.8831976336229</v>
      </c>
      <c r="AI16" s="42">
        <v>781.19670081673507</v>
      </c>
      <c r="AJ16" s="41">
        <v>740.27403700226807</v>
      </c>
      <c r="AK16" s="42">
        <v>728.2715796869777</v>
      </c>
      <c r="AL16" s="41">
        <v>648.74975235962177</v>
      </c>
      <c r="AM16" s="42">
        <v>638.18423119804049</v>
      </c>
      <c r="AN16" s="41">
        <v>460.43660375840392</v>
      </c>
      <c r="AO16" s="42">
        <v>452.93328445604203</v>
      </c>
      <c r="AP16" s="41">
        <v>397.11140855091259</v>
      </c>
      <c r="AQ16" s="42">
        <v>390.63996326972591</v>
      </c>
      <c r="AR16" s="41">
        <v>318.27862390860474</v>
      </c>
      <c r="AS16" s="42">
        <v>313.09183661567454</v>
      </c>
      <c r="AT16" s="41">
        <v>218.98714369629712</v>
      </c>
      <c r="AU16" s="42">
        <v>215.41844224567788</v>
      </c>
      <c r="AV16" s="41">
        <v>97.270521715701449</v>
      </c>
      <c r="AW16" s="42">
        <v>95.685362161797613</v>
      </c>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c r="CR16" s="41"/>
      <c r="CS16" s="42"/>
    </row>
    <row r="17" spans="1:97" x14ac:dyDescent="0.2">
      <c r="A17" t="s">
        <v>62</v>
      </c>
      <c r="B17" s="35">
        <v>1000</v>
      </c>
      <c r="C17" s="36">
        <v>999.99999999999977</v>
      </c>
      <c r="D17" s="35">
        <v>997.26952245858104</v>
      </c>
      <c r="E17" s="36">
        <v>1027.8821350207249</v>
      </c>
      <c r="F17" s="35">
        <v>994.53852233407088</v>
      </c>
      <c r="G17" s="36">
        <v>1059.2903422999827</v>
      </c>
      <c r="H17" s="35">
        <v>991.80521819244234</v>
      </c>
      <c r="I17" s="36">
        <v>1094.8847162672059</v>
      </c>
      <c r="J17" s="35">
        <v>989.06732163733989</v>
      </c>
      <c r="K17" s="36">
        <v>1135.4985240718768</v>
      </c>
      <c r="L17" s="35">
        <v>986.32226388569347</v>
      </c>
      <c r="M17" s="36">
        <v>1182.200496102306</v>
      </c>
      <c r="N17" s="35">
        <v>983.56768339257337</v>
      </c>
      <c r="O17" s="36">
        <v>1236.3869291349065</v>
      </c>
      <c r="P17" s="35">
        <v>980.80224136277207</v>
      </c>
      <c r="Q17" s="36">
        <v>1299.9194148668307</v>
      </c>
      <c r="R17" s="35">
        <v>978.02734704708087</v>
      </c>
      <c r="S17" s="36">
        <v>1375.3428497897899</v>
      </c>
      <c r="T17" s="35">
        <v>975.25042436631213</v>
      </c>
      <c r="U17" s="36">
        <v>1466.2409948447792</v>
      </c>
      <c r="V17" s="35">
        <v>972.49084854612124</v>
      </c>
      <c r="W17" s="36">
        <v>1577.842576253337</v>
      </c>
      <c r="X17" s="35">
        <v>969.7911558950824</v>
      </c>
      <c r="Y17" s="36">
        <v>1718.1122829176957</v>
      </c>
      <c r="Z17" s="35">
        <v>967.23786487845166</v>
      </c>
      <c r="AA17" s="36">
        <v>1899.8316523464337</v>
      </c>
      <c r="AB17" s="35">
        <v>964.99991371544002</v>
      </c>
      <c r="AC17" s="36">
        <v>2144.8457975750684</v>
      </c>
      <c r="AD17" s="35">
        <v>963.39595552360652</v>
      </c>
      <c r="AE17" s="36">
        <v>2493.3988521601987</v>
      </c>
      <c r="AF17" s="35">
        <v>962.99000957483008</v>
      </c>
      <c r="AG17" s="36">
        <v>3026.3235558290407</v>
      </c>
      <c r="AH17" s="35">
        <v>964.6278219699949</v>
      </c>
      <c r="AI17" s="36">
        <v>3922.3577336418984</v>
      </c>
      <c r="AJ17" s="35">
        <v>969.10079918832662</v>
      </c>
      <c r="AK17" s="36">
        <v>5626.3605425913365</v>
      </c>
      <c r="AL17" s="35">
        <v>976.31424303466054</v>
      </c>
      <c r="AM17" s="36">
        <v>9504.1012430603023</v>
      </c>
      <c r="AN17" s="35">
        <v>985.37350734411984</v>
      </c>
      <c r="AO17" s="36">
        <v>22146.471287053362</v>
      </c>
      <c r="AP17" s="35">
        <v>987.46058831186758</v>
      </c>
      <c r="AQ17" s="36">
        <v>28322.113316427625</v>
      </c>
      <c r="AR17" s="35">
        <v>989.78636836410226</v>
      </c>
      <c r="AS17" s="36">
        <v>37965.874917965426</v>
      </c>
      <c r="AT17" s="35">
        <v>992.6049577048326</v>
      </c>
      <c r="AU17" s="36">
        <v>54561.069577770366</v>
      </c>
      <c r="AV17" s="35">
        <v>996.62780373217095</v>
      </c>
      <c r="AW17" s="36">
        <v>87954.258193590693</v>
      </c>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c r="CR17" s="35"/>
      <c r="CS17" s="36"/>
    </row>
    <row r="18" spans="1:97" x14ac:dyDescent="0.2">
      <c r="A18" t="s">
        <v>19</v>
      </c>
      <c r="B18" s="33">
        <v>22996.762337</v>
      </c>
      <c r="C18" s="34">
        <v>1272.8228859999999</v>
      </c>
      <c r="D18" s="33">
        <v>23017.758401206938</v>
      </c>
      <c r="E18" s="34">
        <v>1179.6571495680494</v>
      </c>
      <c r="F18" s="33">
        <v>23035.167464099039</v>
      </c>
      <c r="G18" s="34">
        <v>1086.9329220405587</v>
      </c>
      <c r="H18" s="33">
        <v>23048.415922755317</v>
      </c>
      <c r="I18" s="34">
        <v>994.74285052885489</v>
      </c>
      <c r="J18" s="33">
        <v>23056.803661272512</v>
      </c>
      <c r="K18" s="34">
        <v>903.1950980273873</v>
      </c>
      <c r="L18" s="33">
        <v>23059.461689579333</v>
      </c>
      <c r="M18" s="34">
        <v>812.42061398399142</v>
      </c>
      <c r="N18" s="33">
        <v>23055.288483836659</v>
      </c>
      <c r="O18" s="34">
        <v>722.58730033593133</v>
      </c>
      <c r="P18" s="33">
        <v>23042.86280876445</v>
      </c>
      <c r="Q18" s="34">
        <v>633.9120045614286</v>
      </c>
      <c r="R18" s="33">
        <v>23020.301431615437</v>
      </c>
      <c r="S18" s="34">
        <v>546.69058249667592</v>
      </c>
      <c r="T18" s="33">
        <v>22985.041240082512</v>
      </c>
      <c r="U18" s="34">
        <v>461.33468871586319</v>
      </c>
      <c r="V18" s="33">
        <v>22933.478100700457</v>
      </c>
      <c r="W18" s="34">
        <v>378.43586480939558</v>
      </c>
      <c r="X18" s="33">
        <v>22860.355557525145</v>
      </c>
      <c r="Y18" s="34">
        <v>298.85986639346112</v>
      </c>
      <c r="Z18" s="33">
        <v>22757.680634291719</v>
      </c>
      <c r="AA18" s="34">
        <v>223.88983151070187</v>
      </c>
      <c r="AB18" s="33">
        <v>22612.719746418523</v>
      </c>
      <c r="AC18" s="34">
        <v>155.42433554090789</v>
      </c>
      <c r="AD18" s="33">
        <v>22404.149650708245</v>
      </c>
      <c r="AE18" s="34">
        <v>96.185270244073948</v>
      </c>
      <c r="AF18" s="33">
        <v>22094.472206331095</v>
      </c>
      <c r="AG18" s="34">
        <v>49.68303980131406</v>
      </c>
      <c r="AH18" s="33">
        <v>21614.787603429879</v>
      </c>
      <c r="AI18" s="34">
        <v>19.15648823364555</v>
      </c>
      <c r="AJ18" s="33">
        <v>20830.374502387051</v>
      </c>
      <c r="AK18" s="34">
        <v>4.5948254723010047</v>
      </c>
      <c r="AL18" s="33">
        <v>19425.258232608074</v>
      </c>
      <c r="AM18" s="34">
        <v>0.50116172464786179</v>
      </c>
      <c r="AN18" s="33">
        <v>16284.174240007513</v>
      </c>
      <c r="AO18" s="34">
        <v>1.1192821793621223E-2</v>
      </c>
      <c r="AP18" s="33">
        <v>15105.834379499602</v>
      </c>
      <c r="AQ18" s="34">
        <v>3.5370285687323839E-3</v>
      </c>
      <c r="AR18" s="33">
        <v>13506.582221730843</v>
      </c>
      <c r="AS18" s="34">
        <v>8.6824522925129093E-4</v>
      </c>
      <c r="AT18" s="33">
        <v>11186.416562647646</v>
      </c>
      <c r="AU18" s="34">
        <v>1.4347978765832958E-4</v>
      </c>
      <c r="AV18" s="33">
        <v>7439.3542052027533</v>
      </c>
      <c r="AW18" s="34">
        <v>1.1239853674828986E-5</v>
      </c>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c r="CR18" s="41"/>
      <c r="CS18" s="42"/>
    </row>
    <row r="19" spans="1:97" x14ac:dyDescent="0.2">
      <c r="A19" t="s">
        <v>3</v>
      </c>
      <c r="B19" s="41">
        <v>1249.8384379999975</v>
      </c>
      <c r="C19" s="42">
        <v>295.90000800000013</v>
      </c>
      <c r="D19" s="41">
        <v>1242.1728802270429</v>
      </c>
      <c r="E19" s="42">
        <v>299.91755738505026</v>
      </c>
      <c r="F19" s="41">
        <v>1234.3099710914919</v>
      </c>
      <c r="G19" s="42">
        <v>304.74333436465048</v>
      </c>
      <c r="H19" s="41">
        <v>1226.2174993809954</v>
      </c>
      <c r="I19" s="42">
        <v>310.46331547743182</v>
      </c>
      <c r="J19" s="41">
        <v>1217.8558735924653</v>
      </c>
      <c r="K19" s="42">
        <v>317.16965395902014</v>
      </c>
      <c r="L19" s="41">
        <v>1209.1768586187932</v>
      </c>
      <c r="M19" s="42">
        <v>324.95784958840431</v>
      </c>
      <c r="N19" s="41">
        <v>1200.1221216836584</v>
      </c>
      <c r="O19" s="42">
        <v>333.92061438157896</v>
      </c>
      <c r="P19" s="41">
        <v>1190.6218595265912</v>
      </c>
      <c r="Q19" s="42">
        <v>344.13471852436101</v>
      </c>
      <c r="R19" s="41">
        <v>1180.5936309285114</v>
      </c>
      <c r="S19" s="42">
        <v>355.63745442064902</v>
      </c>
      <c r="T19" s="41">
        <v>1169.9423780541968</v>
      </c>
      <c r="U19" s="42">
        <v>368.3841154498603</v>
      </c>
      <c r="V19" s="41">
        <v>1158.5620552040277</v>
      </c>
      <c r="W19" s="42">
        <v>382.16872574002656</v>
      </c>
      <c r="X19" s="41">
        <v>1146.3412670558259</v>
      </c>
      <c r="Y19" s="42">
        <v>396.48072020183145</v>
      </c>
      <c r="Z19" s="41">
        <v>1133.1749596844006</v>
      </c>
      <c r="AA19" s="42">
        <v>410.24157682246926</v>
      </c>
      <c r="AB19" s="41">
        <v>1118.9825387736955</v>
      </c>
      <c r="AC19" s="42">
        <v>421.32871206055097</v>
      </c>
      <c r="AD19" s="41">
        <v>1103.7137316192752</v>
      </c>
      <c r="AE19" s="42">
        <v>425.76771653527288</v>
      </c>
      <c r="AF19" s="41">
        <v>1087.2235187516101</v>
      </c>
      <c r="AG19" s="42">
        <v>416.65377590855098</v>
      </c>
      <c r="AH19" s="41">
        <v>1068.4925156964255</v>
      </c>
      <c r="AI19" s="42">
        <v>383.97453220416099</v>
      </c>
      <c r="AJ19" s="41">
        <v>1042.5619588443728</v>
      </c>
      <c r="AK19" s="42">
        <v>319.04923653231913</v>
      </c>
      <c r="AL19" s="41">
        <v>991.6106044742088</v>
      </c>
      <c r="AM19" s="42">
        <v>224.34418408978823</v>
      </c>
      <c r="AN19" s="41">
        <v>851.74826387207213</v>
      </c>
      <c r="AO19" s="42">
        <v>114.01103603460874</v>
      </c>
      <c r="AP19" s="41">
        <v>794.50459616853323</v>
      </c>
      <c r="AQ19" s="42">
        <v>91.288461471226341</v>
      </c>
      <c r="AR19" s="41">
        <v>714.76939097358218</v>
      </c>
      <c r="AS19" s="42">
        <v>68.499998337436551</v>
      </c>
      <c r="AT19" s="41">
        <v>596.38700814745584</v>
      </c>
      <c r="AU19" s="42">
        <v>45.677768070130831</v>
      </c>
      <c r="AV19" s="41">
        <v>400.80271930197011</v>
      </c>
      <c r="AW19" s="42">
        <v>22.841141767672358</v>
      </c>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c r="CR19" s="82"/>
      <c r="CS19" s="83"/>
    </row>
    <row r="20" spans="1:97" x14ac:dyDescent="0.2">
      <c r="A20" t="s">
        <v>127</v>
      </c>
      <c r="B20" s="82">
        <v>21839.581944999998</v>
      </c>
      <c r="C20" s="83">
        <v>1370.3619069999993</v>
      </c>
      <c r="D20" s="82">
        <v>21836.858742113956</v>
      </c>
      <c r="E20" s="83">
        <v>1301.8438116499992</v>
      </c>
      <c r="F20" s="82">
        <v>21830.501052265328</v>
      </c>
      <c r="G20" s="83">
        <v>1233.3257162999994</v>
      </c>
      <c r="H20" s="82">
        <v>21819.957491206478</v>
      </c>
      <c r="I20" s="83">
        <v>1164.8076209499993</v>
      </c>
      <c r="J20" s="82">
        <v>21804.554669916422</v>
      </c>
      <c r="K20" s="83">
        <v>1096.2895255999997</v>
      </c>
      <c r="L20" s="82">
        <v>21783.45959838845</v>
      </c>
      <c r="M20" s="83">
        <v>1027.7714302499994</v>
      </c>
      <c r="N20" s="82">
        <v>21755.624557466879</v>
      </c>
      <c r="O20" s="83">
        <v>959.25333489999946</v>
      </c>
      <c r="P20" s="82">
        <v>21719.71370417003</v>
      </c>
      <c r="Q20" s="83">
        <v>890.73523954999951</v>
      </c>
      <c r="R20" s="82">
        <v>21673.986621988355</v>
      </c>
      <c r="S20" s="83">
        <v>822.21714419999955</v>
      </c>
      <c r="T20" s="82">
        <v>21616.12602850933</v>
      </c>
      <c r="U20" s="83">
        <v>753.69904884999971</v>
      </c>
      <c r="V20" s="82">
        <v>21542.957870024671</v>
      </c>
      <c r="W20" s="83">
        <v>685.18095349999953</v>
      </c>
      <c r="X20" s="82">
        <v>21449.987633121567</v>
      </c>
      <c r="Y20" s="83">
        <v>616.66285814999969</v>
      </c>
      <c r="Z20" s="82">
        <v>21330.584949407759</v>
      </c>
      <c r="AA20" s="83">
        <v>548.14476279999974</v>
      </c>
      <c r="AB20" s="82">
        <v>21174.46683994136</v>
      </c>
      <c r="AC20" s="83">
        <v>479.62666744999973</v>
      </c>
      <c r="AD20" s="82">
        <v>20964.691200221325</v>
      </c>
      <c r="AE20" s="83">
        <v>411.10857209999972</v>
      </c>
      <c r="AF20" s="82">
        <v>20671.286113422135</v>
      </c>
      <c r="AG20" s="83">
        <v>342.59047674999965</v>
      </c>
      <c r="AH20" s="82">
        <v>20236.774813315213</v>
      </c>
      <c r="AI20" s="83">
        <v>274.07238139999964</v>
      </c>
      <c r="AJ20" s="82">
        <v>19539.556389395271</v>
      </c>
      <c r="AK20" s="83">
        <v>205.5542860499996</v>
      </c>
      <c r="AL20" s="82">
        <v>18276.359342191023</v>
      </c>
      <c r="AM20" s="83">
        <v>137.03619069999962</v>
      </c>
      <c r="AN20" s="82">
        <v>15377.288817318826</v>
      </c>
      <c r="AO20" s="83">
        <v>68.51809534999957</v>
      </c>
      <c r="AP20" s="82">
        <v>14276.378109395093</v>
      </c>
      <c r="AQ20" s="83">
        <v>54.81447627999956</v>
      </c>
      <c r="AR20" s="82">
        <v>12776.622448751557</v>
      </c>
      <c r="AS20" s="83">
        <v>41.110857209999551</v>
      </c>
      <c r="AT20" s="82">
        <v>10593.481349988189</v>
      </c>
      <c r="AU20" s="83">
        <v>27.407238139999553</v>
      </c>
      <c r="AV20" s="82">
        <v>7055.9564202155743</v>
      </c>
      <c r="AW20" s="83">
        <v>13.703619069999549</v>
      </c>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c r="CR20" s="41"/>
      <c r="CS20" s="42"/>
    </row>
    <row r="21" spans="1:97" x14ac:dyDescent="0.2">
      <c r="A21" t="s">
        <v>76</v>
      </c>
      <c r="B21" s="82">
        <v>20589.743506999988</v>
      </c>
      <c r="C21" s="83">
        <v>1074.4618989999965</v>
      </c>
      <c r="D21" s="82">
        <v>20594.697864845715</v>
      </c>
      <c r="E21" s="83">
        <v>1002.1221676591656</v>
      </c>
      <c r="F21" s="82">
        <v>20596.239184124512</v>
      </c>
      <c r="G21" s="83">
        <v>929.42281842122225</v>
      </c>
      <c r="H21" s="82">
        <v>20593.848457334716</v>
      </c>
      <c r="I21" s="83">
        <v>856.37726291673971</v>
      </c>
      <c r="J21" s="82">
        <v>20586.892103005597</v>
      </c>
      <c r="K21" s="83">
        <v>783.01510641475113</v>
      </c>
      <c r="L21" s="82">
        <v>20574.585636150052</v>
      </c>
      <c r="M21" s="83">
        <v>709.38989431515779</v>
      </c>
      <c r="N21" s="82">
        <v>20555.939968345461</v>
      </c>
      <c r="O21" s="83">
        <v>635.59078400959038</v>
      </c>
      <c r="P21" s="82">
        <v>20529.689305723576</v>
      </c>
      <c r="Q21" s="83">
        <v>561.76109190672651</v>
      </c>
      <c r="R21" s="82">
        <v>20494.175666388412</v>
      </c>
      <c r="S21" s="83">
        <v>488.12559514140383</v>
      </c>
      <c r="T21" s="82">
        <v>20447.176132912868</v>
      </c>
      <c r="U21" s="83">
        <v>415.03160263650631</v>
      </c>
      <c r="V21" s="82">
        <v>20385.62043778431</v>
      </c>
      <c r="W21" s="83">
        <v>343.01285154662844</v>
      </c>
      <c r="X21" s="82">
        <v>20305.119893456467</v>
      </c>
      <c r="Y21" s="83">
        <v>272.88552698534858</v>
      </c>
      <c r="Z21" s="82">
        <v>20199.136969692972</v>
      </c>
      <c r="AA21" s="83">
        <v>205.89175766330976</v>
      </c>
      <c r="AB21" s="82">
        <v>20057.44434234377</v>
      </c>
      <c r="AC21" s="83">
        <v>143.89792947568313</v>
      </c>
      <c r="AD21" s="82">
        <v>19863.102763817336</v>
      </c>
      <c r="AE21" s="83">
        <v>89.605969099688593</v>
      </c>
      <c r="AF21" s="82">
        <v>19586.205583109717</v>
      </c>
      <c r="AG21" s="83">
        <v>46.535343405984023</v>
      </c>
      <c r="AH21" s="82">
        <v>19170.196150805314</v>
      </c>
      <c r="AI21" s="83">
        <v>18.019745062205214</v>
      </c>
      <c r="AJ21" s="82">
        <v>18498.399535131164</v>
      </c>
      <c r="AK21" s="83">
        <v>4.3344697505407952</v>
      </c>
      <c r="AL21" s="82">
        <v>17285.516657534492</v>
      </c>
      <c r="AM21" s="83">
        <v>0.47342612220608715</v>
      </c>
      <c r="AN21" s="82">
        <v>14525.785239362638</v>
      </c>
      <c r="AO21" s="83">
        <v>1.0577781982704565E-2</v>
      </c>
      <c r="AP21" s="82">
        <v>13482.040214997474</v>
      </c>
      <c r="AQ21" s="83">
        <v>3.3427448174803594E-3</v>
      </c>
      <c r="AR21" s="82">
        <v>12061.951865323077</v>
      </c>
      <c r="AS21" s="83">
        <v>8.205643027259955E-4</v>
      </c>
      <c r="AT21" s="82">
        <v>9997.1371992776767</v>
      </c>
      <c r="AU21" s="83">
        <v>1.3560124551567095E-4</v>
      </c>
      <c r="AV21" s="82">
        <v>6655.1596193173427</v>
      </c>
      <c r="AW21" s="83">
        <v>1.0622692613888296E-5</v>
      </c>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c r="CR21" s="41"/>
      <c r="CS21" s="42"/>
    </row>
    <row r="22" spans="1:97" x14ac:dyDescent="0.2">
      <c r="A22" t="s">
        <v>28</v>
      </c>
      <c r="B22" s="41">
        <v>5694.0816809131766</v>
      </c>
      <c r="C22" s="42">
        <v>359.80623566884782</v>
      </c>
      <c r="D22" s="41">
        <v>5675.686645477811</v>
      </c>
      <c r="E22" s="42">
        <v>344.89119537081399</v>
      </c>
      <c r="F22" s="41">
        <v>5655.0003338221959</v>
      </c>
      <c r="G22" s="42">
        <v>329.73932158183254</v>
      </c>
      <c r="H22" s="41">
        <v>5631.6841612041917</v>
      </c>
      <c r="I22" s="42">
        <v>314.33843612018279</v>
      </c>
      <c r="J22" s="41">
        <v>5605.3270214639952</v>
      </c>
      <c r="K22" s="42">
        <v>298.67541817462774</v>
      </c>
      <c r="L22" s="41">
        <v>5575.4244507787407</v>
      </c>
      <c r="M22" s="42">
        <v>282.73562141153508</v>
      </c>
      <c r="N22" s="41">
        <v>5541.3457223967562</v>
      </c>
      <c r="O22" s="42">
        <v>266.50180412640549</v>
      </c>
      <c r="P22" s="41">
        <v>5502.2902201792713</v>
      </c>
      <c r="Q22" s="42">
        <v>249.95322019656749</v>
      </c>
      <c r="R22" s="41">
        <v>5457.2148389743206</v>
      </c>
      <c r="S22" s="42">
        <v>233.06341308672563</v>
      </c>
      <c r="T22" s="41">
        <v>5404.7296201473528</v>
      </c>
      <c r="U22" s="42">
        <v>215.79740123336487</v>
      </c>
      <c r="V22" s="41">
        <v>5342.9202931460004</v>
      </c>
      <c r="W22" s="42">
        <v>198.1072537157832</v>
      </c>
      <c r="X22" s="41">
        <v>5269.0572658808032</v>
      </c>
      <c r="Y22" s="42">
        <v>179.92584618134728</v>
      </c>
      <c r="Z22" s="41">
        <v>5179.0843990893754</v>
      </c>
      <c r="AA22" s="42">
        <v>161.15863664539455</v>
      </c>
      <c r="AB22" s="41">
        <v>5066.6922863984209</v>
      </c>
      <c r="AC22" s="42">
        <v>141.6753608442196</v>
      </c>
      <c r="AD22" s="41">
        <v>4921.5913344568116</v>
      </c>
      <c r="AE22" s="42">
        <v>121.31082701007458</v>
      </c>
      <c r="AF22" s="41">
        <v>4726.2870143861319</v>
      </c>
      <c r="AG22" s="42">
        <v>99.906146976109483</v>
      </c>
      <c r="AH22" s="41">
        <v>4450.2944115533555</v>
      </c>
      <c r="AI22" s="42">
        <v>77.465380653114735</v>
      </c>
      <c r="AJ22" s="41">
        <v>4039.5629241674492</v>
      </c>
      <c r="AK22" s="42">
        <v>54.478013124899633</v>
      </c>
      <c r="AL22" s="41">
        <v>3387.7748411429338</v>
      </c>
      <c r="AM22" s="42">
        <v>32.132091704462717</v>
      </c>
      <c r="AN22" s="41">
        <v>2219.4162057311291</v>
      </c>
      <c r="AO22" s="42">
        <v>12.232263718270298</v>
      </c>
      <c r="AP22" s="41">
        <v>1865.2341884930761</v>
      </c>
      <c r="AQ22" s="42">
        <v>8.809841956266709</v>
      </c>
      <c r="AR22" s="41">
        <v>1446.7234188728823</v>
      </c>
      <c r="AS22" s="42">
        <v>5.6933858851635684</v>
      </c>
      <c r="AT22" s="41">
        <v>952.65239259196665</v>
      </c>
      <c r="AU22" s="42">
        <v>2.9965210835884859</v>
      </c>
      <c r="AV22" s="41">
        <v>396.85119210920999</v>
      </c>
      <c r="AW22" s="42">
        <v>0.93168249730414598</v>
      </c>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c r="CR22" s="116"/>
      <c r="CS22" s="8"/>
    </row>
    <row r="23" spans="1:97" x14ac:dyDescent="0.2">
      <c r="A23" t="s">
        <v>7</v>
      </c>
      <c r="B23" s="116">
        <v>2967.2154944027398</v>
      </c>
      <c r="C23" s="8">
        <v>0</v>
      </c>
      <c r="D23" s="116">
        <v>2972.7329720879052</v>
      </c>
      <c r="E23" s="8">
        <v>0</v>
      </c>
      <c r="F23" s="116">
        <v>2977.8646503705045</v>
      </c>
      <c r="G23" s="8">
        <v>0</v>
      </c>
      <c r="H23" s="116">
        <v>2982.5495576104927</v>
      </c>
      <c r="I23" s="8">
        <v>0</v>
      </c>
      <c r="J23" s="116">
        <v>2986.7125563076752</v>
      </c>
      <c r="K23" s="8">
        <v>0</v>
      </c>
      <c r="L23" s="116">
        <v>2990.2599555928673</v>
      </c>
      <c r="M23" s="8">
        <v>0</v>
      </c>
      <c r="N23" s="116">
        <v>2993.0727963458767</v>
      </c>
      <c r="O23" s="8">
        <v>0</v>
      </c>
      <c r="P23" s="116">
        <v>2994.9987765152473</v>
      </c>
      <c r="Q23" s="8">
        <v>0</v>
      </c>
      <c r="R23" s="116">
        <v>2995.838584517649</v>
      </c>
      <c r="S23" s="8">
        <v>0</v>
      </c>
      <c r="T23" s="116">
        <v>2995.3270702121249</v>
      </c>
      <c r="U23" s="8">
        <v>0</v>
      </c>
      <c r="V23" s="116">
        <v>2993.1022533790497</v>
      </c>
      <c r="W23" s="8">
        <v>0</v>
      </c>
      <c r="X23" s="116">
        <v>2988.6554331023794</v>
      </c>
      <c r="Y23" s="8">
        <v>0</v>
      </c>
      <c r="Z23" s="116">
        <v>2981.2437209003324</v>
      </c>
      <c r="AA23" s="8">
        <v>0</v>
      </c>
      <c r="AB23" s="116">
        <v>2969.7255396370215</v>
      </c>
      <c r="AC23" s="8">
        <v>0</v>
      </c>
      <c r="AD23" s="116">
        <v>2952.2205437489447</v>
      </c>
      <c r="AE23" s="8">
        <v>0</v>
      </c>
      <c r="AF23" s="116">
        <v>2925.3223136422384</v>
      </c>
      <c r="AG23" s="8">
        <v>0</v>
      </c>
      <c r="AH23" s="116">
        <v>2882.0546283576659</v>
      </c>
      <c r="AI23" s="8">
        <v>0</v>
      </c>
      <c r="AJ23" s="116">
        <v>2806.0335858809622</v>
      </c>
      <c r="AK23" s="8">
        <v>0</v>
      </c>
      <c r="AL23" s="116">
        <v>2652.3585762033831</v>
      </c>
      <c r="AM23" s="8">
        <v>0</v>
      </c>
      <c r="AN23" s="116">
        <v>2254.7236833052602</v>
      </c>
      <c r="AO23" s="8">
        <v>0</v>
      </c>
      <c r="AP23" s="116">
        <v>2094.7224552382027</v>
      </c>
      <c r="AQ23" s="8">
        <v>0</v>
      </c>
      <c r="AR23" s="116">
        <v>1872.5620888983283</v>
      </c>
      <c r="AS23" s="8">
        <v>0</v>
      </c>
      <c r="AT23" s="116">
        <v>1544.7005342458319</v>
      </c>
      <c r="AU23" s="8">
        <v>0</v>
      </c>
      <c r="AV23" s="116">
        <v>1013.3530502596534</v>
      </c>
      <c r="AW23" s="8">
        <v>0</v>
      </c>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c r="CR23" s="59"/>
      <c r="CS23" s="8"/>
    </row>
    <row r="24" spans="1:97" x14ac:dyDescent="0.2">
      <c r="A24" t="s">
        <v>8</v>
      </c>
      <c r="B24" s="97">
        <v>2640.90721174284</v>
      </c>
      <c r="C24" s="8">
        <v>0</v>
      </c>
      <c r="D24" s="97">
        <v>2667.6117931941976</v>
      </c>
      <c r="E24" s="8">
        <v>0</v>
      </c>
      <c r="F24" s="97">
        <v>2694.9408267608719</v>
      </c>
      <c r="G24" s="8">
        <v>0</v>
      </c>
      <c r="H24" s="97">
        <v>2722.989408236695</v>
      </c>
      <c r="I24" s="8">
        <v>0</v>
      </c>
      <c r="J24" s="97">
        <v>2751.8713736830969</v>
      </c>
      <c r="K24" s="8">
        <v>0</v>
      </c>
      <c r="L24" s="97">
        <v>2781.7248793755939</v>
      </c>
      <c r="M24" s="8">
        <v>0</v>
      </c>
      <c r="N24" s="97">
        <v>2812.7220098834073</v>
      </c>
      <c r="O24" s="8">
        <v>0</v>
      </c>
      <c r="P24" s="97">
        <v>2845.0827567608294</v>
      </c>
      <c r="Q24" s="8">
        <v>0</v>
      </c>
      <c r="R24" s="97">
        <v>2879.0994098306846</v>
      </c>
      <c r="S24" s="8">
        <v>0</v>
      </c>
      <c r="T24" s="97">
        <v>2915.175269337095</v>
      </c>
      <c r="U24" s="8">
        <v>0</v>
      </c>
      <c r="V24" s="97">
        <v>2953.8931782131222</v>
      </c>
      <c r="W24" s="8">
        <v>0</v>
      </c>
      <c r="X24" s="97">
        <v>2996.1354221642709</v>
      </c>
      <c r="Y24" s="8">
        <v>0</v>
      </c>
      <c r="Z24" s="97">
        <v>3043.3003890376781</v>
      </c>
      <c r="AA24" s="8">
        <v>0</v>
      </c>
      <c r="AB24" s="97">
        <v>3097.6937281782307</v>
      </c>
      <c r="AC24" s="8">
        <v>0</v>
      </c>
      <c r="AD24" s="97">
        <v>3163.2025975742067</v>
      </c>
      <c r="AE24" s="8">
        <v>0</v>
      </c>
      <c r="AF24" s="97">
        <v>3246.2415415579126</v>
      </c>
      <c r="AG24" s="8">
        <v>0</v>
      </c>
      <c r="AH24" s="97">
        <v>3356.0469831500909</v>
      </c>
      <c r="AI24" s="8">
        <v>0</v>
      </c>
      <c r="AJ24" s="97">
        <v>3500.4661520720447</v>
      </c>
      <c r="AK24" s="8">
        <v>0</v>
      </c>
      <c r="AL24" s="97">
        <v>3667.9026366340054</v>
      </c>
      <c r="AM24" s="8">
        <v>0</v>
      </c>
      <c r="AN24" s="97">
        <v>3723.6181020291997</v>
      </c>
      <c r="AO24" s="8">
        <v>0</v>
      </c>
      <c r="AP24" s="97">
        <v>3657.0300419514792</v>
      </c>
      <c r="AQ24" s="8">
        <v>0</v>
      </c>
      <c r="AR24" s="97">
        <v>3503.5767171157145</v>
      </c>
      <c r="AS24" s="8">
        <v>0</v>
      </c>
      <c r="AT24" s="97">
        <v>3165.6957806124683</v>
      </c>
      <c r="AU24" s="8">
        <v>0</v>
      </c>
      <c r="AV24" s="97">
        <v>2367.3834940215729</v>
      </c>
      <c r="AW24" s="8">
        <v>0</v>
      </c>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c r="CR24" s="41"/>
      <c r="CS24" s="42"/>
    </row>
    <row r="25" spans="1:97" x14ac:dyDescent="0.2">
      <c r="A25" t="s">
        <v>0</v>
      </c>
      <c r="B25" s="41">
        <v>2407.0188299999995</v>
      </c>
      <c r="C25" s="42">
        <v>198.3609869999998</v>
      </c>
      <c r="D25" s="41">
        <v>2423.0384087986818</v>
      </c>
      <c r="E25" s="42">
        <v>177.46899068080586</v>
      </c>
      <c r="F25" s="41">
        <v>2438.8388670937102</v>
      </c>
      <c r="G25" s="42">
        <v>157.25160392769732</v>
      </c>
      <c r="H25" s="41">
        <v>2454.3641979426643</v>
      </c>
      <c r="I25" s="42">
        <v>137.79539943738058</v>
      </c>
      <c r="J25" s="41">
        <v>2469.5463030373812</v>
      </c>
      <c r="K25" s="42">
        <v>119.19327138166237</v>
      </c>
      <c r="L25" s="41">
        <v>2484.2989715471017</v>
      </c>
      <c r="M25" s="42">
        <v>101.54442724045767</v>
      </c>
      <c r="N25" s="41">
        <v>2498.5079291091374</v>
      </c>
      <c r="O25" s="42">
        <v>84.954623911285552</v>
      </c>
      <c r="P25" s="41">
        <v>2512.015955416919</v>
      </c>
      <c r="Q25" s="42">
        <v>69.535310297657304</v>
      </c>
      <c r="R25" s="41">
        <v>2524.5964353884619</v>
      </c>
      <c r="S25" s="42">
        <v>55.403325726084681</v>
      </c>
      <c r="T25" s="41">
        <v>2535.9091771866169</v>
      </c>
      <c r="U25" s="42">
        <v>42.678926501950684</v>
      </c>
      <c r="V25" s="41">
        <v>2545.4235551432994</v>
      </c>
      <c r="W25" s="42">
        <v>31.483296634018071</v>
      </c>
      <c r="X25" s="41">
        <v>2552.2821388087505</v>
      </c>
      <c r="Y25" s="42">
        <v>21.933197386267974</v>
      </c>
      <c r="Z25" s="41">
        <v>2555.0543980696953</v>
      </c>
      <c r="AA25" s="42">
        <v>14.131259113915048</v>
      </c>
      <c r="AB25" s="41">
        <v>2551.2873377915857</v>
      </c>
      <c r="AC25" s="42">
        <v>8.1472973264499551</v>
      </c>
      <c r="AD25" s="41">
        <v>2536.7006776003377</v>
      </c>
      <c r="AE25" s="42">
        <v>3.9825497950833531</v>
      </c>
      <c r="AF25" s="41">
        <v>2503.8786131312318</v>
      </c>
      <c r="AG25" s="42">
        <v>1.5067079977548778</v>
      </c>
      <c r="AH25" s="41">
        <v>2440.6928029915616</v>
      </c>
      <c r="AI25" s="42">
        <v>0.37819340327537343</v>
      </c>
      <c r="AJ25" s="41">
        <v>2329.1525177760732</v>
      </c>
      <c r="AK25" s="42">
        <v>4.8946004995892078E-2</v>
      </c>
      <c r="AL25" s="41">
        <v>2138.2331539178717</v>
      </c>
      <c r="AM25" s="42">
        <v>2.1069933503668516E-3</v>
      </c>
      <c r="AN25" s="41">
        <v>1757.9214790144486</v>
      </c>
      <c r="AO25" s="42">
        <v>9.8709921779199539E-6</v>
      </c>
      <c r="AP25" s="41">
        <v>1623.4776504272404</v>
      </c>
      <c r="AQ25" s="42">
        <v>1.9596984013297534E-6</v>
      </c>
      <c r="AR25" s="41">
        <v>1444.4440611985769</v>
      </c>
      <c r="AS25" s="42">
        <v>2.7514768618780493E-7</v>
      </c>
      <c r="AT25" s="41">
        <v>1189.199238198089</v>
      </c>
      <c r="AU25" s="42">
        <v>2.2635247170602822E-8</v>
      </c>
      <c r="AV25" s="41">
        <v>784.18365280338662</v>
      </c>
      <c r="AW25" s="42">
        <v>7.018353931086876E-10</v>
      </c>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c r="CR25" s="41"/>
      <c r="CS25" s="42"/>
    </row>
    <row r="26" spans="1:97" x14ac:dyDescent="0.2">
      <c r="A26" t="s">
        <v>27</v>
      </c>
      <c r="B26" s="33">
        <v>4453.9220762806681</v>
      </c>
      <c r="C26" s="34">
        <v>103.68339971933386</v>
      </c>
      <c r="D26" s="33">
        <v>4461.0671328768431</v>
      </c>
      <c r="E26" s="34">
        <v>96.538343123152046</v>
      </c>
      <c r="F26" s="33">
        <v>4468.2008178018013</v>
      </c>
      <c r="G26" s="34">
        <v>89.404658198201304</v>
      </c>
      <c r="H26" s="33">
        <v>4475.3197866263836</v>
      </c>
      <c r="I26" s="34">
        <v>82.285689373615767</v>
      </c>
      <c r="J26" s="33">
        <v>4482.4201485699004</v>
      </c>
      <c r="K26" s="34">
        <v>75.1853274300978</v>
      </c>
      <c r="L26" s="33">
        <v>4489.4970337668428</v>
      </c>
      <c r="M26" s="34">
        <v>68.108442233164837</v>
      </c>
      <c r="N26" s="33">
        <v>4496.543687992923</v>
      </c>
      <c r="O26" s="34">
        <v>61.061788007078782</v>
      </c>
      <c r="P26" s="33">
        <v>4503.5505828400583</v>
      </c>
      <c r="Q26" s="34">
        <v>54.054893159937372</v>
      </c>
      <c r="R26" s="33">
        <v>4510.5032265604432</v>
      </c>
      <c r="S26" s="34">
        <v>47.102249439560559</v>
      </c>
      <c r="T26" s="33">
        <v>4517.3791990596492</v>
      </c>
      <c r="U26" s="34">
        <v>40.2262769403536</v>
      </c>
      <c r="V26" s="33">
        <v>4524.1428156207294</v>
      </c>
      <c r="W26" s="34">
        <v>33.462660379276073</v>
      </c>
      <c r="X26" s="33">
        <v>4530.7367150280088</v>
      </c>
      <c r="Y26" s="34">
        <v>26.868760971992057</v>
      </c>
      <c r="Z26" s="33">
        <v>4537.0682174774229</v>
      </c>
      <c r="AA26" s="34">
        <v>20.537258522579911</v>
      </c>
      <c r="AB26" s="33">
        <v>4542.9885152499064</v>
      </c>
      <c r="AC26" s="34">
        <v>14.616960750098752</v>
      </c>
      <c r="AD26" s="33">
        <v>4548.2658216643431</v>
      </c>
      <c r="AE26" s="34">
        <v>9.3396543356545898</v>
      </c>
      <c r="AF26" s="33">
        <v>4552.570582594617</v>
      </c>
      <c r="AG26" s="34">
        <v>5.0348934053852874</v>
      </c>
      <c r="AH26" s="33">
        <v>4555.5439603228069</v>
      </c>
      <c r="AI26" s="34">
        <v>2.0615156771933112</v>
      </c>
      <c r="AJ26" s="33">
        <v>4557.0648114712467</v>
      </c>
      <c r="AK26" s="34">
        <v>0.54066452875170912</v>
      </c>
      <c r="AL26" s="33">
        <v>4557.5374229485114</v>
      </c>
      <c r="AM26" s="34">
        <v>6.805305148708736E-2</v>
      </c>
      <c r="AN26" s="33">
        <v>4557.6034761757501</v>
      </c>
      <c r="AO26" s="34">
        <v>1.9998242502344676E-3</v>
      </c>
      <c r="AP26" s="33">
        <v>4557.6047819346195</v>
      </c>
      <c r="AQ26" s="34">
        <v>6.9406538159727169E-4</v>
      </c>
      <c r="AR26" s="33">
        <v>4557.6052831749384</v>
      </c>
      <c r="AS26" s="34">
        <v>1.9282506148392986E-4</v>
      </c>
      <c r="AT26" s="33">
        <v>4557.6054378782665</v>
      </c>
      <c r="AU26" s="34">
        <v>3.8121735664324505E-5</v>
      </c>
      <c r="AV26" s="33">
        <v>4557.6054718983833</v>
      </c>
      <c r="AW26" s="34">
        <v>4.1016203938403884E-6</v>
      </c>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c r="CR26" s="41"/>
      <c r="CS26" s="42"/>
    </row>
    <row r="27" spans="1:97" x14ac:dyDescent="0.2">
      <c r="A27" t="s">
        <v>2</v>
      </c>
      <c r="B27" s="35">
        <v>5438.4286200000097</v>
      </c>
      <c r="C27" s="36">
        <v>274.41908699999959</v>
      </c>
      <c r="D27" s="35">
        <v>5457.1061106803663</v>
      </c>
      <c r="E27" s="36">
        <v>255.74161892438983</v>
      </c>
      <c r="F27" s="35">
        <v>5475.7885123892656</v>
      </c>
      <c r="G27" s="36">
        <v>237.05919484518381</v>
      </c>
      <c r="H27" s="35">
        <v>5494.4667793997814</v>
      </c>
      <c r="I27" s="36">
        <v>218.38092785370955</v>
      </c>
      <c r="J27" s="35">
        <v>5513.1304252805048</v>
      </c>
      <c r="K27" s="36">
        <v>199.71729380349828</v>
      </c>
      <c r="L27" s="35">
        <v>5531.7663887569388</v>
      </c>
      <c r="M27" s="36">
        <v>181.0813180189848</v>
      </c>
      <c r="N27" s="35">
        <v>5550.3563629914861</v>
      </c>
      <c r="O27" s="36">
        <v>162.49134545923232</v>
      </c>
      <c r="P27" s="35">
        <v>5568.8747762249814</v>
      </c>
      <c r="Q27" s="36">
        <v>143.97293661752246</v>
      </c>
      <c r="R27" s="35">
        <v>5587.2825522988769</v>
      </c>
      <c r="S27" s="36">
        <v>125.56515549726443</v>
      </c>
      <c r="T27" s="35">
        <v>5605.5194327796171</v>
      </c>
      <c r="U27" s="36">
        <v>107.32827664528467</v>
      </c>
      <c r="V27" s="35">
        <v>5623.4894057411102</v>
      </c>
      <c r="W27" s="36">
        <v>89.358303242237994</v>
      </c>
      <c r="X27" s="35">
        <v>5641.0381214094041</v>
      </c>
      <c r="Y27" s="36">
        <v>71.809586518038202</v>
      </c>
      <c r="Z27" s="35">
        <v>5657.9160454557541</v>
      </c>
      <c r="AA27" s="36">
        <v>54.931664352602915</v>
      </c>
      <c r="AB27" s="35">
        <v>5673.7221994010752</v>
      </c>
      <c r="AC27" s="36">
        <v>39.125509674650559</v>
      </c>
      <c r="AD27" s="35">
        <v>5687.8315325149069</v>
      </c>
      <c r="AE27" s="36">
        <v>25.016173067833698</v>
      </c>
      <c r="AF27" s="35">
        <v>5699.3545234810881</v>
      </c>
      <c r="AG27" s="36">
        <v>13.493187168261455</v>
      </c>
      <c r="AH27" s="35">
        <v>5707.3209248519643</v>
      </c>
      <c r="AI27" s="36">
        <v>5.5267819770700211</v>
      </c>
      <c r="AJ27" s="35">
        <v>5711.3979466648852</v>
      </c>
      <c r="AK27" s="36">
        <v>1.4497600337996424</v>
      </c>
      <c r="AL27" s="35">
        <v>5712.6652160151416</v>
      </c>
      <c r="AM27" s="36">
        <v>0.182491048206715</v>
      </c>
      <c r="AN27" s="35">
        <v>5712.8423442741969</v>
      </c>
      <c r="AO27" s="36">
        <v>5.3627732569982867E-3</v>
      </c>
      <c r="AP27" s="35">
        <v>5712.8458458112373</v>
      </c>
      <c r="AQ27" s="36">
        <v>1.8612215371099452E-3</v>
      </c>
      <c r="AR27" s="35">
        <v>5712.847189914959</v>
      </c>
      <c r="AS27" s="36">
        <v>5.1708400263775884E-4</v>
      </c>
      <c r="AT27" s="35">
        <v>5712.847604769895</v>
      </c>
      <c r="AU27" s="36">
        <v>1.0222808764019749E-4</v>
      </c>
      <c r="AV27" s="35">
        <v>5712.8476959978943</v>
      </c>
      <c r="AW27" s="36">
        <v>1.0998998281757267E-5</v>
      </c>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c r="CR27" s="41"/>
      <c r="CS27" s="42"/>
    </row>
    <row r="28" spans="1:97" x14ac:dyDescent="0.2">
      <c r="A28" t="s">
        <v>35</v>
      </c>
      <c r="B28" s="41">
        <v>11932.388276000003</v>
      </c>
      <c r="C28" s="42">
        <v>425.59270699999968</v>
      </c>
      <c r="D28" s="41">
        <v>11961.467007517605</v>
      </c>
      <c r="E28" s="42">
        <v>396.49727189381673</v>
      </c>
      <c r="F28" s="41">
        <v>11990.501164290545</v>
      </c>
      <c r="G28" s="42">
        <v>367.4130332073679</v>
      </c>
      <c r="H28" s="41">
        <v>12019.476949136866</v>
      </c>
      <c r="I28" s="42">
        <v>338.35409443540243</v>
      </c>
      <c r="J28" s="41">
        <v>12048.378401141877</v>
      </c>
      <c r="K28" s="42">
        <v>309.33671755006822</v>
      </c>
      <c r="L28" s="41">
        <v>12077.185651843422</v>
      </c>
      <c r="M28" s="42">
        <v>280.38114135795951</v>
      </c>
      <c r="N28" s="41">
        <v>12105.870985828515</v>
      </c>
      <c r="O28" s="42">
        <v>251.51566761600168</v>
      </c>
      <c r="P28" s="41">
        <v>12134.395589837957</v>
      </c>
      <c r="Q28" s="42">
        <v>222.77985834198793</v>
      </c>
      <c r="R28" s="41">
        <v>12162.700271113175</v>
      </c>
      <c r="S28" s="42">
        <v>194.2340097516259</v>
      </c>
      <c r="T28" s="41">
        <v>12190.69368348056</v>
      </c>
      <c r="U28" s="42">
        <v>165.97118331702274</v>
      </c>
      <c r="V28" s="41">
        <v>12218.230397429214</v>
      </c>
      <c r="W28" s="42">
        <v>138.13949744768288</v>
      </c>
      <c r="X28" s="41">
        <v>12245.076749748743</v>
      </c>
      <c r="Y28" s="42">
        <v>110.97700394596991</v>
      </c>
      <c r="Z28" s="41">
        <v>12270.855278283792</v>
      </c>
      <c r="AA28" s="42">
        <v>84.868401159844211</v>
      </c>
      <c r="AB28" s="41">
        <v>12294.959967790075</v>
      </c>
      <c r="AC28" s="42">
        <v>60.431595459236476</v>
      </c>
      <c r="AD28" s="41">
        <v>12316.446954770337</v>
      </c>
      <c r="AE28" s="42">
        <v>38.629453475595184</v>
      </c>
      <c r="AF28" s="41">
        <v>12333.974287644358</v>
      </c>
      <c r="AG28" s="42">
        <v>20.831728235701664</v>
      </c>
      <c r="AH28" s="41">
        <v>12346.080804221549</v>
      </c>
      <c r="AI28" s="42">
        <v>8.5314543134203173</v>
      </c>
      <c r="AJ28" s="41">
        <v>12352.273176871822</v>
      </c>
      <c r="AK28" s="42">
        <v>2.2377735422385601</v>
      </c>
      <c r="AL28" s="41">
        <v>12354.197487589827</v>
      </c>
      <c r="AM28" s="42">
        <v>0.28167739898448119</v>
      </c>
      <c r="AN28" s="41">
        <v>12354.466433562326</v>
      </c>
      <c r="AO28" s="42">
        <v>8.2774871383716232E-3</v>
      </c>
      <c r="AP28" s="41">
        <v>12354.471750149249</v>
      </c>
      <c r="AQ28" s="42">
        <v>2.8728114206950338E-3</v>
      </c>
      <c r="AR28" s="41">
        <v>12354.473790995342</v>
      </c>
      <c r="AS28" s="42">
        <v>7.9812363995280795E-4</v>
      </c>
      <c r="AT28" s="41">
        <v>12354.474420893095</v>
      </c>
      <c r="AU28" s="42">
        <v>1.57789946440828E-4</v>
      </c>
      <c r="AV28" s="41">
        <v>12354.474559410242</v>
      </c>
      <c r="AW28" s="42">
        <v>1.6977048499092251E-5</v>
      </c>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c r="CR28" s="35"/>
      <c r="CS28" s="36"/>
    </row>
    <row r="29" spans="1:97" x14ac:dyDescent="0.2">
      <c r="A29" t="s">
        <v>53</v>
      </c>
      <c r="B29" s="35">
        <v>12524.290636000003</v>
      </c>
      <c r="C29" s="36">
        <v>853.02040299999965</v>
      </c>
      <c r="D29" s="35">
        <v>12534.618412563153</v>
      </c>
      <c r="E29" s="36">
        <v>787.85875620573586</v>
      </c>
      <c r="F29" s="35">
        <v>12542.960578994167</v>
      </c>
      <c r="G29" s="36">
        <v>723.25379679851653</v>
      </c>
      <c r="H29" s="35">
        <v>12549.00388080544</v>
      </c>
      <c r="I29" s="36">
        <v>659.29092901039553</v>
      </c>
      <c r="J29" s="35">
        <v>12552.366071841117</v>
      </c>
      <c r="K29" s="36">
        <v>596.06810584019593</v>
      </c>
      <c r="L29" s="35">
        <v>12552.572925282026</v>
      </c>
      <c r="M29" s="36">
        <v>533.70070399127405</v>
      </c>
      <c r="N29" s="35">
        <v>12549.023780054064</v>
      </c>
      <c r="O29" s="36">
        <v>472.33078702799656</v>
      </c>
      <c r="P29" s="35">
        <v>12540.944651678425</v>
      </c>
      <c r="Q29" s="36">
        <v>412.13475500118648</v>
      </c>
      <c r="R29" s="35">
        <v>12527.311849696294</v>
      </c>
      <c r="S29" s="36">
        <v>353.34231645444908</v>
      </c>
      <c r="T29" s="35">
        <v>12506.735296616702</v>
      </c>
      <c r="U29" s="36">
        <v>296.25902305586908</v>
      </c>
      <c r="V29" s="35">
        <v>12477.265867678974</v>
      </c>
      <c r="W29" s="36">
        <v>241.30510525041063</v>
      </c>
      <c r="X29" s="35">
        <v>12436.069755299826</v>
      </c>
      <c r="Y29" s="36">
        <v>189.07122604391438</v>
      </c>
      <c r="Z29" s="35">
        <v>12378.851686189801</v>
      </c>
      <c r="AA29" s="36">
        <v>140.40104361148539</v>
      </c>
      <c r="AB29" s="35">
        <v>12298.788258774288</v>
      </c>
      <c r="AC29" s="36">
        <v>96.500761791122059</v>
      </c>
      <c r="AD29" s="35">
        <v>12184.472798482941</v>
      </c>
      <c r="AE29" s="36">
        <v>59.041738262001758</v>
      </c>
      <c r="AF29" s="35">
        <v>12015.83422454521</v>
      </c>
      <c r="AG29" s="36">
        <v>30.09407614496175</v>
      </c>
      <c r="AH29" s="35">
        <v>11755.829774352746</v>
      </c>
      <c r="AI29" s="36">
        <v>11.423300756658769</v>
      </c>
      <c r="AJ29" s="35">
        <v>11331.42246225191</v>
      </c>
      <c r="AK29" s="36">
        <v>2.690282133209899</v>
      </c>
      <c r="AL29" s="35">
        <v>10570.221545001643</v>
      </c>
      <c r="AM29" s="36">
        <v>0.28739287522140616</v>
      </c>
      <c r="AN29" s="35">
        <v>8864.0915795827132</v>
      </c>
      <c r="AO29" s="36">
        <v>6.2740240783828232E-3</v>
      </c>
      <c r="AP29" s="35">
        <v>8223.3019560538523</v>
      </c>
      <c r="AQ29" s="36">
        <v>1.9732636421163842E-3</v>
      </c>
      <c r="AR29" s="35">
        <v>7353.3123587138689</v>
      </c>
      <c r="AS29" s="36">
        <v>4.8206433203137731E-4</v>
      </c>
      <c r="AT29" s="35">
        <v>6090.7549177587571</v>
      </c>
      <c r="AU29" s="36">
        <v>7.9276518950485887E-5</v>
      </c>
      <c r="AV29" s="35">
        <v>4051.1111877185876</v>
      </c>
      <c r="AW29" s="36">
        <v>6.1798024156211636E-6</v>
      </c>
      <c r="AX29" s="118"/>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c r="CR29" s="119"/>
    </row>
    <row r="30" spans="1:97" x14ac:dyDescent="0.2">
      <c r="A30" t="s">
        <v>48</v>
      </c>
      <c r="B30" s="119">
        <v>2644238.3989999997</v>
      </c>
      <c r="D30" s="119">
        <v>2696509.5136803398</v>
      </c>
      <c r="F30" s="119">
        <v>2749503.1352341655</v>
      </c>
      <c r="H30" s="119">
        <v>2803375.0876560411</v>
      </c>
      <c r="J30" s="119">
        <v>2858310.5649861498</v>
      </c>
      <c r="L30" s="119">
        <v>2914535.6899144724</v>
      </c>
      <c r="N30" s="119">
        <v>2972334.4617331983</v>
      </c>
      <c r="P30" s="119">
        <v>3032075.330870246</v>
      </c>
      <c r="R30" s="119">
        <v>3094254.2638507271</v>
      </c>
      <c r="T30" s="119">
        <v>3159573.3443008591</v>
      </c>
      <c r="V30" s="119">
        <v>3229071.6793757076</v>
      </c>
      <c r="X30" s="119">
        <v>3304368.5389664415</v>
      </c>
      <c r="Z30" s="119">
        <v>3388109.9558894048</v>
      </c>
      <c r="AB30" s="119">
        <v>3484804.2259479193</v>
      </c>
      <c r="AD30" s="119">
        <v>3602349.4810089329</v>
      </c>
      <c r="AF30" s="119">
        <v>3754486.2864077725</v>
      </c>
      <c r="AH30" s="119">
        <v>3963034.4060182013</v>
      </c>
      <c r="AJ30" s="119">
        <v>4253843.162585279</v>
      </c>
      <c r="AL30" s="119">
        <v>4633944.1708323471</v>
      </c>
      <c r="AN30" s="119">
        <v>4965823.0288037285</v>
      </c>
      <c r="AP30" s="119">
        <v>4946738.0941845495</v>
      </c>
      <c r="AR30" s="119">
        <v>4817049.8762456281</v>
      </c>
      <c r="AT30" s="119">
        <v>4438292.5584348664</v>
      </c>
      <c r="AV30" s="119">
        <v>3403624.2398615004</v>
      </c>
      <c r="AX30" s="86"/>
      <c r="AZ30" s="86"/>
      <c r="BB30" s="86"/>
      <c r="BD30" s="86"/>
      <c r="BF30" s="86"/>
      <c r="BH30" s="86"/>
      <c r="BJ30" s="86"/>
      <c r="BL30" s="86"/>
      <c r="BN30" s="86"/>
      <c r="BP30" s="86"/>
      <c r="BR30" s="86"/>
      <c r="BT30" s="86"/>
      <c r="BV30" s="86"/>
      <c r="BX30" s="86"/>
      <c r="BZ30" s="86"/>
      <c r="CB30" s="86"/>
      <c r="CD30" s="86"/>
      <c r="CF30" s="86"/>
      <c r="CH30" s="86"/>
      <c r="CJ30" s="86"/>
      <c r="CL30" s="86"/>
      <c r="CN30" s="86"/>
      <c r="CP30" s="86"/>
      <c r="CR30" s="86"/>
    </row>
    <row r="31" spans="1:97" x14ac:dyDescent="0.2">
      <c r="A31" t="s">
        <v>47</v>
      </c>
      <c r="B31" s="80">
        <v>0.99999999999999956</v>
      </c>
      <c r="D31" s="80">
        <v>0.99444591610775457</v>
      </c>
      <c r="F31" s="80">
        <v>0.98832398885785544</v>
      </c>
      <c r="H31" s="80">
        <v>0.98155485786275998</v>
      </c>
      <c r="J31" s="80">
        <v>0.97404297476950719</v>
      </c>
      <c r="L31" s="80">
        <v>0.96567204220783953</v>
      </c>
      <c r="N31" s="80">
        <v>0.95629799805413807</v>
      </c>
      <c r="P31" s="80">
        <v>0.94573972610617074</v>
      </c>
      <c r="R31" s="80">
        <v>0.93376390646056395</v>
      </c>
      <c r="T31" s="80">
        <v>0.92006316660733312</v>
      </c>
      <c r="V31" s="80">
        <v>0.90421972939464912</v>
      </c>
      <c r="X31" s="80">
        <v>0.88564636602078417</v>
      </c>
      <c r="Z31" s="80">
        <v>0.86348466526882439</v>
      </c>
      <c r="AB31" s="80">
        <v>0.83642519107603419</v>
      </c>
      <c r="AD31" s="80">
        <v>0.80238481689363084</v>
      </c>
      <c r="AF31" s="80">
        <v>0.75794214216834832</v>
      </c>
      <c r="AH31" s="80">
        <v>0.69744648234885309</v>
      </c>
      <c r="AJ31" s="80">
        <v>0.61173763947405335</v>
      </c>
      <c r="AL31" s="80">
        <v>0.48516789846608083</v>
      </c>
      <c r="AN31" s="80">
        <v>0.28500358745058368</v>
      </c>
      <c r="AP31" s="80">
        <v>0.23086212220297583</v>
      </c>
      <c r="AR31" s="80">
        <v>0.17080624919208309</v>
      </c>
      <c r="AT31" s="80">
        <v>0.10553097572575747</v>
      </c>
      <c r="AV31" s="80">
        <v>4.0042490619631235E-2</v>
      </c>
      <c r="AX31" s="70"/>
      <c r="AZ31" s="70"/>
      <c r="BB31" s="70"/>
      <c r="BD31" s="70"/>
      <c r="BF31" s="70"/>
      <c r="BH31" s="70"/>
      <c r="BJ31" s="70"/>
      <c r="BL31" s="70"/>
      <c r="BN31" s="70"/>
      <c r="BP31" s="70"/>
      <c r="BR31" s="70"/>
      <c r="BT31" s="70"/>
      <c r="BV31" s="70"/>
      <c r="BX31" s="70"/>
      <c r="BZ31" s="70"/>
      <c r="CB31" s="70"/>
      <c r="CD31" s="70"/>
      <c r="CF31" s="70"/>
      <c r="CH31" s="70"/>
      <c r="CJ31" s="70"/>
      <c r="CL31" s="70"/>
      <c r="CN31" s="70"/>
      <c r="CP31" s="70"/>
      <c r="CR31" s="70"/>
    </row>
    <row r="32" spans="1:97" x14ac:dyDescent="0.2">
      <c r="A32" t="s">
        <v>64</v>
      </c>
      <c r="B32" s="86">
        <v>12914691.582000002</v>
      </c>
      <c r="C32" s="38"/>
      <c r="D32" s="86">
        <v>12899771.347745398</v>
      </c>
      <c r="E32" s="38"/>
      <c r="F32" s="86">
        <v>12882952.160985757</v>
      </c>
      <c r="G32" s="38"/>
      <c r="H32" s="86">
        <v>12863958.971456643</v>
      </c>
      <c r="I32" s="38"/>
      <c r="J32" s="86">
        <v>12842451.598879423</v>
      </c>
      <c r="K32" s="38"/>
      <c r="L32" s="86">
        <v>12818009.943411415</v>
      </c>
      <c r="M32" s="38"/>
      <c r="N32" s="86">
        <v>12790113.411956787</v>
      </c>
      <c r="O32" s="38"/>
      <c r="P32" s="86">
        <v>12758120.507229235</v>
      </c>
      <c r="Q32" s="38"/>
      <c r="R32" s="86">
        <v>12721238.658551933</v>
      </c>
      <c r="S32" s="38"/>
      <c r="T32" s="86">
        <v>12678495.729889927</v>
      </c>
      <c r="U32" s="38"/>
      <c r="V32" s="86">
        <v>12628701.875817044</v>
      </c>
      <c r="W32" s="38"/>
      <c r="X32" s="86">
        <v>12570410.512414832</v>
      </c>
      <c r="Y32" s="38"/>
      <c r="Z32" s="86">
        <v>12501863.607233634</v>
      </c>
      <c r="AA32" s="38"/>
      <c r="AB32" s="86">
        <v>12420866.663704714</v>
      </c>
      <c r="AC32" s="38"/>
      <c r="AD32" s="86">
        <v>12324319.793758623</v>
      </c>
      <c r="AE32" s="38"/>
      <c r="AF32" s="86">
        <v>12206174.291808745</v>
      </c>
      <c r="AG32" s="38"/>
      <c r="AH32" s="86">
        <v>12048902.056730084</v>
      </c>
      <c r="AI32" s="38"/>
      <c r="AJ32" s="86">
        <v>11792791.634949818</v>
      </c>
      <c r="AK32" s="38"/>
      <c r="AL32" s="86">
        <v>11240565.136880001</v>
      </c>
      <c r="AM32" s="38"/>
      <c r="AN32" s="86">
        <v>9654710.2006127238</v>
      </c>
      <c r="AO32" s="38"/>
      <c r="AP32" s="86">
        <v>8990748.4614000637</v>
      </c>
      <c r="AQ32" s="38"/>
      <c r="AR32" s="86">
        <v>8058261.2254496114</v>
      </c>
      <c r="AS32" s="38"/>
      <c r="AT32" s="86">
        <v>6668362.5460806945</v>
      </c>
      <c r="AU32" s="38"/>
      <c r="AV32" s="86">
        <v>4394184.9957167143</v>
      </c>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c r="CR32" s="37"/>
      <c r="CS32" s="38"/>
    </row>
    <row r="33" spans="1:97 16384:16384" x14ac:dyDescent="0.2">
      <c r="A33" t="s">
        <v>54</v>
      </c>
      <c r="B33" s="117">
        <v>6152691.9630000014</v>
      </c>
      <c r="C33" s="40"/>
      <c r="D33" s="117">
        <v>6123490.6292476933</v>
      </c>
      <c r="E33" s="40"/>
      <c r="F33" s="117">
        <v>6092539.6950764162</v>
      </c>
      <c r="G33" s="40"/>
      <c r="H33" s="117">
        <v>6059567.7618738869</v>
      </c>
      <c r="I33" s="40"/>
      <c r="J33" s="117">
        <v>6024242.2790681683</v>
      </c>
      <c r="K33" s="40"/>
      <c r="L33" s="117">
        <v>5986154.2957802135</v>
      </c>
      <c r="M33" s="40"/>
      <c r="N33" s="117">
        <v>5944794.2056039525</v>
      </c>
      <c r="O33" s="40"/>
      <c r="P33" s="117">
        <v>5899521.2685176199</v>
      </c>
      <c r="Q33" s="40"/>
      <c r="R33" s="117">
        <v>5849513.2693079859</v>
      </c>
      <c r="S33" s="40"/>
      <c r="T33" s="117">
        <v>5793699.8357566027</v>
      </c>
      <c r="U33" s="40"/>
      <c r="V33" s="117">
        <v>5730647.450660021</v>
      </c>
      <c r="W33" s="40"/>
      <c r="X33" s="117">
        <v>5658376.6561994106</v>
      </c>
      <c r="Y33" s="40"/>
      <c r="Z33" s="117">
        <v>5574036.0784368003</v>
      </c>
      <c r="AA33" s="40"/>
      <c r="AB33" s="117">
        <v>5473286.8572090948</v>
      </c>
      <c r="AC33" s="40"/>
      <c r="AD33" s="117">
        <v>5349048.2779520005</v>
      </c>
      <c r="AE33" s="40"/>
      <c r="AF33" s="117">
        <v>5188731.6194715137</v>
      </c>
      <c r="AG33" s="40"/>
      <c r="AH33" s="117">
        <v>4967739.0182230314</v>
      </c>
      <c r="AI33" s="40"/>
      <c r="AJ33" s="117">
        <v>4633440.4005657211</v>
      </c>
      <c r="AK33" s="40"/>
      <c r="AL33" s="117">
        <v>4060898.2129610982</v>
      </c>
      <c r="AM33" s="40"/>
      <c r="AN33" s="117">
        <v>2882169.1778704207</v>
      </c>
      <c r="AO33" s="40"/>
      <c r="AP33" s="117">
        <v>2485776.5410477137</v>
      </c>
      <c r="AQ33" s="40"/>
      <c r="AR33" s="117">
        <v>1992311.4399727611</v>
      </c>
      <c r="AS33" s="40"/>
      <c r="AT33" s="117">
        <v>1370781.9814018896</v>
      </c>
      <c r="AU33" s="40"/>
      <c r="AV33" s="117">
        <v>608879.02817741875</v>
      </c>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c r="CR33" s="39"/>
      <c r="CS33" s="40"/>
    </row>
    <row r="34" spans="1:97 16384:16384" x14ac:dyDescent="0.2">
      <c r="A34" t="s">
        <v>75</v>
      </c>
      <c r="B34" s="70">
        <v>1059641.3710000017</v>
      </c>
      <c r="C34" s="38"/>
      <c r="D34" s="70">
        <v>1058416.9618673944</v>
      </c>
      <c r="E34" s="38"/>
      <c r="F34" s="70">
        <v>1057037.1655652651</v>
      </c>
      <c r="G34" s="38"/>
      <c r="H34" s="70">
        <v>1055478.7825216178</v>
      </c>
      <c r="I34" s="38"/>
      <c r="J34" s="70">
        <v>1053714.0468675583</v>
      </c>
      <c r="K34" s="38"/>
      <c r="L34" s="70">
        <v>1051708.690580362</v>
      </c>
      <c r="M34" s="38"/>
      <c r="N34" s="70">
        <v>1049419.8169551857</v>
      </c>
      <c r="O34" s="38"/>
      <c r="P34" s="70">
        <v>1046794.6876636243</v>
      </c>
      <c r="Q34" s="38"/>
      <c r="R34" s="70">
        <v>1043768.6757653863</v>
      </c>
      <c r="S34" s="38"/>
      <c r="T34" s="70">
        <v>1040261.6101845108</v>
      </c>
      <c r="U34" s="38"/>
      <c r="V34" s="70">
        <v>1036176.0708332632</v>
      </c>
      <c r="W34" s="38"/>
      <c r="X34" s="70">
        <v>1031393.348937361</v>
      </c>
      <c r="Y34" s="38"/>
      <c r="Z34" s="70">
        <v>1025769.1206767403</v>
      </c>
      <c r="AA34" s="38"/>
      <c r="AB34" s="70">
        <v>1019123.3842837893</v>
      </c>
      <c r="AC34" s="38"/>
      <c r="AD34" s="70">
        <v>1011201.7792408729</v>
      </c>
      <c r="AE34" s="38"/>
      <c r="AF34" s="70">
        <v>1001508.0264688254</v>
      </c>
      <c r="AG34" s="38"/>
      <c r="AH34" s="70">
        <v>988603.94849425054</v>
      </c>
      <c r="AI34" s="38"/>
      <c r="AJ34" s="70">
        <v>967590.26840437669</v>
      </c>
      <c r="AK34" s="38"/>
      <c r="AL34" s="70">
        <v>922280.4723472253</v>
      </c>
      <c r="AM34" s="38"/>
      <c r="AN34" s="70">
        <v>792162.18897875992</v>
      </c>
      <c r="AO34" s="38"/>
      <c r="AP34" s="70">
        <v>737684.5947471793</v>
      </c>
      <c r="AQ34" s="38"/>
      <c r="AR34" s="70">
        <v>661174.67216270603</v>
      </c>
      <c r="AS34" s="38"/>
      <c r="AT34" s="70">
        <v>547134.46200313745</v>
      </c>
      <c r="AU34" s="38"/>
      <c r="AV34" s="70">
        <v>360539.79173444607</v>
      </c>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c r="CR34" s="37"/>
      <c r="CS34" s="38"/>
    </row>
    <row r="35" spans="1:97 16384:16384" x14ac:dyDescent="0.2">
      <c r="A35" t="s">
        <v>78</v>
      </c>
      <c r="B35" s="37">
        <v>1</v>
      </c>
      <c r="C35" s="38"/>
      <c r="D35" s="37">
        <v>1.0008135558571547</v>
      </c>
      <c r="E35" s="38"/>
      <c r="F35" s="37">
        <v>1.0019312390711139</v>
      </c>
      <c r="G35" s="38"/>
      <c r="H35" s="37">
        <v>1.0034066875845065</v>
      </c>
      <c r="I35" s="38"/>
      <c r="J35" s="37">
        <v>1.0053071085081819</v>
      </c>
      <c r="K35" s="38"/>
      <c r="L35" s="37">
        <v>1.0077184771822096</v>
      </c>
      <c r="M35" s="38"/>
      <c r="N35" s="37">
        <v>1.0107533437344001</v>
      </c>
      <c r="O35" s="38"/>
      <c r="P35" s="37">
        <v>1.0145625335616799</v>
      </c>
      <c r="Q35" s="38"/>
      <c r="R35" s="37">
        <v>1.0193540211780152</v>
      </c>
      <c r="S35" s="38"/>
      <c r="T35" s="37">
        <v>1.0254239211481142</v>
      </c>
      <c r="U35" s="38"/>
      <c r="V35" s="37">
        <v>1.0332092833016544</v>
      </c>
      <c r="W35" s="38"/>
      <c r="X35" s="37">
        <v>1.0433825644327741</v>
      </c>
      <c r="Y35" s="38"/>
      <c r="Z35" s="37">
        <v>1.0570286385055008</v>
      </c>
      <c r="AA35" s="38"/>
      <c r="AB35" s="37">
        <v>1.0759946727496497</v>
      </c>
      <c r="AC35" s="38"/>
      <c r="AD35" s="37">
        <v>1.1036194121071281</v>
      </c>
      <c r="AE35" s="38"/>
      <c r="AF35" s="37">
        <v>1.1463237949530087</v>
      </c>
      <c r="AG35" s="38"/>
      <c r="AH35" s="37">
        <v>1.2172078899871204</v>
      </c>
      <c r="AI35" s="38"/>
      <c r="AJ35" s="37">
        <v>1.3449590358426946</v>
      </c>
      <c r="AK35" s="38"/>
      <c r="AL35" s="37">
        <v>1.6038921161928019</v>
      </c>
      <c r="AM35" s="38"/>
      <c r="AN35" s="37">
        <v>2.2794631093842601</v>
      </c>
      <c r="AO35" s="38"/>
      <c r="AP35" s="37">
        <v>2.5574572780352596</v>
      </c>
      <c r="AQ35" s="38"/>
      <c r="AR35" s="37">
        <v>2.9510547359225092</v>
      </c>
      <c r="AS35" s="38"/>
      <c r="AT35" s="37">
        <v>3.5504107188468494</v>
      </c>
      <c r="AU35" s="38"/>
      <c r="AV35" s="37">
        <v>4.5779636503432775</v>
      </c>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c r="CR35" s="39"/>
      <c r="CS35" s="40"/>
    </row>
    <row r="36" spans="1:97 16384:16384" x14ac:dyDescent="0.2">
      <c r="A36" t="s">
        <v>21</v>
      </c>
      <c r="B36" s="39">
        <v>0.44062059572230788</v>
      </c>
      <c r="C36" s="40">
        <v>0.31782146736791034</v>
      </c>
      <c r="D36" s="39">
        <v>0.44066789708867016</v>
      </c>
      <c r="E36" s="40">
        <v>0.3201272189378106</v>
      </c>
      <c r="F36" s="39">
        <v>0.44071651097194475</v>
      </c>
      <c r="G36" s="40">
        <v>0.32266629129162866</v>
      </c>
      <c r="H36" s="39">
        <v>0.44076649878947971</v>
      </c>
      <c r="I36" s="40">
        <v>0.32547586312489496</v>
      </c>
      <c r="J36" s="39">
        <v>0.44081793326939261</v>
      </c>
      <c r="K36" s="40">
        <v>0.32860150856415671</v>
      </c>
      <c r="L36" s="39">
        <v>0.44087089736537127</v>
      </c>
      <c r="M36" s="40">
        <v>0.33209984767766065</v>
      </c>
      <c r="N36" s="39">
        <v>0.44092547850057967</v>
      </c>
      <c r="O36" s="40">
        <v>0.33604233903427627</v>
      </c>
      <c r="P36" s="39">
        <v>0.44098174842450022</v>
      </c>
      <c r="Q36" s="40">
        <v>0.34052069747886704</v>
      </c>
      <c r="R36" s="39">
        <v>0.44103972335604791</v>
      </c>
      <c r="S36" s="40">
        <v>0.3456551813728661</v>
      </c>
      <c r="T36" s="39">
        <v>0.44109929040328655</v>
      </c>
      <c r="U36" s="40">
        <v>0.35160751686475744</v>
      </c>
      <c r="V36" s="39">
        <v>0.44116005196431118</v>
      </c>
      <c r="W36" s="40">
        <v>0.35860184500324083</v>
      </c>
      <c r="X36" s="39">
        <v>0.44122103742680119</v>
      </c>
      <c r="Y36" s="40">
        <v>0.36696034514423481</v>
      </c>
      <c r="Z36" s="39">
        <v>0.44128014807565857</v>
      </c>
      <c r="AA36" s="40">
        <v>0.3771666025596867</v>
      </c>
      <c r="AB36" s="39">
        <v>0.44133312479841702</v>
      </c>
      <c r="AC36" s="40">
        <v>0.38998410932606797</v>
      </c>
      <c r="AD36" s="39">
        <v>0.44137177481097656</v>
      </c>
      <c r="AE36" s="40">
        <v>0.40668835912215973</v>
      </c>
      <c r="AF36" s="39">
        <v>0.4413816482984978</v>
      </c>
      <c r="AG36" s="40">
        <v>0.42953662839926315</v>
      </c>
      <c r="AH36" s="39">
        <v>0.4413420398695756</v>
      </c>
      <c r="AI36" s="40">
        <v>0.46273293238174362</v>
      </c>
      <c r="AJ36" s="39">
        <v>0.44123688113090581</v>
      </c>
      <c r="AK36" s="40">
        <v>0.51454593875358923</v>
      </c>
      <c r="AL36" s="39">
        <v>0.44107628537741828</v>
      </c>
      <c r="AM36" s="40">
        <v>0.60368643946830836</v>
      </c>
      <c r="AN36" s="39">
        <v>0.44088953310479762</v>
      </c>
      <c r="AO36" s="40">
        <v>0.79056234984112284</v>
      </c>
      <c r="AP36" s="39">
        <v>0.44084876251999977</v>
      </c>
      <c r="AQ36" s="40">
        <v>0.85685092154212161</v>
      </c>
      <c r="AR36" s="39">
        <v>0.44080429130860993</v>
      </c>
      <c r="AS36" s="40">
        <v>0.9439902646523296</v>
      </c>
      <c r="AT36" s="39">
        <v>0.44075173332455087</v>
      </c>
      <c r="AU36" s="40">
        <v>1.0653704667828783</v>
      </c>
      <c r="AV36" s="39">
        <v>0.44067920135747002</v>
      </c>
      <c r="AW36" s="40">
        <v>1.2510126739762957</v>
      </c>
    </row>
    <row r="37" spans="1:97 16384:16384" x14ac:dyDescent="0.2">
      <c r="B37" s="37">
        <v>2.5516951507977208E-2</v>
      </c>
      <c r="C37" s="38">
        <v>0.33292016241876865</v>
      </c>
      <c r="D37" s="37">
        <v>2.4713373697344169E-2</v>
      </c>
      <c r="E37" s="38">
        <v>0.32899909868723665</v>
      </c>
      <c r="F37" s="37">
        <v>2.3892516187126286E-2</v>
      </c>
      <c r="G37" s="38">
        <v>0.3249678617469417</v>
      </c>
      <c r="H37" s="37">
        <v>2.3053083094975026E-2</v>
      </c>
      <c r="I37" s="38">
        <v>0.32081870229298548</v>
      </c>
      <c r="J37" s="37">
        <v>2.219362095493534E-2</v>
      </c>
      <c r="K37" s="38">
        <v>0.31654306841470181</v>
      </c>
      <c r="L37" s="37">
        <v>2.1312458848714532E-2</v>
      </c>
      <c r="M37" s="38">
        <v>0.31213134334690212</v>
      </c>
      <c r="N37" s="37">
        <v>2.0407620723080146E-2</v>
      </c>
      <c r="O37" s="38">
        <v>0.30757245925788707</v>
      </c>
      <c r="P37" s="37">
        <v>1.9476725259026866E-2</v>
      </c>
      <c r="Q37" s="38">
        <v>0.30285346693923565</v>
      </c>
      <c r="R37" s="37">
        <v>1.8516807084503942E-2</v>
      </c>
      <c r="S37" s="38">
        <v>0.29795874964835634</v>
      </c>
      <c r="T37" s="37">
        <v>1.7524052219313625E-2</v>
      </c>
      <c r="U37" s="38">
        <v>0.29286885666695323</v>
      </c>
      <c r="V37" s="37">
        <v>1.6493404315508931E-2</v>
      </c>
      <c r="W37" s="38">
        <v>0.28755878493774334</v>
      </c>
      <c r="X37" s="37">
        <v>1.5417954365132953E-2</v>
      </c>
      <c r="Y37" s="38">
        <v>0.28199535023732997</v>
      </c>
      <c r="Z37" s="37">
        <v>1.4288039884206037E-2</v>
      </c>
      <c r="AA37" s="38">
        <v>0.27613347005809574</v>
      </c>
      <c r="AB37" s="37">
        <v>1.3089999283649749E-2</v>
      </c>
      <c r="AC37" s="38">
        <v>0.26991153926833678</v>
      </c>
      <c r="AD37" s="37">
        <v>1.1804828373024517E-2</v>
      </c>
      <c r="AE37" s="38">
        <v>0.26324824218644549</v>
      </c>
      <c r="AF37" s="37">
        <v>1.0408167140247273E-2</v>
      </c>
      <c r="AG37" s="38">
        <v>0.25605054873713795</v>
      </c>
      <c r="AH37" s="37">
        <v>8.8759244852702358E-3</v>
      </c>
      <c r="AI37" s="38">
        <v>0.24825939324634483</v>
      </c>
      <c r="AJ37" s="37">
        <v>7.1997603818668389E-3</v>
      </c>
      <c r="AK37" s="38">
        <v>0.23995858053696928</v>
      </c>
      <c r="AL37" s="37">
        <v>5.3944251583815618E-3</v>
      </c>
      <c r="AM37" s="38">
        <v>0.23145676633261286</v>
      </c>
      <c r="AN37" s="37">
        <v>3.4563210039341738E-3</v>
      </c>
      <c r="AO37" s="38">
        <v>0.22319413319358367</v>
      </c>
      <c r="AP37" s="37">
        <v>3.0454359095801672E-3</v>
      </c>
      <c r="AQ37" s="38">
        <v>0.22161516249144342</v>
      </c>
      <c r="AR37" s="37">
        <v>2.622223717662046E-3</v>
      </c>
      <c r="AS37" s="38">
        <v>0.22007421257649423</v>
      </c>
      <c r="AT37" s="37">
        <v>2.1821720617826871E-3</v>
      </c>
      <c r="AU37" s="38">
        <v>0.21858097711183674</v>
      </c>
      <c r="AV37" s="37">
        <v>1.7168068329108963E-3</v>
      </c>
      <c r="AW37" s="38">
        <v>0.21715190020106931</v>
      </c>
    </row>
    <row r="38" spans="1:97 16384:16384" x14ac:dyDescent="0.2">
      <c r="A38" t="s">
        <v>22</v>
      </c>
      <c r="B38" s="39">
        <v>0.19367604930693458</v>
      </c>
      <c r="C38" s="40">
        <v>8.1459408736097999E-2</v>
      </c>
      <c r="D38" s="39">
        <v>0.19380979916110888</v>
      </c>
      <c r="E38" s="40">
        <v>8.1835932718672649E-2</v>
      </c>
      <c r="F38" s="39">
        <v>0.19397301212442319</v>
      </c>
      <c r="G38" s="40">
        <v>8.2254071419933669E-2</v>
      </c>
      <c r="H38" s="39">
        <v>0.19417038470778267</v>
      </c>
      <c r="I38" s="40">
        <v>8.2720563741542449E-2</v>
      </c>
      <c r="J38" s="39">
        <v>0.19440769910786995</v>
      </c>
      <c r="K38" s="40">
        <v>8.3243728397447495E-2</v>
      </c>
      <c r="L38" s="39">
        <v>0.19469218727667287</v>
      </c>
      <c r="M38" s="40">
        <v>8.383396612645147E-2</v>
      </c>
      <c r="N38" s="39">
        <v>0.19503306979417365</v>
      </c>
      <c r="O38" s="40">
        <v>8.4504374736023055E-2</v>
      </c>
      <c r="P38" s="39">
        <v>0.19544232069667636</v>
      </c>
      <c r="Q38" s="40">
        <v>8.5271919084944914E-2</v>
      </c>
      <c r="R38" s="39">
        <v>0.19593588902210657</v>
      </c>
      <c r="S38" s="40">
        <v>8.6158882094602318E-2</v>
      </c>
      <c r="T38" s="39">
        <v>0.1965356142664651</v>
      </c>
      <c r="U38" s="40">
        <v>8.7195430832059176E-2</v>
      </c>
      <c r="V38" s="39">
        <v>0.19727242399758582</v>
      </c>
      <c r="W38" s="40">
        <v>8.842359694457079E-2</v>
      </c>
      <c r="X38" s="39">
        <v>0.19819187429639895</v>
      </c>
      <c r="Y38" s="40">
        <v>8.9904212620567275E-2</v>
      </c>
      <c r="Z38" s="39">
        <v>0.19936426257080345</v>
      </c>
      <c r="AA38" s="40">
        <v>9.1729304470883205E-2</v>
      </c>
      <c r="AB38" s="39">
        <v>0.20090411795641874</v>
      </c>
      <c r="AC38" s="40">
        <v>9.4045509020378268E-2</v>
      </c>
      <c r="AD38" s="39">
        <v>0.20300997326718723</v>
      </c>
      <c r="AE38" s="40">
        <v>9.7100671568056574E-2</v>
      </c>
      <c r="AF38" s="39">
        <v>0.20605020749443806</v>
      </c>
      <c r="AG38" s="40">
        <v>0.10134028484408718</v>
      </c>
      <c r="AH38" s="39">
        <v>0.21076052394796255</v>
      </c>
      <c r="AI38" s="40">
        <v>0.10761448821149601</v>
      </c>
      <c r="AJ38" s="39">
        <v>0.21877018154181679</v>
      </c>
      <c r="AK38" s="40">
        <v>0.11766813168661099</v>
      </c>
      <c r="AL38" s="39">
        <v>0.23461914216913901</v>
      </c>
      <c r="AM38" s="40">
        <v>0.13579060039931107</v>
      </c>
      <c r="AN38" s="39">
        <v>0.27987931159434998</v>
      </c>
      <c r="AO38" s="40">
        <v>0.17867024840636392</v>
      </c>
      <c r="AP38" s="39">
        <v>0.30171155511408404</v>
      </c>
      <c r="AQ38" s="40">
        <v>0.19622837873939308</v>
      </c>
      <c r="AR38" s="39">
        <v>0.33743586707243911</v>
      </c>
      <c r="AS38" s="40">
        <v>0.22208594414069815</v>
      </c>
      <c r="AT38" s="39">
        <v>0.40742318260312971</v>
      </c>
      <c r="AU38" s="40">
        <v>0.26569411822036093</v>
      </c>
      <c r="AV38" s="39">
        <v>0.61263455754143237</v>
      </c>
      <c r="AW38" s="40">
        <v>0.36491759701691973</v>
      </c>
    </row>
    <row r="39" spans="1:97 16384:16384" x14ac:dyDescent="0.2">
      <c r="A39" t="s">
        <v>23</v>
      </c>
      <c r="B39" s="135">
        <v>0.23648670801150132</v>
      </c>
      <c r="C39" s="135">
        <v>0.21559880013031099</v>
      </c>
      <c r="D39" s="135">
        <v>0.23708243068509324</v>
      </c>
      <c r="E39" s="135">
        <v>0.21679317504923679</v>
      </c>
      <c r="F39" s="135">
        <v>0.23771429145993564</v>
      </c>
      <c r="G39" s="135">
        <v>0.21809919456679958</v>
      </c>
      <c r="H39" s="135">
        <v>0.23838804357809187</v>
      </c>
      <c r="I39" s="135">
        <v>0.21953505645967433</v>
      </c>
      <c r="J39" s="135">
        <v>0.2391107850972711</v>
      </c>
      <c r="K39" s="135">
        <v>0.22112309316081155</v>
      </c>
      <c r="L39" s="135">
        <v>0.23989139309599614</v>
      </c>
      <c r="M39" s="135">
        <v>0.2228910922520646</v>
      </c>
      <c r="N39" s="135">
        <v>0.24074113697959873</v>
      </c>
      <c r="O39" s="135">
        <v>0.22487434443380058</v>
      </c>
      <c r="P39" s="135">
        <v>0.24167460538396454</v>
      </c>
      <c r="Q39" s="135">
        <v>0.22711817347130064</v>
      </c>
      <c r="R39" s="135">
        <v>0.24271109433108723</v>
      </c>
      <c r="S39" s="135">
        <v>0.22968230936743439</v>
      </c>
      <c r="T39" s="135">
        <v>0.24387684904408266</v>
      </c>
      <c r="U39" s="135">
        <v>0.23264731499821886</v>
      </c>
      <c r="V39" s="135">
        <v>0.24520874596729189</v>
      </c>
      <c r="W39" s="135">
        <v>0.23612535584396718</v>
      </c>
      <c r="X39" s="135">
        <v>0.24676073419831362</v>
      </c>
      <c r="Y39" s="135">
        <v>0.24027845352610167</v>
      </c>
      <c r="Z39" s="135">
        <v>0.24861567118269054</v>
      </c>
      <c r="AA39" s="135">
        <v>0.24535131400095408</v>
      </c>
      <c r="AB39" s="135">
        <v>0.25090843839338245</v>
      </c>
      <c r="AC39" s="135">
        <v>0.25173348522601646</v>
      </c>
      <c r="AD39" s="135">
        <v>0.25387401982181912</v>
      </c>
      <c r="AE39" s="135">
        <v>0.26008320197421253</v>
      </c>
      <c r="AF39" s="135">
        <v>0.257953866028443</v>
      </c>
      <c r="AG39" s="135">
        <v>0.27158537847566599</v>
      </c>
      <c r="AH39" s="135">
        <v>0.26404705100809389</v>
      </c>
      <c r="AI39" s="135">
        <v>0.2885070535717002</v>
      </c>
      <c r="AJ39" s="135">
        <v>0.27418604240698552</v>
      </c>
      <c r="AK39" s="135">
        <v>0.31552015251487431</v>
      </c>
      <c r="AL39" s="135">
        <v>0.29408438990147456</v>
      </c>
      <c r="AM39" s="135">
        <v>0.36413604477664613</v>
      </c>
      <c r="AN39" s="135">
        <v>0.35082174018002654</v>
      </c>
      <c r="AO39" s="135">
        <v>0.47912611813890627</v>
      </c>
      <c r="AP39" s="135">
        <v>0.3781880366412757</v>
      </c>
      <c r="AQ39" s="135">
        <v>0.52621049022993283</v>
      </c>
      <c r="AR39" s="135">
        <v>0.42296763875049864</v>
      </c>
      <c r="AS39" s="135">
        <v>0.5955506407834259</v>
      </c>
      <c r="AT39" s="135">
        <v>0.510695053485274</v>
      </c>
      <c r="AU39" s="135">
        <v>0.7124912108431235</v>
      </c>
      <c r="AV39" s="135">
        <v>0.76792252908223979</v>
      </c>
      <c r="AW39" s="135">
        <v>0.97857130528210512</v>
      </c>
    </row>
    <row r="40" spans="1:97 16384: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row>
    <row r="41" spans="1:97 16384:16384" x14ac:dyDescent="0.2">
      <c r="B41" s="162"/>
      <c r="C41" s="135"/>
      <c r="D41" s="162"/>
      <c r="E41" s="135"/>
      <c r="F41" s="162"/>
      <c r="G41" s="135"/>
      <c r="H41" s="162"/>
      <c r="I41" s="135"/>
      <c r="J41" s="162"/>
      <c r="K41" s="135"/>
      <c r="L41" s="162"/>
      <c r="M41" s="135"/>
      <c r="N41" s="162"/>
      <c r="O41" s="135"/>
      <c r="P41" s="162"/>
      <c r="Q41" s="135"/>
      <c r="R41" s="162"/>
      <c r="S41" s="135"/>
      <c r="T41" s="162"/>
      <c r="U41" s="135"/>
      <c r="V41" s="162"/>
      <c r="W41" s="135"/>
      <c r="X41" s="162"/>
      <c r="Y41" s="135"/>
      <c r="Z41" s="162"/>
      <c r="AA41" s="162"/>
      <c r="AB41" s="162"/>
      <c r="AC41" s="135"/>
      <c r="AD41" s="162"/>
      <c r="AE41" s="135"/>
      <c r="AF41" s="162"/>
      <c r="AG41" s="135"/>
      <c r="AH41" s="162"/>
      <c r="AI41" s="135"/>
      <c r="AJ41" s="162"/>
      <c r="AK41" s="135"/>
      <c r="AL41" s="162"/>
      <c r="AM41" s="135"/>
      <c r="AN41" s="162"/>
      <c r="AO41" s="135"/>
      <c r="AP41" s="162"/>
      <c r="AQ41" s="135"/>
      <c r="AR41" s="162"/>
      <c r="AS41" s="135"/>
      <c r="AT41" s="162"/>
      <c r="AU41" s="135"/>
      <c r="AV41" s="162"/>
      <c r="AW41" s="135"/>
    </row>
    <row r="42" spans="1:97 16384:16384" x14ac:dyDescent="0.2">
      <c r="A42" t="s">
        <v>107</v>
      </c>
      <c r="B42" s="162">
        <v>0.10800000000000001</v>
      </c>
      <c r="C42" s="135"/>
      <c r="D42" s="162">
        <v>0.1080000000000013</v>
      </c>
      <c r="E42" s="135"/>
      <c r="F42" s="162">
        <v>0.10799999999999982</v>
      </c>
      <c r="G42" s="135"/>
      <c r="H42" s="162">
        <v>0.10800000000000042</v>
      </c>
      <c r="I42" s="135"/>
      <c r="J42" s="162">
        <v>0.10800000000000071</v>
      </c>
      <c r="K42" s="135"/>
      <c r="L42" s="162">
        <v>0.10799999999999882</v>
      </c>
      <c r="M42" s="135"/>
      <c r="N42" s="162">
        <v>0.10800000000000001</v>
      </c>
      <c r="O42" s="135"/>
      <c r="P42" s="162">
        <v>0.1080000000000011</v>
      </c>
      <c r="Q42" s="135"/>
      <c r="R42" s="162">
        <v>0.10799999999999961</v>
      </c>
      <c r="S42" s="135"/>
      <c r="T42" s="162">
        <v>0.10799999999999982</v>
      </c>
      <c r="U42" s="135"/>
      <c r="V42" s="162">
        <v>0.10799999999999922</v>
      </c>
      <c r="W42" s="135"/>
      <c r="X42" s="162">
        <v>0.10800000000000021</v>
      </c>
      <c r="Y42" s="135"/>
      <c r="Z42" s="162">
        <v>0.10799999999999982</v>
      </c>
      <c r="AA42" s="135"/>
      <c r="AB42" s="162">
        <v>0.10799999999999922</v>
      </c>
      <c r="AC42" s="135"/>
      <c r="AD42" s="162">
        <v>0.10800000000000071</v>
      </c>
      <c r="AE42" s="135"/>
      <c r="AF42" s="162">
        <v>0.10799999999999982</v>
      </c>
      <c r="AG42" s="135"/>
      <c r="AH42" s="162">
        <v>0.10800000000000021</v>
      </c>
      <c r="AI42" s="135"/>
      <c r="AJ42" s="162">
        <v>0.10800000000000051</v>
      </c>
      <c r="AK42" s="135"/>
      <c r="AL42" s="162">
        <v>0.10800000000000051</v>
      </c>
      <c r="AM42" s="135"/>
      <c r="AN42" s="162">
        <v>0.10800000000000021</v>
      </c>
      <c r="AO42" s="135"/>
      <c r="AP42" s="162">
        <v>0.10800000000000001</v>
      </c>
      <c r="AQ42" s="135"/>
      <c r="AR42" s="162">
        <v>0.10800000000000042</v>
      </c>
      <c r="AS42" s="135"/>
      <c r="AT42" s="162">
        <v>0.10799999999999982</v>
      </c>
      <c r="AU42" s="135"/>
      <c r="AV42" s="162">
        <v>0.10799999999999961</v>
      </c>
      <c r="AW42" s="135"/>
      <c r="AX42" s="162"/>
      <c r="AZ42" s="162"/>
      <c r="BB42" s="162"/>
      <c r="BD42" s="162"/>
      <c r="BF42" s="162"/>
      <c r="BH42" s="162"/>
      <c r="BJ42" s="162"/>
      <c r="BL42" s="162"/>
      <c r="BN42" s="162"/>
      <c r="BP42" s="162"/>
      <c r="BR42" s="162"/>
      <c r="BT42" s="162"/>
    </row>
    <row r="43" spans="1:97 16384:16384" x14ac:dyDescent="0.2">
      <c r="A43" t="s">
        <v>108</v>
      </c>
      <c r="B43" s="193">
        <v>0.54976100089584856</v>
      </c>
      <c r="D43" s="193">
        <v>0.55473851280726327</v>
      </c>
      <c r="F43" s="193">
        <v>0.55323966610629616</v>
      </c>
      <c r="H43" s="193">
        <v>0.55174525860819879</v>
      </c>
      <c r="J43" s="193">
        <v>0.55025612697075443</v>
      </c>
      <c r="L43" s="193">
        <v>0.54877329324834589</v>
      </c>
      <c r="N43" s="193">
        <v>0.54729820679883767</v>
      </c>
      <c r="P43" s="193">
        <v>0.54583285219997313</v>
      </c>
      <c r="R43" s="193">
        <v>0.54438027159045932</v>
      </c>
      <c r="T43" s="193">
        <v>0.54294512749884749</v>
      </c>
      <c r="V43" s="193">
        <v>0.54153483851841067</v>
      </c>
      <c r="X43" s="193">
        <v>0.54016130139610863</v>
      </c>
      <c r="Z43" s="193">
        <v>0.53884370991275787</v>
      </c>
      <c r="AB43" s="193">
        <v>0.53761284956708855</v>
      </c>
      <c r="AD43" s="193">
        <v>0.53651662694319457</v>
      </c>
      <c r="AF43" s="193">
        <v>0.53562310368348887</v>
      </c>
      <c r="AH43" s="193">
        <v>0.53500628787398263</v>
      </c>
      <c r="AJ43" s="193">
        <v>0.53469090739676806</v>
      </c>
      <c r="AL43" s="193">
        <v>0.53459291726924829</v>
      </c>
      <c r="AN43" s="193">
        <v>0.53457922254190515</v>
      </c>
      <c r="AP43" s="193">
        <v>0.53457895182145287</v>
      </c>
      <c r="AR43" s="193">
        <v>0.53457884789903787</v>
      </c>
      <c r="AT43" s="193">
        <v>0.53457881582474287</v>
      </c>
      <c r="AV43" s="193">
        <v>0.53457880877139341</v>
      </c>
    </row>
    <row r="44" spans="1:97 16384:16384" x14ac:dyDescent="0.2">
      <c r="A44" t="s">
        <v>142</v>
      </c>
      <c r="B44" s="193">
        <v>0.28997400249337218</v>
      </c>
      <c r="D44" s="193">
        <v>0.29168668251128016</v>
      </c>
      <c r="F44" s="193">
        <v>0.29346941880697763</v>
      </c>
      <c r="H44" s="193">
        <v>0.29533430126089355</v>
      </c>
      <c r="J44" s="193">
        <v>0.29729611010602508</v>
      </c>
      <c r="L44" s="193">
        <v>0.29937308552305691</v>
      </c>
      <c r="N44" s="193">
        <v>0.30158824159214709</v>
      </c>
      <c r="P44" s="193">
        <v>0.30397125414419263</v>
      </c>
      <c r="R44" s="193">
        <v>0.30656167417985208</v>
      </c>
      <c r="T44" s="193">
        <v>0.30941368982477979</v>
      </c>
      <c r="V44" s="193">
        <v>0.31260467952296922</v>
      </c>
      <c r="X44" s="193">
        <v>0.3162496966913389</v>
      </c>
      <c r="Z44" s="193">
        <v>0.32052787840724672</v>
      </c>
      <c r="AB44" s="193">
        <v>0.32573171934497863</v>
      </c>
      <c r="AD44" s="193">
        <v>0.33236047889880305</v>
      </c>
      <c r="AF44" s="193">
        <v>0.34129355608972328</v>
      </c>
      <c r="AH44" s="193">
        <v>0.35408622634990178</v>
      </c>
      <c r="AJ44" s="193">
        <v>0.37347983501312404</v>
      </c>
      <c r="AL44" s="193">
        <v>0.40511258039512604</v>
      </c>
      <c r="AN44" s="193">
        <v>0.46785962244981133</v>
      </c>
      <c r="AP44" s="193">
        <v>0.48990269022041855</v>
      </c>
      <c r="AR44" s="193">
        <v>0.51914591395116494</v>
      </c>
      <c r="AT44" s="193">
        <v>0.56081928739190001</v>
      </c>
      <c r="AV44" s="193">
        <v>0.62781956925649307</v>
      </c>
      <c r="XFD44" s="193"/>
    </row>
    <row r="45" spans="1:97 16384:16384" x14ac:dyDescent="0.2">
      <c r="A45" t="s">
        <v>82</v>
      </c>
      <c r="B45">
        <v>0.2079247050500721</v>
      </c>
      <c r="D45">
        <v>0.20963740168799</v>
      </c>
      <c r="F45">
        <v>0.21142012200322513</v>
      </c>
      <c r="H45">
        <v>0.21328500486127192</v>
      </c>
      <c r="J45">
        <v>0.21524681922456279</v>
      </c>
      <c r="L45">
        <v>0.21732378963208665</v>
      </c>
      <c r="N45">
        <v>0.21953894436119836</v>
      </c>
      <c r="P45">
        <v>0.2219219674118349</v>
      </c>
      <c r="R45">
        <v>0.22451237821261497</v>
      </c>
      <c r="T45">
        <v>0.22736439688444593</v>
      </c>
      <c r="V45">
        <v>0.23055538569828418</v>
      </c>
      <c r="X45">
        <v>0.23420039942147383</v>
      </c>
      <c r="Z45">
        <v>0.23847858136618594</v>
      </c>
      <c r="AB45">
        <v>0.24368242183003211</v>
      </c>
      <c r="AD45">
        <v>0.25031118156127585</v>
      </c>
      <c r="AF45">
        <v>0.25924425853537719</v>
      </c>
      <c r="AH45">
        <v>0.27203692892515824</v>
      </c>
      <c r="AJ45">
        <v>0.2914305375815669</v>
      </c>
      <c r="AL45">
        <v>0.32306328295177539</v>
      </c>
      <c r="AN45">
        <v>0.38581032500652962</v>
      </c>
      <c r="AP45">
        <v>0.40785339277713256</v>
      </c>
      <c r="AR45">
        <v>0.43709661650786746</v>
      </c>
      <c r="AT45">
        <v>0.47876998994859982</v>
      </c>
      <c r="AV45">
        <v>0.54577027181319326</v>
      </c>
    </row>
    <row r="46" spans="1:97 16384:16384" x14ac:dyDescent="0.2">
      <c r="A46" t="s">
        <v>139</v>
      </c>
      <c r="B46">
        <v>8.204929744330007E-2</v>
      </c>
      <c r="D46">
        <v>8.204928082329016E-2</v>
      </c>
      <c r="F46">
        <v>8.2049296803752503E-2</v>
      </c>
      <c r="H46">
        <v>8.2049296399621621E-2</v>
      </c>
      <c r="J46">
        <v>8.2049290881462289E-2</v>
      </c>
      <c r="L46">
        <v>8.204929589097025E-2</v>
      </c>
      <c r="N46">
        <v>8.2049297230948698E-2</v>
      </c>
      <c r="P46">
        <v>8.2049286732357701E-2</v>
      </c>
      <c r="R46">
        <v>8.2049295967237132E-2</v>
      </c>
      <c r="T46">
        <v>8.2049292940333876E-2</v>
      </c>
      <c r="V46">
        <v>8.2049293824684996E-2</v>
      </c>
      <c r="X46">
        <v>8.204929726986504E-2</v>
      </c>
      <c r="Z46">
        <v>8.2049297041060801E-2</v>
      </c>
      <c r="AB46">
        <v>8.2049297514946523E-2</v>
      </c>
      <c r="AD46">
        <v>8.204929733752718E-2</v>
      </c>
      <c r="AF46">
        <v>8.204929755434609E-2</v>
      </c>
      <c r="AH46">
        <v>8.2049297424743511E-2</v>
      </c>
      <c r="AJ46">
        <v>8.2049297431557144E-2</v>
      </c>
      <c r="AL46">
        <v>8.2049297443350697E-2</v>
      </c>
      <c r="AN46">
        <v>8.2049297443281766E-2</v>
      </c>
      <c r="AP46">
        <v>8.2049297443285943E-2</v>
      </c>
      <c r="AR46">
        <v>8.2049297443297475E-2</v>
      </c>
      <c r="AT46">
        <v>8.2049297443300181E-2</v>
      </c>
      <c r="AV46">
        <v>8.2049297443299876E-2</v>
      </c>
    </row>
    <row r="48" spans="1:97 16384:16384" x14ac:dyDescent="0.2">
      <c r="A48" t="s">
        <v>159</v>
      </c>
      <c r="B48">
        <v>1</v>
      </c>
      <c r="D48">
        <v>1.0101118969014191</v>
      </c>
      <c r="F48">
        <v>1.0204602474398838</v>
      </c>
      <c r="H48">
        <v>1.031081060375342</v>
      </c>
      <c r="J48">
        <v>1.0420174406154268</v>
      </c>
      <c r="L48">
        <v>1.0533217021054757</v>
      </c>
      <c r="N48">
        <v>1.0650590060024032</v>
      </c>
      <c r="P48">
        <v>1.0773126538146132</v>
      </c>
      <c r="R48">
        <v>1.0901933233506724</v>
      </c>
      <c r="T48">
        <v>1.1038537273762279</v>
      </c>
      <c r="V48">
        <v>1.1185145638887215</v>
      </c>
      <c r="X48">
        <v>1.1345099172140174</v>
      </c>
      <c r="Z48">
        <v>1.1523692977570699</v>
      </c>
      <c r="AB48">
        <v>1.1729657575261567</v>
      </c>
      <c r="AD48">
        <v>1.1977711990443933</v>
      </c>
      <c r="AF48">
        <v>1.2292145392778069</v>
      </c>
      <c r="AH48">
        <v>1.2707932214457855</v>
      </c>
      <c r="AJ48">
        <v>1.325478659949566</v>
      </c>
      <c r="AL48">
        <v>1.3888797835549134</v>
      </c>
      <c r="AN48">
        <v>1.409976876685431</v>
      </c>
      <c r="AP48">
        <v>1.384762791244778</v>
      </c>
      <c r="AR48">
        <v>1.3266564995305399</v>
      </c>
      <c r="AT48">
        <v>1.1987152621402777</v>
      </c>
      <c r="AV48">
        <v>0.89642812269017291</v>
      </c>
    </row>
    <row r="49" spans="1:48 16321:16384" x14ac:dyDescent="0.2">
      <c r="A49" t="s">
        <v>160</v>
      </c>
      <c r="B49">
        <v>1</v>
      </c>
      <c r="D49">
        <v>0.9960113155344773</v>
      </c>
      <c r="F49">
        <v>0.99141902128141812</v>
      </c>
      <c r="H49">
        <v>0.98613042187254341</v>
      </c>
      <c r="J49">
        <v>0.98003252652659467</v>
      </c>
      <c r="L49">
        <v>0.97298561488935509</v>
      </c>
      <c r="N49">
        <v>0.96481389841981047</v>
      </c>
      <c r="P49">
        <v>0.9552926854171655</v>
      </c>
      <c r="R49">
        <v>0.94412831015996801</v>
      </c>
      <c r="T49">
        <v>0.93092770973350647</v>
      </c>
      <c r="V49">
        <v>0.91514957146064846</v>
      </c>
      <c r="X49">
        <v>0.89602366013997958</v>
      </c>
      <c r="Z49">
        <v>0.87241262396563857</v>
      </c>
      <c r="AB49">
        <v>0.84256827574565429</v>
      </c>
      <c r="AD49">
        <v>0.80369765870901277</v>
      </c>
      <c r="AF49">
        <v>0.75122499125773778</v>
      </c>
      <c r="AH49">
        <v>0.67775420630630423</v>
      </c>
      <c r="AJ49">
        <v>0.57227731228606793</v>
      </c>
      <c r="AL49">
        <v>0.42063024657970877</v>
      </c>
      <c r="AN49">
        <v>0.21006139899388529</v>
      </c>
      <c r="AP49">
        <v>0.16147792658451141</v>
      </c>
      <c r="AR49">
        <v>0.11216038069910178</v>
      </c>
      <c r="AT49">
        <v>6.41430069800904E-2</v>
      </c>
      <c r="AV49">
        <v>2.209623108693725E-2</v>
      </c>
    </row>
    <row r="51" spans="1:48 16321:16384" x14ac:dyDescent="0.2">
      <c r="A51" t="s">
        <v>166</v>
      </c>
      <c r="B51" s="29">
        <v>-372836.41099999985</v>
      </c>
      <c r="D51" s="29">
        <v>-317079.69523944426</v>
      </c>
      <c r="F51" s="29">
        <v>-260156.84747258807</v>
      </c>
      <c r="H51" s="29">
        <v>-201847.78764276532</v>
      </c>
      <c r="J51" s="29">
        <v>-141887.85025335057</v>
      </c>
      <c r="L51" s="29">
        <v>-79952.770692429505</v>
      </c>
      <c r="N51" s="29">
        <v>-15636.930943452753</v>
      </c>
      <c r="P51" s="29">
        <v>51577.983263843693</v>
      </c>
      <c r="R51" s="29">
        <v>122373.09541391535</v>
      </c>
      <c r="T51" s="29">
        <v>197677.59538049204</v>
      </c>
      <c r="V51" s="29">
        <v>278808.55689959088</v>
      </c>
      <c r="X51" s="29">
        <v>367723.19458782813</v>
      </c>
      <c r="Z51" s="29">
        <v>467478.24525593594</v>
      </c>
      <c r="AB51" s="29">
        <v>583094.67357556568</v>
      </c>
      <c r="AD51" s="29">
        <v>723194.79395792261</v>
      </c>
      <c r="AF51" s="29">
        <v>902932.24437290756</v>
      </c>
      <c r="AH51" s="29">
        <v>1148221.6284382748</v>
      </c>
      <c r="AJ51" s="29">
        <v>1498861.8023663894</v>
      </c>
      <c r="AL51" s="29">
        <v>2007971.5946143949</v>
      </c>
      <c r="AN51" s="29">
        <v>2710331.0753824371</v>
      </c>
      <c r="AP51" s="29">
        <v>2846358.0321671786</v>
      </c>
      <c r="AQ51" s="29"/>
      <c r="AR51" s="29">
        <v>2934513.4795120507</v>
      </c>
      <c r="AT51" s="29">
        <v>2880458.324919872</v>
      </c>
      <c r="AV51" s="29">
        <v>2377073.6035664175</v>
      </c>
      <c r="XFD51" s="29"/>
    </row>
    <row r="52" spans="1:48 16321:16384" x14ac:dyDescent="0.2">
      <c r="A52" t="s">
        <v>167</v>
      </c>
      <c r="B52" s="29">
        <v>0</v>
      </c>
      <c r="D52" s="29">
        <v>0</v>
      </c>
      <c r="F52" s="29">
        <v>0</v>
      </c>
      <c r="H52" s="29">
        <v>0</v>
      </c>
      <c r="J52" s="29">
        <v>0</v>
      </c>
      <c r="L52" s="29">
        <v>0</v>
      </c>
      <c r="N52" s="29">
        <v>0</v>
      </c>
      <c r="P52" s="29">
        <v>0</v>
      </c>
      <c r="R52" s="29">
        <v>0</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4117761.2200000053</v>
      </c>
      <c r="D53" s="29">
        <v>4079771.855276031</v>
      </c>
      <c r="F53" s="29">
        <v>4040909.3592502298</v>
      </c>
      <c r="H53" s="29">
        <v>4001016.1698994003</v>
      </c>
      <c r="J53" s="29">
        <v>3959899.0578390048</v>
      </c>
      <c r="L53" s="29">
        <v>3917320.0307745263</v>
      </c>
      <c r="N53" s="29">
        <v>3872984.7664857255</v>
      </c>
      <c r="P53" s="29">
        <v>3826524.2352022598</v>
      </c>
      <c r="R53" s="29">
        <v>3777471.1714285449</v>
      </c>
      <c r="T53" s="29">
        <v>3725222.6905325647</v>
      </c>
      <c r="V53" s="29">
        <v>3668982.8591582794</v>
      </c>
      <c r="X53" s="29">
        <v>3607665.331979889</v>
      </c>
      <c r="Z53" s="29">
        <v>3539717.6127245985</v>
      </c>
      <c r="AB53" s="29">
        <v>3462775.5990845133</v>
      </c>
      <c r="AD53" s="29">
        <v>3372922.0251906309</v>
      </c>
      <c r="AF53" s="29">
        <v>3262956.4135471699</v>
      </c>
      <c r="AH53" s="29">
        <v>3118128.6321321041</v>
      </c>
      <c r="AJ53" s="29">
        <v>2905508.0709069292</v>
      </c>
      <c r="AL53" s="29">
        <v>2545722.7534477254</v>
      </c>
      <c r="AN53" s="29">
        <v>1806717.9941970038</v>
      </c>
      <c r="AP53" s="29">
        <v>1558233.8263325316</v>
      </c>
      <c r="AQ53" s="29"/>
      <c r="AR53" s="29">
        <v>1248899.9092446386</v>
      </c>
      <c r="AT53" s="29">
        <v>859288.00623860012</v>
      </c>
      <c r="AV53" s="29">
        <v>381681.72767889517</v>
      </c>
      <c r="XFD53" s="29"/>
    </row>
    <row r="55" spans="1:48 16321:16384" x14ac:dyDescent="0.2">
      <c r="A55" t="s">
        <v>169</v>
      </c>
      <c r="B55" s="193">
        <v>0.20474653863863362</v>
      </c>
      <c r="D55" s="193">
        <v>0.20903545039591973</v>
      </c>
      <c r="F55" s="193">
        <v>0.21342182295457529</v>
      </c>
      <c r="H55" s="193">
        <v>0.21792475348190593</v>
      </c>
      <c r="J55" s="193">
        <v>0.22256736130004598</v>
      </c>
      <c r="L55" s="193">
        <v>0.22737817358400261</v>
      </c>
      <c r="N55" s="193">
        <v>0.23239312787911037</v>
      </c>
      <c r="P55" s="193">
        <v>0.23765846459532633</v>
      </c>
      <c r="R55" s="193">
        <v>0.24323529704165994</v>
      </c>
      <c r="T55" s="193">
        <v>0.24920727281960367</v>
      </c>
      <c r="V55" s="193">
        <v>0.25569308002741931</v>
      </c>
      <c r="X55" s="193">
        <v>0.2628687850490618</v>
      </c>
      <c r="Z55" s="193">
        <v>0.27100839221514378</v>
      </c>
      <c r="AB55" s="193">
        <v>0.28056047297657111</v>
      </c>
      <c r="AD55" s="193">
        <v>0.29229600832276864</v>
      </c>
      <c r="AF55" s="193">
        <v>0.30758910995784433</v>
      </c>
      <c r="AH55" s="193">
        <v>0.3289124923880174</v>
      </c>
      <c r="AJ55" s="193">
        <v>0.36071553659765654</v>
      </c>
      <c r="AL55" s="193">
        <v>0.41225188541708613</v>
      </c>
      <c r="AN55" s="193">
        <v>0.51434200774753225</v>
      </c>
      <c r="AP55" s="193">
        <v>0.5502031466481746</v>
      </c>
      <c r="AR55" s="193">
        <v>0.597777825944934</v>
      </c>
      <c r="AT55" s="193">
        <v>0.66557457363254136</v>
      </c>
      <c r="AV55" s="193">
        <v>0.77457463515514824</v>
      </c>
      <c r="XCS55" s="193"/>
      <c r="XFD55" s="193"/>
    </row>
    <row r="56" spans="1:48 16321:16384" x14ac:dyDescent="0.2">
      <c r="A56" t="s">
        <v>170</v>
      </c>
      <c r="B56" s="193">
        <v>2.933695819171285E-2</v>
      </c>
      <c r="D56" s="193">
        <v>3.4000129901728439E-2</v>
      </c>
      <c r="F56" s="193">
        <v>3.878838698731666E-2</v>
      </c>
      <c r="H56" s="193">
        <v>4.3725289482540057E-2</v>
      </c>
      <c r="J56" s="193">
        <v>4.8839369199976071E-2</v>
      </c>
      <c r="L56" s="193">
        <v>5.4165845684145342E-2</v>
      </c>
      <c r="N56" s="193">
        <v>5.9749111192402921E-2</v>
      </c>
      <c r="P56" s="193">
        <v>6.564635148256219E-2</v>
      </c>
      <c r="R56" s="193">
        <v>7.1933261241059185E-2</v>
      </c>
      <c r="T56" s="193">
        <v>7.8713580043320908E-2</v>
      </c>
      <c r="V56" s="193">
        <v>8.6134712962235682E-2</v>
      </c>
      <c r="X56" s="193">
        <v>9.441549948045376E-2</v>
      </c>
      <c r="Z56" s="193">
        <v>0.10389651225316084</v>
      </c>
      <c r="AB56" s="193">
        <v>0.11513468302117419</v>
      </c>
      <c r="AD56" s="193">
        <v>0.12908479790051208</v>
      </c>
      <c r="AF56" s="193">
        <v>0.14744126191270543</v>
      </c>
      <c r="AH56" s="193">
        <v>0.17323382342443513</v>
      </c>
      <c r="AJ56" s="193">
        <v>0.21187160274080724</v>
      </c>
      <c r="AL56" s="193">
        <v>0.27454885069002616</v>
      </c>
      <c r="AN56" s="193">
        <v>0.39857973414058107</v>
      </c>
      <c r="AP56" s="193">
        <v>0.44210568597936417</v>
      </c>
      <c r="AR56" s="193">
        <v>0.49982143109860899</v>
      </c>
      <c r="AT56" s="193">
        <v>0.58202407299005054</v>
      </c>
      <c r="AV56" s="193">
        <v>0.71409497216778117</v>
      </c>
      <c r="XFD56" s="193"/>
    </row>
    <row r="57" spans="1:48 16321:16384" x14ac:dyDescent="0.2">
      <c r="A57" t="s">
        <v>171</v>
      </c>
      <c r="B57" s="193">
        <v>0.16163977178591823</v>
      </c>
      <c r="D57" s="193">
        <v>0.16131238338216744</v>
      </c>
      <c r="F57" s="193">
        <v>0.16095780472610263</v>
      </c>
      <c r="H57" s="193">
        <v>0.16057168782909073</v>
      </c>
      <c r="J57" s="193">
        <v>0.16014875883118559</v>
      </c>
      <c r="L57" s="193">
        <v>0.15968249490898312</v>
      </c>
      <c r="N57" s="193">
        <v>0.15916464891171808</v>
      </c>
      <c r="P57" s="193">
        <v>0.15858454010696199</v>
      </c>
      <c r="R57" s="193">
        <v>0.15792792734569289</v>
      </c>
      <c r="T57" s="193">
        <v>0.15717517387116337</v>
      </c>
      <c r="V57" s="193">
        <v>0.15629818910864798</v>
      </c>
      <c r="X57" s="193">
        <v>0.1552550980902816</v>
      </c>
      <c r="Y57" s="193"/>
      <c r="Z57" s="193">
        <v>0.1539806744016361</v>
      </c>
      <c r="AB57" s="193">
        <v>0.15236864449963261</v>
      </c>
      <c r="AD57" s="193">
        <v>0.15023854025925579</v>
      </c>
      <c r="AF57" s="193">
        <v>0.14727534491423214</v>
      </c>
      <c r="AH57" s="193">
        <v>0.1429294713577621</v>
      </c>
      <c r="AJ57" s="193">
        <v>0.13624834699523108</v>
      </c>
      <c r="AL57" s="193">
        <v>0.12529097417814167</v>
      </c>
      <c r="AN57" s="193">
        <v>0.10353134607022341</v>
      </c>
      <c r="AP57" s="193">
        <v>9.588661468566323E-2</v>
      </c>
      <c r="AR57" s="193">
        <v>8.5744777769042463E-2</v>
      </c>
      <c r="AT57" s="193">
        <v>7.1292031344391951E-2</v>
      </c>
      <c r="AV57" s="193">
        <v>4.805565352645505E-2</v>
      </c>
      <c r="XFD57" s="193"/>
    </row>
    <row r="58" spans="1:48 16321:16384" x14ac:dyDescent="0.2">
      <c r="A58" t="s">
        <v>172</v>
      </c>
      <c r="B58" s="193">
        <v>1.3769808661002522E-2</v>
      </c>
      <c r="D58" s="193">
        <v>1.3722937112023889E-2</v>
      </c>
      <c r="F58" s="193">
        <v>1.3675631241156002E-2</v>
      </c>
      <c r="H58" s="193">
        <v>1.3627776170275142E-2</v>
      </c>
      <c r="J58" s="193">
        <v>1.3579233268884333E-2</v>
      </c>
      <c r="L58" s="193">
        <v>1.3529832990874164E-2</v>
      </c>
      <c r="N58" s="193">
        <v>1.3479367774989339E-2</v>
      </c>
      <c r="P58" s="193">
        <v>1.3427573005802142E-2</v>
      </c>
      <c r="R58" s="193">
        <v>1.3374108454907869E-2</v>
      </c>
      <c r="T58" s="193">
        <v>1.3318518905119384E-2</v>
      </c>
      <c r="V58" s="193">
        <v>1.3260177956535635E-2</v>
      </c>
      <c r="X58" s="193">
        <v>1.3198187478326481E-2</v>
      </c>
      <c r="Y58" s="193"/>
      <c r="Z58" s="193">
        <v>1.3131205560346809E-2</v>
      </c>
      <c r="AB58" s="193">
        <v>1.3057145455764304E-2</v>
      </c>
      <c r="AD58" s="193">
        <v>1.2972670163000775E-2</v>
      </c>
      <c r="AF58" s="193">
        <v>1.2872503130906725E-2</v>
      </c>
      <c r="AH58" s="193">
        <v>1.2749197605820184E-2</v>
      </c>
      <c r="AJ58" s="193">
        <v>1.2595586861618187E-2</v>
      </c>
      <c r="AL58" s="193">
        <v>1.2412060548918242E-2</v>
      </c>
      <c r="AN58" s="193">
        <v>1.2230927536727798E-2</v>
      </c>
      <c r="AP58" s="193">
        <v>1.22108459831472E-2</v>
      </c>
      <c r="AR58" s="193">
        <v>1.2211617077282511E-2</v>
      </c>
      <c r="AT58" s="193">
        <v>1.2258469298098802E-2</v>
      </c>
      <c r="AV58" s="193">
        <v>1.2424009460911984E-2</v>
      </c>
      <c r="XFD58" s="193"/>
    </row>
    <row r="59" spans="1:48 16321:16384" x14ac:dyDescent="0.2">
      <c r="A59" t="s">
        <v>173</v>
      </c>
      <c r="B59" s="193">
        <v>9.2131398759716778E-4</v>
      </c>
      <c r="D59" s="193">
        <v>5.6407625520105047E-3</v>
      </c>
      <c r="F59" s="193">
        <v>1.0486133069187361E-2</v>
      </c>
      <c r="H59" s="193">
        <v>1.5481139747642534E-2</v>
      </c>
      <c r="J59" s="193">
        <v>2.0654497185823874E-2</v>
      </c>
      <c r="L59" s="193">
        <v>2.6041645327628211E-2</v>
      </c>
      <c r="N59" s="193">
        <v>3.1687245004237849E-2</v>
      </c>
      <c r="P59" s="193">
        <v>3.7648821354665678E-2</v>
      </c>
      <c r="R59" s="193">
        <v>4.4002506926690131E-2</v>
      </c>
      <c r="T59" s="193">
        <v>5.0852632285186862E-2</v>
      </c>
      <c r="V59" s="193">
        <v>5.8347432030463296E-2</v>
      </c>
      <c r="X59" s="193">
        <v>6.670697035829258E-2</v>
      </c>
      <c r="Z59" s="193">
        <v>7.6273721268239142E-2</v>
      </c>
      <c r="AB59" s="193">
        <v>8.7607710865012206E-2</v>
      </c>
      <c r="AD59" s="193">
        <v>0.10166893337344526</v>
      </c>
      <c r="AF59" s="193">
        <v>0.12016052810946592</v>
      </c>
      <c r="AH59" s="193">
        <v>0.1461255807872486</v>
      </c>
      <c r="AJ59" s="193">
        <v>0.18498820804088384</v>
      </c>
      <c r="AL59" s="193">
        <v>0.24794651769771942</v>
      </c>
      <c r="AN59" s="193">
        <v>0.37224986392613624</v>
      </c>
      <c r="AP59" s="193">
        <v>0.41579368800765476</v>
      </c>
      <c r="AR59" s="193">
        <v>0.47347983365366281</v>
      </c>
      <c r="AT59" s="193">
        <v>0.55554781018883015</v>
      </c>
      <c r="AV59" s="193">
        <v>0.6872132316702253</v>
      </c>
      <c r="XFD59" s="193"/>
    </row>
    <row r="60" spans="1:48 16321:16384" x14ac:dyDescent="0.2">
      <c r="A60" t="s">
        <v>174</v>
      </c>
      <c r="B60" s="193">
        <v>2.8415644204115683E-2</v>
      </c>
      <c r="D60" s="193">
        <v>2.8359367349717932E-2</v>
      </c>
      <c r="F60" s="193">
        <v>2.8302253918129301E-2</v>
      </c>
      <c r="H60" s="193">
        <v>2.8244149734897524E-2</v>
      </c>
      <c r="J60" s="193">
        <v>2.8184872014152203E-2</v>
      </c>
      <c r="L60" s="193">
        <v>2.8124200356517123E-2</v>
      </c>
      <c r="N60" s="193">
        <v>2.8061866188165082E-2</v>
      </c>
      <c r="P60" s="193">
        <v>2.7997530127896502E-2</v>
      </c>
      <c r="R60" s="193">
        <v>2.793075431436905E-2</v>
      </c>
      <c r="T60" s="193">
        <v>2.7860947758134042E-2</v>
      </c>
      <c r="V60" s="193">
        <v>2.7787280931772382E-2</v>
      </c>
      <c r="X60" s="193">
        <v>2.770852912216118E-2</v>
      </c>
      <c r="Z60" s="193">
        <v>2.7622790984921694E-2</v>
      </c>
      <c r="AB60" s="193">
        <v>2.7526972156161979E-2</v>
      </c>
      <c r="AD60" s="193">
        <v>2.7415864527066815E-2</v>
      </c>
      <c r="AF60" s="193">
        <v>2.7280733803239504E-2</v>
      </c>
      <c r="AH60" s="193">
        <v>2.7108242637186527E-2</v>
      </c>
      <c r="AJ60" s="193">
        <v>2.6883394699923398E-2</v>
      </c>
      <c r="AL60" s="193">
        <v>2.6602332992306771E-2</v>
      </c>
      <c r="AN60" s="193">
        <v>2.6329870214444811E-2</v>
      </c>
      <c r="AP60" s="193">
        <v>2.6311997971709411E-2</v>
      </c>
      <c r="AR60" s="193">
        <v>2.6341597444946224E-2</v>
      </c>
      <c r="AT60" s="193">
        <v>2.6476262801220396E-2</v>
      </c>
      <c r="AV60" s="193">
        <v>2.6881740497555817E-2</v>
      </c>
      <c r="XFD60" s="193"/>
    </row>
    <row r="62" spans="1:48 16321:16384" x14ac:dyDescent="0.2">
      <c r="A62" t="s">
        <v>175</v>
      </c>
      <c r="B62">
        <v>1</v>
      </c>
      <c r="D62">
        <v>1.0061036739771445</v>
      </c>
      <c r="F62">
        <v>1.0122253624783606</v>
      </c>
      <c r="H62">
        <v>1.0183620362475108</v>
      </c>
      <c r="J62">
        <v>1.0245102033418492</v>
      </c>
      <c r="L62">
        <v>1.0306655194645167</v>
      </c>
      <c r="N62">
        <v>1.0368217719127135</v>
      </c>
      <c r="P62">
        <v>1.0429703544970246</v>
      </c>
      <c r="R62">
        <v>1.0490980058442125</v>
      </c>
      <c r="T62">
        <v>1.0551843026785537</v>
      </c>
      <c r="V62">
        <v>1.0611966170927432</v>
      </c>
      <c r="X62">
        <v>1.067082429788176</v>
      </c>
      <c r="Z62">
        <v>1.0727567055765765</v>
      </c>
      <c r="AB62">
        <v>1.0780825960376861</v>
      </c>
      <c r="AD62">
        <v>1.0828464867881378</v>
      </c>
      <c r="AF62">
        <v>1.0867439264546221</v>
      </c>
      <c r="AH62">
        <v>1.0894419958152235</v>
      </c>
      <c r="AJ62">
        <v>1.0908239353188327</v>
      </c>
      <c r="AL62">
        <v>1.0912536422039454</v>
      </c>
      <c r="AN62">
        <v>1.0913137089368736</v>
      </c>
      <c r="AP62">
        <v>1.0913148963778454</v>
      </c>
      <c r="AR62">
        <v>1.0913153521999361</v>
      </c>
      <c r="AT62">
        <v>1.0913154928853084</v>
      </c>
      <c r="AV62">
        <v>1.0913155238227867</v>
      </c>
    </row>
    <row r="65" spans="1:48 16384:16384" x14ac:dyDescent="0.2">
      <c r="A65" t="s">
        <v>176</v>
      </c>
      <c r="B65" s="191">
        <v>1</v>
      </c>
      <c r="C65" s="191"/>
      <c r="D65" s="191">
        <v>0.99726850813279255</v>
      </c>
      <c r="E65" s="191"/>
      <c r="F65" s="191">
        <v>0.99453585621008889</v>
      </c>
      <c r="G65" s="191"/>
      <c r="H65" s="191">
        <v>0.99180021429672749</v>
      </c>
      <c r="I65" s="191"/>
      <c r="J65" s="191">
        <v>0.98905925793059657</v>
      </c>
      <c r="K65" s="191"/>
      <c r="L65" s="191">
        <v>0.98631038445622887</v>
      </c>
      <c r="M65" s="191"/>
      <c r="N65" s="191">
        <v>0.98355118523659113</v>
      </c>
      <c r="O65" s="191"/>
      <c r="P65" s="191">
        <v>0.98078027911842602</v>
      </c>
      <c r="Q65" s="191"/>
      <c r="R65" s="191">
        <v>0.97799904668722515</v>
      </c>
      <c r="S65" s="191"/>
      <c r="T65" s="191">
        <v>0.97521488162105219</v>
      </c>
      <c r="U65" s="191"/>
      <c r="V65" s="191">
        <v>0.972447179406424</v>
      </c>
      <c r="W65" s="191"/>
      <c r="X65" s="191">
        <v>0.96973857441490252</v>
      </c>
      <c r="Y65" s="191"/>
      <c r="Z65" s="191">
        <v>0.96717585435200248</v>
      </c>
      <c r="AA65" s="191"/>
      <c r="AB65" s="191">
        <v>0.96492857429225731</v>
      </c>
      <c r="AC65" s="191"/>
      <c r="AD65" s="191">
        <v>0.96331663609919704</v>
      </c>
      <c r="AE65" s="191"/>
      <c r="AF65" s="191">
        <v>0.96290630094033502</v>
      </c>
      <c r="AG65" s="191"/>
      <c r="AH65" s="191">
        <v>0.96454649018718819</v>
      </c>
      <c r="AI65" s="191"/>
      <c r="AJ65" s="191">
        <v>0.96903087613170236</v>
      </c>
      <c r="AK65" s="191"/>
      <c r="AL65" s="191">
        <v>0.97626297548599528</v>
      </c>
      <c r="AM65" s="191"/>
      <c r="AN65" s="191">
        <v>0.98534373189139335</v>
      </c>
      <c r="AO65" s="191"/>
      <c r="AP65" s="191">
        <v>0.98743542374770066</v>
      </c>
      <c r="AQ65" s="191"/>
      <c r="AR65" s="191">
        <v>0.98976619514919162</v>
      </c>
      <c r="AS65" s="191"/>
      <c r="AT65" s="191">
        <v>0.99259063056003505</v>
      </c>
      <c r="AU65" s="191"/>
      <c r="AV65" s="191">
        <v>0.99662144741949998</v>
      </c>
    </row>
    <row r="66" spans="1:48 16384:16384" x14ac:dyDescent="0.2">
      <c r="A66" t="s">
        <v>182</v>
      </c>
      <c r="B66" s="191">
        <v>1</v>
      </c>
      <c r="C66" s="191"/>
      <c r="D66" s="191">
        <v>0.99699082399845296</v>
      </c>
      <c r="E66" s="191"/>
      <c r="F66" s="191">
        <v>0.99397506265331714</v>
      </c>
      <c r="G66" s="191"/>
      <c r="H66" s="191">
        <v>0.99095064953533207</v>
      </c>
      <c r="I66" s="191"/>
      <c r="J66" s="191">
        <v>0.98791495280820085</v>
      </c>
      <c r="K66" s="191"/>
      <c r="L66" s="191">
        <v>0.98486500983069192</v>
      </c>
      <c r="M66" s="191"/>
      <c r="N66" s="191">
        <v>0.98179804895482536</v>
      </c>
      <c r="O66" s="191"/>
      <c r="P66" s="191">
        <v>0.97871242007789538</v>
      </c>
      <c r="Q66" s="191"/>
      <c r="R66" s="191">
        <v>0.97560954223032181</v>
      </c>
      <c r="S66" s="191"/>
      <c r="T66" s="191">
        <v>0.97249757319561325</v>
      </c>
      <c r="U66" s="191"/>
      <c r="V66" s="191">
        <v>0.96939819361228541</v>
      </c>
      <c r="W66" s="191"/>
      <c r="X66" s="191">
        <v>0.96635937055277044</v>
      </c>
      <c r="Y66" s="191"/>
      <c r="Z66" s="191">
        <v>0.96347915669625805</v>
      </c>
      <c r="AA66" s="191"/>
      <c r="AB66" s="191">
        <v>0.96094965408268385</v>
      </c>
      <c r="AC66" s="191"/>
      <c r="AD66" s="191">
        <v>0.95913383096118865</v>
      </c>
      <c r="AE66" s="191"/>
      <c r="AF66" s="191">
        <v>0.95867387406883642</v>
      </c>
      <c r="AG66" s="191"/>
      <c r="AH66" s="191">
        <v>0.96052863094841634</v>
      </c>
      <c r="AI66" s="191"/>
      <c r="AJ66" s="191">
        <v>0.96558121743869452</v>
      </c>
      <c r="AK66" s="191"/>
      <c r="AL66" s="191">
        <v>0.97369055883830735</v>
      </c>
      <c r="AM66" s="191"/>
      <c r="AN66" s="191">
        <v>0.98380939303856108</v>
      </c>
      <c r="AO66" s="191"/>
      <c r="AP66" s="191">
        <v>0.98613053797979544</v>
      </c>
      <c r="AQ66" s="191"/>
      <c r="AR66" s="191">
        <v>0.988712817330057</v>
      </c>
      <c r="AS66" s="191"/>
      <c r="AT66" s="191">
        <v>0.99183620155374808</v>
      </c>
      <c r="AU66" s="191"/>
      <c r="AV66" s="191">
        <v>0.99628274050827548</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v>1</v>
      </c>
      <c r="U67" s="191"/>
      <c r="V67" s="191">
        <v>1</v>
      </c>
      <c r="W67" s="191"/>
      <c r="X67" s="191">
        <v>1</v>
      </c>
      <c r="Y67" s="191"/>
      <c r="Z67" s="191">
        <v>1</v>
      </c>
      <c r="AA67" s="191"/>
      <c r="AB67" s="191">
        <v>1</v>
      </c>
      <c r="AC67" s="191"/>
      <c r="AD67" s="191">
        <v>1</v>
      </c>
      <c r="AE67" s="191"/>
      <c r="AF67" s="191">
        <v>1</v>
      </c>
      <c r="AG67" s="191"/>
      <c r="AH67" s="191">
        <v>1</v>
      </c>
      <c r="AI67" s="191"/>
      <c r="AJ67" s="191">
        <v>1</v>
      </c>
      <c r="AK67" s="191"/>
      <c r="AL67" s="191">
        <v>1</v>
      </c>
      <c r="AM67" s="191"/>
      <c r="AN67" s="191">
        <v>1</v>
      </c>
      <c r="AO67" s="191"/>
      <c r="AP67" s="191">
        <v>1</v>
      </c>
      <c r="AQ67" s="191"/>
      <c r="AR67" s="191">
        <v>1</v>
      </c>
      <c r="AS67" s="191"/>
      <c r="AT67" s="191">
        <v>1</v>
      </c>
      <c r="AU67" s="191"/>
      <c r="AV67" s="191">
        <v>1</v>
      </c>
      <c r="XFD67" s="191"/>
    </row>
    <row r="68" spans="1:48 16384:16384" x14ac:dyDescent="0.2">
      <c r="A68" t="s">
        <v>181</v>
      </c>
      <c r="B68" s="191">
        <v>1</v>
      </c>
      <c r="C68" s="191"/>
      <c r="D68" s="191">
        <v>0.99699082399845296</v>
      </c>
      <c r="E68" s="191"/>
      <c r="F68" s="191">
        <v>0.99397506265331714</v>
      </c>
      <c r="G68" s="191"/>
      <c r="H68" s="191">
        <v>0.99095064953533207</v>
      </c>
      <c r="I68" s="191"/>
      <c r="J68" s="191">
        <v>0.98791495280820085</v>
      </c>
      <c r="K68" s="191"/>
      <c r="L68" s="191">
        <v>0.98486500983069192</v>
      </c>
      <c r="M68" s="191"/>
      <c r="N68" s="191">
        <v>0.98179804895482536</v>
      </c>
      <c r="O68" s="191"/>
      <c r="P68" s="191">
        <v>0.97871242007789538</v>
      </c>
      <c r="Q68" s="191"/>
      <c r="R68" s="191">
        <v>0.97560954223032181</v>
      </c>
      <c r="S68" s="191"/>
      <c r="T68" s="191">
        <v>0.97249757319561325</v>
      </c>
      <c r="U68" s="191"/>
      <c r="V68" s="191">
        <v>0.96939819361228541</v>
      </c>
      <c r="W68" s="191"/>
      <c r="X68" s="191">
        <v>0.96635937055277044</v>
      </c>
      <c r="Y68" s="191"/>
      <c r="Z68" s="191">
        <v>0.96347915669625805</v>
      </c>
      <c r="AA68" s="191"/>
      <c r="AB68" s="191">
        <v>0.96094965408268385</v>
      </c>
      <c r="AC68" s="191"/>
      <c r="AD68" s="191">
        <v>0.95913383096118865</v>
      </c>
      <c r="AE68" s="191"/>
      <c r="AF68" s="191">
        <v>0.95867387406883642</v>
      </c>
      <c r="AG68" s="191"/>
      <c r="AH68" s="191">
        <v>0.96052863094841634</v>
      </c>
      <c r="AI68" s="191"/>
      <c r="AJ68" s="191">
        <v>0.96558121743869452</v>
      </c>
      <c r="AK68" s="191"/>
      <c r="AL68" s="191">
        <v>0.97369055883830735</v>
      </c>
      <c r="AM68" s="191"/>
      <c r="AN68" s="191">
        <v>0.98380939303856108</v>
      </c>
      <c r="AO68" s="191"/>
      <c r="AP68" s="191">
        <v>0.98613053797979544</v>
      </c>
      <c r="AQ68" s="191"/>
      <c r="AR68" s="191">
        <v>0.988712817330057</v>
      </c>
      <c r="AS68" s="191"/>
      <c r="AT68" s="191">
        <v>0.99183620155374808</v>
      </c>
      <c r="AU68" s="191"/>
      <c r="AV68" s="191">
        <v>0.99628274050827548</v>
      </c>
      <c r="XFD68" s="191"/>
    </row>
    <row r="69" spans="1:48 16384:16384" x14ac:dyDescent="0.2">
      <c r="A69" t="s">
        <v>177</v>
      </c>
      <c r="B69" s="191">
        <v>1</v>
      </c>
      <c r="C69" s="191"/>
      <c r="D69" s="191">
        <v>1.0015805174724155</v>
      </c>
      <c r="E69" s="191"/>
      <c r="F69" s="191">
        <v>1.0030230408274654</v>
      </c>
      <c r="G69" s="191"/>
      <c r="H69" s="191">
        <v>1.00430681400417</v>
      </c>
      <c r="I69" s="191"/>
      <c r="J69" s="191">
        <v>1.005406262384495</v>
      </c>
      <c r="K69" s="191"/>
      <c r="L69" s="191">
        <v>1.0062895421643236</v>
      </c>
      <c r="M69" s="191"/>
      <c r="N69" s="191">
        <v>1.0069163438668665</v>
      </c>
      <c r="O69" s="191"/>
      <c r="P69" s="191">
        <v>1.0072352958537298</v>
      </c>
      <c r="Q69" s="191"/>
      <c r="R69" s="191">
        <v>1.0071796208099033</v>
      </c>
      <c r="S69" s="191"/>
      <c r="T69" s="191">
        <v>1.006661292254263</v>
      </c>
      <c r="U69" s="191"/>
      <c r="V69" s="191">
        <v>1.0055615318245588</v>
      </c>
      <c r="W69" s="191"/>
      <c r="X69" s="191">
        <v>1.0037157756804849</v>
      </c>
      <c r="Y69" s="191"/>
      <c r="Z69" s="191">
        <v>1.0008875141997091</v>
      </c>
      <c r="AA69" s="191"/>
      <c r="AB69" s="191">
        <v>0.99671889937252622</v>
      </c>
      <c r="AC69" s="191"/>
      <c r="AD69" s="191">
        <v>0.99062631255835853</v>
      </c>
      <c r="AE69" s="191"/>
      <c r="AF69" s="191">
        <v>0.98154790216121934</v>
      </c>
      <c r="AG69" s="191"/>
      <c r="AH69" s="191">
        <v>0.96725341088504102</v>
      </c>
      <c r="AI69" s="191"/>
      <c r="AJ69" s="191">
        <v>0.94231254041164447</v>
      </c>
      <c r="AK69" s="191"/>
      <c r="AL69" s="191">
        <v>0.89153272316993593</v>
      </c>
      <c r="AM69" s="191"/>
      <c r="AN69" s="191">
        <v>0.7586953895718932</v>
      </c>
      <c r="AO69" s="191"/>
      <c r="AP69" s="191">
        <v>0.70502270730935146</v>
      </c>
      <c r="AQ69" s="191"/>
      <c r="AR69" s="191">
        <v>0.63041231147556687</v>
      </c>
      <c r="AS69" s="191"/>
      <c r="AT69" s="191">
        <v>0.52019358593262055</v>
      </c>
      <c r="AU69" s="191"/>
      <c r="AV69" s="191">
        <v>0.34140043382028828</v>
      </c>
    </row>
    <row r="70" spans="1:48 16384:16384" x14ac:dyDescent="0.2">
      <c r="A70" t="s">
        <v>178</v>
      </c>
      <c r="B70" s="138">
        <v>1</v>
      </c>
      <c r="C70" s="138"/>
      <c r="D70" s="138">
        <v>1.0009130008780913</v>
      </c>
      <c r="E70" s="138"/>
      <c r="F70" s="138">
        <v>1.0016700232204969</v>
      </c>
      <c r="G70" s="138"/>
      <c r="H70" s="138">
        <v>1.00224612425864</v>
      </c>
      <c r="I70" s="138"/>
      <c r="J70" s="138">
        <v>1.0026108598850851</v>
      </c>
      <c r="K70" s="138"/>
      <c r="L70" s="138">
        <v>1.0027264426035509</v>
      </c>
      <c r="M70" s="138"/>
      <c r="N70" s="138">
        <v>1.0025449733305498</v>
      </c>
      <c r="O70" s="138"/>
      <c r="P70" s="138">
        <v>1.0020046505281432</v>
      </c>
      <c r="Q70" s="138"/>
      <c r="R70" s="138">
        <v>1.0010235829840084</v>
      </c>
      <c r="S70" s="138"/>
      <c r="T70" s="138">
        <v>0.99949031534327637</v>
      </c>
      <c r="U70" s="138"/>
      <c r="V70" s="138">
        <v>0.99724812408928865</v>
      </c>
      <c r="W70" s="138"/>
      <c r="X70" s="138">
        <v>0.99406843548339896</v>
      </c>
      <c r="Y70" s="138"/>
      <c r="Z70" s="138">
        <v>0.98960367989177256</v>
      </c>
      <c r="AA70" s="138"/>
      <c r="AB70" s="138">
        <v>0.98330014525724851</v>
      </c>
      <c r="AC70" s="138"/>
      <c r="AD70" s="138">
        <v>0.97423060352551072</v>
      </c>
      <c r="AE70" s="138"/>
      <c r="AF70" s="138">
        <v>0.96076447121353292</v>
      </c>
      <c r="AG70" s="138"/>
      <c r="AH70" s="138">
        <v>0.93990568266444052</v>
      </c>
      <c r="AI70" s="138"/>
      <c r="AJ70" s="138">
        <v>0.90579596367235571</v>
      </c>
      <c r="AK70" s="138"/>
      <c r="AL70" s="138">
        <v>0.84469535093443771</v>
      </c>
      <c r="AM70" s="138"/>
      <c r="AN70" s="138">
        <v>0.70810725446370959</v>
      </c>
      <c r="AO70" s="138"/>
      <c r="AP70" s="138">
        <v>0.65686787375262345</v>
      </c>
      <c r="AQ70" s="138"/>
      <c r="AR70" s="138">
        <v>0.58732538188646688</v>
      </c>
      <c r="AS70" s="138"/>
      <c r="AT70" s="138">
        <v>0.48643441188456221</v>
      </c>
      <c r="AU70" s="138"/>
      <c r="AV70" s="138">
        <v>0.32349572066644405</v>
      </c>
    </row>
    <row r="71" spans="1:48 16384:16384" x14ac:dyDescent="0.2">
      <c r="A71" t="s">
        <v>179</v>
      </c>
      <c r="B71" s="138">
        <v>1</v>
      </c>
      <c r="D71" s="138">
        <v>0.92680384878627131</v>
      </c>
      <c r="E71" s="138"/>
      <c r="F71" s="138">
        <v>0.85395457136725206</v>
      </c>
      <c r="G71" s="138"/>
      <c r="H71" s="138">
        <v>0.78152495643361253</v>
      </c>
      <c r="I71" s="138"/>
      <c r="J71" s="138">
        <v>0.70959998281126713</v>
      </c>
      <c r="K71" s="138"/>
      <c r="L71" s="138">
        <v>0.6382825316231715</v>
      </c>
      <c r="M71" s="138"/>
      <c r="N71" s="138">
        <v>0.56770451591010396</v>
      </c>
      <c r="O71" s="138"/>
      <c r="P71" s="138">
        <v>0.49803630303472451</v>
      </c>
      <c r="Q71" s="138"/>
      <c r="R71" s="138">
        <v>0.42951033369200114</v>
      </c>
      <c r="S71" s="138"/>
      <c r="T71" s="138">
        <v>0.3624500264649258</v>
      </c>
      <c r="U71" s="138"/>
      <c r="V71" s="138">
        <v>0.29732012911763089</v>
      </c>
      <c r="W71" s="138"/>
      <c r="X71" s="138">
        <v>0.23480082710695471</v>
      </c>
      <c r="Y71" s="138"/>
      <c r="Z71" s="138">
        <v>0.17590022459000779</v>
      </c>
      <c r="AA71" s="138"/>
      <c r="AB71" s="138">
        <v>0.12210994730723902</v>
      </c>
      <c r="AC71" s="138"/>
      <c r="AD71" s="138">
        <v>7.5568463846802603E-2</v>
      </c>
      <c r="AE71" s="138"/>
      <c r="AF71" s="138">
        <v>3.9033741730908872E-2</v>
      </c>
      <c r="AG71" s="138"/>
      <c r="AH71" s="138">
        <v>1.5050395812607625E-2</v>
      </c>
      <c r="AI71" s="138"/>
      <c r="AJ71" s="138">
        <v>3.6099488175772832E-3</v>
      </c>
      <c r="AK71" s="138"/>
      <c r="AL71" s="138">
        <v>3.9374034687797232E-4</v>
      </c>
      <c r="AM71" s="138"/>
      <c r="AN71" s="138">
        <v>8.7936993565507154E-6</v>
      </c>
      <c r="AO71" s="138"/>
      <c r="AP71" s="138">
        <v>2.7788851124824793E-6</v>
      </c>
      <c r="AQ71" s="138"/>
      <c r="AR71" s="138">
        <v>6.8214143444564919E-7</v>
      </c>
      <c r="AS71" s="138"/>
      <c r="AT71" s="138">
        <v>1.1272565039212343E-7</v>
      </c>
      <c r="AU71" s="138"/>
      <c r="AV71" s="138">
        <v>8.8306502015779967E-9</v>
      </c>
      <c r="XFD71" s="138"/>
    </row>
    <row r="72" spans="1:48 16384:16384" x14ac:dyDescent="0.2">
      <c r="A72" t="s">
        <v>180</v>
      </c>
      <c r="B72" s="138">
        <v>1</v>
      </c>
      <c r="D72" s="138">
        <v>1.0135773885651607</v>
      </c>
      <c r="E72" s="138"/>
      <c r="F72" s="138">
        <v>1.0298861984642134</v>
      </c>
      <c r="G72" s="138"/>
      <c r="H72" s="138">
        <v>1.0492169891304353</v>
      </c>
      <c r="I72" s="138"/>
      <c r="J72" s="138">
        <v>1.071881194268234</v>
      </c>
      <c r="K72" s="138"/>
      <c r="L72" s="138">
        <v>1.0982015572923005</v>
      </c>
      <c r="M72" s="138"/>
      <c r="N72" s="138">
        <v>1.1284914003164841</v>
      </c>
      <c r="O72" s="138"/>
      <c r="P72" s="138">
        <v>1.1630101697204445</v>
      </c>
      <c r="Q72" s="138"/>
      <c r="R72" s="138">
        <v>1.2018838959296305</v>
      </c>
      <c r="S72" s="138"/>
      <c r="T72" s="138">
        <v>1.244961492024901</v>
      </c>
      <c r="U72" s="138"/>
      <c r="V72" s="138">
        <v>1.291546858423966</v>
      </c>
      <c r="W72" s="138"/>
      <c r="X72" s="138">
        <v>1.3399145301876141</v>
      </c>
      <c r="Y72" s="138"/>
      <c r="Z72" s="138">
        <v>1.3864196205850359</v>
      </c>
      <c r="AA72" s="138"/>
      <c r="AB72" s="138">
        <v>1.423888816050829</v>
      </c>
      <c r="AC72" s="138"/>
      <c r="AD72" s="138">
        <v>1.4388905205277072</v>
      </c>
      <c r="AE72" s="138"/>
      <c r="AF72" s="138">
        <v>1.408089775747998</v>
      </c>
      <c r="AG72" s="138"/>
      <c r="AH72" s="138">
        <v>1.2976496175159307</v>
      </c>
      <c r="AI72" s="138"/>
      <c r="AJ72" s="138">
        <v>1.0782332811978801</v>
      </c>
      <c r="AK72" s="138"/>
      <c r="AL72" s="138">
        <v>0.75817566077858345</v>
      </c>
      <c r="AM72" s="138"/>
      <c r="AN72" s="138">
        <v>0.38530257841226112</v>
      </c>
      <c r="AO72" s="138"/>
      <c r="AP72" s="138">
        <v>0.30851118284263884</v>
      </c>
      <c r="AQ72" s="138"/>
      <c r="AR72" s="138">
        <v>0.23149711553044811</v>
      </c>
      <c r="AS72" s="138"/>
      <c r="AT72" s="138">
        <v>0.15436893151463116</v>
      </c>
      <c r="AU72" s="138"/>
      <c r="AV72" s="138">
        <v>7.719209580985327E-2</v>
      </c>
      <c r="XFD72" s="138"/>
    </row>
    <row r="73" spans="1:48 16384:16384" x14ac:dyDescent="0.2">
      <c r="A73" t="s">
        <v>184</v>
      </c>
      <c r="B73" s="193">
        <v>0.47641029008972879</v>
      </c>
      <c r="D73" s="193">
        <v>0.47469761007182087</v>
      </c>
      <c r="E73" s="138"/>
      <c r="F73" s="193">
        <v>0.4729148737761234</v>
      </c>
      <c r="G73" s="138"/>
      <c r="H73" s="193">
        <v>0.47104999132220771</v>
      </c>
      <c r="I73" s="138"/>
      <c r="J73" s="193">
        <v>0.46908818247707595</v>
      </c>
      <c r="K73" s="138"/>
      <c r="L73" s="193">
        <v>0.46701120706004401</v>
      </c>
      <c r="M73" s="138"/>
      <c r="N73" s="193">
        <v>0.46479605099095395</v>
      </c>
      <c r="O73" s="138"/>
      <c r="P73" s="193">
        <v>0.46241303843890863</v>
      </c>
      <c r="Q73" s="138"/>
      <c r="R73" s="193">
        <v>0.45982261840324895</v>
      </c>
      <c r="S73" s="138"/>
      <c r="T73" s="193">
        <v>0.45697060275832119</v>
      </c>
      <c r="U73" s="138"/>
      <c r="V73" s="193">
        <v>0.45377961306013181</v>
      </c>
      <c r="W73" s="138"/>
      <c r="X73" s="193">
        <v>0.45013459589176213</v>
      </c>
      <c r="Y73" s="138"/>
      <c r="Z73" s="193">
        <v>0.44585641417585425</v>
      </c>
      <c r="AA73" s="138"/>
      <c r="AB73" s="193">
        <v>0.4406525732381224</v>
      </c>
      <c r="AC73" s="138"/>
      <c r="AD73" s="193">
        <v>0.4340238136842981</v>
      </c>
      <c r="AE73" s="138"/>
      <c r="AF73" s="193">
        <v>0.42509073649337781</v>
      </c>
      <c r="AG73" s="138"/>
      <c r="AH73" s="193">
        <v>0.4122980662331992</v>
      </c>
      <c r="AI73" s="138"/>
      <c r="AJ73" s="193">
        <v>0.39290445756997694</v>
      </c>
      <c r="AK73" s="138"/>
      <c r="AL73" s="193">
        <v>0.36127171218797494</v>
      </c>
      <c r="AM73" s="138"/>
      <c r="AN73" s="193">
        <v>0.29852467013328959</v>
      </c>
      <c r="AO73" s="138"/>
      <c r="AP73" s="193">
        <v>0.27648160236268271</v>
      </c>
      <c r="AQ73" s="138"/>
      <c r="AR73" s="193">
        <v>0.24723837863193612</v>
      </c>
      <c r="AS73" s="138"/>
      <c r="AT73" s="193">
        <v>0.20556500519120105</v>
      </c>
      <c r="AU73" s="138"/>
      <c r="AV73" s="193">
        <v>0.13856472332660791</v>
      </c>
      <c r="XFD73" s="193"/>
    </row>
    <row r="74" spans="1:48 16384:16384" x14ac:dyDescent="0.2">
      <c r="A74" t="s">
        <v>185</v>
      </c>
      <c r="B74" s="193">
        <v>0.23361570741689888</v>
      </c>
      <c r="D74" s="193">
        <v>0.23361570741689885</v>
      </c>
      <c r="E74" s="138"/>
      <c r="F74" s="193">
        <v>0.23361570741689885</v>
      </c>
      <c r="G74" s="138"/>
      <c r="H74" s="193">
        <v>0.23361570741689888</v>
      </c>
      <c r="I74" s="138"/>
      <c r="J74" s="193">
        <v>0.23361570741689885</v>
      </c>
      <c r="K74" s="138"/>
      <c r="L74" s="193">
        <v>0.23361570741689888</v>
      </c>
      <c r="M74" s="138"/>
      <c r="N74" s="193">
        <v>0.23361570741689888</v>
      </c>
      <c r="O74" s="138"/>
      <c r="P74" s="193">
        <v>0.23361570741689888</v>
      </c>
      <c r="Q74" s="138"/>
      <c r="R74" s="193">
        <v>0.23361570741689888</v>
      </c>
      <c r="S74" s="138"/>
      <c r="T74" s="193">
        <v>0.23361570741689888</v>
      </c>
      <c r="U74" s="138"/>
      <c r="V74" s="193">
        <v>0.23361570741689891</v>
      </c>
      <c r="W74" s="138"/>
      <c r="X74" s="193">
        <v>0.23361570741689888</v>
      </c>
      <c r="Y74" s="138"/>
      <c r="Z74" s="193">
        <v>0.23361570741689888</v>
      </c>
      <c r="AA74" s="138"/>
      <c r="AB74" s="193">
        <v>0.23361570741689891</v>
      </c>
      <c r="AC74" s="138"/>
      <c r="AD74" s="193">
        <v>0.23361570741689891</v>
      </c>
      <c r="AE74" s="138"/>
      <c r="AF74" s="193">
        <v>0.23361570741689891</v>
      </c>
      <c r="AG74" s="138"/>
      <c r="AH74" s="193">
        <v>0.23361570741689888</v>
      </c>
      <c r="AI74" s="138"/>
      <c r="AJ74" s="193">
        <v>0.23361570741689891</v>
      </c>
      <c r="AK74" s="138"/>
      <c r="AL74" s="193">
        <v>0.23361570741689888</v>
      </c>
      <c r="AM74" s="138"/>
      <c r="AN74" s="193">
        <v>0.23361570741689891</v>
      </c>
      <c r="AO74" s="138"/>
      <c r="AP74" s="193">
        <v>0.23361570741689885</v>
      </c>
      <c r="AQ74" s="138"/>
      <c r="AR74" s="193">
        <v>0.23361570741689888</v>
      </c>
      <c r="AS74" s="138"/>
      <c r="AT74" s="193">
        <v>0.23361570741689888</v>
      </c>
      <c r="AU74" s="138"/>
      <c r="AV74" s="193">
        <v>0.23361570741689888</v>
      </c>
      <c r="XFD74" s="193"/>
    </row>
    <row r="75" spans="1:48 16384:16384" x14ac:dyDescent="0.2">
      <c r="A75" t="s">
        <v>186</v>
      </c>
      <c r="B75" s="193">
        <v>0.2079247050500721</v>
      </c>
      <c r="D75" s="193">
        <v>0.20963740168799</v>
      </c>
      <c r="E75" s="138"/>
      <c r="F75" s="193">
        <v>0.21142012200322513</v>
      </c>
      <c r="G75" s="138"/>
      <c r="H75" s="193">
        <v>0.21328500486127192</v>
      </c>
      <c r="I75" s="138"/>
      <c r="J75" s="193">
        <v>0.21524681922456279</v>
      </c>
      <c r="K75" s="138"/>
      <c r="L75" s="193">
        <v>0.21732378963208665</v>
      </c>
      <c r="M75" s="138"/>
      <c r="N75" s="193">
        <v>0.21953894436119836</v>
      </c>
      <c r="O75" s="138"/>
      <c r="P75" s="193">
        <v>0.2219219674118349</v>
      </c>
      <c r="Q75" s="138"/>
      <c r="R75" s="193">
        <v>0.22451237821261497</v>
      </c>
      <c r="S75" s="138"/>
      <c r="T75" s="193">
        <v>0.22736439688444593</v>
      </c>
      <c r="U75" s="138"/>
      <c r="V75" s="193">
        <v>0.23055538569828418</v>
      </c>
      <c r="W75" s="138"/>
      <c r="X75" s="193">
        <v>0.23420039942147383</v>
      </c>
      <c r="Y75" s="138"/>
      <c r="Z75" s="193">
        <v>0.23847858136618594</v>
      </c>
      <c r="AA75" s="138"/>
      <c r="AB75" s="193">
        <v>0.24368242183003211</v>
      </c>
      <c r="AC75" s="138"/>
      <c r="AD75" s="193">
        <v>0.25031118156127585</v>
      </c>
      <c r="AE75" s="138"/>
      <c r="AF75" s="193">
        <v>0.25924425853537719</v>
      </c>
      <c r="AG75" s="138"/>
      <c r="AH75" s="193">
        <v>0.27203692892515824</v>
      </c>
      <c r="AI75" s="138"/>
      <c r="AJ75" s="193">
        <v>0.2914305375815669</v>
      </c>
      <c r="AK75" s="138"/>
      <c r="AL75" s="193">
        <v>0.32306328295177539</v>
      </c>
      <c r="AM75" s="138"/>
      <c r="AN75" s="193">
        <v>0.38581032500652962</v>
      </c>
      <c r="AO75" s="138"/>
      <c r="AP75" s="193">
        <v>0.40785339277713256</v>
      </c>
      <c r="AQ75" s="138"/>
      <c r="AR75" s="193">
        <v>0.43709661650786746</v>
      </c>
      <c r="AS75" s="138"/>
      <c r="AT75" s="193">
        <v>0.47876998994859982</v>
      </c>
      <c r="AU75" s="138"/>
      <c r="AV75" s="193">
        <v>0.54577027181319326</v>
      </c>
      <c r="XFD75" s="193"/>
    </row>
    <row r="76" spans="1:48 16384:16384" x14ac:dyDescent="0.2">
      <c r="A76" t="s">
        <v>187</v>
      </c>
      <c r="B76" s="193">
        <v>0.20173767220514016</v>
      </c>
      <c r="D76" s="193">
        <v>0.20159329412718621</v>
      </c>
      <c r="E76" s="138"/>
      <c r="F76" s="193">
        <v>0.20151363123766847</v>
      </c>
      <c r="G76" s="138"/>
      <c r="H76" s="193">
        <v>0.20150558650969663</v>
      </c>
      <c r="I76" s="138"/>
      <c r="J76" s="193">
        <v>0.20157674369938258</v>
      </c>
      <c r="K76" s="138"/>
      <c r="L76" s="193">
        <v>0.20173516873551098</v>
      </c>
      <c r="M76" s="138"/>
      <c r="N76" s="193">
        <v>0.20198902619622461</v>
      </c>
      <c r="O76" s="138"/>
      <c r="P76" s="193">
        <v>0.20234573456582194</v>
      </c>
      <c r="Q76" s="138"/>
      <c r="R76" s="193">
        <v>0.20281042046012759</v>
      </c>
      <c r="S76" s="138"/>
      <c r="T76" s="193">
        <v>0.20338281122810734</v>
      </c>
      <c r="U76" s="138"/>
      <c r="V76" s="193">
        <v>0.20405160222460303</v>
      </c>
      <c r="W76" s="138"/>
      <c r="X76" s="193">
        <v>0.20478371280338564</v>
      </c>
      <c r="Y76" s="138"/>
      <c r="Z76" s="193">
        <v>0.20550421424347232</v>
      </c>
      <c r="AA76" s="138"/>
      <c r="AB76" s="193">
        <v>0.20605926336823305</v>
      </c>
      <c r="AC76" s="138"/>
      <c r="AD76" s="193">
        <v>0.20615200432255038</v>
      </c>
      <c r="AE76" s="138"/>
      <c r="AF76" s="193">
        <v>0.20525557486183751</v>
      </c>
      <c r="AG76" s="138"/>
      <c r="AH76" s="193">
        <v>0.20259696567384264</v>
      </c>
      <c r="AI76" s="138"/>
      <c r="AJ76" s="193">
        <v>0.19751060952167671</v>
      </c>
      <c r="AK76" s="138"/>
      <c r="AL76" s="193">
        <v>0.19022488948493593</v>
      </c>
      <c r="AM76" s="138"/>
      <c r="AN76" s="193">
        <v>0.18207915642811076</v>
      </c>
      <c r="AO76" s="138"/>
      <c r="AP76" s="193">
        <v>0.18057202460473759</v>
      </c>
      <c r="AQ76" s="138"/>
      <c r="AR76" s="193">
        <v>0.17925009143559154</v>
      </c>
      <c r="AS76" s="138"/>
      <c r="AT76" s="193">
        <v>0.17833452065674979</v>
      </c>
      <c r="AU76" s="138"/>
      <c r="AV76" s="193">
        <v>0.17845940796040249</v>
      </c>
      <c r="XFD76" s="193"/>
    </row>
    <row r="77" spans="1:48 16384:16384" x14ac:dyDescent="0.2">
      <c r="A77" t="s">
        <v>188</v>
      </c>
      <c r="B77" s="193">
        <v>0.11968837476184009</v>
      </c>
      <c r="D77" s="193">
        <v>0.11954401330389605</v>
      </c>
      <c r="E77" s="138"/>
      <c r="F77" s="193">
        <v>0.11946433443391594</v>
      </c>
      <c r="G77" s="138"/>
      <c r="H77" s="193">
        <v>0.11945629011007503</v>
      </c>
      <c r="I77" s="138"/>
      <c r="J77" s="193">
        <v>0.11952745281792029</v>
      </c>
      <c r="K77" s="138"/>
      <c r="L77" s="193">
        <v>0.11968587284454074</v>
      </c>
      <c r="M77" s="138"/>
      <c r="N77" s="193">
        <v>0.11993972896527591</v>
      </c>
      <c r="O77" s="138"/>
      <c r="P77" s="193">
        <v>0.12029644783346426</v>
      </c>
      <c r="Q77" s="138"/>
      <c r="R77" s="193">
        <v>0.12076112449289043</v>
      </c>
      <c r="S77" s="138"/>
      <c r="T77" s="193">
        <v>0.12133351828777343</v>
      </c>
      <c r="U77" s="138"/>
      <c r="V77" s="193">
        <v>0.12200230839991805</v>
      </c>
      <c r="W77" s="138"/>
      <c r="X77" s="193">
        <v>0.1227344155335206</v>
      </c>
      <c r="Y77" s="138"/>
      <c r="Z77" s="193">
        <v>0.1234549172024115</v>
      </c>
      <c r="AA77" s="138"/>
      <c r="AB77" s="193">
        <v>0.12400996585328652</v>
      </c>
      <c r="AC77" s="138"/>
      <c r="AD77" s="193">
        <v>0.12410270698502322</v>
      </c>
      <c r="AE77" s="138"/>
      <c r="AF77" s="193">
        <v>0.12320627730749142</v>
      </c>
      <c r="AG77" s="138"/>
      <c r="AH77" s="193">
        <v>0.12054766824909913</v>
      </c>
      <c r="AI77" s="138"/>
      <c r="AJ77" s="193">
        <v>0.11546131209011953</v>
      </c>
      <c r="AK77" s="138"/>
      <c r="AL77" s="193">
        <v>0.10817559204158526</v>
      </c>
      <c r="AM77" s="138"/>
      <c r="AN77" s="193">
        <v>0.100029858984829</v>
      </c>
      <c r="AO77" s="138"/>
      <c r="AP77" s="193">
        <v>9.8522727161451634E-2</v>
      </c>
      <c r="AQ77" s="138"/>
      <c r="AR77" s="193">
        <v>9.720079399229406E-2</v>
      </c>
      <c r="AS77" s="138"/>
      <c r="AT77" s="193">
        <v>9.6285223213449594E-2</v>
      </c>
      <c r="AU77" s="138"/>
      <c r="AV77" s="193">
        <v>9.6410110517102604E-2</v>
      </c>
      <c r="XFD77" s="193"/>
    </row>
    <row r="78" spans="1:48 16384:16384" x14ac:dyDescent="0.2">
      <c r="A78" t="s">
        <v>189</v>
      </c>
      <c r="B78" s="193">
        <v>0.35290083755094986</v>
      </c>
      <c r="D78" s="193">
        <v>0.35218606442597966</v>
      </c>
      <c r="E78" s="138"/>
      <c r="F78" s="193">
        <v>0.35141192805164778</v>
      </c>
      <c r="G78" s="138"/>
      <c r="H78" s="193">
        <v>0.35056893566088693</v>
      </c>
      <c r="I78" s="138"/>
      <c r="J78" s="193">
        <v>0.34964557307362243</v>
      </c>
      <c r="K78" s="138"/>
      <c r="L78" s="193">
        <v>0.34862759930430764</v>
      </c>
      <c r="M78" s="138"/>
      <c r="N78" s="193">
        <v>0.34749700872144762</v>
      </c>
      <c r="O78" s="138"/>
      <c r="P78" s="193">
        <v>0.34623048256475775</v>
      </c>
      <c r="Q78" s="138"/>
      <c r="R78" s="193">
        <v>0.34479692877750112</v>
      </c>
      <c r="S78" s="138"/>
      <c r="T78" s="193">
        <v>0.34315347531674595</v>
      </c>
      <c r="U78" s="138"/>
      <c r="V78" s="193">
        <v>0.34123879330136286</v>
      </c>
      <c r="W78" s="138"/>
      <c r="X78" s="193">
        <v>0.33896145900847435</v>
      </c>
      <c r="Y78" s="138"/>
      <c r="Z78" s="193">
        <v>0.33617906655843044</v>
      </c>
      <c r="AA78" s="138"/>
      <c r="AB78" s="193">
        <v>0.3326595937319648</v>
      </c>
      <c r="AC78" s="138"/>
      <c r="AD78" s="193">
        <v>0.32800903263235448</v>
      </c>
      <c r="AE78" s="138"/>
      <c r="AF78" s="193">
        <v>0.32153962138951636</v>
      </c>
      <c r="AG78" s="138"/>
      <c r="AH78" s="193">
        <v>0.3120514712849603</v>
      </c>
      <c r="AI78" s="138"/>
      <c r="AJ78" s="193">
        <v>0.29746487352524204</v>
      </c>
      <c r="AK78" s="138"/>
      <c r="AL78" s="193">
        <v>0.27354213540467526</v>
      </c>
      <c r="AM78" s="138"/>
      <c r="AN78" s="193">
        <v>0.22603532034588353</v>
      </c>
      <c r="AO78" s="138"/>
      <c r="AP78" s="193">
        <v>0.20934492296320309</v>
      </c>
      <c r="AQ78" s="138"/>
      <c r="AR78" s="193">
        <v>0.18720270765006294</v>
      </c>
      <c r="AS78" s="138"/>
      <c r="AT78" s="193">
        <v>0.15564867795786866</v>
      </c>
      <c r="AU78" s="138"/>
      <c r="AV78" s="193">
        <v>0.10491774183935387</v>
      </c>
      <c r="XFD78" s="193"/>
    </row>
    <row r="79" spans="1:48 16384:16384" x14ac:dyDescent="0.2">
      <c r="A79" t="s">
        <v>190</v>
      </c>
      <c r="B79" s="193">
        <v>0.44235262381041718</v>
      </c>
      <c r="D79" s="193">
        <v>0.43877851381865024</v>
      </c>
      <c r="F79" s="193">
        <v>0.43516624684795718</v>
      </c>
      <c r="H79" s="193">
        <v>0.43150630702900339</v>
      </c>
      <c r="J79" s="193">
        <v>0.42778708146948013</v>
      </c>
      <c r="L79" s="193">
        <v>0.42399422047681856</v>
      </c>
      <c r="N79" s="193">
        <v>0.42010986613586931</v>
      </c>
      <c r="P79" s="193">
        <v>0.41611105676033133</v>
      </c>
      <c r="R79" s="193">
        <v>0.41196777493957587</v>
      </c>
      <c r="T79" s="193">
        <v>0.40763925431525383</v>
      </c>
      <c r="V79" s="193">
        <v>0.4030681289489686</v>
      </c>
      <c r="X79" s="193">
        <v>0.39816975686698292</v>
      </c>
      <c r="Z79" s="193">
        <v>0.3928125438451307</v>
      </c>
      <c r="AB79" s="193">
        <v>0.38677993528719395</v>
      </c>
      <c r="AD79" s="193">
        <v>0.37969495784532142</v>
      </c>
      <c r="AF79" s="193">
        <v>0.37087127144344784</v>
      </c>
      <c r="AH79" s="193">
        <v>0.35903603623899438</v>
      </c>
      <c r="AJ79" s="193">
        <v>0.34181958975708138</v>
      </c>
      <c r="AL79" s="193">
        <v>0.31420597921292165</v>
      </c>
      <c r="AN79" s="193">
        <v>0.2596226719345216</v>
      </c>
      <c r="AP79" s="193">
        <v>0.24045193040749605</v>
      </c>
      <c r="AR79" s="193">
        <v>0.21501946640672287</v>
      </c>
      <c r="AT79" s="193">
        <v>0.17877674840875379</v>
      </c>
      <c r="AV79" s="193">
        <v>0.12050762300575511</v>
      </c>
      <c r="XFD79" s="193"/>
    </row>
    <row r="80" spans="1:48 16384:16384" x14ac:dyDescent="0.2">
      <c r="A80" t="s">
        <v>169</v>
      </c>
      <c r="B80" s="236">
        <v>0.20474653863863362</v>
      </c>
      <c r="D80" s="236">
        <v>0.20903545039591973</v>
      </c>
      <c r="F80" s="236">
        <v>0.21342182295457529</v>
      </c>
      <c r="H80" s="236">
        <v>0.21792475348190593</v>
      </c>
      <c r="J80" s="236">
        <v>0.22256736130004598</v>
      </c>
      <c r="L80" s="236">
        <v>0.22737817358400261</v>
      </c>
      <c r="N80" s="236">
        <v>0.23239312787911037</v>
      </c>
      <c r="P80" s="236">
        <v>0.23765846459532633</v>
      </c>
      <c r="R80" s="236">
        <v>0.24323529704165994</v>
      </c>
      <c r="T80" s="236">
        <v>0.24920727281960367</v>
      </c>
      <c r="V80" s="236">
        <v>0.25569308002741931</v>
      </c>
      <c r="X80" s="236">
        <v>0.2628687850490618</v>
      </c>
      <c r="Z80" s="236">
        <v>0.27100839221514378</v>
      </c>
      <c r="AB80" s="236">
        <v>0.28056047297657111</v>
      </c>
      <c r="AD80" s="236">
        <v>0.29229600832276864</v>
      </c>
      <c r="AF80" s="236">
        <v>0.30758910995784433</v>
      </c>
      <c r="AH80" s="236">
        <v>0.3289124923880174</v>
      </c>
      <c r="AJ80" s="236">
        <v>0.36071553659765654</v>
      </c>
      <c r="AL80" s="236">
        <v>0.41225188541708613</v>
      </c>
      <c r="AN80" s="236">
        <v>0.51434200774753225</v>
      </c>
      <c r="AP80" s="236">
        <v>0.5502031466481746</v>
      </c>
      <c r="AR80" s="236">
        <v>0.597777825944934</v>
      </c>
      <c r="AT80" s="236">
        <v>0.66557457363254136</v>
      </c>
      <c r="AV80" s="236">
        <v>0.77457463515514824</v>
      </c>
      <c r="XFD80" s="236"/>
    </row>
    <row r="81" spans="1:48 16384:16384" x14ac:dyDescent="0.2">
      <c r="A81" t="s">
        <v>191</v>
      </c>
      <c r="B81" s="236">
        <v>-2.8869168778265276E-2</v>
      </c>
      <c r="D81" s="236">
        <v>-2.4580257020979133E-2</v>
      </c>
      <c r="F81" s="236">
        <v>-2.0193884462323564E-2</v>
      </c>
      <c r="H81" s="236">
        <v>-1.5690953934992938E-2</v>
      </c>
      <c r="J81" s="236">
        <v>-1.1048346116852882E-2</v>
      </c>
      <c r="L81" s="236">
        <v>-6.2375338328962701E-3</v>
      </c>
      <c r="N81" s="236">
        <v>-1.2225795377885102E-3</v>
      </c>
      <c r="P81" s="236">
        <v>4.0427571784274691E-3</v>
      </c>
      <c r="R81" s="236">
        <v>9.6195896247610498E-3</v>
      </c>
      <c r="T81" s="236">
        <v>1.5591565402704777E-2</v>
      </c>
      <c r="V81" s="236">
        <v>2.2077372610520406E-2</v>
      </c>
      <c r="X81" s="236">
        <v>2.9253077632162935E-2</v>
      </c>
      <c r="Z81" s="236">
        <v>3.7392684798244875E-2</v>
      </c>
      <c r="AB81" s="236">
        <v>4.6944765559672211E-2</v>
      </c>
      <c r="AD81" s="236">
        <v>5.8680300905869745E-2</v>
      </c>
      <c r="AF81" s="236">
        <v>7.3973402540945407E-2</v>
      </c>
      <c r="AH81" s="236">
        <v>9.5296784971118542E-2</v>
      </c>
      <c r="AJ81" s="236">
        <v>0.12709982918075763</v>
      </c>
      <c r="AL81" s="236">
        <v>0.17863617800018725</v>
      </c>
      <c r="AN81" s="236">
        <v>0.28072630033063339</v>
      </c>
      <c r="AP81" s="236">
        <v>0.31658743923127575</v>
      </c>
      <c r="AR81" s="236">
        <v>0.36416211852803509</v>
      </c>
      <c r="AT81" s="236">
        <v>0.4319588662156425</v>
      </c>
      <c r="AV81" s="236">
        <v>0.54095892773824927</v>
      </c>
      <c r="XFD81" s="236"/>
    </row>
    <row r="82" spans="1:48 16384:16384" x14ac:dyDescent="0.2">
      <c r="A82" t="s">
        <v>192</v>
      </c>
      <c r="B82" s="236">
        <v>0</v>
      </c>
      <c r="D82" s="236">
        <v>0</v>
      </c>
      <c r="F82" s="236">
        <v>0</v>
      </c>
      <c r="H82" s="236">
        <v>0</v>
      </c>
      <c r="J82" s="236">
        <v>0</v>
      </c>
      <c r="L82" s="236">
        <v>0</v>
      </c>
      <c r="N82" s="236">
        <v>0</v>
      </c>
      <c r="P82" s="236">
        <v>0</v>
      </c>
      <c r="R82" s="236">
        <v>0</v>
      </c>
      <c r="T82" s="236">
        <v>0</v>
      </c>
      <c r="V82" s="236">
        <v>0</v>
      </c>
      <c r="X82" s="236">
        <v>0</v>
      </c>
      <c r="Z82" s="236">
        <v>0</v>
      </c>
      <c r="AB82" s="236">
        <v>0</v>
      </c>
      <c r="AD82" s="236">
        <v>0</v>
      </c>
      <c r="AF82" s="236">
        <v>0</v>
      </c>
      <c r="AH82" s="236">
        <v>0</v>
      </c>
      <c r="AJ82" s="236">
        <v>0</v>
      </c>
      <c r="AL82" s="236">
        <v>0</v>
      </c>
      <c r="AN82" s="236">
        <v>0</v>
      </c>
      <c r="AP82" s="236">
        <v>0</v>
      </c>
      <c r="AR82" s="236">
        <v>0</v>
      </c>
      <c r="AT82" s="236">
        <v>0</v>
      </c>
      <c r="AV82" s="236">
        <v>0</v>
      </c>
    </row>
    <row r="83" spans="1:48 16384:16384" x14ac:dyDescent="0.2">
      <c r="A83" t="s">
        <v>193</v>
      </c>
      <c r="B83" s="236">
        <v>0.31884317127163775</v>
      </c>
      <c r="D83" s="236">
        <v>0.31626698995630548</v>
      </c>
      <c r="F83" s="236">
        <v>0.31366330548735299</v>
      </c>
      <c r="H83" s="236">
        <v>0.31102525892511823</v>
      </c>
      <c r="J83" s="236">
        <v>0.30834447981758628</v>
      </c>
      <c r="L83" s="236">
        <v>0.30561062505557407</v>
      </c>
      <c r="N83" s="236">
        <v>0.30281082283954425</v>
      </c>
      <c r="P83" s="236">
        <v>0.29992852262478681</v>
      </c>
      <c r="R83" s="236">
        <v>0.29694208817386786</v>
      </c>
      <c r="T83" s="236">
        <v>0.29382213551961389</v>
      </c>
      <c r="V83" s="236">
        <v>0.29052731589016989</v>
      </c>
      <c r="X83" s="236">
        <v>0.28699662023104766</v>
      </c>
      <c r="Z83" s="236">
        <v>0.28313519679390053</v>
      </c>
      <c r="AB83" s="236">
        <v>0.27878695527769937</v>
      </c>
      <c r="AD83" s="236">
        <v>0.27368017721341281</v>
      </c>
      <c r="AF83" s="236">
        <v>0.26732015581137963</v>
      </c>
      <c r="AH83" s="236">
        <v>0.25878944134917498</v>
      </c>
      <c r="AJ83" s="236">
        <v>0.24638000575673641</v>
      </c>
      <c r="AL83" s="236">
        <v>0.22647640242706973</v>
      </c>
      <c r="AN83" s="236">
        <v>0.18713332214594516</v>
      </c>
      <c r="AP83" s="236">
        <v>0.17331525100746498</v>
      </c>
      <c r="AR83" s="236">
        <v>0.15498379542479476</v>
      </c>
      <c r="AT83" s="236">
        <v>0.12886042117545685</v>
      </c>
      <c r="AV83" s="236">
        <v>8.6860641518494125E-2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8"/>
  <dimension ref="A1:XFD83"/>
  <sheetViews>
    <sheetView workbookViewId="0">
      <pane xSplit="1" ySplit="1" topLeftCell="B35" activePane="bottomRight" state="frozen"/>
      <selection pane="topRight" activeCell="B1" sqref="B1"/>
      <selection pane="bottomLeft" activeCell="A2" sqref="A2"/>
      <selection pane="bottomRight" activeCell="B76" sqref="B76"/>
    </sheetView>
  </sheetViews>
  <sheetFormatPr baseColWidth="10" defaultRowHeight="10" x14ac:dyDescent="0.2"/>
  <sheetData>
    <row r="1" spans="1:95" ht="10.5" x14ac:dyDescent="0.25">
      <c r="B1" s="94">
        <v>0</v>
      </c>
      <c r="D1" s="94">
        <v>0.05</v>
      </c>
      <c r="F1" s="94">
        <v>0.1</v>
      </c>
      <c r="H1" s="94">
        <v>0.15000000000000002</v>
      </c>
      <c r="J1" s="94">
        <v>0.2</v>
      </c>
      <c r="L1" s="94">
        <v>0.25</v>
      </c>
      <c r="N1" s="94">
        <v>0.3</v>
      </c>
      <c r="P1" s="94">
        <v>0.35</v>
      </c>
      <c r="R1" s="196">
        <v>0.25</v>
      </c>
      <c r="S1" s="96"/>
      <c r="T1" s="94"/>
      <c r="V1" s="94"/>
      <c r="X1" s="94"/>
      <c r="Z1" s="94"/>
      <c r="AB1" s="94"/>
      <c r="AD1" s="94"/>
      <c r="AF1" s="94"/>
      <c r="AH1" s="94"/>
      <c r="AJ1" s="94"/>
      <c r="AL1" s="94"/>
      <c r="AN1" s="94"/>
      <c r="AP1" s="94"/>
      <c r="AR1" s="94"/>
      <c r="AT1" s="94"/>
      <c r="AV1" s="94"/>
      <c r="AX1" s="94"/>
      <c r="AZ1" s="94"/>
      <c r="BB1" s="94"/>
      <c r="BD1" s="94"/>
      <c r="BF1" s="94"/>
      <c r="BH1" s="94"/>
      <c r="BJ1" s="94"/>
      <c r="BL1" s="94"/>
      <c r="BN1" s="94"/>
      <c r="BP1" s="94"/>
      <c r="BR1" s="94"/>
      <c r="BT1" s="94"/>
      <c r="BV1" s="94"/>
      <c r="BX1" s="94"/>
      <c r="BZ1" s="94"/>
      <c r="CB1" s="94"/>
      <c r="CD1" s="94"/>
      <c r="CF1" s="94"/>
      <c r="CH1" s="94"/>
      <c r="CJ1" s="94"/>
      <c r="CL1" s="94"/>
      <c r="CN1" s="94"/>
      <c r="CP1" s="94"/>
    </row>
    <row r="2" spans="1:95" ht="10.5" x14ac:dyDescent="0.25">
      <c r="A2" s="229" t="s">
        <v>155</v>
      </c>
      <c r="B2" s="226">
        <v>0.16485636072655629</v>
      </c>
      <c r="C2" s="227"/>
      <c r="D2" s="226">
        <v>0.21619906140400463</v>
      </c>
      <c r="E2" s="227"/>
      <c r="F2" s="226">
        <v>0.27562774659217937</v>
      </c>
      <c r="G2" s="227"/>
      <c r="H2" s="226">
        <v>0.34574277892140087</v>
      </c>
      <c r="I2" s="227"/>
      <c r="J2" s="226">
        <v>0.43063217032492157</v>
      </c>
      <c r="K2" s="227"/>
      <c r="L2" s="226">
        <v>0.53736709746979761</v>
      </c>
      <c r="M2" s="227"/>
      <c r="N2" s="226">
        <v>0.68053136476396725</v>
      </c>
      <c r="O2" s="227"/>
      <c r="P2" s="226">
        <v>0.91048066948024797</v>
      </c>
      <c r="Q2" s="227"/>
      <c r="R2" s="230">
        <v>1.0292118005842956</v>
      </c>
      <c r="S2" s="231"/>
      <c r="T2" s="226"/>
      <c r="U2" s="227"/>
      <c r="V2" s="226"/>
      <c r="W2" s="227"/>
      <c r="X2" s="226"/>
      <c r="Y2" s="227"/>
      <c r="Z2" s="226"/>
      <c r="AA2" s="227"/>
      <c r="AB2" s="226"/>
      <c r="AC2" s="227"/>
      <c r="AD2" s="226"/>
      <c r="AE2" s="227"/>
      <c r="AF2" s="226"/>
      <c r="AG2" s="227"/>
      <c r="AH2" s="226"/>
      <c r="AI2" s="227"/>
      <c r="AJ2" s="226"/>
      <c r="AK2" s="227"/>
      <c r="AL2" s="226"/>
      <c r="AM2" s="227"/>
      <c r="AN2" s="226"/>
      <c r="AO2" s="227"/>
      <c r="AP2" s="226"/>
      <c r="AQ2" s="227"/>
      <c r="AR2" s="226"/>
      <c r="AS2" s="227"/>
      <c r="AT2" s="226"/>
      <c r="AU2" s="227"/>
      <c r="AV2" s="226"/>
      <c r="AW2" s="227"/>
      <c r="AX2" s="226"/>
      <c r="AY2" s="228"/>
      <c r="AZ2" s="226"/>
      <c r="BA2" s="228"/>
      <c r="BB2" s="226"/>
      <c r="BC2" s="228"/>
      <c r="BD2" s="226"/>
      <c r="BE2" s="228"/>
      <c r="BF2" s="226"/>
      <c r="BG2" s="228"/>
      <c r="BH2" s="226"/>
      <c r="BI2" s="228"/>
      <c r="BJ2" s="226"/>
      <c r="BK2" s="228"/>
      <c r="BL2" s="226"/>
      <c r="BM2" s="228"/>
      <c r="BN2" s="226"/>
      <c r="BO2" s="228"/>
      <c r="BP2" s="226"/>
      <c r="BQ2" s="228"/>
      <c r="BR2" s="226"/>
      <c r="BS2" s="228"/>
      <c r="BT2" s="226"/>
      <c r="BU2" s="228"/>
      <c r="BV2" s="226"/>
      <c r="BW2" s="228"/>
      <c r="BX2" s="226"/>
      <c r="BY2" s="228"/>
      <c r="BZ2" s="226"/>
      <c r="CA2" s="228"/>
      <c r="CB2" s="226"/>
      <c r="CC2" s="228"/>
      <c r="CD2" s="226"/>
      <c r="CE2" s="228"/>
      <c r="CF2" s="226"/>
      <c r="CG2" s="228"/>
      <c r="CH2" s="226"/>
      <c r="CI2" s="228"/>
      <c r="CJ2" s="226"/>
      <c r="CK2" s="228"/>
      <c r="CL2" s="226"/>
      <c r="CM2" s="228"/>
      <c r="CN2" s="226"/>
      <c r="CO2" s="228"/>
      <c r="CP2" s="226"/>
      <c r="CQ2" s="228"/>
    </row>
    <row r="3" spans="1:95" ht="10.5" x14ac:dyDescent="0.25">
      <c r="A3" t="s">
        <v>12</v>
      </c>
      <c r="B3" s="84">
        <v>1000</v>
      </c>
      <c r="C3" s="85">
        <v>1000</v>
      </c>
      <c r="D3" s="84">
        <v>997.53897519251655</v>
      </c>
      <c r="E3" s="85">
        <v>1036.1433634716275</v>
      </c>
      <c r="F3" s="84">
        <v>995.07871411152269</v>
      </c>
      <c r="G3" s="85">
        <v>1078.126149738353</v>
      </c>
      <c r="H3" s="84">
        <v>992.62011076227543</v>
      </c>
      <c r="I3" s="85">
        <v>1127.6730055754865</v>
      </c>
      <c r="J3" s="84">
        <v>990.16831798891076</v>
      </c>
      <c r="K3" s="85">
        <v>1187.4177746182463</v>
      </c>
      <c r="L3" s="84">
        <v>987.73555616561418</v>
      </c>
      <c r="M3" s="85">
        <v>1261.7641138864394</v>
      </c>
      <c r="N3" s="84">
        <v>985.34460616661079</v>
      </c>
      <c r="O3" s="85">
        <v>1359.4026256680206</v>
      </c>
      <c r="P3" s="84">
        <v>982.99867912623461</v>
      </c>
      <c r="Q3" s="85">
        <v>1508.3632485211906</v>
      </c>
      <c r="R3" s="197">
        <v>984.549858024336</v>
      </c>
      <c r="S3" s="198">
        <v>1481.6852299582974</v>
      </c>
      <c r="T3" s="84"/>
      <c r="U3" s="85"/>
      <c r="V3" s="84"/>
      <c r="W3" s="85"/>
      <c r="X3" s="84"/>
      <c r="Y3" s="85"/>
      <c r="Z3" s="84"/>
      <c r="AA3" s="85"/>
      <c r="AB3" s="84"/>
      <c r="AC3" s="85"/>
      <c r="AD3" s="84"/>
      <c r="AE3" s="85"/>
      <c r="AF3" s="84"/>
      <c r="AG3" s="85"/>
      <c r="AH3" s="84"/>
      <c r="AI3" s="85"/>
      <c r="AJ3" s="84"/>
      <c r="AK3" s="85"/>
      <c r="AL3" s="84"/>
      <c r="AM3" s="85"/>
      <c r="AN3" s="84"/>
      <c r="AO3" s="85"/>
      <c r="AP3" s="84"/>
      <c r="AQ3" s="85"/>
      <c r="AR3" s="84"/>
      <c r="AS3" s="85"/>
      <c r="AT3" s="84"/>
      <c r="AU3" s="85"/>
      <c r="AV3" s="84"/>
      <c r="AW3" s="85"/>
      <c r="AX3" s="84"/>
      <c r="AY3" s="85"/>
      <c r="AZ3" s="84"/>
      <c r="BA3" s="85"/>
      <c r="BB3" s="84"/>
      <c r="BC3" s="85"/>
      <c r="BD3" s="84"/>
      <c r="BE3" s="85"/>
      <c r="BF3" s="84"/>
      <c r="BG3" s="85"/>
      <c r="BH3" s="84"/>
      <c r="BI3" s="85"/>
      <c r="BJ3" s="84"/>
      <c r="BK3" s="85"/>
      <c r="BL3" s="84"/>
      <c r="BM3" s="85"/>
      <c r="BN3" s="84"/>
      <c r="BO3" s="85"/>
      <c r="BP3" s="84"/>
      <c r="BQ3" s="85"/>
      <c r="BR3" s="84"/>
      <c r="BS3" s="85"/>
      <c r="BT3" s="84"/>
      <c r="BU3" s="85"/>
      <c r="BV3" s="84"/>
      <c r="BW3" s="85"/>
      <c r="BX3" s="84"/>
      <c r="BY3" s="85"/>
      <c r="BZ3" s="84"/>
      <c r="CA3" s="85"/>
      <c r="CB3" s="84"/>
      <c r="CC3" s="85"/>
      <c r="CD3" s="84"/>
      <c r="CE3" s="85"/>
      <c r="CF3" s="84"/>
      <c r="CG3" s="85"/>
      <c r="CH3" s="84"/>
      <c r="CI3" s="85"/>
      <c r="CJ3" s="84"/>
      <c r="CK3" s="85"/>
      <c r="CL3" s="84"/>
      <c r="CM3" s="85"/>
      <c r="CN3" s="84"/>
      <c r="CO3" s="85"/>
      <c r="CP3" s="84"/>
      <c r="CQ3" s="85"/>
    </row>
    <row r="4" spans="1:95" ht="10.5" x14ac:dyDescent="0.25">
      <c r="A4" t="s">
        <v>116</v>
      </c>
      <c r="B4" s="101">
        <v>1000</v>
      </c>
      <c r="C4" s="102">
        <v>1000</v>
      </c>
      <c r="D4" s="101">
        <v>1000</v>
      </c>
      <c r="E4" s="102">
        <v>1000</v>
      </c>
      <c r="F4" s="101">
        <v>1000</v>
      </c>
      <c r="G4" s="102">
        <v>1000</v>
      </c>
      <c r="H4" s="101">
        <v>1000</v>
      </c>
      <c r="I4" s="102">
        <v>1000</v>
      </c>
      <c r="J4" s="101">
        <v>1000</v>
      </c>
      <c r="K4" s="102">
        <v>1000</v>
      </c>
      <c r="L4" s="101">
        <v>1000</v>
      </c>
      <c r="M4" s="102">
        <v>1000</v>
      </c>
      <c r="N4" s="101">
        <v>1000</v>
      </c>
      <c r="O4" s="102">
        <v>1000</v>
      </c>
      <c r="P4" s="101">
        <v>1000</v>
      </c>
      <c r="Q4" s="102">
        <v>1000</v>
      </c>
      <c r="R4" s="199">
        <v>1000</v>
      </c>
      <c r="S4" s="200">
        <v>1000</v>
      </c>
      <c r="T4" s="101"/>
      <c r="U4" s="102"/>
      <c r="V4" s="101"/>
      <c r="W4" s="102"/>
      <c r="X4" s="101"/>
      <c r="Y4" s="102"/>
      <c r="Z4" s="101"/>
      <c r="AA4" s="102"/>
      <c r="AB4" s="101"/>
      <c r="AC4" s="102"/>
      <c r="AD4" s="101"/>
      <c r="AE4" s="102"/>
      <c r="AF4" s="101"/>
      <c r="AG4" s="102"/>
      <c r="AH4" s="101"/>
      <c r="AI4" s="102"/>
      <c r="AJ4" s="101"/>
      <c r="AK4" s="102"/>
      <c r="AL4" s="101"/>
      <c r="AM4" s="102"/>
      <c r="AN4" s="101"/>
      <c r="AO4" s="102"/>
      <c r="AP4" s="101"/>
      <c r="AQ4" s="102"/>
      <c r="AR4" s="101"/>
      <c r="AS4" s="102"/>
      <c r="AT4" s="101"/>
      <c r="AU4" s="102"/>
      <c r="AV4" s="101"/>
      <c r="AW4" s="102"/>
      <c r="AX4" s="59"/>
      <c r="AY4" s="60"/>
      <c r="AZ4" s="59"/>
      <c r="BA4" s="60"/>
      <c r="BB4" s="59"/>
      <c r="BC4" s="60"/>
      <c r="BD4" s="59"/>
      <c r="BE4" s="60"/>
      <c r="BF4" s="59"/>
      <c r="BG4" s="60"/>
      <c r="BH4" s="59"/>
      <c r="BI4" s="60"/>
      <c r="BJ4" s="59"/>
      <c r="BK4" s="60"/>
      <c r="BL4" s="59"/>
      <c r="BM4" s="60"/>
      <c r="BN4" s="59"/>
      <c r="BO4" s="60"/>
      <c r="BP4" s="59"/>
      <c r="BQ4" s="60"/>
      <c r="BR4" s="59"/>
      <c r="BS4" s="60"/>
      <c r="BT4" s="59"/>
      <c r="BU4" s="60"/>
      <c r="BV4" s="59"/>
      <c r="BW4" s="60"/>
      <c r="BX4" s="59"/>
      <c r="BY4" s="60"/>
      <c r="BZ4" s="59"/>
      <c r="CA4" s="60"/>
      <c r="CB4" s="59"/>
      <c r="CC4" s="60"/>
      <c r="CD4" s="59"/>
      <c r="CE4" s="60"/>
      <c r="CF4" s="59"/>
      <c r="CG4" s="60"/>
      <c r="CH4" s="59"/>
      <c r="CI4" s="60"/>
      <c r="CJ4" s="59"/>
      <c r="CK4" s="60"/>
      <c r="CL4" s="59"/>
      <c r="CM4" s="60"/>
      <c r="CN4" s="59"/>
      <c r="CO4" s="60"/>
      <c r="CP4" s="59"/>
      <c r="CQ4" s="60"/>
    </row>
    <row r="5" spans="1:95" ht="10.5" x14ac:dyDescent="0.25">
      <c r="A5" t="s">
        <v>128</v>
      </c>
      <c r="B5" s="41">
        <v>1000</v>
      </c>
      <c r="C5" s="42">
        <v>1000</v>
      </c>
      <c r="D5" s="41">
        <v>997.47592950676517</v>
      </c>
      <c r="E5" s="42">
        <v>1023.9381286111591</v>
      </c>
      <c r="F5" s="41">
        <v>994.94994810101866</v>
      </c>
      <c r="G5" s="42">
        <v>1049.9906700940173</v>
      </c>
      <c r="H5" s="41">
        <v>992.42295752232599</v>
      </c>
      <c r="I5" s="42">
        <v>1078.4635187551071</v>
      </c>
      <c r="J5" s="41">
        <v>989.90024728530022</v>
      </c>
      <c r="K5" s="42">
        <v>1109.7652980451057</v>
      </c>
      <c r="L5" s="41">
        <v>987.39441387602869</v>
      </c>
      <c r="M5" s="42">
        <v>1144.5148002636829</v>
      </c>
      <c r="N5" s="41">
        <v>984.9290032633387</v>
      </c>
      <c r="O5" s="42">
        <v>1183.909558046636</v>
      </c>
      <c r="P5" s="41">
        <v>982.50745017301369</v>
      </c>
      <c r="Q5" s="42">
        <v>1232.6216043482586</v>
      </c>
      <c r="R5" s="201">
        <v>984.10892047887853</v>
      </c>
      <c r="S5" s="202">
        <v>1224.7846071517033</v>
      </c>
      <c r="T5" s="41"/>
      <c r="U5" s="42"/>
      <c r="V5" s="41"/>
      <c r="W5" s="42"/>
      <c r="X5" s="41"/>
      <c r="Y5" s="42"/>
      <c r="Z5" s="41"/>
      <c r="AA5" s="42"/>
      <c r="AB5" s="41"/>
      <c r="AC5" s="42"/>
      <c r="AD5" s="41"/>
      <c r="AE5" s="42"/>
      <c r="AF5" s="41"/>
      <c r="AG5" s="42"/>
      <c r="AH5" s="41"/>
      <c r="AI5" s="42"/>
      <c r="AJ5" s="41"/>
      <c r="AK5" s="42"/>
      <c r="AL5" s="41"/>
      <c r="AM5" s="42"/>
      <c r="AN5" s="41"/>
      <c r="AO5" s="42"/>
      <c r="AP5" s="41"/>
      <c r="AQ5" s="42"/>
      <c r="AR5" s="41"/>
      <c r="AS5" s="42"/>
      <c r="AT5" s="41"/>
      <c r="AU5" s="42"/>
      <c r="AV5" s="41"/>
      <c r="AW5" s="42"/>
      <c r="AX5" s="41"/>
      <c r="AY5" s="42"/>
      <c r="AZ5" s="41"/>
      <c r="BA5" s="42"/>
      <c r="BB5" s="41"/>
      <c r="BC5" s="42"/>
      <c r="BD5" s="41"/>
      <c r="BE5" s="42"/>
      <c r="BF5" s="41"/>
      <c r="BG5" s="42"/>
      <c r="BH5" s="41"/>
      <c r="BI5" s="42"/>
      <c r="BJ5" s="41"/>
      <c r="BK5" s="42"/>
      <c r="BL5" s="41"/>
      <c r="BM5" s="42"/>
      <c r="BN5" s="41"/>
      <c r="BO5" s="42"/>
      <c r="BP5" s="41"/>
      <c r="BQ5" s="42"/>
      <c r="BR5" s="41"/>
      <c r="BS5" s="42"/>
      <c r="BT5" s="41"/>
      <c r="BU5" s="42"/>
      <c r="BV5" s="41"/>
      <c r="BW5" s="42"/>
      <c r="BX5" s="41"/>
      <c r="BY5" s="42"/>
      <c r="BZ5" s="41"/>
      <c r="CA5" s="42"/>
      <c r="CB5" s="41"/>
      <c r="CC5" s="42"/>
      <c r="CD5" s="41"/>
      <c r="CE5" s="42"/>
      <c r="CF5" s="41"/>
      <c r="CG5" s="42"/>
      <c r="CH5" s="41"/>
      <c r="CI5" s="42"/>
      <c r="CJ5" s="41"/>
      <c r="CK5" s="42"/>
      <c r="CL5" s="41"/>
      <c r="CM5" s="42"/>
      <c r="CN5" s="41"/>
      <c r="CO5" s="42"/>
      <c r="CP5" s="41"/>
      <c r="CQ5" s="42"/>
    </row>
    <row r="6" spans="1:95" ht="10.5" x14ac:dyDescent="0.25">
      <c r="A6" t="s">
        <v>77</v>
      </c>
      <c r="B6" s="41">
        <v>999.99999999999886</v>
      </c>
      <c r="C6" s="42">
        <v>999.99999999999909</v>
      </c>
      <c r="D6" s="41">
        <v>997.24216904602997</v>
      </c>
      <c r="E6" s="42">
        <v>1038.9402804605138</v>
      </c>
      <c r="F6" s="41">
        <v>994.48354397357502</v>
      </c>
      <c r="G6" s="42">
        <v>1083.9293856860827</v>
      </c>
      <c r="H6" s="41">
        <v>991.72511078078526</v>
      </c>
      <c r="I6" s="42">
        <v>1136.7423409699143</v>
      </c>
      <c r="J6" s="41">
        <v>988.97264027499853</v>
      </c>
      <c r="K6" s="42">
        <v>1200.091423258222</v>
      </c>
      <c r="L6" s="41">
        <v>986.23985894048405</v>
      </c>
      <c r="M6" s="42">
        <v>1278.5147210976229</v>
      </c>
      <c r="N6" s="41">
        <v>983.5524009692424</v>
      </c>
      <c r="O6" s="42">
        <v>1380.9781275478822</v>
      </c>
      <c r="P6" s="41">
        <v>980.91394663633878</v>
      </c>
      <c r="Q6" s="42">
        <v>1536.4681509320303</v>
      </c>
      <c r="R6" s="201">
        <v>982.658729751598</v>
      </c>
      <c r="S6" s="202">
        <v>1508.6798045582641</v>
      </c>
      <c r="T6" s="41"/>
      <c r="U6" s="42"/>
      <c r="V6" s="41"/>
      <c r="W6" s="42"/>
      <c r="X6" s="41"/>
      <c r="Y6" s="42"/>
      <c r="Z6" s="41"/>
      <c r="AA6" s="42"/>
      <c r="AB6" s="41"/>
      <c r="AC6" s="42"/>
      <c r="AD6" s="41"/>
      <c r="AE6" s="42"/>
      <c r="AF6" s="41"/>
      <c r="AG6" s="42"/>
      <c r="AH6" s="41"/>
      <c r="AI6" s="42"/>
      <c r="AJ6" s="41"/>
      <c r="AK6" s="42"/>
      <c r="AL6" s="41"/>
      <c r="AM6" s="42"/>
      <c r="AN6" s="41"/>
      <c r="AO6" s="42"/>
      <c r="AP6" s="41"/>
      <c r="AQ6" s="42"/>
      <c r="AR6" s="41"/>
      <c r="AS6" s="42"/>
      <c r="AT6" s="41"/>
      <c r="AU6" s="42"/>
      <c r="AV6" s="41"/>
      <c r="AW6" s="42"/>
      <c r="AX6" s="41"/>
      <c r="AY6" s="42"/>
      <c r="AZ6" s="41"/>
      <c r="BA6" s="42"/>
      <c r="BB6" s="41"/>
      <c r="BC6" s="42"/>
      <c r="BD6" s="41"/>
      <c r="BE6" s="42"/>
      <c r="BF6" s="41"/>
      <c r="BG6" s="42"/>
      <c r="BH6" s="41"/>
      <c r="BI6" s="42"/>
      <c r="BJ6" s="41"/>
      <c r="BK6" s="42"/>
      <c r="BL6" s="41"/>
      <c r="BM6" s="42"/>
      <c r="BN6" s="41"/>
      <c r="BO6" s="42"/>
      <c r="BP6" s="41"/>
      <c r="BQ6" s="42"/>
      <c r="BR6" s="41"/>
      <c r="BS6" s="42"/>
      <c r="BT6" s="41"/>
      <c r="BU6" s="42"/>
      <c r="BV6" s="41"/>
      <c r="BW6" s="42"/>
      <c r="BX6" s="41"/>
      <c r="BY6" s="42"/>
      <c r="BZ6" s="41"/>
      <c r="CA6" s="42"/>
      <c r="CB6" s="41"/>
      <c r="CC6" s="42"/>
      <c r="CD6" s="41"/>
      <c r="CE6" s="42"/>
      <c r="CF6" s="41"/>
      <c r="CG6" s="42"/>
      <c r="CH6" s="41"/>
      <c r="CI6" s="42"/>
      <c r="CJ6" s="41"/>
      <c r="CK6" s="42"/>
      <c r="CL6" s="41"/>
      <c r="CM6" s="42"/>
      <c r="CN6" s="41"/>
      <c r="CO6" s="42"/>
      <c r="CP6" s="41"/>
      <c r="CQ6" s="42"/>
    </row>
    <row r="7" spans="1:95" ht="10.5" x14ac:dyDescent="0.25">
      <c r="A7" t="s">
        <v>13</v>
      </c>
      <c r="B7" s="33">
        <v>1059.2664648168009</v>
      </c>
      <c r="C7" s="34">
        <v>1059.2664648168009</v>
      </c>
      <c r="D7" s="33">
        <v>1056.5928015884836</v>
      </c>
      <c r="E7" s="34">
        <v>1056.5928015884836</v>
      </c>
      <c r="F7" s="33">
        <v>1053.9171141946256</v>
      </c>
      <c r="G7" s="34">
        <v>1053.9171141946256</v>
      </c>
      <c r="H7" s="33">
        <v>1051.2403578177084</v>
      </c>
      <c r="I7" s="34">
        <v>1051.2403578177084</v>
      </c>
      <c r="J7" s="33">
        <v>1048.568135463177</v>
      </c>
      <c r="K7" s="34">
        <v>1048.568135463177</v>
      </c>
      <c r="L7" s="33">
        <v>1045.913790166318</v>
      </c>
      <c r="M7" s="34">
        <v>1045.913790166318</v>
      </c>
      <c r="N7" s="33">
        <v>1043.302263382292</v>
      </c>
      <c r="O7" s="34">
        <v>1043.302263382292</v>
      </c>
      <c r="P7" s="33">
        <v>1040.7371934009373</v>
      </c>
      <c r="Q7" s="34">
        <v>1040.7371934009373</v>
      </c>
      <c r="R7" s="203">
        <v>1042.43357719034</v>
      </c>
      <c r="S7" s="204">
        <v>1042.43357719034</v>
      </c>
      <c r="T7" s="33"/>
      <c r="U7" s="34"/>
      <c r="V7" s="33"/>
      <c r="W7" s="34"/>
      <c r="X7" s="33"/>
      <c r="Y7" s="34"/>
      <c r="Z7" s="33"/>
      <c r="AA7" s="34"/>
      <c r="AB7" s="33"/>
      <c r="AC7" s="34"/>
      <c r="AD7" s="33"/>
      <c r="AE7" s="34"/>
      <c r="AF7" s="33"/>
      <c r="AG7" s="34"/>
      <c r="AH7" s="33"/>
      <c r="AI7" s="34"/>
      <c r="AJ7" s="33"/>
      <c r="AK7" s="34"/>
      <c r="AL7" s="33"/>
      <c r="AM7" s="34"/>
      <c r="AN7" s="33"/>
      <c r="AO7" s="34"/>
      <c r="AP7" s="33"/>
      <c r="AQ7" s="34"/>
      <c r="AR7" s="33"/>
      <c r="AS7" s="34"/>
      <c r="AT7" s="33"/>
      <c r="AU7" s="34"/>
      <c r="AV7" s="33"/>
      <c r="AW7" s="34"/>
      <c r="AX7" s="33"/>
      <c r="AY7" s="34"/>
      <c r="AZ7" s="33"/>
      <c r="BA7" s="34"/>
      <c r="BB7" s="33"/>
      <c r="BC7" s="34"/>
      <c r="BD7" s="33"/>
      <c r="BE7" s="34"/>
      <c r="BF7" s="33"/>
      <c r="BG7" s="34"/>
      <c r="BH7" s="33"/>
      <c r="BI7" s="34"/>
      <c r="BJ7" s="33"/>
      <c r="BK7" s="34"/>
      <c r="BL7" s="33"/>
      <c r="BM7" s="34"/>
      <c r="BN7" s="33"/>
      <c r="BO7" s="34"/>
      <c r="BP7" s="33"/>
      <c r="BQ7" s="34"/>
      <c r="BR7" s="33"/>
      <c r="BS7" s="34"/>
      <c r="BT7" s="33"/>
      <c r="BU7" s="34"/>
      <c r="BV7" s="33"/>
      <c r="BW7" s="34"/>
      <c r="BX7" s="33"/>
      <c r="BY7" s="34"/>
      <c r="BZ7" s="33"/>
      <c r="CA7" s="34"/>
      <c r="CB7" s="33"/>
      <c r="CC7" s="34"/>
      <c r="CD7" s="33"/>
      <c r="CE7" s="34"/>
      <c r="CF7" s="33"/>
      <c r="CG7" s="34"/>
      <c r="CH7" s="33"/>
      <c r="CI7" s="34"/>
      <c r="CJ7" s="33"/>
      <c r="CK7" s="34"/>
      <c r="CL7" s="33"/>
      <c r="CM7" s="34"/>
      <c r="CN7" s="33"/>
      <c r="CO7" s="34"/>
      <c r="CP7" s="33"/>
      <c r="CQ7" s="34"/>
    </row>
    <row r="8" spans="1:95" ht="10.5" x14ac:dyDescent="0.25">
      <c r="B8" s="35">
        <v>1164.8563607265562</v>
      </c>
      <c r="C8" s="36">
        <v>1164.8563607265562</v>
      </c>
      <c r="D8" s="35">
        <v>1245.3125909526646</v>
      </c>
      <c r="E8" s="36">
        <v>1245.3125909526646</v>
      </c>
      <c r="F8" s="35">
        <v>1339.3972324348435</v>
      </c>
      <c r="G8" s="36">
        <v>1339.3972324348435</v>
      </c>
      <c r="H8" s="35">
        <v>1451.3344926948503</v>
      </c>
      <c r="I8" s="36">
        <v>1451.3344926948503</v>
      </c>
      <c r="J8" s="35">
        <v>1587.6659368935532</v>
      </c>
      <c r="K8" s="36">
        <v>1587.6659368935532</v>
      </c>
      <c r="L8" s="35">
        <v>1759.5393964926034</v>
      </c>
      <c r="M8" s="36">
        <v>1759.5393964926034</v>
      </c>
      <c r="N8" s="35">
        <v>1989.5971453412185</v>
      </c>
      <c r="O8" s="36">
        <v>1989.5971453412185</v>
      </c>
      <c r="P8" s="35">
        <v>2354.8997478910783</v>
      </c>
      <c r="Q8" s="36">
        <v>2354.8997478910783</v>
      </c>
      <c r="R8" s="205">
        <v>2485.3473780062372</v>
      </c>
      <c r="S8" s="206">
        <v>2485.3473780062372</v>
      </c>
      <c r="T8" s="35"/>
      <c r="U8" s="36"/>
      <c r="V8" s="35"/>
      <c r="W8" s="36"/>
      <c r="X8" s="35"/>
      <c r="Y8" s="36"/>
      <c r="Z8" s="35"/>
      <c r="AA8" s="36"/>
      <c r="AB8" s="35"/>
      <c r="AC8" s="36"/>
      <c r="AD8" s="35"/>
      <c r="AE8" s="36"/>
      <c r="AF8" s="35"/>
      <c r="AG8" s="36"/>
      <c r="AH8" s="35"/>
      <c r="AI8" s="36"/>
      <c r="AJ8" s="35"/>
      <c r="AK8" s="36"/>
      <c r="AL8" s="35"/>
      <c r="AM8" s="36"/>
      <c r="AN8" s="35"/>
      <c r="AO8" s="36"/>
      <c r="AP8" s="35"/>
      <c r="AQ8" s="36"/>
      <c r="AR8" s="35"/>
      <c r="AS8" s="36"/>
      <c r="AT8" s="35"/>
      <c r="AU8" s="36"/>
      <c r="AV8" s="35"/>
      <c r="AW8" s="36"/>
      <c r="AX8" s="35"/>
      <c r="AY8" s="36"/>
      <c r="AZ8" s="35"/>
      <c r="BA8" s="36"/>
      <c r="BB8" s="35"/>
      <c r="BC8" s="36"/>
      <c r="BD8" s="35"/>
      <c r="BE8" s="36"/>
      <c r="BF8" s="35"/>
      <c r="BG8" s="36"/>
      <c r="BH8" s="35"/>
      <c r="BI8" s="36"/>
      <c r="BJ8" s="35"/>
      <c r="BK8" s="36"/>
      <c r="BL8" s="35"/>
      <c r="BM8" s="36"/>
      <c r="BN8" s="35"/>
      <c r="BO8" s="36"/>
      <c r="BP8" s="35"/>
      <c r="BQ8" s="36"/>
      <c r="BR8" s="35"/>
      <c r="BS8" s="36"/>
      <c r="BT8" s="35"/>
      <c r="BU8" s="36"/>
      <c r="BV8" s="35"/>
      <c r="BW8" s="36"/>
      <c r="BX8" s="35"/>
      <c r="BY8" s="36"/>
      <c r="BZ8" s="35"/>
      <c r="CA8" s="36"/>
      <c r="CB8" s="35"/>
      <c r="CC8" s="36"/>
      <c r="CD8" s="35"/>
      <c r="CE8" s="36"/>
      <c r="CF8" s="35"/>
      <c r="CG8" s="36"/>
      <c r="CH8" s="35"/>
      <c r="CI8" s="36"/>
      <c r="CJ8" s="35"/>
      <c r="CK8" s="36"/>
      <c r="CL8" s="35"/>
      <c r="CM8" s="36"/>
      <c r="CN8" s="35"/>
      <c r="CO8" s="36"/>
      <c r="CP8" s="35"/>
      <c r="CQ8" s="36"/>
    </row>
    <row r="9" spans="1:95" ht="10.5" x14ac:dyDescent="0.25">
      <c r="A9" t="s">
        <v>14</v>
      </c>
      <c r="B9" s="41">
        <v>1059.2664648168009</v>
      </c>
      <c r="C9" s="42">
        <v>1164.8563607265562</v>
      </c>
      <c r="D9" s="41">
        <v>1056.5928015884836</v>
      </c>
      <c r="E9" s="42">
        <v>1245.3125909526646</v>
      </c>
      <c r="F9" s="41">
        <v>1053.9171141946256</v>
      </c>
      <c r="G9" s="42">
        <v>1339.3972324348435</v>
      </c>
      <c r="H9" s="41">
        <v>1051.2403578177084</v>
      </c>
      <c r="I9" s="42">
        <v>1451.3344926948503</v>
      </c>
      <c r="J9" s="41">
        <v>1048.568135463177</v>
      </c>
      <c r="K9" s="42">
        <v>1587.6659368935532</v>
      </c>
      <c r="L9" s="41">
        <v>1045.913790166318</v>
      </c>
      <c r="M9" s="42">
        <v>1759.5393964926034</v>
      </c>
      <c r="N9" s="41">
        <v>1043.302263382292</v>
      </c>
      <c r="O9" s="42">
        <v>1989.5971453412185</v>
      </c>
      <c r="P9" s="41">
        <v>1040.7371934009373</v>
      </c>
      <c r="Q9" s="42">
        <v>2354.8997478910783</v>
      </c>
      <c r="R9" s="201">
        <v>1042.43357719034</v>
      </c>
      <c r="S9" s="202">
        <v>2485.3473780062372</v>
      </c>
      <c r="T9" s="41"/>
      <c r="U9" s="42"/>
      <c r="V9" s="41"/>
      <c r="W9" s="42"/>
      <c r="X9" s="41"/>
      <c r="Y9" s="42"/>
      <c r="Z9" s="41"/>
      <c r="AA9" s="42"/>
      <c r="AB9" s="41"/>
      <c r="AC9" s="42"/>
      <c r="AD9" s="41"/>
      <c r="AE9" s="42"/>
      <c r="AF9" s="41"/>
      <c r="AG9" s="42"/>
      <c r="AH9" s="41"/>
      <c r="AI9" s="42"/>
      <c r="AJ9" s="41"/>
      <c r="AK9" s="42"/>
      <c r="AL9" s="41"/>
      <c r="AM9" s="42"/>
      <c r="AN9" s="41"/>
      <c r="AO9" s="42"/>
      <c r="AP9" s="41"/>
      <c r="AQ9" s="42"/>
      <c r="AR9" s="41"/>
      <c r="AS9" s="42"/>
      <c r="AT9" s="41"/>
      <c r="AU9" s="42"/>
      <c r="AV9" s="41"/>
      <c r="AW9" s="42"/>
      <c r="AX9" s="41"/>
      <c r="AY9" s="42"/>
      <c r="AZ9" s="41"/>
      <c r="BA9" s="42"/>
      <c r="BB9" s="41"/>
      <c r="BC9" s="42"/>
      <c r="BD9" s="41"/>
      <c r="BE9" s="42"/>
      <c r="BF9" s="41"/>
      <c r="BG9" s="42"/>
      <c r="BH9" s="41"/>
      <c r="BI9" s="42"/>
      <c r="BJ9" s="41"/>
      <c r="BK9" s="42"/>
      <c r="BL9" s="41"/>
      <c r="BM9" s="42"/>
      <c r="BN9" s="41"/>
      <c r="BO9" s="42"/>
      <c r="BP9" s="41"/>
      <c r="BQ9" s="42"/>
      <c r="BR9" s="41"/>
      <c r="BS9" s="42"/>
      <c r="BT9" s="41"/>
      <c r="BU9" s="42"/>
      <c r="BV9" s="41"/>
      <c r="BW9" s="42"/>
      <c r="BX9" s="41"/>
      <c r="BY9" s="42"/>
      <c r="BZ9" s="41"/>
      <c r="CA9" s="42"/>
      <c r="CB9" s="41"/>
      <c r="CC9" s="42"/>
      <c r="CD9" s="41"/>
      <c r="CE9" s="42"/>
      <c r="CF9" s="41"/>
      <c r="CG9" s="42"/>
      <c r="CH9" s="41"/>
      <c r="CI9" s="42"/>
      <c r="CJ9" s="41"/>
      <c r="CK9" s="42"/>
      <c r="CL9" s="41"/>
      <c r="CM9" s="42"/>
      <c r="CN9" s="41"/>
      <c r="CO9" s="42"/>
      <c r="CP9" s="41"/>
      <c r="CQ9" s="42"/>
    </row>
    <row r="10" spans="1:95" ht="10.5" x14ac:dyDescent="0.25">
      <c r="A10" t="s">
        <v>15</v>
      </c>
      <c r="B10" s="41">
        <v>1059.2664648168009</v>
      </c>
      <c r="C10" s="42">
        <v>1164.8563607265562</v>
      </c>
      <c r="D10" s="41">
        <v>1056.5928015884836</v>
      </c>
      <c r="E10" s="42">
        <v>1245.3125909526646</v>
      </c>
      <c r="F10" s="41">
        <v>1053.9171141946256</v>
      </c>
      <c r="G10" s="42">
        <v>1339.3972324348435</v>
      </c>
      <c r="H10" s="41">
        <v>1051.2403578177084</v>
      </c>
      <c r="I10" s="42">
        <v>1451.3344926948503</v>
      </c>
      <c r="J10" s="41">
        <v>1048.568135463177</v>
      </c>
      <c r="K10" s="42">
        <v>1587.6659368935532</v>
      </c>
      <c r="L10" s="41">
        <v>1045.913790166318</v>
      </c>
      <c r="M10" s="42">
        <v>1759.5393964926034</v>
      </c>
      <c r="N10" s="41">
        <v>1043.302263382292</v>
      </c>
      <c r="O10" s="42">
        <v>1989.5971453412185</v>
      </c>
      <c r="P10" s="41">
        <v>1040.7371934009373</v>
      </c>
      <c r="Q10" s="42">
        <v>2354.8997478910783</v>
      </c>
      <c r="R10" s="201">
        <v>1042.43357719034</v>
      </c>
      <c r="S10" s="202">
        <v>2485.3473780062372</v>
      </c>
      <c r="T10" s="41"/>
      <c r="U10" s="42"/>
      <c r="V10" s="41"/>
      <c r="W10" s="42"/>
      <c r="X10" s="41"/>
      <c r="Y10" s="42"/>
      <c r="Z10" s="41"/>
      <c r="AA10" s="42"/>
      <c r="AB10" s="41"/>
      <c r="AC10" s="42"/>
      <c r="AD10" s="41"/>
      <c r="AE10" s="42"/>
      <c r="AF10" s="41"/>
      <c r="AG10" s="42"/>
      <c r="AH10" s="41"/>
      <c r="AI10" s="42"/>
      <c r="AJ10" s="41"/>
      <c r="AK10" s="42"/>
      <c r="AL10" s="41"/>
      <c r="AM10" s="42"/>
      <c r="AN10" s="41"/>
      <c r="AO10" s="42"/>
      <c r="AP10" s="41"/>
      <c r="AQ10" s="42"/>
      <c r="AR10" s="41"/>
      <c r="AS10" s="42"/>
      <c r="AT10" s="41"/>
      <c r="AU10" s="42"/>
      <c r="AV10" s="41"/>
      <c r="AW10" s="42"/>
      <c r="AX10" s="41"/>
      <c r="AY10" s="42"/>
      <c r="AZ10" s="41"/>
      <c r="BA10" s="42"/>
      <c r="BB10" s="41"/>
      <c r="BC10" s="42"/>
      <c r="BD10" s="41"/>
      <c r="BE10" s="42"/>
      <c r="BF10" s="41"/>
      <c r="BG10" s="42"/>
      <c r="BH10" s="41"/>
      <c r="BI10" s="42"/>
      <c r="BJ10" s="41"/>
      <c r="BK10" s="42"/>
      <c r="BL10" s="41"/>
      <c r="BM10" s="42"/>
      <c r="BN10" s="41"/>
      <c r="BO10" s="42"/>
      <c r="BP10" s="41"/>
      <c r="BQ10" s="42"/>
      <c r="BR10" s="41"/>
      <c r="BS10" s="42"/>
      <c r="BT10" s="41"/>
      <c r="BU10" s="42"/>
      <c r="BV10" s="41"/>
      <c r="BW10" s="42"/>
      <c r="BX10" s="41"/>
      <c r="BY10" s="42"/>
      <c r="BZ10" s="41"/>
      <c r="CA10" s="42"/>
      <c r="CB10" s="41"/>
      <c r="CC10" s="42"/>
      <c r="CD10" s="41"/>
      <c r="CE10" s="42"/>
      <c r="CF10" s="41"/>
      <c r="CG10" s="42"/>
      <c r="CH10" s="41"/>
      <c r="CI10" s="42"/>
      <c r="CJ10" s="41"/>
      <c r="CK10" s="42"/>
      <c r="CL10" s="41"/>
      <c r="CM10" s="42"/>
      <c r="CN10" s="41"/>
      <c r="CO10" s="42"/>
      <c r="CP10" s="41"/>
      <c r="CQ10" s="42"/>
    </row>
    <row r="11" spans="1:95" ht="10.5" x14ac:dyDescent="0.25">
      <c r="A11" t="s">
        <v>29</v>
      </c>
      <c r="B11" s="41">
        <v>1059.2664648168009</v>
      </c>
      <c r="C11" s="42">
        <v>1164.8563607265562</v>
      </c>
      <c r="D11" s="41">
        <v>1056.5928015884836</v>
      </c>
      <c r="E11" s="42">
        <v>1245.3125909526646</v>
      </c>
      <c r="F11" s="41">
        <v>1053.9171141946256</v>
      </c>
      <c r="G11" s="42">
        <v>1339.3972324348435</v>
      </c>
      <c r="H11" s="41">
        <v>1051.2403578177084</v>
      </c>
      <c r="I11" s="42">
        <v>1451.3344926948503</v>
      </c>
      <c r="J11" s="41">
        <v>1048.568135463177</v>
      </c>
      <c r="K11" s="42">
        <v>1587.6659368935532</v>
      </c>
      <c r="L11" s="41">
        <v>1045.913790166318</v>
      </c>
      <c r="M11" s="42">
        <v>1759.5393964926034</v>
      </c>
      <c r="N11" s="41">
        <v>1043.302263382292</v>
      </c>
      <c r="O11" s="42">
        <v>1989.5971453412185</v>
      </c>
      <c r="P11" s="41">
        <v>1040.7371934009373</v>
      </c>
      <c r="Q11" s="42">
        <v>2354.8997478910783</v>
      </c>
      <c r="R11" s="201">
        <v>1042.43357719034</v>
      </c>
      <c r="S11" s="202">
        <v>2485.3473780062372</v>
      </c>
      <c r="T11" s="41"/>
      <c r="U11" s="42"/>
      <c r="V11" s="41"/>
      <c r="W11" s="42"/>
      <c r="X11" s="41"/>
      <c r="Y11" s="42"/>
      <c r="Z11" s="41"/>
      <c r="AA11" s="42"/>
      <c r="AB11" s="41"/>
      <c r="AC11" s="42"/>
      <c r="AD11" s="41"/>
      <c r="AE11" s="42"/>
      <c r="AF11" s="41"/>
      <c r="AG11" s="42"/>
      <c r="AH11" s="41"/>
      <c r="AI11" s="42"/>
      <c r="AJ11" s="41"/>
      <c r="AK11" s="42"/>
      <c r="AL11" s="41"/>
      <c r="AM11" s="42"/>
      <c r="AN11" s="41"/>
      <c r="AO11" s="42"/>
      <c r="AP11" s="41"/>
      <c r="AQ11" s="42"/>
      <c r="AR11" s="41"/>
      <c r="AS11" s="42"/>
      <c r="AT11" s="41"/>
      <c r="AU11" s="42"/>
      <c r="AV11" s="41"/>
      <c r="AW11" s="42"/>
      <c r="AX11" s="41"/>
      <c r="AY11" s="42"/>
      <c r="AZ11" s="41"/>
      <c r="BA11" s="42"/>
      <c r="BB11" s="41"/>
      <c r="BC11" s="42"/>
      <c r="BD11" s="41"/>
      <c r="BE11" s="42"/>
      <c r="BF11" s="41"/>
      <c r="BG11" s="42"/>
      <c r="BH11" s="41"/>
      <c r="BI11" s="42"/>
      <c r="BJ11" s="41"/>
      <c r="BK11" s="42"/>
      <c r="BL11" s="41"/>
      <c r="BM11" s="42"/>
      <c r="BN11" s="41"/>
      <c r="BO11" s="42"/>
      <c r="BP11" s="41"/>
      <c r="BQ11" s="42"/>
      <c r="BR11" s="41"/>
      <c r="BS11" s="42"/>
      <c r="BT11" s="41"/>
      <c r="BU11" s="42"/>
      <c r="BV11" s="41"/>
      <c r="BW11" s="42"/>
      <c r="BX11" s="41"/>
      <c r="BY11" s="42"/>
      <c r="BZ11" s="41"/>
      <c r="CA11" s="42"/>
      <c r="CB11" s="41"/>
      <c r="CC11" s="42"/>
      <c r="CD11" s="41"/>
      <c r="CE11" s="42"/>
      <c r="CF11" s="41"/>
      <c r="CG11" s="42"/>
      <c r="CH11" s="41"/>
      <c r="CI11" s="42"/>
      <c r="CJ11" s="41"/>
      <c r="CK11" s="42"/>
      <c r="CL11" s="41"/>
      <c r="CM11" s="42"/>
      <c r="CN11" s="41"/>
      <c r="CO11" s="42"/>
      <c r="CP11" s="41"/>
      <c r="CQ11" s="42"/>
    </row>
    <row r="12" spans="1:95" ht="10.5" x14ac:dyDescent="0.25">
      <c r="A12" t="s">
        <v>16</v>
      </c>
      <c r="B12" s="41">
        <v>1000</v>
      </c>
      <c r="C12" s="42">
        <v>1000</v>
      </c>
      <c r="D12" s="41">
        <v>1000</v>
      </c>
      <c r="E12" s="42">
        <v>1000</v>
      </c>
      <c r="F12" s="41">
        <v>1000</v>
      </c>
      <c r="G12" s="42">
        <v>1000</v>
      </c>
      <c r="H12" s="41">
        <v>1000</v>
      </c>
      <c r="I12" s="42">
        <v>1000</v>
      </c>
      <c r="J12" s="41">
        <v>1000</v>
      </c>
      <c r="K12" s="42">
        <v>1000</v>
      </c>
      <c r="L12" s="41">
        <v>1000</v>
      </c>
      <c r="M12" s="42">
        <v>1000</v>
      </c>
      <c r="N12" s="41">
        <v>1000</v>
      </c>
      <c r="O12" s="42">
        <v>1000</v>
      </c>
      <c r="P12" s="41">
        <v>1000</v>
      </c>
      <c r="Q12" s="42">
        <v>1000</v>
      </c>
      <c r="R12" s="201">
        <v>1000</v>
      </c>
      <c r="S12" s="202">
        <v>1000</v>
      </c>
      <c r="T12" s="41"/>
      <c r="U12" s="42"/>
      <c r="V12" s="41"/>
      <c r="W12" s="42"/>
      <c r="X12" s="41"/>
      <c r="Y12" s="42"/>
      <c r="Z12" s="41"/>
      <c r="AA12" s="42"/>
      <c r="AB12" s="41"/>
      <c r="AC12" s="42"/>
      <c r="AD12" s="41"/>
      <c r="AE12" s="42"/>
      <c r="AF12" s="41"/>
      <c r="AG12" s="42"/>
      <c r="AH12" s="41"/>
      <c r="AI12" s="42"/>
      <c r="AJ12" s="41"/>
      <c r="AK12" s="42"/>
      <c r="AL12" s="41"/>
      <c r="AM12" s="42"/>
      <c r="AN12" s="41"/>
      <c r="AO12" s="42"/>
      <c r="AP12" s="41"/>
      <c r="AQ12" s="42"/>
      <c r="AR12" s="41"/>
      <c r="AS12" s="42"/>
      <c r="AT12" s="41"/>
      <c r="AU12" s="42"/>
      <c r="AV12" s="41"/>
      <c r="AW12" s="42"/>
      <c r="AX12" s="41"/>
      <c r="AY12" s="42"/>
      <c r="AZ12" s="41"/>
      <c r="BA12" s="42"/>
      <c r="BB12" s="41"/>
      <c r="BC12" s="42"/>
      <c r="BD12" s="41"/>
      <c r="BE12" s="42"/>
      <c r="BF12" s="41"/>
      <c r="BG12" s="42"/>
      <c r="BH12" s="41"/>
      <c r="BI12" s="42"/>
      <c r="BJ12" s="41"/>
      <c r="BK12" s="42"/>
      <c r="BL12" s="41"/>
      <c r="BM12" s="42"/>
      <c r="BN12" s="41"/>
      <c r="BO12" s="42"/>
      <c r="BP12" s="41"/>
      <c r="BQ12" s="42"/>
      <c r="BR12" s="41"/>
      <c r="BS12" s="42"/>
      <c r="BT12" s="41"/>
      <c r="BU12" s="42"/>
      <c r="BV12" s="41"/>
      <c r="BW12" s="42"/>
      <c r="BX12" s="41"/>
      <c r="BY12" s="42"/>
      <c r="BZ12" s="41"/>
      <c r="CA12" s="42"/>
      <c r="CB12" s="41"/>
      <c r="CC12" s="42"/>
      <c r="CD12" s="41"/>
      <c r="CE12" s="42"/>
      <c r="CF12" s="41"/>
      <c r="CG12" s="42"/>
      <c r="CH12" s="41"/>
      <c r="CI12" s="42"/>
      <c r="CJ12" s="41"/>
      <c r="CK12" s="42"/>
      <c r="CL12" s="41"/>
      <c r="CM12" s="42"/>
      <c r="CN12" s="41"/>
      <c r="CO12" s="42"/>
      <c r="CP12" s="41"/>
      <c r="CQ12" s="42"/>
    </row>
    <row r="13" spans="1:95" ht="10.5" x14ac:dyDescent="0.25">
      <c r="A13" t="s">
        <v>17</v>
      </c>
      <c r="B13" s="97">
        <v>1000</v>
      </c>
      <c r="C13" s="98">
        <v>1000</v>
      </c>
      <c r="D13" s="97">
        <v>1001.6651170904997</v>
      </c>
      <c r="E13" s="98">
        <v>1001.6651170904997</v>
      </c>
      <c r="F13" s="97">
        <v>1003.8190749303536</v>
      </c>
      <c r="G13" s="98">
        <v>1003.8190749303536</v>
      </c>
      <c r="H13" s="97">
        <v>1006.6054052985872</v>
      </c>
      <c r="I13" s="98">
        <v>1006.6054052985872</v>
      </c>
      <c r="J13" s="97">
        <v>1010.2491425453273</v>
      </c>
      <c r="K13" s="98">
        <v>1010.2491425453273</v>
      </c>
      <c r="L13" s="97">
        <v>1015.1363784669835</v>
      </c>
      <c r="M13" s="98">
        <v>1015.1363784669835</v>
      </c>
      <c r="N13" s="97">
        <v>1022.0512779111502</v>
      </c>
      <c r="O13" s="98">
        <v>1022.0512779111502</v>
      </c>
      <c r="P13" s="97">
        <v>1033.6356085060095</v>
      </c>
      <c r="Q13" s="98">
        <v>1033.6356085060095</v>
      </c>
      <c r="R13" s="207">
        <v>1039.9607631746205</v>
      </c>
      <c r="S13" s="208">
        <v>1039.9607631746205</v>
      </c>
      <c r="T13" s="97"/>
      <c r="U13" s="98"/>
      <c r="V13" s="97"/>
      <c r="W13" s="98"/>
      <c r="X13" s="97"/>
      <c r="Y13" s="98"/>
      <c r="Z13" s="97"/>
      <c r="AA13" s="98"/>
      <c r="AB13" s="97"/>
      <c r="AC13" s="98"/>
      <c r="AD13" s="97"/>
      <c r="AE13" s="98"/>
      <c r="AF13" s="97"/>
      <c r="AG13" s="98"/>
      <c r="AH13" s="97"/>
      <c r="AI13" s="98"/>
      <c r="AJ13" s="97"/>
      <c r="AK13" s="98"/>
      <c r="AL13" s="97"/>
      <c r="AM13" s="98"/>
      <c r="AN13" s="97"/>
      <c r="AO13" s="98"/>
      <c r="AP13" s="97"/>
      <c r="AQ13" s="98"/>
      <c r="AR13" s="97"/>
      <c r="AS13" s="98"/>
      <c r="AT13" s="97"/>
      <c r="AU13" s="98"/>
      <c r="AV13" s="97"/>
      <c r="AW13" s="98"/>
      <c r="AX13" s="97"/>
      <c r="AY13" s="98"/>
      <c r="AZ13" s="97"/>
      <c r="BA13" s="98"/>
      <c r="BB13" s="97"/>
      <c r="BC13" s="98"/>
      <c r="BD13" s="97"/>
      <c r="BE13" s="98"/>
      <c r="BF13" s="97"/>
      <c r="BG13" s="98"/>
      <c r="BH13" s="97"/>
      <c r="BI13" s="98"/>
      <c r="BJ13" s="97"/>
      <c r="BK13" s="98"/>
      <c r="BL13" s="97"/>
      <c r="BM13" s="98"/>
      <c r="BN13" s="97"/>
      <c r="BO13" s="98"/>
      <c r="BP13" s="97"/>
      <c r="BQ13" s="98"/>
      <c r="BR13" s="97"/>
      <c r="BS13" s="98"/>
      <c r="BT13" s="97"/>
      <c r="BU13" s="98"/>
      <c r="BV13" s="97"/>
      <c r="BW13" s="98"/>
      <c r="BX13" s="97"/>
      <c r="BY13" s="98"/>
      <c r="BZ13" s="97"/>
      <c r="CA13" s="98"/>
      <c r="CB13" s="97"/>
      <c r="CC13" s="98"/>
      <c r="CD13" s="97"/>
      <c r="CE13" s="98"/>
      <c r="CF13" s="97"/>
      <c r="CG13" s="98"/>
      <c r="CH13" s="97"/>
      <c r="CI13" s="98"/>
      <c r="CJ13" s="97"/>
      <c r="CK13" s="98"/>
      <c r="CL13" s="97"/>
      <c r="CM13" s="98"/>
      <c r="CN13" s="97"/>
      <c r="CO13" s="98"/>
      <c r="CP13" s="97"/>
      <c r="CQ13" s="98"/>
    </row>
    <row r="14" spans="1:95" ht="10.5" x14ac:dyDescent="0.25">
      <c r="A14" t="s">
        <v>36</v>
      </c>
      <c r="B14" s="41">
        <v>1571.7032514685595</v>
      </c>
      <c r="C14" s="42">
        <v>1562.3699911127492</v>
      </c>
      <c r="D14" s="41">
        <v>1574.3203214137739</v>
      </c>
      <c r="E14" s="42">
        <v>1564.9715200866349</v>
      </c>
      <c r="F14" s="41">
        <v>1577.7057039541985</v>
      </c>
      <c r="G14" s="42">
        <v>1568.3367991777445</v>
      </c>
      <c r="H14" s="41">
        <v>1582.0849884536169</v>
      </c>
      <c r="I14" s="42">
        <v>1572.6900781303989</v>
      </c>
      <c r="J14" s="41">
        <v>1587.8118621318154</v>
      </c>
      <c r="K14" s="42">
        <v>1578.3829438602054</v>
      </c>
      <c r="L14" s="41">
        <v>1595.4931467205763</v>
      </c>
      <c r="M14" s="42">
        <v>1586.0186146036892</v>
      </c>
      <c r="N14" s="41">
        <v>1606.3613166605512</v>
      </c>
      <c r="O14" s="42">
        <v>1596.8222459868177</v>
      </c>
      <c r="P14" s="41">
        <v>1624.5684467225783</v>
      </c>
      <c r="Q14" s="42">
        <v>1614.921256475355</v>
      </c>
      <c r="R14" s="201">
        <v>1634.5097128812758</v>
      </c>
      <c r="S14" s="202">
        <v>1624.8034883187397</v>
      </c>
      <c r="T14" s="41"/>
      <c r="U14" s="42"/>
      <c r="V14" s="41"/>
      <c r="W14" s="42"/>
      <c r="X14" s="41"/>
      <c r="Y14" s="42"/>
      <c r="Z14" s="41"/>
      <c r="AA14" s="42"/>
      <c r="AB14" s="41"/>
      <c r="AC14" s="42"/>
      <c r="AD14" s="41"/>
      <c r="AE14" s="42"/>
      <c r="AF14" s="41"/>
      <c r="AG14" s="42"/>
      <c r="AH14" s="41"/>
      <c r="AI14" s="42"/>
      <c r="AJ14" s="41"/>
      <c r="AK14" s="42"/>
      <c r="AL14" s="41"/>
      <c r="AM14" s="42"/>
      <c r="AN14" s="41"/>
      <c r="AO14" s="42"/>
      <c r="AP14" s="41"/>
      <c r="AQ14" s="42"/>
      <c r="AR14" s="41"/>
      <c r="AS14" s="42"/>
      <c r="AT14" s="41"/>
      <c r="AU14" s="42"/>
      <c r="AV14" s="41"/>
      <c r="AW14" s="42"/>
      <c r="AX14" s="41"/>
      <c r="AY14" s="42"/>
      <c r="AZ14" s="41"/>
      <c r="BA14" s="42"/>
      <c r="BB14" s="41"/>
      <c r="BC14" s="42"/>
      <c r="BD14" s="41"/>
      <c r="BE14" s="42"/>
      <c r="BF14" s="41"/>
      <c r="BG14" s="42"/>
      <c r="BH14" s="41"/>
      <c r="BI14" s="42"/>
      <c r="BJ14" s="41"/>
      <c r="BK14" s="42"/>
      <c r="BL14" s="41"/>
      <c r="BM14" s="42"/>
      <c r="BN14" s="41"/>
      <c r="BO14" s="42"/>
      <c r="BP14" s="41"/>
      <c r="BQ14" s="42"/>
      <c r="BR14" s="41"/>
      <c r="BS14" s="42"/>
      <c r="BT14" s="41"/>
      <c r="BU14" s="42"/>
      <c r="BV14" s="41"/>
      <c r="BW14" s="42"/>
      <c r="BX14" s="41"/>
      <c r="BY14" s="42"/>
      <c r="BZ14" s="41"/>
      <c r="CA14" s="42"/>
      <c r="CB14" s="41"/>
      <c r="CC14" s="42"/>
      <c r="CD14" s="41"/>
      <c r="CE14" s="42"/>
      <c r="CF14" s="41"/>
      <c r="CG14" s="42"/>
      <c r="CH14" s="41"/>
      <c r="CI14" s="42"/>
      <c r="CJ14" s="41"/>
      <c r="CK14" s="42"/>
      <c r="CL14" s="41"/>
      <c r="CM14" s="42"/>
      <c r="CN14" s="41"/>
      <c r="CO14" s="42"/>
      <c r="CP14" s="41"/>
      <c r="CQ14" s="42"/>
    </row>
    <row r="15" spans="1:95" ht="10.5" x14ac:dyDescent="0.25">
      <c r="A15" t="s">
        <v>18</v>
      </c>
      <c r="B15" s="154">
        <v>1000</v>
      </c>
      <c r="C15" s="155">
        <v>1000</v>
      </c>
      <c r="D15" s="154">
        <v>984.99249056924634</v>
      </c>
      <c r="E15" s="155">
        <v>984.99249056924634</v>
      </c>
      <c r="F15" s="154">
        <v>967.28863080839244</v>
      </c>
      <c r="G15" s="155">
        <v>967.28863080839244</v>
      </c>
      <c r="H15" s="154">
        <v>945.81911454588612</v>
      </c>
      <c r="I15" s="155">
        <v>945.81911454588612</v>
      </c>
      <c r="J15" s="154">
        <v>918.75450352232974</v>
      </c>
      <c r="K15" s="155">
        <v>918.75450352232974</v>
      </c>
      <c r="L15" s="154">
        <v>882.54172550618603</v>
      </c>
      <c r="M15" s="155">
        <v>882.54172550618603</v>
      </c>
      <c r="N15" s="154">
        <v>828.52604036752211</v>
      </c>
      <c r="O15" s="155">
        <v>828.52604036752211</v>
      </c>
      <c r="P15" s="154">
        <v>717.48174948683447</v>
      </c>
      <c r="Q15" s="155">
        <v>717.48174948683447</v>
      </c>
      <c r="R15" s="209">
        <v>173.49422659234449</v>
      </c>
      <c r="S15" s="210">
        <v>173.49422659234449</v>
      </c>
      <c r="T15" s="154"/>
      <c r="U15" s="155"/>
      <c r="V15" s="154"/>
      <c r="W15" s="155"/>
      <c r="X15" s="154"/>
      <c r="Y15" s="155"/>
      <c r="Z15" s="154"/>
      <c r="AA15" s="155"/>
      <c r="AB15" s="154"/>
      <c r="AC15" s="155"/>
      <c r="AD15" s="154"/>
      <c r="AE15" s="155"/>
      <c r="AF15" s="154"/>
      <c r="AG15" s="155"/>
      <c r="AH15" s="154"/>
      <c r="AI15" s="155"/>
      <c r="AJ15" s="154"/>
      <c r="AK15" s="155"/>
      <c r="AL15" s="154"/>
      <c r="AM15" s="155"/>
      <c r="AN15" s="154"/>
      <c r="AO15" s="155"/>
      <c r="AP15" s="154"/>
      <c r="AQ15" s="155"/>
      <c r="AR15" s="154"/>
      <c r="AS15" s="155"/>
      <c r="AT15" s="154"/>
      <c r="AU15" s="155"/>
      <c r="AV15" s="154"/>
      <c r="AW15" s="155"/>
      <c r="AX15" s="99"/>
      <c r="AY15" s="100"/>
      <c r="AZ15" s="99"/>
      <c r="BA15" s="100"/>
      <c r="BB15" s="99"/>
      <c r="BC15" s="100"/>
      <c r="BD15" s="99"/>
      <c r="BE15" s="100"/>
      <c r="BF15" s="99"/>
      <c r="BG15" s="100"/>
      <c r="BH15" s="99"/>
      <c r="BI15" s="100"/>
      <c r="BJ15" s="99"/>
      <c r="BK15" s="100"/>
      <c r="BL15" s="99"/>
      <c r="BM15" s="100"/>
      <c r="BN15" s="99"/>
      <c r="BO15" s="100"/>
      <c r="BP15" s="99"/>
      <c r="BQ15" s="100"/>
      <c r="BR15" s="99"/>
      <c r="BS15" s="100"/>
      <c r="BT15" s="99"/>
      <c r="BU15" s="100"/>
      <c r="BV15" s="99"/>
      <c r="BW15" s="100"/>
      <c r="BX15" s="99"/>
      <c r="BY15" s="100"/>
      <c r="BZ15" s="99"/>
      <c r="CA15" s="100"/>
      <c r="CB15" s="99"/>
      <c r="CC15" s="100"/>
      <c r="CD15" s="99"/>
      <c r="CE15" s="100"/>
      <c r="CF15" s="99"/>
      <c r="CG15" s="100"/>
      <c r="CH15" s="99"/>
      <c r="CI15" s="100"/>
      <c r="CJ15" s="99"/>
      <c r="CK15" s="100"/>
      <c r="CL15" s="99"/>
      <c r="CM15" s="100"/>
      <c r="CN15" s="99"/>
      <c r="CO15" s="100"/>
      <c r="CP15" s="99"/>
      <c r="CQ15" s="100"/>
    </row>
    <row r="16" spans="1:95" s="29" customFormat="1" ht="10.5" x14ac:dyDescent="0.25">
      <c r="A16" t="s">
        <v>61</v>
      </c>
      <c r="B16" s="41">
        <v>1000</v>
      </c>
      <c r="C16" s="42">
        <v>1000</v>
      </c>
      <c r="D16" s="41">
        <v>993.67888102386951</v>
      </c>
      <c r="E16" s="42">
        <v>989.08155990180262</v>
      </c>
      <c r="F16" s="41">
        <v>986.84038148525974</v>
      </c>
      <c r="G16" s="42">
        <v>976.44150232533286</v>
      </c>
      <c r="H16" s="41">
        <v>979.34077668762995</v>
      </c>
      <c r="I16" s="42">
        <v>961.42636974149957</v>
      </c>
      <c r="J16" s="41">
        <v>970.9649647022178</v>
      </c>
      <c r="K16" s="42">
        <v>942.93389640529847</v>
      </c>
      <c r="L16" s="41">
        <v>961.35513894710209</v>
      </c>
      <c r="M16" s="42">
        <v>918.85710253557795</v>
      </c>
      <c r="N16" s="41">
        <v>949.78866287945812</v>
      </c>
      <c r="O16" s="42">
        <v>884.15257479545562</v>
      </c>
      <c r="P16" s="41">
        <v>933.70181627033094</v>
      </c>
      <c r="Q16" s="42">
        <v>816.44265813206118</v>
      </c>
      <c r="R16" s="201">
        <v>930.55324173583278</v>
      </c>
      <c r="S16" s="202">
        <v>528.61573033406239</v>
      </c>
      <c r="T16" s="41"/>
      <c r="U16" s="42"/>
      <c r="V16" s="41"/>
      <c r="W16" s="42"/>
      <c r="X16" s="41"/>
      <c r="Y16" s="42"/>
      <c r="Z16" s="41"/>
      <c r="AA16" s="42"/>
      <c r="AB16" s="41"/>
      <c r="AC16" s="42"/>
      <c r="AD16" s="41"/>
      <c r="AE16" s="42"/>
      <c r="AF16" s="41"/>
      <c r="AG16" s="42"/>
      <c r="AH16" s="41"/>
      <c r="AI16" s="42"/>
      <c r="AJ16" s="41"/>
      <c r="AK16" s="42"/>
      <c r="AL16" s="41"/>
      <c r="AM16" s="42"/>
      <c r="AN16" s="41"/>
      <c r="AO16" s="42"/>
      <c r="AP16" s="41"/>
      <c r="AQ16" s="42"/>
      <c r="AR16" s="41"/>
      <c r="AS16" s="42"/>
      <c r="AT16" s="41"/>
      <c r="AU16" s="42"/>
      <c r="AV16" s="41"/>
      <c r="AW16" s="42"/>
      <c r="AX16" s="41"/>
      <c r="AY16" s="42"/>
      <c r="AZ16" s="41"/>
      <c r="BA16" s="42"/>
      <c r="BB16" s="41"/>
      <c r="BC16" s="42"/>
      <c r="BD16" s="41"/>
      <c r="BE16" s="42"/>
      <c r="BF16" s="41"/>
      <c r="BG16" s="42"/>
      <c r="BH16" s="41"/>
      <c r="BI16" s="42"/>
      <c r="BJ16" s="41"/>
      <c r="BK16" s="42"/>
      <c r="BL16" s="41"/>
      <c r="BM16" s="42"/>
      <c r="BN16" s="41"/>
      <c r="BO16" s="42"/>
      <c r="BP16" s="41"/>
      <c r="BQ16" s="42"/>
      <c r="BR16" s="41"/>
      <c r="BS16" s="42"/>
      <c r="BT16" s="41"/>
      <c r="BU16" s="42"/>
      <c r="BV16" s="41"/>
      <c r="BW16" s="42"/>
      <c r="BX16" s="41"/>
      <c r="BY16" s="42"/>
      <c r="BZ16" s="41"/>
      <c r="CA16" s="42"/>
      <c r="CB16" s="41"/>
      <c r="CC16" s="42"/>
      <c r="CD16" s="41"/>
      <c r="CE16" s="42"/>
      <c r="CF16" s="41"/>
      <c r="CG16" s="42"/>
      <c r="CH16" s="41"/>
      <c r="CI16" s="42"/>
      <c r="CJ16" s="41"/>
      <c r="CK16" s="42"/>
      <c r="CL16" s="41"/>
      <c r="CM16" s="42"/>
      <c r="CN16" s="41"/>
      <c r="CO16" s="42"/>
      <c r="CP16" s="41"/>
      <c r="CQ16" s="42"/>
    </row>
    <row r="17" spans="1:95" ht="10.5" x14ac:dyDescent="0.25">
      <c r="A17" t="s">
        <v>62</v>
      </c>
      <c r="B17" s="35">
        <v>999.99999999999977</v>
      </c>
      <c r="C17" s="36">
        <v>1000.0000000000007</v>
      </c>
      <c r="D17" s="35">
        <v>997.60447860086924</v>
      </c>
      <c r="E17" s="36">
        <v>1044.7639454027367</v>
      </c>
      <c r="F17" s="35">
        <v>995.21250587218617</v>
      </c>
      <c r="G17" s="36">
        <v>1096.7810842131209</v>
      </c>
      <c r="H17" s="35">
        <v>992.82496953275393</v>
      </c>
      <c r="I17" s="36">
        <v>1158.2085809428968</v>
      </c>
      <c r="J17" s="35">
        <v>990.44687891997251</v>
      </c>
      <c r="K17" s="36">
        <v>1232.3426152635591</v>
      </c>
      <c r="L17" s="35">
        <v>988.09006652108849</v>
      </c>
      <c r="M17" s="36">
        <v>1324.6976940596508</v>
      </c>
      <c r="N17" s="35">
        <v>985.77651854184955</v>
      </c>
      <c r="O17" s="36">
        <v>1446.1600114570927</v>
      </c>
      <c r="P17" s="35">
        <v>983.50921147201518</v>
      </c>
      <c r="Q17" s="36">
        <v>1631.8241648888754</v>
      </c>
      <c r="R17" s="205">
        <v>985.00810599596139</v>
      </c>
      <c r="S17" s="206">
        <v>1598.2276613509266</v>
      </c>
      <c r="T17" s="35"/>
      <c r="U17" s="36"/>
      <c r="V17" s="35"/>
      <c r="W17" s="36"/>
      <c r="X17" s="35"/>
      <c r="Y17" s="36"/>
      <c r="Z17" s="35"/>
      <c r="AA17" s="36"/>
      <c r="AB17" s="35"/>
      <c r="AC17" s="36"/>
      <c r="AD17" s="35"/>
      <c r="AE17" s="36"/>
      <c r="AF17" s="35"/>
      <c r="AG17" s="36"/>
      <c r="AH17" s="35"/>
      <c r="AI17" s="36"/>
      <c r="AJ17" s="35"/>
      <c r="AK17" s="36"/>
      <c r="AL17" s="35"/>
      <c r="AM17" s="36"/>
      <c r="AN17" s="35"/>
      <c r="AO17" s="36"/>
      <c r="AP17" s="35"/>
      <c r="AQ17" s="36"/>
      <c r="AR17" s="35"/>
      <c r="AS17" s="36"/>
      <c r="AT17" s="35"/>
      <c r="AU17" s="36"/>
      <c r="AV17" s="35"/>
      <c r="AW17" s="36"/>
      <c r="AX17" s="35"/>
      <c r="AY17" s="36"/>
      <c r="AZ17" s="35"/>
      <c r="BA17" s="36"/>
      <c r="BB17" s="35"/>
      <c r="BC17" s="36"/>
      <c r="BD17" s="35"/>
      <c r="BE17" s="36"/>
      <c r="BF17" s="35"/>
      <c r="BG17" s="36"/>
      <c r="BH17" s="35"/>
      <c r="BI17" s="36"/>
      <c r="BJ17" s="35"/>
      <c r="BK17" s="36"/>
      <c r="BL17" s="35"/>
      <c r="BM17" s="36"/>
      <c r="BN17" s="35"/>
      <c r="BO17" s="36"/>
      <c r="BP17" s="35"/>
      <c r="BQ17" s="36"/>
      <c r="BR17" s="35"/>
      <c r="BS17" s="36"/>
      <c r="BT17" s="35"/>
      <c r="BU17" s="36"/>
      <c r="BV17" s="35"/>
      <c r="BW17" s="36"/>
      <c r="BX17" s="35"/>
      <c r="BY17" s="36"/>
      <c r="BZ17" s="35"/>
      <c r="CA17" s="36"/>
      <c r="CB17" s="35"/>
      <c r="CC17" s="36"/>
      <c r="CD17" s="35"/>
      <c r="CE17" s="36"/>
      <c r="CF17" s="35"/>
      <c r="CG17" s="36"/>
      <c r="CH17" s="35"/>
      <c r="CI17" s="36"/>
      <c r="CJ17" s="35"/>
      <c r="CK17" s="36"/>
      <c r="CL17" s="35"/>
      <c r="CM17" s="36"/>
      <c r="CN17" s="35"/>
      <c r="CO17" s="36"/>
      <c r="CP17" s="35"/>
      <c r="CQ17" s="36"/>
    </row>
    <row r="18" spans="1:95" ht="10.5" x14ac:dyDescent="0.25">
      <c r="A18" t="s">
        <v>19</v>
      </c>
      <c r="B18" s="33">
        <v>21498.981358265999</v>
      </c>
      <c r="C18" s="34">
        <v>834.03652123400332</v>
      </c>
      <c r="D18" s="33">
        <v>21763.40794483908</v>
      </c>
      <c r="E18" s="34">
        <v>746.12141109633444</v>
      </c>
      <c r="F18" s="33">
        <v>22057.007604283957</v>
      </c>
      <c r="G18" s="34">
        <v>658.877359909147</v>
      </c>
      <c r="H18" s="33">
        <v>22390.302399573804</v>
      </c>
      <c r="I18" s="34">
        <v>572.37770712099302</v>
      </c>
      <c r="J18" s="33">
        <v>22780.776245381323</v>
      </c>
      <c r="K18" s="34">
        <v>486.67930239600338</v>
      </c>
      <c r="L18" s="33">
        <v>23261.371800681849</v>
      </c>
      <c r="M18" s="34">
        <v>401.74095696435126</v>
      </c>
      <c r="N18" s="33">
        <v>23909.770517065965</v>
      </c>
      <c r="O18" s="34">
        <v>317.04016096723802</v>
      </c>
      <c r="P18" s="33">
        <v>25065.045472955684</v>
      </c>
      <c r="Q18" s="34">
        <v>228.11775208366171</v>
      </c>
      <c r="R18" s="203">
        <v>29002.106744765661</v>
      </c>
      <c r="S18" s="204">
        <v>275.45657674683815</v>
      </c>
      <c r="T18" s="33"/>
      <c r="U18" s="34"/>
      <c r="V18" s="33"/>
      <c r="W18" s="34"/>
      <c r="X18" s="33"/>
      <c r="Y18" s="34"/>
      <c r="Z18" s="33"/>
      <c r="AA18" s="34"/>
      <c r="AB18" s="33"/>
      <c r="AC18" s="34"/>
      <c r="AD18" s="33"/>
      <c r="AE18" s="34"/>
      <c r="AF18" s="33"/>
      <c r="AG18" s="34"/>
      <c r="AH18" s="33"/>
      <c r="AI18" s="34"/>
      <c r="AJ18" s="33"/>
      <c r="AK18" s="34"/>
      <c r="AL18" s="33"/>
      <c r="AM18" s="34"/>
      <c r="AN18" s="33"/>
      <c r="AO18" s="34"/>
      <c r="AP18" s="33"/>
      <c r="AQ18" s="34"/>
      <c r="AR18" s="33"/>
      <c r="AS18" s="34"/>
      <c r="AT18" s="33"/>
      <c r="AU18" s="34"/>
      <c r="AV18" s="33"/>
      <c r="AW18" s="34"/>
      <c r="AX18" s="41"/>
      <c r="AY18" s="42"/>
      <c r="AZ18" s="41"/>
      <c r="BA18" s="42"/>
      <c r="BB18" s="41"/>
      <c r="BC18" s="42"/>
      <c r="BD18" s="41"/>
      <c r="BE18" s="42"/>
      <c r="BF18" s="41"/>
      <c r="BG18" s="42"/>
      <c r="BH18" s="41"/>
      <c r="BI18" s="42"/>
      <c r="BJ18" s="41"/>
      <c r="BK18" s="42"/>
      <c r="BL18" s="41"/>
      <c r="BM18" s="42"/>
      <c r="BN18" s="41"/>
      <c r="BO18" s="42"/>
      <c r="BP18" s="41"/>
      <c r="BQ18" s="42"/>
      <c r="BR18" s="41"/>
      <c r="BS18" s="42"/>
      <c r="BT18" s="41"/>
      <c r="BU18" s="42"/>
      <c r="BV18" s="41"/>
      <c r="BW18" s="42"/>
      <c r="BX18" s="41"/>
      <c r="BY18" s="42"/>
      <c r="BZ18" s="41"/>
      <c r="CA18" s="42"/>
      <c r="CB18" s="41"/>
      <c r="CC18" s="42"/>
      <c r="CD18" s="41"/>
      <c r="CE18" s="42"/>
      <c r="CF18" s="41"/>
      <c r="CG18" s="42"/>
      <c r="CH18" s="41"/>
      <c r="CI18" s="42"/>
      <c r="CJ18" s="41"/>
      <c r="CK18" s="42"/>
      <c r="CL18" s="41"/>
      <c r="CM18" s="42"/>
      <c r="CN18" s="41"/>
      <c r="CO18" s="42"/>
      <c r="CP18" s="41"/>
      <c r="CQ18" s="42"/>
    </row>
    <row r="19" spans="1:95" ht="10.5" x14ac:dyDescent="0.25">
      <c r="A19" t="s">
        <v>3</v>
      </c>
      <c r="B19" s="41">
        <v>1782.2320505062355</v>
      </c>
      <c r="C19" s="42">
        <v>450.22976484179208</v>
      </c>
      <c r="D19" s="41">
        <v>1793.1476913887443</v>
      </c>
      <c r="E19" s="42">
        <v>467.51697467327341</v>
      </c>
      <c r="F19" s="41">
        <v>1806.2110343331155</v>
      </c>
      <c r="G19" s="42">
        <v>486.80546744814438</v>
      </c>
      <c r="H19" s="41">
        <v>1822.2393687816011</v>
      </c>
      <c r="I19" s="42">
        <v>508.43381432931989</v>
      </c>
      <c r="J19" s="41">
        <v>1842.6121920511159</v>
      </c>
      <c r="K19" s="42">
        <v>532.89138857087414</v>
      </c>
      <c r="L19" s="41">
        <v>1869.952248295001</v>
      </c>
      <c r="M19" s="42">
        <v>561.01001300902533</v>
      </c>
      <c r="N19" s="41">
        <v>1910.4492200321174</v>
      </c>
      <c r="O19" s="42">
        <v>594.67993565669997</v>
      </c>
      <c r="P19" s="41">
        <v>1990.8229195700892</v>
      </c>
      <c r="Q19" s="42">
        <v>642.6262317141784</v>
      </c>
      <c r="R19" s="201">
        <v>2312.6576733885681</v>
      </c>
      <c r="S19" s="202">
        <v>723.91583889406525</v>
      </c>
      <c r="T19" s="41"/>
      <c r="U19" s="42"/>
      <c r="V19" s="41"/>
      <c r="W19" s="42"/>
      <c r="X19" s="41"/>
      <c r="Y19" s="42"/>
      <c r="Z19" s="41"/>
      <c r="AA19" s="42"/>
      <c r="AB19" s="41"/>
      <c r="AC19" s="42"/>
      <c r="AD19" s="41"/>
      <c r="AE19" s="42"/>
      <c r="AF19" s="41"/>
      <c r="AG19" s="42"/>
      <c r="AH19" s="41"/>
      <c r="AI19" s="42"/>
      <c r="AJ19" s="41"/>
      <c r="AK19" s="42"/>
      <c r="AL19" s="41"/>
      <c r="AM19" s="42"/>
      <c r="AN19" s="41"/>
      <c r="AO19" s="42"/>
      <c r="AP19" s="41"/>
      <c r="AQ19" s="42"/>
      <c r="AR19" s="41"/>
      <c r="AS19" s="42"/>
      <c r="AT19" s="41"/>
      <c r="AU19" s="42"/>
      <c r="AV19" s="41"/>
      <c r="AW19" s="42"/>
      <c r="AX19" s="82"/>
      <c r="AY19" s="83"/>
      <c r="AZ19" s="82"/>
      <c r="BA19" s="83"/>
      <c r="BB19" s="82"/>
      <c r="BC19" s="83"/>
      <c r="BD19" s="82"/>
      <c r="BE19" s="83"/>
      <c r="BF19" s="82"/>
      <c r="BG19" s="83"/>
      <c r="BH19" s="82"/>
      <c r="BI19" s="83"/>
      <c r="BJ19" s="82"/>
      <c r="BK19" s="83"/>
      <c r="BL19" s="82"/>
      <c r="BM19" s="83"/>
      <c r="BN19" s="82"/>
      <c r="BO19" s="83"/>
      <c r="BP19" s="82"/>
      <c r="BQ19" s="83"/>
      <c r="BR19" s="82"/>
      <c r="BS19" s="83"/>
      <c r="BT19" s="82"/>
      <c r="BU19" s="83"/>
      <c r="BV19" s="82"/>
      <c r="BW19" s="83"/>
      <c r="BX19" s="82"/>
      <c r="BY19" s="83"/>
      <c r="BZ19" s="82"/>
      <c r="CA19" s="83"/>
      <c r="CB19" s="82"/>
      <c r="CC19" s="83"/>
      <c r="CD19" s="82"/>
      <c r="CE19" s="83"/>
      <c r="CF19" s="82"/>
      <c r="CG19" s="83"/>
      <c r="CH19" s="82"/>
      <c r="CI19" s="83"/>
      <c r="CJ19" s="82"/>
      <c r="CK19" s="83"/>
      <c r="CL19" s="82"/>
      <c r="CM19" s="83"/>
      <c r="CN19" s="82"/>
      <c r="CO19" s="83"/>
      <c r="CP19" s="82"/>
      <c r="CQ19" s="83"/>
    </row>
    <row r="20" spans="1:95" ht="10.5" x14ac:dyDescent="0.25">
      <c r="A20" t="s">
        <v>127</v>
      </c>
      <c r="B20" s="82">
        <v>20973.127797372959</v>
      </c>
      <c r="C20" s="83">
        <v>1222.2257935314667</v>
      </c>
      <c r="D20" s="82">
        <v>21208.510394412857</v>
      </c>
      <c r="E20" s="83">
        <v>1161.1145038548932</v>
      </c>
      <c r="F20" s="82">
        <v>21471.628150086341</v>
      </c>
      <c r="G20" s="83">
        <v>1100.0032141783201</v>
      </c>
      <c r="H20" s="82">
        <v>21772.624097217824</v>
      </c>
      <c r="I20" s="83">
        <v>1038.8919245017466</v>
      </c>
      <c r="J20" s="82">
        <v>22128.400783908179</v>
      </c>
      <c r="K20" s="83">
        <v>977.78063482517337</v>
      </c>
      <c r="L20" s="82">
        <v>22570.861628802009</v>
      </c>
      <c r="M20" s="83">
        <v>916.66934514860009</v>
      </c>
      <c r="N20" s="82">
        <v>23175.259173199287</v>
      </c>
      <c r="O20" s="83">
        <v>855.55805547202669</v>
      </c>
      <c r="P20" s="82">
        <v>24269.447029347029</v>
      </c>
      <c r="Q20" s="83">
        <v>794.44676579545353</v>
      </c>
      <c r="R20" s="211">
        <v>28101.141944336428</v>
      </c>
      <c r="S20" s="212">
        <v>916.66934514860009</v>
      </c>
      <c r="T20" s="82"/>
      <c r="U20" s="83"/>
      <c r="V20" s="82"/>
      <c r="W20" s="83"/>
      <c r="X20" s="82"/>
      <c r="Y20" s="83"/>
      <c r="Z20" s="82"/>
      <c r="AA20" s="83"/>
      <c r="AB20" s="82"/>
      <c r="AC20" s="83"/>
      <c r="AD20" s="82"/>
      <c r="AE20" s="83"/>
      <c r="AF20" s="82"/>
      <c r="AG20" s="83"/>
      <c r="AH20" s="82"/>
      <c r="AI20" s="83"/>
      <c r="AJ20" s="82"/>
      <c r="AK20" s="83"/>
      <c r="AL20" s="82"/>
      <c r="AM20" s="83"/>
      <c r="AN20" s="82"/>
      <c r="AO20" s="83"/>
      <c r="AP20" s="82"/>
      <c r="AQ20" s="83"/>
      <c r="AR20" s="82"/>
      <c r="AS20" s="83"/>
      <c r="AT20" s="82"/>
      <c r="AU20" s="83"/>
      <c r="AV20" s="82"/>
      <c r="AW20" s="83"/>
      <c r="AX20" s="41"/>
      <c r="AY20" s="42"/>
      <c r="AZ20" s="41"/>
      <c r="BA20" s="42"/>
      <c r="BB20" s="41"/>
      <c r="BC20" s="42"/>
      <c r="BD20" s="41"/>
      <c r="BE20" s="42"/>
      <c r="BF20" s="41"/>
      <c r="BG20" s="42"/>
      <c r="BH20" s="41"/>
      <c r="BI20" s="42"/>
      <c r="BJ20" s="41"/>
      <c r="BK20" s="42"/>
      <c r="BL20" s="41"/>
      <c r="BM20" s="42"/>
      <c r="BN20" s="41"/>
      <c r="BO20" s="42"/>
      <c r="BP20" s="41"/>
      <c r="BQ20" s="42"/>
      <c r="BR20" s="41"/>
      <c r="BS20" s="42"/>
      <c r="BT20" s="41"/>
      <c r="BU20" s="42"/>
      <c r="BV20" s="41"/>
      <c r="BW20" s="42"/>
      <c r="BX20" s="41"/>
      <c r="BY20" s="42"/>
      <c r="BZ20" s="41"/>
      <c r="CA20" s="42"/>
      <c r="CB20" s="41"/>
      <c r="CC20" s="42"/>
      <c r="CD20" s="41"/>
      <c r="CE20" s="42"/>
      <c r="CF20" s="41"/>
      <c r="CG20" s="42"/>
      <c r="CH20" s="41"/>
      <c r="CI20" s="42"/>
      <c r="CJ20" s="41"/>
      <c r="CK20" s="42"/>
      <c r="CL20" s="41"/>
      <c r="CM20" s="42"/>
      <c r="CN20" s="41"/>
      <c r="CO20" s="42"/>
      <c r="CP20" s="41"/>
      <c r="CQ20" s="42"/>
    </row>
    <row r="21" spans="1:95" ht="10.5" x14ac:dyDescent="0.25">
      <c r="A21" t="s">
        <v>76</v>
      </c>
      <c r="B21" s="82">
        <v>19190.895746866718</v>
      </c>
      <c r="C21" s="83">
        <v>771.99602868966781</v>
      </c>
      <c r="D21" s="82">
        <v>19415.37525124395</v>
      </c>
      <c r="E21" s="83">
        <v>694.35418732126766</v>
      </c>
      <c r="F21" s="82">
        <v>19665.467969815796</v>
      </c>
      <c r="G21" s="83">
        <v>616.44961540017687</v>
      </c>
      <c r="H21" s="82">
        <v>19950.500814270032</v>
      </c>
      <c r="I21" s="83">
        <v>538.35700636871547</v>
      </c>
      <c r="J21" s="82">
        <v>20285.998215620242</v>
      </c>
      <c r="K21" s="83">
        <v>460.14474108771805</v>
      </c>
      <c r="L21" s="82">
        <v>20701.242456422464</v>
      </c>
      <c r="M21" s="83">
        <v>381.79585957225976</v>
      </c>
      <c r="N21" s="82">
        <v>21265.298805346582</v>
      </c>
      <c r="O21" s="83">
        <v>302.84582702675425</v>
      </c>
      <c r="P21" s="82">
        <v>22279.313769913348</v>
      </c>
      <c r="Q21" s="83">
        <v>219.09082702077876</v>
      </c>
      <c r="R21" s="211">
        <v>25789.143292737695</v>
      </c>
      <c r="S21" s="212">
        <v>264.34149152414278</v>
      </c>
      <c r="T21" s="82"/>
      <c r="U21" s="83"/>
      <c r="V21" s="82"/>
      <c r="W21" s="83"/>
      <c r="X21" s="82"/>
      <c r="Y21" s="83"/>
      <c r="Z21" s="82"/>
      <c r="AA21" s="83"/>
      <c r="AB21" s="82"/>
      <c r="AC21" s="83"/>
      <c r="AD21" s="82"/>
      <c r="AE21" s="83"/>
      <c r="AF21" s="82"/>
      <c r="AG21" s="83"/>
      <c r="AH21" s="82"/>
      <c r="AI21" s="83"/>
      <c r="AJ21" s="82"/>
      <c r="AK21" s="83"/>
      <c r="AL21" s="82"/>
      <c r="AM21" s="83"/>
      <c r="AN21" s="82"/>
      <c r="AO21" s="83"/>
      <c r="AP21" s="82"/>
      <c r="AQ21" s="83"/>
      <c r="AR21" s="82"/>
      <c r="AS21" s="83"/>
      <c r="AT21" s="82"/>
      <c r="AU21" s="83"/>
      <c r="AV21" s="82"/>
      <c r="AW21" s="83"/>
      <c r="AX21" s="41"/>
      <c r="AY21" s="42"/>
      <c r="AZ21" s="41"/>
      <c r="BA21" s="42"/>
      <c r="BB21" s="41"/>
      <c r="BC21" s="42"/>
      <c r="BD21" s="41"/>
      <c r="BE21" s="42"/>
      <c r="BF21" s="41"/>
      <c r="BG21" s="42"/>
      <c r="BH21" s="41"/>
      <c r="BI21" s="42"/>
      <c r="BJ21" s="41"/>
      <c r="BK21" s="42"/>
      <c r="BL21" s="41"/>
      <c r="BM21" s="42"/>
      <c r="BN21" s="41"/>
      <c r="BO21" s="42"/>
      <c r="BP21" s="41"/>
      <c r="BQ21" s="42"/>
      <c r="BR21" s="41"/>
      <c r="BS21" s="42"/>
      <c r="BT21" s="41"/>
      <c r="BU21" s="42"/>
      <c r="BV21" s="41"/>
      <c r="BW21" s="42"/>
      <c r="BX21" s="41"/>
      <c r="BY21" s="42"/>
      <c r="BZ21" s="41"/>
      <c r="CA21" s="42"/>
      <c r="CB21" s="41"/>
      <c r="CC21" s="42"/>
      <c r="CD21" s="41"/>
      <c r="CE21" s="42"/>
      <c r="CF21" s="41"/>
      <c r="CG21" s="42"/>
      <c r="CH21" s="41"/>
      <c r="CI21" s="42"/>
      <c r="CJ21" s="41"/>
      <c r="CK21" s="42"/>
      <c r="CL21" s="41"/>
      <c r="CM21" s="42"/>
      <c r="CN21" s="41"/>
      <c r="CO21" s="42"/>
      <c r="CP21" s="41"/>
      <c r="CQ21" s="42"/>
    </row>
    <row r="22" spans="1:95" ht="10.5" x14ac:dyDescent="0.25">
      <c r="A22" t="s">
        <v>28</v>
      </c>
      <c r="B22" s="41">
        <v>5896.9295697243906</v>
      </c>
      <c r="C22" s="42">
        <v>340.53228761636638</v>
      </c>
      <c r="D22" s="41">
        <v>5983.3867946688033</v>
      </c>
      <c r="E22" s="42">
        <v>330.81195736351117</v>
      </c>
      <c r="F22" s="41">
        <v>6080.1042115031969</v>
      </c>
      <c r="G22" s="42">
        <v>320.62451404566093</v>
      </c>
      <c r="H22" s="41">
        <v>6190.9272257061448</v>
      </c>
      <c r="I22" s="42">
        <v>309.93102813598279</v>
      </c>
      <c r="J22" s="41">
        <v>6322.3041223809805</v>
      </c>
      <c r="K22" s="42">
        <v>298.68465586173164</v>
      </c>
      <c r="L22" s="41">
        <v>6486.4635378389848</v>
      </c>
      <c r="M22" s="42">
        <v>286.8340756873327</v>
      </c>
      <c r="N22" s="41">
        <v>6712.3412465603524</v>
      </c>
      <c r="O22" s="42">
        <v>274.35528119898134</v>
      </c>
      <c r="P22" s="41">
        <v>7126.0854997996139</v>
      </c>
      <c r="Q22" s="42">
        <v>261.61436651887703</v>
      </c>
      <c r="R22" s="201">
        <v>8614.9896149588421</v>
      </c>
      <c r="S22" s="202">
        <v>306.06258110826951</v>
      </c>
      <c r="T22" s="41"/>
      <c r="U22" s="42"/>
      <c r="V22" s="41"/>
      <c r="W22" s="42"/>
      <c r="X22" s="41"/>
      <c r="Y22" s="42"/>
      <c r="Z22" s="41"/>
      <c r="AA22" s="42"/>
      <c r="AB22" s="41"/>
      <c r="AC22" s="42"/>
      <c r="AD22" s="41"/>
      <c r="AE22" s="42"/>
      <c r="AF22" s="41"/>
      <c r="AG22" s="42"/>
      <c r="AH22" s="41"/>
      <c r="AI22" s="42"/>
      <c r="AJ22" s="41"/>
      <c r="AK22" s="42"/>
      <c r="AL22" s="41"/>
      <c r="AM22" s="42"/>
      <c r="AN22" s="41"/>
      <c r="AO22" s="42"/>
      <c r="AP22" s="41"/>
      <c r="AQ22" s="42"/>
      <c r="AR22" s="41"/>
      <c r="AS22" s="42"/>
      <c r="AT22" s="41"/>
      <c r="AU22" s="42"/>
      <c r="AV22" s="41"/>
      <c r="AW22" s="42"/>
      <c r="AX22" s="116"/>
      <c r="AY22" s="8"/>
      <c r="AZ22" s="116"/>
      <c r="BA22" s="8"/>
      <c r="BB22" s="116"/>
      <c r="BC22" s="8"/>
      <c r="BD22" s="116"/>
      <c r="BE22" s="8"/>
      <c r="BF22" s="116"/>
      <c r="BG22" s="8"/>
      <c r="BH22" s="116"/>
      <c r="BI22" s="8"/>
      <c r="BJ22" s="116"/>
      <c r="BK22" s="8"/>
      <c r="BL22" s="116"/>
      <c r="BM22" s="8"/>
      <c r="BN22" s="116"/>
      <c r="BO22" s="8"/>
      <c r="BP22" s="116"/>
      <c r="BQ22" s="8"/>
      <c r="BR22" s="116"/>
      <c r="BS22" s="8"/>
      <c r="BT22" s="116"/>
      <c r="BU22" s="8"/>
      <c r="BV22" s="116"/>
      <c r="BW22" s="8"/>
      <c r="BX22" s="116"/>
      <c r="BY22" s="8"/>
      <c r="BZ22" s="116"/>
      <c r="CA22" s="8"/>
      <c r="CB22" s="116"/>
      <c r="CC22" s="8"/>
      <c r="CD22" s="116"/>
      <c r="CE22" s="8"/>
      <c r="CF22" s="116"/>
      <c r="CG22" s="8"/>
      <c r="CH22" s="116"/>
      <c r="CI22" s="8"/>
      <c r="CJ22" s="116"/>
      <c r="CK22" s="8"/>
      <c r="CL22" s="116"/>
      <c r="CM22" s="8"/>
      <c r="CN22" s="116"/>
      <c r="CO22" s="8"/>
      <c r="CP22" s="116"/>
      <c r="CQ22" s="8"/>
    </row>
    <row r="23" spans="1:95" ht="10.5" x14ac:dyDescent="0.25">
      <c r="A23" t="s">
        <v>7</v>
      </c>
      <c r="B23" s="116">
        <v>2396.8717103698964</v>
      </c>
      <c r="C23" s="8">
        <v>0</v>
      </c>
      <c r="D23" s="116">
        <v>2427.0977121099995</v>
      </c>
      <c r="E23" s="8">
        <v>0</v>
      </c>
      <c r="F23" s="116">
        <v>2460.8201817339673</v>
      </c>
      <c r="G23" s="8">
        <v>0</v>
      </c>
      <c r="H23" s="116">
        <v>2499.3116709864694</v>
      </c>
      <c r="I23" s="8">
        <v>0</v>
      </c>
      <c r="J23" s="116">
        <v>2544.6902027746714</v>
      </c>
      <c r="K23" s="8">
        <v>0</v>
      </c>
      <c r="L23" s="116">
        <v>2600.9424419333072</v>
      </c>
      <c r="M23" s="8">
        <v>0</v>
      </c>
      <c r="N23" s="116">
        <v>2677.4256880354537</v>
      </c>
      <c r="O23" s="8">
        <v>0</v>
      </c>
      <c r="P23" s="116">
        <v>2814.5552242037861</v>
      </c>
      <c r="Q23" s="8">
        <v>0</v>
      </c>
      <c r="R23" s="213">
        <v>3270.4451200298363</v>
      </c>
      <c r="S23" s="214">
        <v>0</v>
      </c>
      <c r="T23" s="116"/>
      <c r="U23" s="8"/>
      <c r="V23" s="116"/>
      <c r="W23" s="8"/>
      <c r="X23" s="116"/>
      <c r="Y23" s="8"/>
      <c r="Z23" s="116"/>
      <c r="AA23" s="8"/>
      <c r="AB23" s="116"/>
      <c r="AC23" s="8"/>
      <c r="AD23" s="116"/>
      <c r="AE23" s="8"/>
      <c r="AF23" s="116"/>
      <c r="AG23" s="8"/>
      <c r="AH23" s="116"/>
      <c r="AI23" s="8"/>
      <c r="AJ23" s="116"/>
      <c r="AK23" s="8"/>
      <c r="AL23" s="116"/>
      <c r="AM23" s="8"/>
      <c r="AN23" s="116"/>
      <c r="AO23" s="8"/>
      <c r="AP23" s="116"/>
      <c r="AQ23" s="8"/>
      <c r="AR23" s="116"/>
      <c r="AS23" s="8"/>
      <c r="AT23" s="116"/>
      <c r="AU23" s="8"/>
      <c r="AV23" s="116"/>
      <c r="AW23" s="8"/>
      <c r="AX23" s="59"/>
      <c r="AY23" s="8"/>
      <c r="AZ23" s="59"/>
      <c r="BA23" s="8"/>
      <c r="BB23" s="59"/>
      <c r="BC23" s="8"/>
      <c r="BD23" s="59"/>
      <c r="BE23" s="8"/>
      <c r="BF23" s="59"/>
      <c r="BG23" s="8"/>
      <c r="BH23" s="59"/>
      <c r="BI23" s="8"/>
      <c r="BJ23" s="59"/>
      <c r="BK23" s="8"/>
      <c r="BL23" s="59"/>
      <c r="BM23" s="8"/>
      <c r="BN23" s="59"/>
      <c r="BO23" s="8"/>
      <c r="BP23" s="59"/>
      <c r="BQ23" s="8"/>
      <c r="BR23" s="59"/>
      <c r="BS23" s="8"/>
      <c r="BT23" s="59"/>
      <c r="BU23" s="8"/>
      <c r="BV23" s="59"/>
      <c r="BW23" s="8"/>
      <c r="BX23" s="59"/>
      <c r="BY23" s="8"/>
      <c r="BZ23" s="59"/>
      <c r="CA23" s="8"/>
      <c r="CB23" s="59"/>
      <c r="CC23" s="8"/>
      <c r="CD23" s="59"/>
      <c r="CE23" s="8"/>
      <c r="CF23" s="59"/>
      <c r="CG23" s="8"/>
      <c r="CH23" s="59"/>
      <c r="CI23" s="8"/>
      <c r="CJ23" s="59"/>
      <c r="CK23" s="8"/>
      <c r="CL23" s="59"/>
      <c r="CM23" s="8"/>
      <c r="CN23" s="59"/>
      <c r="CO23" s="8"/>
      <c r="CP23" s="59"/>
      <c r="CQ23" s="8"/>
    </row>
    <row r="24" spans="1:95" ht="10.5" x14ac:dyDescent="0.25">
      <c r="A24" t="s">
        <v>8</v>
      </c>
      <c r="B24" s="97">
        <v>2261.1304131516072</v>
      </c>
      <c r="C24" s="8">
        <v>0</v>
      </c>
      <c r="D24" s="97">
        <v>2266.8521078556701</v>
      </c>
      <c r="E24" s="8">
        <v>0</v>
      </c>
      <c r="F24" s="97">
        <v>2272.6071978459699</v>
      </c>
      <c r="G24" s="8">
        <v>0</v>
      </c>
      <c r="H24" s="97">
        <v>2278.3939002065813</v>
      </c>
      <c r="I24" s="8">
        <v>0</v>
      </c>
      <c r="J24" s="97">
        <v>2284.2002710339575</v>
      </c>
      <c r="K24" s="8">
        <v>0</v>
      </c>
      <c r="L24" s="97">
        <v>2289.9971695843901</v>
      </c>
      <c r="M24" s="8">
        <v>0</v>
      </c>
      <c r="N24" s="97">
        <v>2295.7293423651449</v>
      </c>
      <c r="O24" s="8">
        <v>0</v>
      </c>
      <c r="P24" s="97">
        <v>2301.3875495570596</v>
      </c>
      <c r="Q24" s="8">
        <v>0</v>
      </c>
      <c r="R24" s="207">
        <v>2297.6424316491898</v>
      </c>
      <c r="S24" s="214">
        <v>0</v>
      </c>
      <c r="T24" s="97"/>
      <c r="U24" s="8"/>
      <c r="V24" s="97"/>
      <c r="W24" s="8"/>
      <c r="X24" s="97"/>
      <c r="Y24" s="8"/>
      <c r="Z24" s="97"/>
      <c r="AA24" s="8"/>
      <c r="AB24" s="97"/>
      <c r="AC24" s="8"/>
      <c r="AD24" s="97"/>
      <c r="AE24" s="8"/>
      <c r="AF24" s="97"/>
      <c r="AG24" s="8"/>
      <c r="AH24" s="97"/>
      <c r="AI24" s="8"/>
      <c r="AJ24" s="97"/>
      <c r="AK24" s="8"/>
      <c r="AL24" s="97"/>
      <c r="AM24" s="8"/>
      <c r="AN24" s="97"/>
      <c r="AO24" s="8"/>
      <c r="AP24" s="97"/>
      <c r="AQ24" s="8"/>
      <c r="AR24" s="97"/>
      <c r="AS24" s="8"/>
      <c r="AT24" s="97"/>
      <c r="AU24" s="8"/>
      <c r="AV24" s="97"/>
      <c r="AW24" s="8"/>
      <c r="AX24" s="41"/>
      <c r="AY24" s="42"/>
      <c r="AZ24" s="41"/>
      <c r="BA24" s="42"/>
      <c r="BB24" s="41"/>
      <c r="BC24" s="42"/>
      <c r="BD24" s="41"/>
      <c r="BE24" s="42"/>
      <c r="BF24" s="41"/>
      <c r="BG24" s="42"/>
      <c r="BH24" s="41"/>
      <c r="BI24" s="42"/>
      <c r="BJ24" s="41"/>
      <c r="BK24" s="42"/>
      <c r="BL24" s="41"/>
      <c r="BM24" s="42"/>
      <c r="BN24" s="41"/>
      <c r="BO24" s="42"/>
      <c r="BP24" s="41"/>
      <c r="BQ24" s="42"/>
      <c r="BR24" s="41"/>
      <c r="BS24" s="42"/>
      <c r="BT24" s="41"/>
      <c r="BU24" s="42"/>
      <c r="BV24" s="41"/>
      <c r="BW24" s="42"/>
      <c r="BX24" s="41"/>
      <c r="BY24" s="42"/>
      <c r="BZ24" s="41"/>
      <c r="CA24" s="42"/>
      <c r="CB24" s="41"/>
      <c r="CC24" s="42"/>
      <c r="CD24" s="41"/>
      <c r="CE24" s="42"/>
      <c r="CF24" s="41"/>
      <c r="CG24" s="42"/>
      <c r="CH24" s="41"/>
      <c r="CI24" s="42"/>
      <c r="CJ24" s="41"/>
      <c r="CK24" s="42"/>
      <c r="CL24" s="41"/>
      <c r="CM24" s="42"/>
      <c r="CN24" s="41"/>
      <c r="CO24" s="42"/>
      <c r="CP24" s="41"/>
      <c r="CQ24" s="42"/>
    </row>
    <row r="25" spans="1:95" ht="10.5" x14ac:dyDescent="0.25">
      <c r="A25" t="s">
        <v>0</v>
      </c>
      <c r="B25" s="41">
        <v>2308.08561139929</v>
      </c>
      <c r="C25" s="42">
        <v>62.040492544331705</v>
      </c>
      <c r="D25" s="41">
        <v>2348.0167296625482</v>
      </c>
      <c r="E25" s="42">
        <v>51.696360887027261</v>
      </c>
      <c r="F25" s="41">
        <v>2391.4744804227271</v>
      </c>
      <c r="G25" s="42">
        <v>42.165338759831648</v>
      </c>
      <c r="H25" s="41">
        <v>2439.6518218853557</v>
      </c>
      <c r="I25" s="42">
        <v>33.481623678462064</v>
      </c>
      <c r="J25" s="41">
        <v>2494.5056752147029</v>
      </c>
      <c r="K25" s="42">
        <v>25.675916487399686</v>
      </c>
      <c r="L25" s="41">
        <v>2559.6935739484238</v>
      </c>
      <c r="M25" s="42">
        <v>18.770676970095355</v>
      </c>
      <c r="N25" s="41">
        <v>2643.8277163605039</v>
      </c>
      <c r="O25" s="42">
        <v>12.761691442650584</v>
      </c>
      <c r="P25" s="41">
        <v>2784.8169830569391</v>
      </c>
      <c r="Q25" s="42">
        <v>7.4582574011688809</v>
      </c>
      <c r="R25" s="201">
        <v>3212.0932842038865</v>
      </c>
      <c r="S25" s="202">
        <v>9.3332180330221099</v>
      </c>
      <c r="T25" s="41"/>
      <c r="U25" s="42"/>
      <c r="V25" s="41"/>
      <c r="W25" s="42"/>
      <c r="X25" s="41"/>
      <c r="Y25" s="42"/>
      <c r="Z25" s="41"/>
      <c r="AA25" s="42"/>
      <c r="AB25" s="41"/>
      <c r="AC25" s="42"/>
      <c r="AD25" s="41"/>
      <c r="AE25" s="42"/>
      <c r="AF25" s="41"/>
      <c r="AG25" s="42"/>
      <c r="AH25" s="41"/>
      <c r="AI25" s="42"/>
      <c r="AJ25" s="41"/>
      <c r="AK25" s="42"/>
      <c r="AL25" s="41"/>
      <c r="AM25" s="42"/>
      <c r="AN25" s="41"/>
      <c r="AO25" s="42"/>
      <c r="AP25" s="41"/>
      <c r="AQ25" s="42"/>
      <c r="AR25" s="41"/>
      <c r="AS25" s="42"/>
      <c r="AT25" s="41"/>
      <c r="AU25" s="42"/>
      <c r="AV25" s="41"/>
      <c r="AW25" s="42"/>
      <c r="AX25" s="41"/>
      <c r="AY25" s="42"/>
      <c r="AZ25" s="41"/>
      <c r="BA25" s="42"/>
      <c r="BB25" s="41"/>
      <c r="BC25" s="42"/>
      <c r="BD25" s="41"/>
      <c r="BE25" s="42"/>
      <c r="BF25" s="41"/>
      <c r="BG25" s="42"/>
      <c r="BH25" s="41"/>
      <c r="BI25" s="42"/>
      <c r="BJ25" s="41"/>
      <c r="BK25" s="42"/>
      <c r="BL25" s="41"/>
      <c r="BM25" s="42"/>
      <c r="BN25" s="41"/>
      <c r="BO25" s="42"/>
      <c r="BP25" s="41"/>
      <c r="BQ25" s="42"/>
      <c r="BR25" s="41"/>
      <c r="BS25" s="42"/>
      <c r="BT25" s="41"/>
      <c r="BU25" s="42"/>
      <c r="BV25" s="41"/>
      <c r="BW25" s="42"/>
      <c r="BX25" s="41"/>
      <c r="BY25" s="42"/>
      <c r="BZ25" s="41"/>
      <c r="CA25" s="42"/>
      <c r="CB25" s="41"/>
      <c r="CC25" s="42"/>
      <c r="CD25" s="41"/>
      <c r="CE25" s="42"/>
      <c r="CF25" s="41"/>
      <c r="CG25" s="42"/>
      <c r="CH25" s="41"/>
      <c r="CI25" s="42"/>
      <c r="CJ25" s="41"/>
      <c r="CK25" s="42"/>
      <c r="CL25" s="41"/>
      <c r="CM25" s="42"/>
      <c r="CN25" s="41"/>
      <c r="CO25" s="42"/>
      <c r="CP25" s="41"/>
      <c r="CQ25" s="42"/>
    </row>
    <row r="26" spans="1:95" ht="10.5" x14ac:dyDescent="0.25">
      <c r="A26" t="s">
        <v>27</v>
      </c>
      <c r="B26" s="33">
        <v>3209.4420883953348</v>
      </c>
      <c r="C26" s="34">
        <v>31.623872672841795</v>
      </c>
      <c r="D26" s="33">
        <v>3286.7513857545368</v>
      </c>
      <c r="E26" s="34">
        <v>28.89851867081202</v>
      </c>
      <c r="F26" s="33">
        <v>3376.3337419688419</v>
      </c>
      <c r="G26" s="34">
        <v>26.150546443068372</v>
      </c>
      <c r="H26" s="33">
        <v>3483.067379445667</v>
      </c>
      <c r="I26" s="34">
        <v>23.378285069284114</v>
      </c>
      <c r="J26" s="33">
        <v>3615.3140754123424</v>
      </c>
      <c r="K26" s="34">
        <v>20.580096055425937</v>
      </c>
      <c r="L26" s="33">
        <v>3789.3833322195856</v>
      </c>
      <c r="M26" s="34">
        <v>17.754118132836506</v>
      </c>
      <c r="N26" s="33">
        <v>4045.3058653345629</v>
      </c>
      <c r="O26" s="34">
        <v>14.89681404353019</v>
      </c>
      <c r="P26" s="33">
        <v>4567.0383266562712</v>
      </c>
      <c r="Q26" s="34">
        <v>11.995692096444071</v>
      </c>
      <c r="R26" s="203">
        <v>7245.4631734322984</v>
      </c>
      <c r="S26" s="204">
        <v>21.887840202497664</v>
      </c>
      <c r="T26" s="33"/>
      <c r="U26" s="34"/>
      <c r="V26" s="33"/>
      <c r="W26" s="34"/>
      <c r="X26" s="33"/>
      <c r="Y26" s="34"/>
      <c r="Z26" s="33"/>
      <c r="AA26" s="34"/>
      <c r="AB26" s="33"/>
      <c r="AC26" s="34"/>
      <c r="AD26" s="33"/>
      <c r="AE26" s="34"/>
      <c r="AF26" s="33"/>
      <c r="AG26" s="34"/>
      <c r="AH26" s="33"/>
      <c r="AI26" s="34"/>
      <c r="AJ26" s="33"/>
      <c r="AK26" s="34"/>
      <c r="AL26" s="33"/>
      <c r="AM26" s="34"/>
      <c r="AN26" s="33"/>
      <c r="AO26" s="34"/>
      <c r="AP26" s="33"/>
      <c r="AQ26" s="34"/>
      <c r="AR26" s="33"/>
      <c r="AS26" s="34"/>
      <c r="AT26" s="33"/>
      <c r="AU26" s="34"/>
      <c r="AV26" s="33"/>
      <c r="AW26" s="34"/>
      <c r="AX26" s="41"/>
      <c r="AY26" s="42"/>
      <c r="AZ26" s="41"/>
      <c r="BA26" s="42"/>
      <c r="BB26" s="41"/>
      <c r="BC26" s="42"/>
      <c r="BD26" s="41"/>
      <c r="BE26" s="42"/>
      <c r="BF26" s="41"/>
      <c r="BG26" s="42"/>
      <c r="BH26" s="41"/>
      <c r="BI26" s="42"/>
      <c r="BJ26" s="41"/>
      <c r="BK26" s="42"/>
      <c r="BL26" s="41"/>
      <c r="BM26" s="42"/>
      <c r="BN26" s="41"/>
      <c r="BO26" s="42"/>
      <c r="BP26" s="41"/>
      <c r="BQ26" s="42"/>
      <c r="BR26" s="41"/>
      <c r="BS26" s="42"/>
      <c r="BT26" s="41"/>
      <c r="BU26" s="42"/>
      <c r="BV26" s="41"/>
      <c r="BW26" s="42"/>
      <c r="BX26" s="41"/>
      <c r="BY26" s="42"/>
      <c r="BZ26" s="41"/>
      <c r="CA26" s="42"/>
      <c r="CB26" s="41"/>
      <c r="CC26" s="42"/>
      <c r="CD26" s="41"/>
      <c r="CE26" s="42"/>
      <c r="CF26" s="41"/>
      <c r="CG26" s="42"/>
      <c r="CH26" s="41"/>
      <c r="CI26" s="42"/>
      <c r="CJ26" s="41"/>
      <c r="CK26" s="42"/>
      <c r="CL26" s="41"/>
      <c r="CM26" s="42"/>
      <c r="CN26" s="41"/>
      <c r="CO26" s="42"/>
      <c r="CP26" s="41"/>
      <c r="CQ26" s="42"/>
    </row>
    <row r="27" spans="1:95" ht="10.5" x14ac:dyDescent="0.25">
      <c r="A27" t="s">
        <v>2</v>
      </c>
      <c r="B27" s="35">
        <v>4880.3032028967582</v>
      </c>
      <c r="C27" s="36">
        <v>155.9342317514201</v>
      </c>
      <c r="D27" s="35">
        <v>4895.6455517509339</v>
      </c>
      <c r="E27" s="36">
        <v>140.59182899344088</v>
      </c>
      <c r="F27" s="35">
        <v>4910.9888371855686</v>
      </c>
      <c r="G27" s="36">
        <v>125.24842484517568</v>
      </c>
      <c r="H27" s="35">
        <v>4926.3376086121962</v>
      </c>
      <c r="I27" s="36">
        <v>109.89980046148213</v>
      </c>
      <c r="J27" s="35">
        <v>4941.7015781632945</v>
      </c>
      <c r="K27" s="36">
        <v>94.535675806508351</v>
      </c>
      <c r="L27" s="35">
        <v>4957.1132596634316</v>
      </c>
      <c r="M27" s="36">
        <v>79.124113640730002</v>
      </c>
      <c r="N27" s="35">
        <v>4972.6971767846053</v>
      </c>
      <c r="O27" s="36">
        <v>63.539823250486343</v>
      </c>
      <c r="P27" s="35">
        <v>4989.3033698207364</v>
      </c>
      <c r="Q27" s="36">
        <v>46.932988521289424</v>
      </c>
      <c r="R27" s="205">
        <v>4977.3141006784635</v>
      </c>
      <c r="S27" s="206">
        <v>58.92338713384283</v>
      </c>
      <c r="T27" s="35"/>
      <c r="U27" s="36"/>
      <c r="V27" s="35"/>
      <c r="W27" s="36"/>
      <c r="X27" s="35"/>
      <c r="Y27" s="36"/>
      <c r="Z27" s="35"/>
      <c r="AA27" s="36"/>
      <c r="AB27" s="35"/>
      <c r="AC27" s="36"/>
      <c r="AD27" s="35"/>
      <c r="AE27" s="36"/>
      <c r="AF27" s="35"/>
      <c r="AG27" s="36"/>
      <c r="AH27" s="35"/>
      <c r="AI27" s="36"/>
      <c r="AJ27" s="35"/>
      <c r="AK27" s="36"/>
      <c r="AL27" s="35"/>
      <c r="AM27" s="36"/>
      <c r="AN27" s="35"/>
      <c r="AO27" s="36"/>
      <c r="AP27" s="35"/>
      <c r="AQ27" s="36"/>
      <c r="AR27" s="35"/>
      <c r="AS27" s="36"/>
      <c r="AT27" s="35"/>
      <c r="AU27" s="36"/>
      <c r="AV27" s="35"/>
      <c r="AW27" s="36"/>
      <c r="AX27" s="41"/>
      <c r="AY27" s="42"/>
      <c r="AZ27" s="41"/>
      <c r="BA27" s="42"/>
      <c r="BB27" s="41"/>
      <c r="BC27" s="42"/>
      <c r="BD27" s="41"/>
      <c r="BE27" s="42"/>
      <c r="BF27" s="41"/>
      <c r="BG27" s="42"/>
      <c r="BH27" s="41"/>
      <c r="BI27" s="42"/>
      <c r="BJ27" s="41"/>
      <c r="BK27" s="42"/>
      <c r="BL27" s="41"/>
      <c r="BM27" s="42"/>
      <c r="BN27" s="41"/>
      <c r="BO27" s="42"/>
      <c r="BP27" s="41"/>
      <c r="BQ27" s="42"/>
      <c r="BR27" s="41"/>
      <c r="BS27" s="42"/>
      <c r="BT27" s="41"/>
      <c r="BU27" s="42"/>
      <c r="BV27" s="41"/>
      <c r="BW27" s="42"/>
      <c r="BX27" s="41"/>
      <c r="BY27" s="42"/>
      <c r="BZ27" s="41"/>
      <c r="CA27" s="42"/>
      <c r="CB27" s="41"/>
      <c r="CC27" s="42"/>
      <c r="CD27" s="41"/>
      <c r="CE27" s="42"/>
      <c r="CF27" s="41"/>
      <c r="CG27" s="42"/>
      <c r="CH27" s="41"/>
      <c r="CI27" s="42"/>
      <c r="CJ27" s="41"/>
      <c r="CK27" s="42"/>
      <c r="CL27" s="41"/>
      <c r="CM27" s="42"/>
      <c r="CN27" s="41"/>
      <c r="CO27" s="42"/>
      <c r="CP27" s="41"/>
      <c r="CQ27" s="42"/>
    </row>
    <row r="28" spans="1:95" ht="10.5" x14ac:dyDescent="0.25">
      <c r="A28" t="s">
        <v>35</v>
      </c>
      <c r="B28" s="41">
        <v>9924.5937686277503</v>
      </c>
      <c r="C28" s="42">
        <v>205.34242141823873</v>
      </c>
      <c r="D28" s="41">
        <v>10060.165188665113</v>
      </c>
      <c r="E28" s="42">
        <v>185.73518937734448</v>
      </c>
      <c r="F28" s="41">
        <v>10211.585501727768</v>
      </c>
      <c r="G28" s="42">
        <v>166.07675222129274</v>
      </c>
      <c r="H28" s="41">
        <v>10384.467969952895</v>
      </c>
      <c r="I28" s="42">
        <v>146.35767867880924</v>
      </c>
      <c r="J28" s="41">
        <v>10588.074524348609</v>
      </c>
      <c r="K28" s="42">
        <v>126.56067395440473</v>
      </c>
      <c r="L28" s="41">
        <v>10839.692938465474</v>
      </c>
      <c r="M28" s="42">
        <v>106.64192962867348</v>
      </c>
      <c r="N28" s="41">
        <v>11179.573872150342</v>
      </c>
      <c r="O28" s="42">
        <v>86.446580146229891</v>
      </c>
      <c r="P28" s="41">
        <v>11780.208097531613</v>
      </c>
      <c r="Q28" s="42">
        <v>64.971699705878038</v>
      </c>
      <c r="R28" s="201">
        <v>13654.581619379127</v>
      </c>
      <c r="S28" s="202">
        <v>86.615478736872561</v>
      </c>
      <c r="T28" s="41"/>
      <c r="U28" s="42"/>
      <c r="V28" s="41"/>
      <c r="W28" s="42"/>
      <c r="X28" s="41"/>
      <c r="Y28" s="42"/>
      <c r="Z28" s="41"/>
      <c r="AA28" s="42"/>
      <c r="AB28" s="41"/>
      <c r="AC28" s="42"/>
      <c r="AD28" s="41"/>
      <c r="AE28" s="42"/>
      <c r="AF28" s="41"/>
      <c r="AG28" s="42"/>
      <c r="AH28" s="41"/>
      <c r="AI28" s="42"/>
      <c r="AJ28" s="41"/>
      <c r="AK28" s="42"/>
      <c r="AL28" s="41"/>
      <c r="AM28" s="42"/>
      <c r="AN28" s="41"/>
      <c r="AO28" s="42"/>
      <c r="AP28" s="41"/>
      <c r="AQ28" s="42"/>
      <c r="AR28" s="41"/>
      <c r="AS28" s="42"/>
      <c r="AT28" s="41"/>
      <c r="AU28" s="42"/>
      <c r="AV28" s="41"/>
      <c r="AW28" s="42"/>
      <c r="AX28" s="35"/>
      <c r="AY28" s="36"/>
      <c r="AZ28" s="35"/>
      <c r="BA28" s="36"/>
      <c r="BB28" s="35"/>
      <c r="BC28" s="36"/>
      <c r="BD28" s="35"/>
      <c r="BE28" s="36"/>
      <c r="BF28" s="35"/>
      <c r="BG28" s="36"/>
      <c r="BH28" s="35"/>
      <c r="BI28" s="36"/>
      <c r="BJ28" s="35"/>
      <c r="BK28" s="36"/>
      <c r="BL28" s="35"/>
      <c r="BM28" s="36"/>
      <c r="BN28" s="35"/>
      <c r="BO28" s="36"/>
      <c r="BP28" s="35"/>
      <c r="BQ28" s="36"/>
      <c r="BR28" s="35"/>
      <c r="BS28" s="36"/>
      <c r="BT28" s="35"/>
      <c r="BU28" s="36"/>
      <c r="BV28" s="35"/>
      <c r="BW28" s="36"/>
      <c r="BX28" s="35"/>
      <c r="BY28" s="36"/>
      <c r="BZ28" s="35"/>
      <c r="CA28" s="36"/>
      <c r="CB28" s="35"/>
      <c r="CC28" s="36"/>
      <c r="CD28" s="35"/>
      <c r="CE28" s="36"/>
      <c r="CF28" s="35"/>
      <c r="CG28" s="36"/>
      <c r="CH28" s="35"/>
      <c r="CI28" s="36"/>
      <c r="CJ28" s="35"/>
      <c r="CK28" s="36"/>
      <c r="CL28" s="35"/>
      <c r="CM28" s="36"/>
      <c r="CN28" s="35"/>
      <c r="CO28" s="36"/>
      <c r="CP28" s="35"/>
      <c r="CQ28" s="36"/>
    </row>
    <row r="29" spans="1:95" ht="10.5" x14ac:dyDescent="0.25">
      <c r="A29" t="s">
        <v>53</v>
      </c>
      <c r="B29" s="35">
        <v>10476.875482049762</v>
      </c>
      <c r="C29" s="36">
        <v>680.10699657273528</v>
      </c>
      <c r="D29" s="35">
        <v>10605.270667809675</v>
      </c>
      <c r="E29" s="36">
        <v>607.22003279777527</v>
      </c>
      <c r="F29" s="35">
        <v>10747.847551153072</v>
      </c>
      <c r="G29" s="36">
        <v>535.08805839377771</v>
      </c>
      <c r="H29" s="35">
        <v>10909.730071882377</v>
      </c>
      <c r="I29" s="36">
        <v>463.78410784231869</v>
      </c>
      <c r="J29" s="35">
        <v>11099.433992125178</v>
      </c>
      <c r="K29" s="36">
        <v>393.36911840882937</v>
      </c>
      <c r="L29" s="35">
        <v>11333.006599786289</v>
      </c>
      <c r="M29" s="36">
        <v>323.82628018034609</v>
      </c>
      <c r="N29" s="35">
        <v>11648.290676344643</v>
      </c>
      <c r="O29" s="36">
        <v>254.75217923646429</v>
      </c>
      <c r="P29" s="35">
        <v>12210.453639472558</v>
      </c>
      <c r="Q29" s="36">
        <v>182.56905279760042</v>
      </c>
      <c r="R29" s="205">
        <v>14128.904217750893</v>
      </c>
      <c r="S29" s="206">
        <v>220.61076444603907</v>
      </c>
      <c r="T29" s="35"/>
      <c r="U29" s="36"/>
      <c r="V29" s="35"/>
      <c r="W29" s="36"/>
      <c r="X29" s="35"/>
      <c r="Y29" s="36"/>
      <c r="Z29" s="35"/>
      <c r="AA29" s="36"/>
      <c r="AB29" s="35"/>
      <c r="AC29" s="36"/>
      <c r="AD29" s="35"/>
      <c r="AE29" s="36"/>
      <c r="AF29" s="35"/>
      <c r="AG29" s="36"/>
      <c r="AH29" s="35"/>
      <c r="AI29" s="36"/>
      <c r="AJ29" s="35"/>
      <c r="AK29" s="36"/>
      <c r="AL29" s="35"/>
      <c r="AM29" s="36"/>
      <c r="AN29" s="35"/>
      <c r="AO29" s="36"/>
      <c r="AP29" s="35"/>
      <c r="AQ29" s="36"/>
      <c r="AR29" s="35"/>
      <c r="AS29" s="36"/>
      <c r="AT29" s="35"/>
      <c r="AU29" s="36"/>
      <c r="AV29" s="35"/>
      <c r="AW29" s="36"/>
      <c r="AX29" s="119"/>
      <c r="AZ29" s="119"/>
      <c r="BB29" s="119"/>
      <c r="BD29" s="119"/>
      <c r="BF29" s="119"/>
      <c r="BH29" s="119"/>
      <c r="BJ29" s="119"/>
      <c r="BL29" s="119"/>
      <c r="BN29" s="119"/>
      <c r="BP29" s="119"/>
      <c r="BR29" s="119"/>
      <c r="BT29" s="119"/>
      <c r="BV29" s="119"/>
      <c r="BX29" s="119"/>
      <c r="BZ29" s="119"/>
      <c r="CB29" s="119"/>
      <c r="CD29" s="119"/>
      <c r="CF29" s="119"/>
      <c r="CH29" s="119"/>
      <c r="CJ29" s="119"/>
      <c r="CL29" s="119"/>
      <c r="CN29" s="119"/>
      <c r="CP29" s="119"/>
    </row>
    <row r="30" spans="1:95" ht="10.5" x14ac:dyDescent="0.25">
      <c r="A30" t="s">
        <v>48</v>
      </c>
      <c r="B30" s="119">
        <v>3437517.2752293102</v>
      </c>
      <c r="D30" s="119">
        <v>3550782.7451078631</v>
      </c>
      <c r="F30" s="119">
        <v>3679658.9024898587</v>
      </c>
      <c r="H30" s="119">
        <v>3829966.550365054</v>
      </c>
      <c r="J30" s="119">
        <v>4011451.9387970641</v>
      </c>
      <c r="L30" s="119">
        <v>4242527.2852743175</v>
      </c>
      <c r="N30" s="119">
        <v>4566432.1287045078</v>
      </c>
      <c r="P30" s="119">
        <v>5169174.410764141</v>
      </c>
      <c r="R30" s="9">
        <v>7298922.7119947989</v>
      </c>
      <c r="S30" s="96"/>
      <c r="T30" s="119"/>
      <c r="V30" s="119"/>
      <c r="X30" s="119"/>
      <c r="Z30" s="119"/>
      <c r="AB30" s="119"/>
      <c r="AD30" s="119"/>
      <c r="AF30" s="119"/>
      <c r="AH30" s="119"/>
      <c r="AJ30" s="119"/>
      <c r="AL30" s="119"/>
      <c r="AN30" s="119"/>
      <c r="AP30" s="119"/>
      <c r="AR30" s="119"/>
      <c r="AT30" s="119"/>
      <c r="AV30" s="119"/>
      <c r="AX30" s="86"/>
      <c r="AZ30" s="86"/>
      <c r="BB30" s="86"/>
      <c r="BD30" s="86"/>
      <c r="BF30" s="86"/>
      <c r="BH30" s="86"/>
      <c r="BJ30" s="86"/>
      <c r="BL30" s="86"/>
      <c r="BN30" s="86"/>
      <c r="BP30" s="86"/>
      <c r="BR30" s="86"/>
      <c r="BT30" s="86"/>
      <c r="BV30" s="86"/>
      <c r="BX30" s="86"/>
      <c r="BZ30" s="86"/>
      <c r="CB30" s="86"/>
      <c r="CD30" s="86"/>
      <c r="CF30" s="86"/>
      <c r="CH30" s="86"/>
      <c r="CJ30" s="86"/>
      <c r="CL30" s="86"/>
      <c r="CN30" s="86"/>
      <c r="CP30" s="86"/>
    </row>
    <row r="31" spans="1:95" ht="10.5" x14ac:dyDescent="0.25">
      <c r="A31" t="s">
        <v>47</v>
      </c>
      <c r="B31" s="80">
        <v>0.99999999999999845</v>
      </c>
      <c r="D31" s="80">
        <v>1.0119962350786778</v>
      </c>
      <c r="F31" s="80">
        <v>1.0253427343539427</v>
      </c>
      <c r="H31" s="80">
        <v>1.0405790709511853</v>
      </c>
      <c r="J31" s="80">
        <v>1.0586223617299855</v>
      </c>
      <c r="L31" s="80">
        <v>1.0812379798278553</v>
      </c>
      <c r="N31" s="80">
        <v>1.1126750266868091</v>
      </c>
      <c r="P31" s="80">
        <v>1.1718505725835073</v>
      </c>
      <c r="R31" s="215">
        <v>1.4130995186212332</v>
      </c>
      <c r="S31" s="96"/>
      <c r="T31" s="80"/>
      <c r="V31" s="80"/>
      <c r="X31" s="80"/>
      <c r="Z31" s="80"/>
      <c r="AB31" s="80"/>
      <c r="AD31" s="80"/>
      <c r="AF31" s="80"/>
      <c r="AH31" s="80"/>
      <c r="AJ31" s="80"/>
      <c r="AL31" s="80"/>
      <c r="AN31" s="80"/>
      <c r="AP31" s="80"/>
      <c r="AR31" s="80"/>
      <c r="AT31" s="80"/>
      <c r="AV31" s="80"/>
      <c r="AX31" s="70"/>
      <c r="AZ31" s="70"/>
      <c r="BB31" s="70"/>
      <c r="BD31" s="70"/>
      <c r="BF31" s="70"/>
      <c r="BH31" s="70"/>
      <c r="BJ31" s="70"/>
      <c r="BL31" s="70"/>
      <c r="BN31" s="70"/>
      <c r="BP31" s="70"/>
      <c r="BR31" s="70"/>
      <c r="BT31" s="70"/>
      <c r="BV31" s="70"/>
      <c r="BX31" s="70"/>
      <c r="BZ31" s="70"/>
      <c r="CB31" s="70"/>
      <c r="CD31" s="70"/>
      <c r="CF31" s="70"/>
      <c r="CH31" s="70"/>
      <c r="CJ31" s="70"/>
      <c r="CL31" s="70"/>
      <c r="CN31" s="70"/>
      <c r="CP31" s="70"/>
    </row>
    <row r="32" spans="1:95" ht="10.5" x14ac:dyDescent="0.25">
      <c r="A32" t="s">
        <v>64</v>
      </c>
      <c r="B32" s="86">
        <v>11714820.670945669</v>
      </c>
      <c r="C32" s="38"/>
      <c r="D32" s="86">
        <v>11832609.727389965</v>
      </c>
      <c r="E32" s="38"/>
      <c r="F32" s="86">
        <v>11966632.912891578</v>
      </c>
      <c r="G32" s="38"/>
      <c r="H32" s="86">
        <v>12122943.320126388</v>
      </c>
      <c r="I32" s="38"/>
      <c r="J32" s="86">
        <v>12311676.79097815</v>
      </c>
      <c r="K32" s="38"/>
      <c r="L32" s="86">
        <v>12551980.696236745</v>
      </c>
      <c r="M32" s="38"/>
      <c r="N32" s="86">
        <v>12888821.450895822</v>
      </c>
      <c r="O32" s="38"/>
      <c r="P32" s="86">
        <v>13515635.84189406</v>
      </c>
      <c r="Q32" s="38"/>
      <c r="R32" s="216">
        <v>15730440.689802475</v>
      </c>
      <c r="S32" s="217"/>
      <c r="T32" s="86"/>
      <c r="U32" s="38"/>
      <c r="V32" s="86"/>
      <c r="W32" s="38"/>
      <c r="X32" s="86"/>
      <c r="Y32" s="38"/>
      <c r="Z32" s="86"/>
      <c r="AA32" s="38"/>
      <c r="AB32" s="86"/>
      <c r="AC32" s="38"/>
      <c r="AD32" s="86"/>
      <c r="AE32" s="38"/>
      <c r="AF32" s="86"/>
      <c r="AG32" s="38"/>
      <c r="AH32" s="86"/>
      <c r="AI32" s="38"/>
      <c r="AJ32" s="86"/>
      <c r="AK32" s="38"/>
      <c r="AL32" s="86"/>
      <c r="AM32" s="38"/>
      <c r="AN32" s="86"/>
      <c r="AO32" s="38"/>
      <c r="AP32" s="86"/>
      <c r="AQ32" s="38"/>
      <c r="AR32" s="86"/>
      <c r="AS32" s="38"/>
      <c r="AT32" s="86"/>
      <c r="AU32" s="38"/>
      <c r="AV32" s="86"/>
      <c r="AW32" s="38"/>
      <c r="AX32" s="37"/>
      <c r="AY32" s="38"/>
      <c r="AZ32" s="37"/>
      <c r="BA32" s="38"/>
      <c r="BB32" s="37"/>
      <c r="BC32" s="38"/>
      <c r="BD32" s="37"/>
      <c r="BE32" s="38"/>
      <c r="BF32" s="37"/>
      <c r="BG32" s="38"/>
      <c r="BH32" s="37"/>
      <c r="BI32" s="38"/>
      <c r="BJ32" s="37"/>
      <c r="BK32" s="38"/>
      <c r="BL32" s="37"/>
      <c r="BM32" s="38"/>
      <c r="BN32" s="37"/>
      <c r="BO32" s="38"/>
      <c r="BP32" s="37"/>
      <c r="BQ32" s="38"/>
      <c r="BR32" s="37"/>
      <c r="BS32" s="38"/>
      <c r="BT32" s="37"/>
      <c r="BU32" s="38"/>
      <c r="BV32" s="37"/>
      <c r="BW32" s="38"/>
      <c r="BX32" s="37"/>
      <c r="BY32" s="38"/>
      <c r="BZ32" s="37"/>
      <c r="CA32" s="38"/>
      <c r="CB32" s="37"/>
      <c r="CC32" s="38"/>
      <c r="CD32" s="37"/>
      <c r="CE32" s="38"/>
      <c r="CF32" s="37"/>
      <c r="CG32" s="38"/>
      <c r="CH32" s="37"/>
      <c r="CI32" s="38"/>
      <c r="CJ32" s="37"/>
      <c r="CK32" s="38"/>
      <c r="CL32" s="37"/>
      <c r="CM32" s="38"/>
      <c r="CN32" s="37"/>
      <c r="CO32" s="38"/>
      <c r="CP32" s="37"/>
      <c r="CQ32" s="38"/>
    </row>
    <row r="33" spans="1:95 16382:16384" ht="10.5" x14ac:dyDescent="0.25">
      <c r="A33" t="s">
        <v>54</v>
      </c>
      <c r="B33" s="117">
        <v>6643090.9398582997</v>
      </c>
      <c r="C33" s="40"/>
      <c r="D33" s="117">
        <v>6733967.7121091224</v>
      </c>
      <c r="E33" s="40"/>
      <c r="F33" s="117">
        <v>6837369.4713535625</v>
      </c>
      <c r="G33" s="40"/>
      <c r="H33" s="117">
        <v>6957966.1434648503</v>
      </c>
      <c r="I33" s="40"/>
      <c r="J33" s="117">
        <v>7103578.0994206266</v>
      </c>
      <c r="K33" s="40"/>
      <c r="L33" s="117">
        <v>7288977.5200651977</v>
      </c>
      <c r="M33" s="40"/>
      <c r="N33" s="117">
        <v>7548857.2994135087</v>
      </c>
      <c r="O33" s="40"/>
      <c r="P33" s="117">
        <v>8032457.8287565513</v>
      </c>
      <c r="Q33" s="40"/>
      <c r="R33" s="218">
        <v>9741226.2752424311</v>
      </c>
      <c r="S33" s="219"/>
      <c r="T33" s="117"/>
      <c r="U33" s="40"/>
      <c r="V33" s="117"/>
      <c r="W33" s="40"/>
      <c r="X33" s="117"/>
      <c r="Y33" s="40"/>
      <c r="Z33" s="117"/>
      <c r="AA33" s="40"/>
      <c r="AB33" s="117"/>
      <c r="AC33" s="40"/>
      <c r="AD33" s="117"/>
      <c r="AE33" s="40"/>
      <c r="AF33" s="117"/>
      <c r="AG33" s="40"/>
      <c r="AH33" s="117"/>
      <c r="AI33" s="40"/>
      <c r="AJ33" s="117"/>
      <c r="AK33" s="40"/>
      <c r="AL33" s="117"/>
      <c r="AM33" s="40"/>
      <c r="AN33" s="117"/>
      <c r="AO33" s="40"/>
      <c r="AP33" s="117"/>
      <c r="AQ33" s="40"/>
      <c r="AR33" s="117"/>
      <c r="AS33" s="40"/>
      <c r="AT33" s="117"/>
      <c r="AU33" s="40"/>
      <c r="AV33" s="117"/>
      <c r="AW33" s="40"/>
      <c r="AX33" s="39"/>
      <c r="AY33" s="40"/>
      <c r="AZ33" s="39"/>
      <c r="BA33" s="40"/>
      <c r="BB33" s="39"/>
      <c r="BC33" s="40"/>
      <c r="BD33" s="39"/>
      <c r="BE33" s="40"/>
      <c r="BF33" s="39"/>
      <c r="BG33" s="40"/>
      <c r="BH33" s="39"/>
      <c r="BI33" s="40"/>
      <c r="BJ33" s="39"/>
      <c r="BK33" s="40"/>
      <c r="BL33" s="39"/>
      <c r="BM33" s="40"/>
      <c r="BN33" s="39"/>
      <c r="BO33" s="40"/>
      <c r="BP33" s="39"/>
      <c r="BQ33" s="40"/>
      <c r="BR33" s="39"/>
      <c r="BS33" s="40"/>
      <c r="BT33" s="39"/>
      <c r="BU33" s="40"/>
      <c r="BV33" s="39"/>
      <c r="BW33" s="40"/>
      <c r="BX33" s="39"/>
      <c r="BY33" s="40"/>
      <c r="BZ33" s="39"/>
      <c r="CA33" s="40"/>
      <c r="CB33" s="39"/>
      <c r="CC33" s="40"/>
      <c r="CD33" s="39"/>
      <c r="CE33" s="40"/>
      <c r="CF33" s="39"/>
      <c r="CG33" s="40"/>
      <c r="CH33" s="39"/>
      <c r="CI33" s="40"/>
      <c r="CJ33" s="39"/>
      <c r="CK33" s="40"/>
      <c r="CL33" s="39"/>
      <c r="CM33" s="40"/>
      <c r="CN33" s="39"/>
      <c r="CO33" s="40"/>
      <c r="CP33" s="39"/>
      <c r="CQ33" s="40"/>
    </row>
    <row r="34" spans="1:95 16382:16384" ht="10.5" x14ac:dyDescent="0.25">
      <c r="A34" t="s">
        <v>75</v>
      </c>
      <c r="B34" s="70">
        <v>137664.28859559423</v>
      </c>
      <c r="C34" s="38"/>
      <c r="D34" s="70">
        <v>139048.42448755773</v>
      </c>
      <c r="E34" s="38"/>
      <c r="F34" s="70">
        <v>140623.31740129914</v>
      </c>
      <c r="G34" s="38"/>
      <c r="H34" s="70">
        <v>142460.26245289686</v>
      </c>
      <c r="I34" s="38"/>
      <c r="J34" s="70">
        <v>144678.01108011237</v>
      </c>
      <c r="K34" s="38"/>
      <c r="L34" s="70">
        <v>147501.98961449286</v>
      </c>
      <c r="M34" s="38"/>
      <c r="N34" s="70">
        <v>151460.25211433717</v>
      </c>
      <c r="O34" s="38"/>
      <c r="P34" s="70">
        <v>158826.08917384059</v>
      </c>
      <c r="Q34" s="38"/>
      <c r="R34" s="220">
        <v>184852.9899542752</v>
      </c>
      <c r="S34" s="217"/>
      <c r="T34" s="70"/>
      <c r="U34" s="38"/>
      <c r="V34" s="70"/>
      <c r="W34" s="38"/>
      <c r="X34" s="70"/>
      <c r="Y34" s="38"/>
      <c r="Z34" s="70"/>
      <c r="AA34" s="38"/>
      <c r="AB34" s="70"/>
      <c r="AC34" s="38"/>
      <c r="AD34" s="70"/>
      <c r="AE34" s="38"/>
      <c r="AF34" s="70"/>
      <c r="AG34" s="38"/>
      <c r="AH34" s="70"/>
      <c r="AI34" s="38"/>
      <c r="AJ34" s="70"/>
      <c r="AK34" s="38"/>
      <c r="AL34" s="70"/>
      <c r="AM34" s="38"/>
      <c r="AN34" s="70"/>
      <c r="AO34" s="38"/>
      <c r="AP34" s="70"/>
      <c r="AQ34" s="38"/>
      <c r="AR34" s="70"/>
      <c r="AS34" s="38"/>
      <c r="AT34" s="70"/>
      <c r="AU34" s="38"/>
      <c r="AV34" s="70"/>
      <c r="AW34" s="38"/>
      <c r="AX34" s="37"/>
      <c r="AY34" s="38"/>
      <c r="AZ34" s="37"/>
      <c r="BA34" s="38"/>
      <c r="BB34" s="37"/>
      <c r="BC34" s="38"/>
      <c r="BD34" s="37"/>
      <c r="BE34" s="38"/>
      <c r="BF34" s="37"/>
      <c r="BG34" s="38"/>
      <c r="BH34" s="37"/>
      <c r="BI34" s="38"/>
      <c r="BJ34" s="37"/>
      <c r="BK34" s="38"/>
      <c r="BL34" s="37"/>
      <c r="BM34" s="38"/>
      <c r="BN34" s="37"/>
      <c r="BO34" s="38"/>
      <c r="BP34" s="37"/>
      <c r="BQ34" s="38"/>
      <c r="BR34" s="37"/>
      <c r="BS34" s="38"/>
      <c r="BT34" s="37"/>
      <c r="BU34" s="38"/>
      <c r="BV34" s="37"/>
      <c r="BW34" s="38"/>
      <c r="BX34" s="37"/>
      <c r="BY34" s="38"/>
      <c r="BZ34" s="37"/>
      <c r="CA34" s="38"/>
      <c r="CB34" s="37"/>
      <c r="CC34" s="38"/>
      <c r="CD34" s="37"/>
      <c r="CE34" s="38"/>
      <c r="CF34" s="37"/>
      <c r="CG34" s="38"/>
      <c r="CH34" s="37"/>
      <c r="CI34" s="38"/>
      <c r="CJ34" s="37"/>
      <c r="CK34" s="38"/>
      <c r="CL34" s="37"/>
      <c r="CM34" s="38"/>
      <c r="CN34" s="37"/>
      <c r="CO34" s="38"/>
      <c r="CP34" s="37"/>
      <c r="CQ34" s="38"/>
    </row>
    <row r="35" spans="1:95 16382:16384" ht="10.5" x14ac:dyDescent="0.25">
      <c r="A35" t="s">
        <v>21</v>
      </c>
      <c r="B35" s="37">
        <v>0.47796858982439111</v>
      </c>
      <c r="C35" s="38">
        <v>0.17068593284758601</v>
      </c>
      <c r="D35" s="37">
        <v>0.47798876522791123</v>
      </c>
      <c r="E35" s="38">
        <v>0.17223647515977694</v>
      </c>
      <c r="F35" s="37">
        <v>0.47800990071196109</v>
      </c>
      <c r="G35" s="38">
        <v>0.17397565643109691</v>
      </c>
      <c r="H35" s="37">
        <v>0.47803200127449275</v>
      </c>
      <c r="I35" s="38">
        <v>0.17595066054491221</v>
      </c>
      <c r="J35" s="37">
        <v>0.47805502941814199</v>
      </c>
      <c r="K35" s="38">
        <v>0.1782315914764383</v>
      </c>
      <c r="L35" s="37">
        <v>0.47807886925799364</v>
      </c>
      <c r="M35" s="38">
        <v>0.18093292236835945</v>
      </c>
      <c r="N35" s="37">
        <v>0.47810327454562584</v>
      </c>
      <c r="O35" s="38">
        <v>0.18427756195470213</v>
      </c>
      <c r="P35" s="37">
        <v>0.4781281728687749</v>
      </c>
      <c r="Q35" s="38">
        <v>0.18900094424214597</v>
      </c>
      <c r="R35" s="221">
        <v>0.47811160299832639</v>
      </c>
      <c r="S35" s="217">
        <v>0.18812783370144537</v>
      </c>
      <c r="T35" s="37"/>
      <c r="U35" s="38"/>
      <c r="V35" s="37"/>
      <c r="W35" s="38"/>
      <c r="X35" s="37"/>
      <c r="Y35" s="38"/>
      <c r="Z35" s="37"/>
      <c r="AA35" s="38"/>
      <c r="AB35" s="37"/>
      <c r="AC35" s="38"/>
      <c r="AD35" s="37"/>
      <c r="AE35" s="38"/>
      <c r="AF35" s="37"/>
      <c r="AG35" s="38"/>
      <c r="AH35" s="37"/>
      <c r="AI35" s="38"/>
      <c r="AJ35" s="37"/>
      <c r="AK35" s="38"/>
      <c r="AL35" s="37"/>
      <c r="AM35" s="38"/>
      <c r="AN35" s="37"/>
      <c r="AO35" s="38"/>
      <c r="AP35" s="37"/>
      <c r="AQ35" s="38"/>
      <c r="AR35" s="37"/>
      <c r="AS35" s="38"/>
      <c r="AT35" s="37"/>
      <c r="AU35" s="38"/>
      <c r="AV35" s="37"/>
      <c r="AW35" s="38"/>
      <c r="AX35" s="39"/>
      <c r="AY35" s="40"/>
      <c r="AZ35" s="39"/>
      <c r="BA35" s="40"/>
      <c r="BB35" s="39"/>
      <c r="BC35" s="40"/>
      <c r="BD35" s="39"/>
      <c r="BE35" s="40"/>
      <c r="BF35" s="39"/>
      <c r="BG35" s="40"/>
      <c r="BH35" s="39"/>
      <c r="BI35" s="40"/>
      <c r="BJ35" s="39"/>
      <c r="BK35" s="40"/>
      <c r="BL35" s="39"/>
      <c r="BM35" s="40"/>
      <c r="BN35" s="39"/>
      <c r="BO35" s="40"/>
      <c r="BP35" s="39"/>
      <c r="BQ35" s="40"/>
      <c r="BR35" s="39"/>
      <c r="BS35" s="40"/>
      <c r="BT35" s="39"/>
      <c r="BU35" s="40"/>
      <c r="BV35" s="39"/>
      <c r="BW35" s="40"/>
      <c r="BX35" s="39"/>
      <c r="BY35" s="40"/>
      <c r="BZ35" s="39"/>
      <c r="CA35" s="40"/>
      <c r="CB35" s="39"/>
      <c r="CC35" s="40"/>
      <c r="CD35" s="39"/>
      <c r="CE35" s="40"/>
      <c r="CF35" s="39"/>
      <c r="CG35" s="40"/>
      <c r="CH35" s="39"/>
      <c r="CI35" s="40"/>
      <c r="CJ35" s="39"/>
      <c r="CK35" s="40"/>
      <c r="CL35" s="39"/>
      <c r="CM35" s="40"/>
      <c r="CN35" s="39"/>
      <c r="CO35" s="40"/>
      <c r="CP35" s="39"/>
      <c r="CQ35" s="40"/>
    </row>
    <row r="36" spans="1:95 16382:16384" ht="10.5" x14ac:dyDescent="0.25">
      <c r="B36" s="39">
        <v>2.2053138497825992E-2</v>
      </c>
      <c r="C36" s="40">
        <v>0.48867583383045671</v>
      </c>
      <c r="D36" s="39">
        <v>2.1521900021723984E-2</v>
      </c>
      <c r="E36" s="40">
        <v>0.48505862143208489</v>
      </c>
      <c r="F36" s="39">
        <v>2.0958784557205592E-2</v>
      </c>
      <c r="G36" s="40">
        <v>0.48125885929341744</v>
      </c>
      <c r="H36" s="39">
        <v>2.0357065499814832E-2</v>
      </c>
      <c r="I36" s="40">
        <v>0.47723740110026236</v>
      </c>
      <c r="J36" s="39">
        <v>1.9706513390097484E-2</v>
      </c>
      <c r="K36" s="40">
        <v>0.47293215272256661</v>
      </c>
      <c r="L36" s="39">
        <v>1.8989739188550118E-2</v>
      </c>
      <c r="M36" s="40">
        <v>0.46823178080412625</v>
      </c>
      <c r="N36" s="39">
        <v>1.8170363067239341E-2</v>
      </c>
      <c r="O36" s="40">
        <v>0.46288631541333447</v>
      </c>
      <c r="P36" s="39">
        <v>1.7109368627895142E-2</v>
      </c>
      <c r="Q36" s="40">
        <v>0.455840396134708</v>
      </c>
      <c r="R36" s="222">
        <v>1.6797513684740171E-2</v>
      </c>
      <c r="S36" s="219">
        <v>0.44814133077179108</v>
      </c>
      <c r="T36" s="39"/>
      <c r="U36" s="40"/>
      <c r="V36" s="39"/>
      <c r="W36" s="40"/>
      <c r="X36" s="39"/>
      <c r="Y36" s="40"/>
      <c r="Z36" s="39"/>
      <c r="AA36" s="40"/>
      <c r="AB36" s="39"/>
      <c r="AC36" s="40"/>
      <c r="AD36" s="39"/>
      <c r="AE36" s="40"/>
      <c r="AF36" s="39"/>
      <c r="AG36" s="40"/>
      <c r="AH36" s="39"/>
      <c r="AI36" s="40"/>
      <c r="AJ36" s="39"/>
      <c r="AK36" s="40"/>
      <c r="AL36" s="39"/>
      <c r="AM36" s="40"/>
      <c r="AN36" s="39"/>
      <c r="AO36" s="40"/>
      <c r="AP36" s="39"/>
      <c r="AQ36" s="40"/>
      <c r="AR36" s="39"/>
      <c r="AS36" s="40"/>
      <c r="AT36" s="39"/>
      <c r="AU36" s="40"/>
      <c r="AV36" s="39"/>
      <c r="AW36" s="40"/>
    </row>
    <row r="37" spans="1:95 16382:16384" ht="10.5" x14ac:dyDescent="0.25">
      <c r="A37" t="s">
        <v>22</v>
      </c>
      <c r="B37" s="37">
        <v>0.14928344905798796</v>
      </c>
      <c r="C37" s="38">
        <v>3.7916652170162192E-2</v>
      </c>
      <c r="D37" s="37">
        <v>0.15102190769410032</v>
      </c>
      <c r="E37" s="38">
        <v>3.8731657128494905E-2</v>
      </c>
      <c r="F37" s="37">
        <v>0.15307306424073061</v>
      </c>
      <c r="G37" s="38">
        <v>3.968955079390539E-2</v>
      </c>
      <c r="H37" s="37">
        <v>0.15556142642861165</v>
      </c>
      <c r="I37" s="38">
        <v>4.0844157238189321E-2</v>
      </c>
      <c r="J37" s="37">
        <v>0.15870021444705282</v>
      </c>
      <c r="K37" s="38">
        <v>4.2286770680624162E-2</v>
      </c>
      <c r="L37" s="37">
        <v>0.16290455114553945</v>
      </c>
      <c r="M37" s="38">
        <v>4.4192950270718671E-2</v>
      </c>
      <c r="N37" s="37">
        <v>0.16919049316877233</v>
      </c>
      <c r="O37" s="38">
        <v>4.6987151400890131E-2</v>
      </c>
      <c r="P37" s="37">
        <v>0.18220746224394235</v>
      </c>
      <c r="Q37" s="38">
        <v>5.2585526496178495E-2</v>
      </c>
      <c r="R37" s="221">
        <v>0.24982540879517207</v>
      </c>
      <c r="S37" s="217">
        <v>7.9460220049906299E-2</v>
      </c>
      <c r="T37" s="37"/>
      <c r="U37" s="38"/>
      <c r="V37" s="37"/>
      <c r="W37" s="38"/>
      <c r="X37" s="37"/>
      <c r="Y37" s="38"/>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95 16382:16384" ht="10.5" x14ac:dyDescent="0.25">
      <c r="A38" t="s">
        <v>23</v>
      </c>
      <c r="B38" s="39">
        <v>0.22700160168381014</v>
      </c>
      <c r="C38" s="40">
        <v>0.18696331369363389</v>
      </c>
      <c r="D38" s="39">
        <v>0.22494848068644852</v>
      </c>
      <c r="E38" s="40">
        <v>0.18843022985610122</v>
      </c>
      <c r="F38" s="39">
        <v>0.22264982291758137</v>
      </c>
      <c r="G38" s="40">
        <v>0.1900936842972511</v>
      </c>
      <c r="H38" s="39">
        <v>0.22002103949725879</v>
      </c>
      <c r="I38" s="40">
        <v>0.19200573169466709</v>
      </c>
      <c r="J38" s="39">
        <v>0.21692419630192353</v>
      </c>
      <c r="K38" s="40">
        <v>0.19424634526492796</v>
      </c>
      <c r="L38" s="39">
        <v>0.21310494076355918</v>
      </c>
      <c r="M38" s="40">
        <v>0.19695306706742158</v>
      </c>
      <c r="N38" s="39">
        <v>0.20797762041401721</v>
      </c>
      <c r="O38" s="40">
        <v>0.20041569199509823</v>
      </c>
      <c r="P38" s="39">
        <v>0.19905423172696901</v>
      </c>
      <c r="Q38" s="40">
        <v>0.20574018502548125</v>
      </c>
      <c r="R38" s="222">
        <v>0.17161905321160076</v>
      </c>
      <c r="S38" s="219">
        <v>0.21391170916930807</v>
      </c>
      <c r="T38" s="39"/>
      <c r="U38" s="40"/>
      <c r="V38" s="39"/>
      <c r="W38" s="40"/>
      <c r="X38" s="39"/>
      <c r="Y38" s="40"/>
      <c r="Z38" s="39"/>
      <c r="AA38" s="40"/>
      <c r="AB38" s="39"/>
      <c r="AC38" s="40"/>
      <c r="AD38" s="39"/>
      <c r="AE38" s="40"/>
      <c r="AF38" s="39"/>
      <c r="AG38" s="40"/>
      <c r="AH38" s="39"/>
      <c r="AI38" s="40"/>
      <c r="AJ38" s="39"/>
      <c r="AK38" s="40"/>
      <c r="AL38" s="39"/>
      <c r="AM38" s="40"/>
      <c r="AN38" s="39"/>
      <c r="AO38" s="40"/>
      <c r="AP38" s="39"/>
      <c r="AQ38" s="40"/>
      <c r="AR38" s="39"/>
      <c r="AS38" s="40"/>
      <c r="AT38" s="39"/>
      <c r="AU38" s="40"/>
      <c r="AV38" s="39"/>
      <c r="AW38" s="40"/>
    </row>
    <row r="39" spans="1:95 16382:16384" x14ac:dyDescent="0.2">
      <c r="B39" s="135"/>
      <c r="C39" s="135"/>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row>
    <row r="40" spans="1:95 16382:16384" x14ac:dyDescent="0.2">
      <c r="B40" s="135"/>
      <c r="C40" s="13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row>
    <row r="41" spans="1:95 16382:16384" x14ac:dyDescent="0.2">
      <c r="A41" t="s">
        <v>107</v>
      </c>
      <c r="B41" s="162">
        <f>1-SUM(B26:C26)/SUM($B$26:$C$26)</f>
        <v>0</v>
      </c>
      <c r="C41" s="135"/>
      <c r="D41" s="162">
        <f>1-SUM(D26:E26)/SUM($B$26:$C$26)</f>
        <v>-2.3012164594327311E-2</v>
      </c>
      <c r="E41" s="135"/>
      <c r="F41" s="162">
        <f>1-SUM(F26:G26)/SUM($B$26:$C$26)</f>
        <v>-4.9804085841725465E-2</v>
      </c>
      <c r="G41" s="135"/>
      <c r="H41" s="162">
        <f>1-SUM(H26:I26)/SUM($B$26:$C$26)</f>
        <v>-8.1880377207538269E-2</v>
      </c>
      <c r="I41" s="135"/>
      <c r="J41" s="162">
        <f>1-SUM(J26:K26)/SUM($B$26:$C$26)</f>
        <v>-0.12182047978729393</v>
      </c>
      <c r="K41" s="135"/>
      <c r="L41" s="162">
        <f>1-SUM(L26:M26)/SUM($B$26:$C$26)</f>
        <v>-0.17465596074992629</v>
      </c>
      <c r="M41" s="135"/>
      <c r="N41" s="162">
        <f>1-SUM(N26:O26)/SUM($B$26:$C$26)</f>
        <v>-0.25273682428849709</v>
      </c>
      <c r="O41" s="135"/>
      <c r="P41" s="162">
        <f>1-SUM(P26:Q26)/SUM($B$26:$C$26)</f>
        <v>-0.41281728720003508</v>
      </c>
      <c r="Q41" s="135"/>
      <c r="R41" s="162">
        <f>1-SUM(R26:S26)/SUM($B$26:$C$26)</f>
        <v>-1.2422718639270314</v>
      </c>
      <c r="S41" s="135"/>
      <c r="T41" s="162">
        <f>1-SUM(T26:U26)/SUM($B$26:$C$26)</f>
        <v>1</v>
      </c>
      <c r="U41" s="135"/>
      <c r="V41" s="162">
        <f>1-SUM(V26:W26)/SUM($B$26:$C$26)</f>
        <v>1</v>
      </c>
      <c r="W41" s="135"/>
      <c r="X41" s="162">
        <f>1-SUM(X26:Y26)/SUM($B$26:$C$26)</f>
        <v>1</v>
      </c>
      <c r="Y41" s="162"/>
      <c r="Z41" s="162">
        <f>1-SUM(Z26:AA26)/SUM($B$26:$C$26)</f>
        <v>1</v>
      </c>
      <c r="AA41" s="135"/>
      <c r="AB41" s="162">
        <f>1-SUM(AB26:AC26)/SUM($B$26:$C$26)</f>
        <v>1</v>
      </c>
      <c r="AC41" s="135"/>
      <c r="AD41" s="162">
        <f>1-SUM(AD26:AE26)/SUM($B$26:$C$26)</f>
        <v>1</v>
      </c>
      <c r="AE41" s="135"/>
      <c r="AF41" s="162">
        <f>1-SUM(AF26:AG26)/SUM($B$26:$C$26)</f>
        <v>1</v>
      </c>
      <c r="AG41" s="135"/>
      <c r="AH41" s="162">
        <f>1-SUM(AH26:AI26)/SUM($B$26:$C$26)</f>
        <v>1</v>
      </c>
      <c r="AI41" s="135"/>
      <c r="AJ41" s="162">
        <f>1-SUM(AJ26:AK26)/SUM($B$26:$C$26)</f>
        <v>1</v>
      </c>
      <c r="AK41" s="135"/>
      <c r="AL41" s="162">
        <f>1-SUM(AL26:AM26)/SUM($B$26:$C$26)</f>
        <v>1</v>
      </c>
      <c r="AM41" s="135"/>
      <c r="AN41" s="162">
        <f>1-SUM(AN26:AO26)/SUM($B$26:$C$26)</f>
        <v>1</v>
      </c>
      <c r="AO41" s="135"/>
      <c r="AP41" s="162">
        <f>1-SUM(AP26:AQ26)/SUM($B$26:$C$26)</f>
        <v>1</v>
      </c>
      <c r="AQ41" s="135"/>
      <c r="AR41" s="162">
        <f>1-SUM(AR26:AS26)/SUM($B$26:$C$26)</f>
        <v>1</v>
      </c>
      <c r="AS41" s="135"/>
      <c r="AT41" s="162">
        <f>1-SUM(AT26:AU26)/SUM($B$26:$C$26)</f>
        <v>1</v>
      </c>
      <c r="AU41" s="135"/>
    </row>
    <row r="42" spans="1:95 16382:16384" x14ac:dyDescent="0.2">
      <c r="A42" t="s">
        <v>108</v>
      </c>
      <c r="B42" s="162">
        <f t="array" ref="B42">SUM(B15:C15*B27:C27)/SUM(B15:C15*B27:C27,B13:C13*B26:C26)</f>
        <v>0.60843939069027198</v>
      </c>
      <c r="C42" s="135"/>
      <c r="D42" s="162">
        <f t="array" ref="D42">SUM(D15:E15*D27:E27)/SUM(D15:E15*D27:E27,D13:E13*D26:E26)</f>
        <v>0.59898088794926418</v>
      </c>
      <c r="E42" s="135"/>
      <c r="F42" s="162">
        <f t="array" ref="F42">SUM(F15:G15*F27:G27)/SUM(F15:G15*F27:G27,F13:G13*F26:G26)</f>
        <v>0.58784970675667836</v>
      </c>
      <c r="G42" s="135"/>
      <c r="H42" s="162">
        <f t="array" ref="H42">SUM(H15:I15*H27:I27)/SUM(H15:I15*H27:I27,H13:I13*H26:I26)</f>
        <v>0.57438598240368477</v>
      </c>
      <c r="I42" s="135"/>
      <c r="J42" s="162">
        <f t="array" ref="J42">SUM(J15:K15*J27:K27)/SUM(J15:K15*J27:K27,J13:K13*J26:K26)</f>
        <v>0.55746270321875036</v>
      </c>
      <c r="K42" s="135"/>
      <c r="L42" s="162">
        <f t="array" ref="L42">SUM(L15:M15*L27:M27)/SUM(L15:M15*L27:M27,L13:M13*L26:M26)</f>
        <v>0.53489555050903614</v>
      </c>
      <c r="M42" s="135"/>
      <c r="N42" s="162">
        <f t="array" ref="N42">SUM(N15:O15*N27:O27)/SUM(N15:O15*N27:O27,N13:O13*N26:O26)</f>
        <v>0.50137689811204555</v>
      </c>
      <c r="O42" s="135"/>
      <c r="P42" s="162">
        <f t="array" ref="P42">SUM(P15:Q15*P27:Q27)/SUM(P15:Q15*P27:Q27,P13:Q13*P26:Q26)</f>
        <v>0.43292695930033331</v>
      </c>
      <c r="Q42" s="135"/>
      <c r="R42" s="162">
        <f t="array" ref="R42">SUM(R15:S15*R27:S27)/SUM(R15:S15*R27:S27,R13:S13*R26:S26)</f>
        <v>0.10362998979908987</v>
      </c>
      <c r="S42" s="135"/>
      <c r="T42" s="162" t="e">
        <f t="array" ref="T42">SUM(T15:U15*T27:U27)/SUM(T15:U15*T27:U27,T13:U13*T26:U26)</f>
        <v>#DIV/0!</v>
      </c>
      <c r="U42" s="135"/>
      <c r="V42" s="162" t="e">
        <f t="array" ref="V42">SUM(V15:W15*V27:W27)/SUM(V15:W15*V27:W27,V13:W13*V26:W26)</f>
        <v>#DIV/0!</v>
      </c>
      <c r="W42" s="135"/>
      <c r="X42" s="162" t="e">
        <f t="array" ref="X42">SUM(X15:Y15*X27:Y27)/SUM(X15:Y15*X27:Y27,X13:Y13*X26:Y26)</f>
        <v>#DIV/0!</v>
      </c>
      <c r="Y42" s="135"/>
      <c r="Z42" s="162" t="e">
        <f t="array" ref="Z42">SUM(Z15:AA15*Z27:AA27)/SUM(Z15:AA15*Z27:AA27,Z13:AA13*Z26:AA26)</f>
        <v>#DIV/0!</v>
      </c>
      <c r="AA42" s="135"/>
      <c r="AB42" s="162" t="e">
        <f t="array" ref="AB42">SUM(AB15:AC15*AB27:AC27)/SUM(AB15:AC15*AB27:AC27,AB13:AC13*AB26:AC26)</f>
        <v>#DIV/0!</v>
      </c>
      <c r="AC42" s="135"/>
      <c r="AD42" s="162" t="e">
        <f t="array" ref="AD42">SUM(AD15:AE15*AD27:AE27)/SUM(AD15:AE15*AD27:AE27,AD13:AE13*AD26:AE26)</f>
        <v>#DIV/0!</v>
      </c>
      <c r="AE42" s="135"/>
      <c r="AF42" s="162" t="e">
        <f t="array" ref="AF42">SUM(AF15:AG15*AF27:AG27)/SUM(AF15:AG15*AF27:AG27,AF13:AG13*AF26:AG26)</f>
        <v>#DIV/0!</v>
      </c>
      <c r="AG42" s="135"/>
      <c r="AH42" s="162" t="e">
        <f t="array" ref="AH42">SUM(AH15:AI15*AH27:AI27)/SUM(AH15:AI15*AH27:AI27,AH13:AI13*AH26:AI26)</f>
        <v>#DIV/0!</v>
      </c>
      <c r="AI42" s="135"/>
      <c r="AJ42" s="162" t="e">
        <f t="array" ref="AJ42">SUM(AJ15:AK15*AJ27:AK27)/SUM(AJ15:AK15*AJ27:AK27,AJ13:AK13*AJ26:AK26)</f>
        <v>#DIV/0!</v>
      </c>
      <c r="AK42" s="135"/>
      <c r="AL42" s="162" t="e">
        <f t="array" ref="AL42">SUM(AL15:AM15*AL27:AM27)/SUM(AL15:AM15*AL27:AM27,AL13:AM13*AL26:AM26)</f>
        <v>#DIV/0!</v>
      </c>
      <c r="AM42" s="135"/>
      <c r="AN42" s="162" t="e">
        <f t="array" ref="AN42">SUM(AN15:AO15*AN27:AO27)/SUM(AN15:AO15*AN27:AO27,AN13:AO13*AN26:AO26)</f>
        <v>#DIV/0!</v>
      </c>
      <c r="AO42" s="135"/>
      <c r="AP42" s="162" t="e">
        <f t="array" ref="AP42">SUM(AP15:AQ15*AP27:AQ27)/SUM(AP15:AQ15*AP27:AQ27,AP13:AQ13*AP26:AQ26)</f>
        <v>#DIV/0!</v>
      </c>
      <c r="AQ42" s="135"/>
      <c r="AR42" s="162" t="e">
        <f t="array" ref="AR42">SUM(AR15:AS15*AR27:AS27)/SUM(AR15:AS15*AR27:AS27,AR13:AS13*AR26:AS26)</f>
        <v>#DIV/0!</v>
      </c>
      <c r="AS42" s="135"/>
      <c r="AT42" s="162" t="e">
        <f t="array" ref="AT42">SUM(AT15:AU15*AT27:AU27)/SUM(AT15:AU15*AT27:AU27,AT13:AU13*AT26:AU26)</f>
        <v>#DIV/0!</v>
      </c>
      <c r="AU42" s="135"/>
      <c r="AV42" s="162"/>
      <c r="AX42" s="162"/>
      <c r="AZ42" s="162"/>
      <c r="BB42" s="162"/>
      <c r="BD42" s="162"/>
      <c r="BF42" s="162"/>
      <c r="BH42" s="162"/>
      <c r="BJ42" s="162"/>
      <c r="BL42" s="162"/>
      <c r="BN42" s="162"/>
      <c r="BP42" s="162"/>
      <c r="BR42" s="162"/>
    </row>
    <row r="43" spans="1:95 16382:16384" x14ac:dyDescent="0.2">
      <c r="A43" t="s">
        <v>142</v>
      </c>
      <c r="B43" s="193">
        <f>(SUM(B11:C11*B24:C24)+B34)/B32</f>
        <v>0.21620509429616314</v>
      </c>
      <c r="D43" s="193">
        <f>(SUM(D11:E11*D24:E24)+D34)/D32</f>
        <v>0.21416983254737415</v>
      </c>
      <c r="F43" s="193">
        <f>(SUM(F11:G11*F24:G24)+F34)/F32</f>
        <v>0.21190279300046858</v>
      </c>
      <c r="H43" s="193">
        <f>(SUM(H11:I11*H24:I24)+H34)/H32</f>
        <v>0.20932209401184362</v>
      </c>
      <c r="J43" s="193">
        <f>(SUM(J11:K11*J24:K24)+J34)/J32</f>
        <v>0.20629339718890449</v>
      </c>
      <c r="L43" s="193">
        <f>(SUM(L11:M11*L24:M24)+L34)/L32</f>
        <v>0.20256895467397917</v>
      </c>
      <c r="N43" s="193">
        <f>(SUM(N11:O11*N24:O24)+N34)/N32</f>
        <v>0.19758205828353961</v>
      </c>
      <c r="P43" s="193">
        <f>(SUM(P11:Q11*P24:Q24)+P34)/P32</f>
        <v>0.18896378522653406</v>
      </c>
      <c r="R43" s="193">
        <f>(SUM(R11:S11*R24:S24)+R34)/R32</f>
        <v>0.16401273555897103</v>
      </c>
      <c r="T43" s="193" t="e">
        <f>(SUM(T11:U11*T24:U24)+T34)/T32</f>
        <v>#DIV/0!</v>
      </c>
      <c r="V43" s="193" t="e">
        <f>(SUM(V11:W11*V24:W24)+V34)/V32</f>
        <v>#DIV/0!</v>
      </c>
      <c r="X43" s="193" t="e">
        <f>(SUM(X11:Y11*X24:Y24)+X34)/X32</f>
        <v>#DIV/0!</v>
      </c>
      <c r="Z43" s="193" t="e">
        <f>(SUM(Z11:AA11*Z24:AA24)+Z34)/Z32</f>
        <v>#DIV/0!</v>
      </c>
      <c r="AB43" s="193" t="e">
        <f>(SUM(AB11:AC11*AB24:AC24)+AB34)/AB32</f>
        <v>#DIV/0!</v>
      </c>
      <c r="AD43" s="193" t="e">
        <f>(SUM(AD11:AE11*AD24:AE24)+AD34)/AD32</f>
        <v>#DIV/0!</v>
      </c>
      <c r="AF43" s="193" t="e">
        <f>(SUM(AF11:AG11*AF24:AG24)+AF34)/AF32</f>
        <v>#DIV/0!</v>
      </c>
      <c r="AH43" s="193" t="e">
        <f>(SUM(AH11:AI11*AH24:AI24)+AH34)/AH32</f>
        <v>#DIV/0!</v>
      </c>
      <c r="AJ43" s="193" t="e">
        <f>(SUM(AJ11:AK11*AJ24:AK24)+AJ34)/AJ32</f>
        <v>#DIV/0!</v>
      </c>
      <c r="AL43" s="193" t="e">
        <f>(SUM(AL11:AM11*AL24:AM24)+AL34)/AL32</f>
        <v>#DIV/0!</v>
      </c>
      <c r="AN43" s="193" t="e">
        <f>(SUM(AN11:AO11*AN24:AO24)+AN34)/AN32</f>
        <v>#DIV/0!</v>
      </c>
      <c r="AP43" s="193" t="e">
        <f>(SUM(AP11:AQ11*AP24:AQ24)+AP34)/AP32</f>
        <v>#DIV/0!</v>
      </c>
      <c r="AR43" s="193" t="e">
        <f>(SUM(AR11:AS11*AR24:AS24)+AR34)/AR32</f>
        <v>#DIV/0!</v>
      </c>
      <c r="AT43" s="193" t="e">
        <f>(SUM(AT11:AU11*AT24:AU24)+AT34)/AT32</f>
        <v>#DIV/0!</v>
      </c>
    </row>
    <row r="44" spans="1:95 16382:16384" x14ac:dyDescent="0.2">
      <c r="A44" t="s">
        <v>82</v>
      </c>
      <c r="B44" s="193">
        <f>SUM(B11:C11*B24:C24)/B32</f>
        <v>0.20445380142857192</v>
      </c>
      <c r="D44" s="193">
        <f>SUM(D11:E11*D24:E24)/D32</f>
        <v>0.2024185428749285</v>
      </c>
      <c r="F44" s="193">
        <f>SUM(F11:G11*F24:G24)/F32</f>
        <v>0.20015150770368248</v>
      </c>
      <c r="H44" s="193">
        <f>SUM(H11:I11*H24:I24)/H32</f>
        <v>0.19757080072513944</v>
      </c>
      <c r="J44" s="193">
        <f>SUM(J11:K11*J24:K24)/J32</f>
        <v>0.19454211314072914</v>
      </c>
      <c r="L44" s="193">
        <f>SUM(L11:M11*L24:M24)/L32</f>
        <v>0.19081766273176673</v>
      </c>
      <c r="N44" s="193">
        <f>SUM(N11:O11*N24:O24)/N32</f>
        <v>0.18583077034062143</v>
      </c>
      <c r="P44" s="193">
        <f>SUM(P11:Q11*P24:Q24)/P32</f>
        <v>0.17721250019401408</v>
      </c>
      <c r="R44" s="193">
        <f>SUM(R11:S11*R24:S24)/R32</f>
        <v>0.15226144431421212</v>
      </c>
      <c r="T44" s="193" t="e">
        <f>SUM(T11:U11*T24:U24)/T32</f>
        <v>#DIV/0!</v>
      </c>
      <c r="V44" s="193" t="e">
        <f>SUM(V11:W11*V24:W24)/V32</f>
        <v>#DIV/0!</v>
      </c>
      <c r="X44" s="193" t="e">
        <f>SUM(X11:Y11*X24:Y24)/X32</f>
        <v>#DIV/0!</v>
      </c>
      <c r="Z44" s="193" t="e">
        <f>SUM(Z11:AA11*Z24:AA24)/Z32</f>
        <v>#DIV/0!</v>
      </c>
      <c r="AB44" s="193" t="e">
        <f>SUM(AB11:AC11*AB24:AC24)/AB32</f>
        <v>#DIV/0!</v>
      </c>
      <c r="AD44" s="193" t="e">
        <f>SUM(AD11:AE11*AD24:AE24)/AD32</f>
        <v>#DIV/0!</v>
      </c>
      <c r="AF44" s="193" t="e">
        <f>SUM(AF11:AG11*AF24:AG24)/AF32</f>
        <v>#DIV/0!</v>
      </c>
      <c r="AH44" s="193" t="e">
        <f>SUM(AH11:AI11*AH24:AI24)/AH32</f>
        <v>#DIV/0!</v>
      </c>
      <c r="AJ44" s="193" t="e">
        <f>SUM(AJ11:AK11*AJ24:AK24)/AJ32</f>
        <v>#DIV/0!</v>
      </c>
      <c r="AL44" s="193" t="e">
        <f>SUM(AL11:AM11*AL24:AM24)/AL32</f>
        <v>#DIV/0!</v>
      </c>
      <c r="AN44" s="193" t="e">
        <f>SUM(AN11:AO11*AN24:AO24)/AN32</f>
        <v>#DIV/0!</v>
      </c>
      <c r="AP44" s="193" t="e">
        <f>SUM(AP11:AQ11*AP24:AQ24)/AP32</f>
        <v>#DIV/0!</v>
      </c>
      <c r="AR44" s="193" t="e">
        <f>SUM(AR11:AS11*AR24:AS24)/AR32</f>
        <v>#DIV/0!</v>
      </c>
      <c r="AT44" s="193" t="e">
        <f>SUM(AT11:AU11*AT24:AU24)/AT32</f>
        <v>#DIV/0!</v>
      </c>
      <c r="XFB44" s="193"/>
    </row>
    <row r="45" spans="1:95 16382:16384" x14ac:dyDescent="0.2">
      <c r="A45" t="s">
        <v>139</v>
      </c>
      <c r="B45" s="193">
        <f>B34/B32</f>
        <v>1.1751292867591238E-2</v>
      </c>
      <c r="D45" s="193">
        <f>D34/D32</f>
        <v>1.1751289672445658E-2</v>
      </c>
      <c r="F45" s="193">
        <f>F34/F32</f>
        <v>1.1751285296786077E-2</v>
      </c>
      <c r="H45" s="193">
        <f>H34/H32</f>
        <v>1.1751293286704208E-2</v>
      </c>
      <c r="J45" s="193">
        <f>J34/J32</f>
        <v>1.1751284048175362E-2</v>
      </c>
      <c r="L45" s="193">
        <f>L34/L32</f>
        <v>1.1751291942212434E-2</v>
      </c>
      <c r="N45" s="193">
        <f>N34/N32</f>
        <v>1.1751287942918172E-2</v>
      </c>
      <c r="P45" s="193">
        <f>P34/P32</f>
        <v>1.1751285032520006E-2</v>
      </c>
      <c r="R45" s="193">
        <f>R34/R32</f>
        <v>1.1751291244758913E-2</v>
      </c>
      <c r="T45" s="193" t="e">
        <f>T34/T32</f>
        <v>#DIV/0!</v>
      </c>
      <c r="V45" s="193" t="e">
        <f>V34/V32</f>
        <v>#DIV/0!</v>
      </c>
      <c r="X45" s="193" t="e">
        <f>X34/X32</f>
        <v>#DIV/0!</v>
      </c>
      <c r="Z45" s="193" t="e">
        <f>Z34/Z32</f>
        <v>#DIV/0!</v>
      </c>
      <c r="AB45" s="193" t="e">
        <f>AB34/AB32</f>
        <v>#DIV/0!</v>
      </c>
      <c r="AD45" s="193" t="e">
        <f>AD34/AD32</f>
        <v>#DIV/0!</v>
      </c>
      <c r="AF45" s="193" t="e">
        <f>AF34/AF32</f>
        <v>#DIV/0!</v>
      </c>
      <c r="AH45" s="193" t="e">
        <f>AH34/AH32</f>
        <v>#DIV/0!</v>
      </c>
      <c r="AJ45" s="193" t="e">
        <f>AJ34/AJ32</f>
        <v>#DIV/0!</v>
      </c>
      <c r="AL45" s="193" t="e">
        <f>AL34/AL32</f>
        <v>#DIV/0!</v>
      </c>
      <c r="AN45" s="193" t="e">
        <f>AN34/AN32</f>
        <v>#DIV/0!</v>
      </c>
      <c r="AP45" s="193" t="e">
        <f>AP34/AP32</f>
        <v>#DIV/0!</v>
      </c>
      <c r="AR45" s="193" t="e">
        <f>AR34/AR32</f>
        <v>#DIV/0!</v>
      </c>
      <c r="AT45" s="193" t="e">
        <f>AT34/AT32</f>
        <v>#DIV/0!</v>
      </c>
      <c r="AV45" s="193" t="e">
        <f>AV34/AV32</f>
        <v>#DIV/0!</v>
      </c>
      <c r="XFD45" s="193"/>
    </row>
    <row r="51" spans="1:48 16321:16384" x14ac:dyDescent="0.2">
      <c r="A51" t="s">
        <v>166</v>
      </c>
      <c r="B51" s="29">
        <v>898591.45196639095</v>
      </c>
      <c r="D51" s="29">
        <v>986328.77374055982</v>
      </c>
      <c r="F51" s="29">
        <v>1086158.3980049016</v>
      </c>
      <c r="H51" s="29">
        <v>1202589.2550592632</v>
      </c>
      <c r="J51" s="29">
        <v>1343170.8775422131</v>
      </c>
      <c r="L51" s="29">
        <v>1522165.7178274137</v>
      </c>
      <c r="N51" s="29">
        <v>1773067.8483392284</v>
      </c>
      <c r="P51" s="29">
        <v>2239962.106054347</v>
      </c>
      <c r="R51" s="29">
        <v>3889700.906517406</v>
      </c>
      <c r="T51" s="29">
        <v>0</v>
      </c>
      <c r="V51" s="29">
        <v>0</v>
      </c>
      <c r="X51" s="29">
        <v>0</v>
      </c>
      <c r="Z51" s="29">
        <v>0</v>
      </c>
      <c r="AB51" s="29">
        <v>0</v>
      </c>
      <c r="AD51" s="29">
        <v>0</v>
      </c>
      <c r="AF51" s="29">
        <v>0</v>
      </c>
      <c r="AH51" s="29">
        <v>0</v>
      </c>
      <c r="AJ51" s="29">
        <v>0</v>
      </c>
      <c r="AL51" s="29">
        <v>0</v>
      </c>
      <c r="AN51" s="29">
        <v>0</v>
      </c>
      <c r="AP51" s="29">
        <v>0</v>
      </c>
      <c r="AQ51" s="29"/>
      <c r="AR51" s="29">
        <v>0</v>
      </c>
      <c r="AT51" s="29">
        <v>0</v>
      </c>
      <c r="AV51" s="29">
        <v>0</v>
      </c>
      <c r="XFD51" s="29"/>
    </row>
    <row r="52" spans="1:48 16321:16384" x14ac:dyDescent="0.2">
      <c r="A52" t="s">
        <v>167</v>
      </c>
      <c r="B52" s="29">
        <v>639893.22495732247</v>
      </c>
      <c r="D52" s="29">
        <v>655708.56971348159</v>
      </c>
      <c r="F52" s="29">
        <v>674328.03346979595</v>
      </c>
      <c r="H52" s="29">
        <v>696860.76590800134</v>
      </c>
      <c r="J52" s="29">
        <v>725202.62369193556</v>
      </c>
      <c r="L52" s="29">
        <v>763031.71627724427</v>
      </c>
      <c r="N52" s="29">
        <v>819294.50354678871</v>
      </c>
      <c r="P52" s="29">
        <v>934460.55639255641</v>
      </c>
      <c r="R52" s="29">
        <v>1492150.8596400067</v>
      </c>
      <c r="T52" s="29">
        <v>0</v>
      </c>
      <c r="V52" s="29">
        <v>0</v>
      </c>
      <c r="X52" s="29">
        <v>0</v>
      </c>
      <c r="Z52" s="29">
        <v>0</v>
      </c>
      <c r="AB52" s="29">
        <v>0</v>
      </c>
      <c r="AD52" s="29">
        <v>0</v>
      </c>
      <c r="AF52" s="29">
        <v>0</v>
      </c>
      <c r="AH52" s="29">
        <v>0</v>
      </c>
      <c r="AJ52" s="29">
        <v>0</v>
      </c>
      <c r="AL52" s="29">
        <v>0</v>
      </c>
      <c r="AN52" s="29">
        <v>0</v>
      </c>
      <c r="AP52" s="29">
        <v>0</v>
      </c>
      <c r="AQ52" s="29"/>
      <c r="AR52" s="29">
        <v>0</v>
      </c>
      <c r="AT52" s="29">
        <v>0</v>
      </c>
      <c r="AV52" s="29">
        <v>0</v>
      </c>
    </row>
    <row r="53" spans="1:48 16321:16384" x14ac:dyDescent="0.2">
      <c r="A53" t="s">
        <v>168</v>
      </c>
      <c r="B53" s="29">
        <v>994319.23090072128</v>
      </c>
      <c r="D53" s="29">
        <v>979396.96518312744</v>
      </c>
      <c r="F53" s="29">
        <v>961793.65447885811</v>
      </c>
      <c r="H53" s="29">
        <v>940446.12977079034</v>
      </c>
      <c r="J53" s="29">
        <v>913535.23855521006</v>
      </c>
      <c r="L53" s="29">
        <v>877528.19905435189</v>
      </c>
      <c r="N53" s="29">
        <v>823819.30414616584</v>
      </c>
      <c r="P53" s="29">
        <v>713405.74887139932</v>
      </c>
      <c r="R53" s="29">
        <v>172508.64777207168</v>
      </c>
      <c r="T53" s="29">
        <v>0</v>
      </c>
      <c r="V53" s="29">
        <v>0</v>
      </c>
      <c r="X53" s="29">
        <v>0</v>
      </c>
      <c r="Z53" s="29">
        <v>0</v>
      </c>
      <c r="AB53" s="29">
        <v>0</v>
      </c>
      <c r="AD53" s="29">
        <v>0</v>
      </c>
      <c r="AF53" s="29">
        <v>0</v>
      </c>
      <c r="AH53" s="29">
        <v>0</v>
      </c>
      <c r="AJ53" s="29">
        <v>0</v>
      </c>
      <c r="AL53" s="29">
        <v>0</v>
      </c>
      <c r="AN53" s="29">
        <v>0</v>
      </c>
      <c r="AP53" s="29">
        <v>0</v>
      </c>
      <c r="AQ53" s="29"/>
      <c r="AR53" s="29">
        <v>0</v>
      </c>
      <c r="AT53" s="29">
        <v>0</v>
      </c>
      <c r="AV53" s="29">
        <v>0</v>
      </c>
      <c r="XFD53" s="29"/>
    </row>
    <row r="55" spans="1:48 16321:16384" x14ac:dyDescent="0.2">
      <c r="A55" t="s">
        <v>169</v>
      </c>
      <c r="B55" s="193">
        <v>0.29343319644276039</v>
      </c>
      <c r="D55" s="193">
        <v>0.30008449758032324</v>
      </c>
      <c r="F55" s="193">
        <v>0.3074932547254613</v>
      </c>
      <c r="H55" s="193">
        <v>0.31592711845864874</v>
      </c>
      <c r="J55" s="193">
        <v>0.3258249876845864</v>
      </c>
      <c r="L55" s="193">
        <v>0.33799663877321651</v>
      </c>
      <c r="N55" s="193">
        <v>0.35429400167438302</v>
      </c>
      <c r="P55" s="193">
        <v>0.38245884035595185</v>
      </c>
      <c r="R55" s="193">
        <v>0.46399988760177896</v>
      </c>
      <c r="T55" s="193" t="e">
        <v>#DIV/0!</v>
      </c>
      <c r="V55" s="193" t="e">
        <v>#DIV/0!</v>
      </c>
      <c r="X55" s="193" t="e">
        <v>#DIV/0!</v>
      </c>
      <c r="Z55" s="193" t="e">
        <v>#DIV/0!</v>
      </c>
      <c r="AB55" s="193" t="e">
        <v>#DIV/0!</v>
      </c>
      <c r="AD55" s="193" t="e">
        <v>#DIV/0!</v>
      </c>
      <c r="AF55" s="193" t="e">
        <v>#DIV/0!</v>
      </c>
      <c r="AH55" s="193" t="e">
        <v>#DIV/0!</v>
      </c>
      <c r="AJ55" s="193" t="e">
        <v>#DIV/0!</v>
      </c>
      <c r="AL55" s="193" t="e">
        <v>#DIV/0!</v>
      </c>
      <c r="AN55" s="193" t="e">
        <v>#DIV/0!</v>
      </c>
      <c r="AP55" s="193" t="e">
        <v>#DIV/0!</v>
      </c>
      <c r="AR55" s="193" t="e">
        <v>#DIV/0!</v>
      </c>
      <c r="AT55" s="193" t="e">
        <v>#DIV/0!</v>
      </c>
      <c r="AV55" s="193" t="e">
        <v>#DIV/0!</v>
      </c>
      <c r="XCS55" s="193"/>
      <c r="XFD55" s="193"/>
    </row>
    <row r="56" spans="1:48 16321:16384" x14ac:dyDescent="0.2">
      <c r="A56" t="s">
        <v>170</v>
      </c>
      <c r="B56" s="193">
        <v>0.12330490389763608</v>
      </c>
      <c r="D56" s="193">
        <v>0.12768289750492404</v>
      </c>
      <c r="F56" s="193">
        <v>0.13240727143042663</v>
      </c>
      <c r="H56" s="193">
        <v>0.13758884675678404</v>
      </c>
      <c r="J56" s="193">
        <v>0.14340114370740284</v>
      </c>
      <c r="L56" s="193">
        <v>0.15014418714748298</v>
      </c>
      <c r="N56" s="193">
        <v>0.15844178967993133</v>
      </c>
      <c r="P56" s="193">
        <v>0.17052796754992319</v>
      </c>
      <c r="R56" s="193">
        <v>0.17764974051826693</v>
      </c>
      <c r="T56" s="193" t="e">
        <v>#DIV/0!</v>
      </c>
      <c r="V56" s="193" t="e">
        <v>#DIV/0!</v>
      </c>
      <c r="X56" s="193" t="e">
        <v>#DIV/0!</v>
      </c>
      <c r="Z56" s="193" t="e">
        <v>#DIV/0!</v>
      </c>
      <c r="AB56" s="193" t="e">
        <v>#DIV/0!</v>
      </c>
      <c r="AD56" s="193" t="e">
        <v>#DIV/0!</v>
      </c>
      <c r="AF56" s="193" t="e">
        <v>#DIV/0!</v>
      </c>
      <c r="AH56" s="193" t="e">
        <v>#DIV/0!</v>
      </c>
      <c r="AJ56" s="193" t="e">
        <v>#DIV/0!</v>
      </c>
      <c r="AL56" s="193" t="e">
        <v>#DIV/0!</v>
      </c>
      <c r="AN56" s="193" t="e">
        <v>#DIV/0!</v>
      </c>
      <c r="AP56" s="193" t="e">
        <v>#DIV/0!</v>
      </c>
      <c r="AR56" s="193" t="e">
        <v>#DIV/0!</v>
      </c>
      <c r="AT56" s="193" t="e">
        <v>#DIV/0!</v>
      </c>
      <c r="AV56" s="193" t="e">
        <v>#DIV/0!</v>
      </c>
      <c r="XFD56" s="193"/>
    </row>
    <row r="57" spans="1:48 16321:16384" x14ac:dyDescent="0.2">
      <c r="A57" t="s">
        <v>171</v>
      </c>
      <c r="B57" s="193">
        <v>0.15814435802029927</v>
      </c>
      <c r="D57" s="193">
        <v>0.16044254401283303</v>
      </c>
      <c r="F57" s="193">
        <v>0.16315326548544218</v>
      </c>
      <c r="H57" s="193">
        <v>0.1664338600947986</v>
      </c>
      <c r="J57" s="193">
        <v>0.17055051991752559</v>
      </c>
      <c r="L57" s="193">
        <v>0.17601443377647052</v>
      </c>
      <c r="N57" s="193">
        <v>0.18405678844988416</v>
      </c>
      <c r="P57" s="193">
        <v>0.20019671112186291</v>
      </c>
      <c r="R57" s="193">
        <v>0.27466385393861609</v>
      </c>
      <c r="T57" s="193" t="e">
        <v>#DIV/0!</v>
      </c>
      <c r="V57" s="193" t="e">
        <v>#DIV/0!</v>
      </c>
      <c r="X57" s="193" t="e">
        <v>#DIV/0!</v>
      </c>
      <c r="Y57" s="193"/>
      <c r="Z57" s="193" t="e">
        <v>#DIV/0!</v>
      </c>
      <c r="AB57" s="193" t="e">
        <v>#DIV/0!</v>
      </c>
      <c r="AD57" s="193" t="e">
        <v>#DIV/0!</v>
      </c>
      <c r="AF57" s="193" t="e">
        <v>#DIV/0!</v>
      </c>
      <c r="AH57" s="193" t="e">
        <v>#DIV/0!</v>
      </c>
      <c r="AJ57" s="193" t="e">
        <v>#DIV/0!</v>
      </c>
      <c r="AL57" s="193" t="e">
        <v>#DIV/0!</v>
      </c>
      <c r="AN57" s="193" t="e">
        <v>#DIV/0!</v>
      </c>
      <c r="AP57" s="193" t="e">
        <v>#DIV/0!</v>
      </c>
      <c r="AR57" s="193" t="e">
        <v>#DIV/0!</v>
      </c>
      <c r="AT57" s="193" t="e">
        <v>#DIV/0!</v>
      </c>
      <c r="AV57" s="193" t="e">
        <v>#DIV/0!</v>
      </c>
      <c r="XFD57" s="193"/>
    </row>
    <row r="58" spans="1:48 16321:16384" x14ac:dyDescent="0.2">
      <c r="A58" t="s">
        <v>172</v>
      </c>
      <c r="B58" s="193">
        <v>1.1983934524824984E-2</v>
      </c>
      <c r="D58" s="193">
        <v>1.1959056062566149E-2</v>
      </c>
      <c r="F58" s="193">
        <v>1.1932717809592482E-2</v>
      </c>
      <c r="H58" s="193">
        <v>1.1904411607066087E-2</v>
      </c>
      <c r="J58" s="193">
        <v>1.1873324059657964E-2</v>
      </c>
      <c r="L58" s="193">
        <v>1.1838017849262977E-2</v>
      </c>
      <c r="N58" s="193">
        <v>1.1795423544567481E-2</v>
      </c>
      <c r="P58" s="193">
        <v>1.1734161684165731E-2</v>
      </c>
      <c r="R58" s="193">
        <v>1.1686293144895936E-2</v>
      </c>
      <c r="T58" s="193" t="e">
        <v>#DIV/0!</v>
      </c>
      <c r="V58" s="193" t="e">
        <v>#DIV/0!</v>
      </c>
      <c r="X58" s="193" t="e">
        <v>#DIV/0!</v>
      </c>
      <c r="Y58" s="193"/>
      <c r="Z58" s="193" t="e">
        <v>#DIV/0!</v>
      </c>
      <c r="AB58" s="193" t="e">
        <v>#DIV/0!</v>
      </c>
      <c r="AD58" s="193" t="e">
        <v>#DIV/0!</v>
      </c>
      <c r="AF58" s="193" t="e">
        <v>#DIV/0!</v>
      </c>
      <c r="AH58" s="193" t="e">
        <v>#DIV/0!</v>
      </c>
      <c r="AJ58" s="193" t="e">
        <v>#DIV/0!</v>
      </c>
      <c r="AL58" s="193" t="e">
        <v>#DIV/0!</v>
      </c>
      <c r="AN58" s="193" t="e">
        <v>#DIV/0!</v>
      </c>
      <c r="AP58" s="193" t="e">
        <v>#DIV/0!</v>
      </c>
      <c r="AR58" s="193" t="e">
        <v>#DIV/0!</v>
      </c>
      <c r="AT58" s="193" t="e">
        <v>#DIV/0!</v>
      </c>
      <c r="AV58" s="193" t="e">
        <v>#DIV/0!</v>
      </c>
      <c r="XFD58" s="193"/>
    </row>
    <row r="59" spans="1:48 16321:16384" x14ac:dyDescent="0.2">
      <c r="A59" t="s">
        <v>173</v>
      </c>
      <c r="B59" s="193">
        <v>1.7199725200015354E-2</v>
      </c>
      <c r="D59" s="193">
        <v>2.1723111378617155E-2</v>
      </c>
      <c r="F59" s="193">
        <v>2.6602984406436755E-2</v>
      </c>
      <c r="H59" s="193">
        <v>3.1953679356397563E-2</v>
      </c>
      <c r="J59" s="193">
        <v>3.7954374369136248E-2</v>
      </c>
      <c r="L59" s="193">
        <v>4.4915157816046825E-2</v>
      </c>
      <c r="N59" s="193">
        <v>5.3481422496995792E-2</v>
      </c>
      <c r="P59" s="193">
        <v>6.5967317549121898E-2</v>
      </c>
      <c r="R59" s="193">
        <v>7.345752560047572E-2</v>
      </c>
      <c r="T59" s="193" t="e">
        <v>#DIV/0!</v>
      </c>
      <c r="V59" s="193" t="e">
        <v>#DIV/0!</v>
      </c>
      <c r="X59" s="193" t="e">
        <v>#DIV/0!</v>
      </c>
      <c r="Z59" s="193" t="e">
        <v>#DIV/0!</v>
      </c>
      <c r="AB59" s="193" t="e">
        <v>#DIV/0!</v>
      </c>
      <c r="AD59" s="193" t="e">
        <v>#DIV/0!</v>
      </c>
      <c r="AF59" s="193" t="e">
        <v>#DIV/0!</v>
      </c>
      <c r="AH59" s="193" t="e">
        <v>#DIV/0!</v>
      </c>
      <c r="AJ59" s="193" t="e">
        <v>#DIV/0!</v>
      </c>
      <c r="AL59" s="193" t="e">
        <v>#DIV/0!</v>
      </c>
      <c r="AN59" s="193" t="e">
        <v>#DIV/0!</v>
      </c>
      <c r="AP59" s="193" t="e">
        <v>#DIV/0!</v>
      </c>
      <c r="AR59" s="193" t="e">
        <v>#DIV/0!</v>
      </c>
      <c r="AT59" s="193" t="e">
        <v>#DIV/0!</v>
      </c>
      <c r="AV59" s="193" t="e">
        <v>#DIV/0!</v>
      </c>
      <c r="XFD59" s="193"/>
    </row>
    <row r="60" spans="1:48 16321:16384" x14ac:dyDescent="0.2">
      <c r="A60" t="s">
        <v>174</v>
      </c>
      <c r="B60" s="193">
        <v>0.10610517869762073</v>
      </c>
      <c r="D60" s="193">
        <v>0.1059597861263069</v>
      </c>
      <c r="F60" s="193">
        <v>0.10580428702398988</v>
      </c>
      <c r="H60" s="193">
        <v>0.10563516740038648</v>
      </c>
      <c r="J60" s="193">
        <v>0.10544676933826659</v>
      </c>
      <c r="L60" s="193">
        <v>0.10522902933143616</v>
      </c>
      <c r="N60" s="193">
        <v>0.10496036718293554</v>
      </c>
      <c r="P60" s="193">
        <v>0.10456065000080128</v>
      </c>
      <c r="R60" s="193">
        <v>0.10419221491779121</v>
      </c>
      <c r="T60" s="193" t="e">
        <v>#DIV/0!</v>
      </c>
      <c r="V60" s="193" t="e">
        <v>#DIV/0!</v>
      </c>
      <c r="X60" s="193" t="e">
        <v>#DIV/0!</v>
      </c>
      <c r="Z60" s="193" t="e">
        <v>#DIV/0!</v>
      </c>
      <c r="AB60" s="193" t="e">
        <v>#DIV/0!</v>
      </c>
      <c r="AD60" s="193" t="e">
        <v>#DIV/0!</v>
      </c>
      <c r="AF60" s="193" t="e">
        <v>#DIV/0!</v>
      </c>
      <c r="AH60" s="193" t="e">
        <v>#DIV/0!</v>
      </c>
      <c r="AJ60" s="193" t="e">
        <v>#DIV/0!</v>
      </c>
      <c r="AL60" s="193" t="e">
        <v>#DIV/0!</v>
      </c>
      <c r="AN60" s="193" t="e">
        <v>#DIV/0!</v>
      </c>
      <c r="AP60" s="193" t="e">
        <v>#DIV/0!</v>
      </c>
      <c r="AR60" s="193" t="e">
        <v>#DIV/0!</v>
      </c>
      <c r="AT60" s="193" t="e">
        <v>#DIV/0!</v>
      </c>
      <c r="AV60" s="193" t="e">
        <v>#DIV/0!</v>
      </c>
      <c r="XFD60" s="193"/>
    </row>
    <row r="62" spans="1:48 16321:16384" x14ac:dyDescent="0.2">
      <c r="A62" t="s">
        <v>175</v>
      </c>
      <c r="B62">
        <v>1</v>
      </c>
      <c r="D62">
        <v>1.0169266534322692</v>
      </c>
      <c r="F62">
        <v>1.037765815660866</v>
      </c>
      <c r="H62">
        <v>1.0642684101197155</v>
      </c>
      <c r="J62">
        <v>1.0995855135101102</v>
      </c>
      <c r="L62">
        <v>1.1502417949528077</v>
      </c>
      <c r="N62">
        <v>1.2335777369867376</v>
      </c>
      <c r="P62">
        <v>1.4406437644515671</v>
      </c>
      <c r="R62">
        <v>5.9942096264574447</v>
      </c>
      <c r="T62" t="e">
        <v>#DIV/0!</v>
      </c>
      <c r="V62" t="e">
        <v>#DIV/0!</v>
      </c>
      <c r="X62" t="e">
        <v>#DIV/0!</v>
      </c>
      <c r="Z62" t="e">
        <v>#DIV/0!</v>
      </c>
      <c r="AB62" t="e">
        <v>#DIV/0!</v>
      </c>
      <c r="AD62" t="e">
        <v>#DIV/0!</v>
      </c>
      <c r="AF62" t="e">
        <v>#DIV/0!</v>
      </c>
      <c r="AH62" t="e">
        <v>#DIV/0!</v>
      </c>
      <c r="AJ62" t="e">
        <v>#DIV/0!</v>
      </c>
      <c r="AL62" t="e">
        <v>#DIV/0!</v>
      </c>
      <c r="AN62" t="e">
        <v>#DIV/0!</v>
      </c>
      <c r="AP62" t="e">
        <v>#DIV/0!</v>
      </c>
      <c r="AR62" t="e">
        <v>#DIV/0!</v>
      </c>
      <c r="AT62" t="e">
        <v>#DIV/0!</v>
      </c>
      <c r="AV62" t="e">
        <v>#DIV/0!</v>
      </c>
    </row>
    <row r="65" spans="1:48 16384:16384" x14ac:dyDescent="0.2">
      <c r="A65" t="s">
        <v>176</v>
      </c>
      <c r="B65" s="191">
        <v>1</v>
      </c>
      <c r="C65" s="191"/>
      <c r="D65" s="191">
        <v>0.99759163990393218</v>
      </c>
      <c r="E65" s="191"/>
      <c r="F65" s="191">
        <v>0.99518611789009437</v>
      </c>
      <c r="G65" s="191"/>
      <c r="H65" s="191">
        <v>0.99278430119757166</v>
      </c>
      <c r="I65" s="191"/>
      <c r="J65" s="191">
        <v>0.99039120871789965</v>
      </c>
      <c r="K65" s="191"/>
      <c r="L65" s="191">
        <v>0.98801872967897642</v>
      </c>
      <c r="M65" s="191"/>
      <c r="N65" s="191">
        <v>0.98568899010358535</v>
      </c>
      <c r="O65" s="191"/>
      <c r="P65" s="191">
        <v>0.98340495953715934</v>
      </c>
      <c r="Q65" s="191"/>
      <c r="R65" s="191">
        <v>0.98491464673980078</v>
      </c>
      <c r="S65" s="191"/>
      <c r="T65" s="191" t="e">
        <v>#DIV/0!</v>
      </c>
      <c r="U65" s="191"/>
      <c r="V65" s="191" t="e">
        <v>#DIV/0!</v>
      </c>
      <c r="W65" s="191"/>
      <c r="X65" s="191" t="e">
        <v>#DIV/0!</v>
      </c>
      <c r="Y65" s="191"/>
      <c r="Z65" s="191" t="e">
        <v>#DIV/0!</v>
      </c>
      <c r="AA65" s="191"/>
      <c r="AB65" s="191" t="e">
        <v>#DIV/0!</v>
      </c>
      <c r="AC65" s="191"/>
      <c r="AD65" s="191" t="e">
        <v>#DIV/0!</v>
      </c>
      <c r="AE65" s="191"/>
      <c r="AF65" s="191" t="e">
        <v>#DIV/0!</v>
      </c>
      <c r="AG65" s="191"/>
      <c r="AH65" s="191" t="e">
        <v>#DIV/0!</v>
      </c>
      <c r="AI65" s="191"/>
      <c r="AJ65" s="191" t="e">
        <v>#DIV/0!</v>
      </c>
      <c r="AK65" s="191"/>
      <c r="AL65" s="191" t="e">
        <v>#DIV/0!</v>
      </c>
      <c r="AM65" s="191"/>
      <c r="AN65" s="191" t="e">
        <v>#DIV/0!</v>
      </c>
      <c r="AO65" s="191"/>
      <c r="AP65" s="191" t="e">
        <v>#DIV/0!</v>
      </c>
      <c r="AQ65" s="191"/>
      <c r="AR65" s="191" t="e">
        <v>#DIV/0!</v>
      </c>
      <c r="AS65" s="191"/>
      <c r="AT65" s="191" t="e">
        <v>#DIV/0!</v>
      </c>
      <c r="AU65" s="191"/>
      <c r="AV65" s="191" t="e">
        <v>#DIV/0!</v>
      </c>
    </row>
    <row r="66" spans="1:48 16384:16384" x14ac:dyDescent="0.2">
      <c r="A66" t="s">
        <v>182</v>
      </c>
      <c r="B66" s="191">
        <v>1</v>
      </c>
      <c r="C66" s="191"/>
      <c r="D66" s="191">
        <v>0.99747592950676511</v>
      </c>
      <c r="E66" s="191"/>
      <c r="F66" s="191">
        <v>0.99494994810101878</v>
      </c>
      <c r="G66" s="191"/>
      <c r="H66" s="191">
        <v>0.9924229575223259</v>
      </c>
      <c r="I66" s="191"/>
      <c r="J66" s="191">
        <v>0.98990024728530024</v>
      </c>
      <c r="K66" s="191"/>
      <c r="L66" s="191">
        <v>0.98739441387602866</v>
      </c>
      <c r="M66" s="191"/>
      <c r="N66" s="191">
        <v>0.98492900326333865</v>
      </c>
      <c r="O66" s="191"/>
      <c r="P66" s="191">
        <v>0.98250745017301355</v>
      </c>
      <c r="Q66" s="191"/>
      <c r="R66" s="191">
        <v>0.98410892047887866</v>
      </c>
      <c r="S66" s="191"/>
      <c r="T66" s="191" t="e">
        <v>#DIV/0!</v>
      </c>
      <c r="U66" s="191"/>
      <c r="V66" s="191" t="e">
        <v>#DIV/0!</v>
      </c>
      <c r="W66" s="191"/>
      <c r="X66" s="191" t="e">
        <v>#DIV/0!</v>
      </c>
      <c r="Y66" s="191"/>
      <c r="Z66" s="191" t="e">
        <v>#DIV/0!</v>
      </c>
      <c r="AA66" s="191"/>
      <c r="AB66" s="191" t="e">
        <v>#DIV/0!</v>
      </c>
      <c r="AC66" s="191"/>
      <c r="AD66" s="191" t="e">
        <v>#DIV/0!</v>
      </c>
      <c r="AE66" s="191"/>
      <c r="AF66" s="191" t="e">
        <v>#DIV/0!</v>
      </c>
      <c r="AG66" s="191"/>
      <c r="AH66" s="191" t="e">
        <v>#DIV/0!</v>
      </c>
      <c r="AI66" s="191"/>
      <c r="AJ66" s="191" t="e">
        <v>#DIV/0!</v>
      </c>
      <c r="AK66" s="191"/>
      <c r="AL66" s="191" t="e">
        <v>#DIV/0!</v>
      </c>
      <c r="AM66" s="191"/>
      <c r="AN66" s="191" t="e">
        <v>#DIV/0!</v>
      </c>
      <c r="AO66" s="191"/>
      <c r="AP66" s="191" t="e">
        <v>#DIV/0!</v>
      </c>
      <c r="AQ66" s="191"/>
      <c r="AR66" s="191" t="e">
        <v>#DIV/0!</v>
      </c>
      <c r="AS66" s="191"/>
      <c r="AT66" s="191" t="e">
        <v>#DIV/0!</v>
      </c>
      <c r="AU66" s="191"/>
      <c r="AV66" s="191" t="e">
        <v>#DIV/0!</v>
      </c>
      <c r="XFD66" s="191"/>
    </row>
    <row r="67" spans="1:48 16384:16384" x14ac:dyDescent="0.2">
      <c r="A67" t="s">
        <v>183</v>
      </c>
      <c r="B67" s="191">
        <v>1</v>
      </c>
      <c r="C67" s="191"/>
      <c r="D67" s="191">
        <v>1</v>
      </c>
      <c r="E67" s="191"/>
      <c r="F67" s="191">
        <v>1</v>
      </c>
      <c r="G67" s="191"/>
      <c r="H67" s="191">
        <v>1</v>
      </c>
      <c r="I67" s="191"/>
      <c r="J67" s="191">
        <v>1</v>
      </c>
      <c r="K67" s="191"/>
      <c r="L67" s="191">
        <v>1</v>
      </c>
      <c r="M67" s="191"/>
      <c r="N67" s="191">
        <v>1</v>
      </c>
      <c r="O67" s="191"/>
      <c r="P67" s="191">
        <v>1</v>
      </c>
      <c r="Q67" s="191"/>
      <c r="R67" s="191">
        <v>1</v>
      </c>
      <c r="S67" s="191"/>
      <c r="T67" s="191" t="e">
        <v>#DIV/0!</v>
      </c>
      <c r="U67" s="191"/>
      <c r="V67" s="191" t="e">
        <v>#DIV/0!</v>
      </c>
      <c r="W67" s="191"/>
      <c r="X67" s="191" t="e">
        <v>#DIV/0!</v>
      </c>
      <c r="Y67" s="191"/>
      <c r="Z67" s="191" t="e">
        <v>#DIV/0!</v>
      </c>
      <c r="AA67" s="191"/>
      <c r="AB67" s="191" t="e">
        <v>#DIV/0!</v>
      </c>
      <c r="AC67" s="191"/>
      <c r="AD67" s="191" t="e">
        <v>#DIV/0!</v>
      </c>
      <c r="AE67" s="191"/>
      <c r="AF67" s="191" t="e">
        <v>#DIV/0!</v>
      </c>
      <c r="AG67" s="191"/>
      <c r="AH67" s="191" t="e">
        <v>#DIV/0!</v>
      </c>
      <c r="AI67" s="191"/>
      <c r="AJ67" s="191" t="e">
        <v>#DIV/0!</v>
      </c>
      <c r="AK67" s="191"/>
      <c r="AL67" s="191" t="e">
        <v>#DIV/0!</v>
      </c>
      <c r="AM67" s="191"/>
      <c r="AN67" s="191" t="e">
        <v>#DIV/0!</v>
      </c>
      <c r="AO67" s="191"/>
      <c r="AP67" s="191" t="e">
        <v>#DIV/0!</v>
      </c>
      <c r="AQ67" s="191"/>
      <c r="AR67" s="191" t="e">
        <v>#DIV/0!</v>
      </c>
      <c r="AS67" s="191"/>
      <c r="AT67" s="191" t="e">
        <v>#DIV/0!</v>
      </c>
      <c r="AU67" s="191"/>
      <c r="AV67" s="191" t="e">
        <v>#DIV/0!</v>
      </c>
      <c r="XFD67" s="191"/>
    </row>
    <row r="68" spans="1:48 16384:16384" x14ac:dyDescent="0.2">
      <c r="A68" t="s">
        <v>181</v>
      </c>
      <c r="B68" s="191">
        <v>1</v>
      </c>
      <c r="C68" s="191"/>
      <c r="D68" s="191">
        <v>0.99747592950676511</v>
      </c>
      <c r="E68" s="191"/>
      <c r="F68" s="191">
        <v>0.99494994810101878</v>
      </c>
      <c r="G68" s="191"/>
      <c r="H68" s="191">
        <v>0.9924229575223259</v>
      </c>
      <c r="I68" s="191"/>
      <c r="J68" s="191">
        <v>0.98990024728530024</v>
      </c>
      <c r="K68" s="191"/>
      <c r="L68" s="191">
        <v>0.98739441387602866</v>
      </c>
      <c r="M68" s="191"/>
      <c r="N68" s="191">
        <v>0.98492900326333865</v>
      </c>
      <c r="O68" s="191"/>
      <c r="P68" s="191">
        <v>0.98250745017301355</v>
      </c>
      <c r="Q68" s="191"/>
      <c r="R68" s="191">
        <v>0.98410892047887866</v>
      </c>
      <c r="S68" s="191"/>
      <c r="T68" s="191" t="e">
        <v>#DIV/0!</v>
      </c>
      <c r="U68" s="191"/>
      <c r="V68" s="191" t="e">
        <v>#DIV/0!</v>
      </c>
      <c r="W68" s="191"/>
      <c r="X68" s="191" t="e">
        <v>#DIV/0!</v>
      </c>
      <c r="Y68" s="191"/>
      <c r="Z68" s="191" t="e">
        <v>#DIV/0!</v>
      </c>
      <c r="AA68" s="191"/>
      <c r="AB68" s="191" t="e">
        <v>#DIV/0!</v>
      </c>
      <c r="AC68" s="191"/>
      <c r="AD68" s="191" t="e">
        <v>#DIV/0!</v>
      </c>
      <c r="AE68" s="191"/>
      <c r="AF68" s="191" t="e">
        <v>#DIV/0!</v>
      </c>
      <c r="AG68" s="191"/>
      <c r="AH68" s="191" t="e">
        <v>#DIV/0!</v>
      </c>
      <c r="AI68" s="191"/>
      <c r="AJ68" s="191" t="e">
        <v>#DIV/0!</v>
      </c>
      <c r="AK68" s="191"/>
      <c r="AL68" s="191" t="e">
        <v>#DIV/0!</v>
      </c>
      <c r="AM68" s="191"/>
      <c r="AN68" s="191" t="e">
        <v>#DIV/0!</v>
      </c>
      <c r="AO68" s="191"/>
      <c r="AP68" s="191" t="e">
        <v>#DIV/0!</v>
      </c>
      <c r="AQ68" s="191"/>
      <c r="AR68" s="191" t="e">
        <v>#DIV/0!</v>
      </c>
      <c r="AS68" s="191"/>
      <c r="AT68" s="191" t="e">
        <v>#DIV/0!</v>
      </c>
      <c r="AU68" s="191"/>
      <c r="AV68" s="191" t="e">
        <v>#DIV/0!</v>
      </c>
      <c r="XFD68" s="191"/>
    </row>
    <row r="69" spans="1:48 16384:16384" x14ac:dyDescent="0.2">
      <c r="A69" t="s">
        <v>177</v>
      </c>
      <c r="B69" s="191">
        <v>1</v>
      </c>
      <c r="C69" s="191"/>
      <c r="D69" s="191">
        <v>1.0124931522920257</v>
      </c>
      <c r="E69" s="191"/>
      <c r="F69" s="191">
        <v>1.0264363288544951</v>
      </c>
      <c r="G69" s="191"/>
      <c r="H69" s="191">
        <v>1.0423594995827448</v>
      </c>
      <c r="I69" s="191"/>
      <c r="J69" s="191">
        <v>1.061145127567984</v>
      </c>
      <c r="K69" s="191"/>
      <c r="L69" s="191">
        <v>1.084454762427403</v>
      </c>
      <c r="M69" s="191"/>
      <c r="N69" s="191">
        <v>1.1161887910900803</v>
      </c>
      <c r="O69" s="191"/>
      <c r="P69" s="191">
        <v>1.1731902439313193</v>
      </c>
      <c r="Q69" s="191"/>
      <c r="R69" s="191">
        <v>1.3633477596498751</v>
      </c>
      <c r="S69" s="191"/>
      <c r="T69" s="191" t="e">
        <v>#DIV/0!</v>
      </c>
      <c r="U69" s="191"/>
      <c r="V69" s="191" t="e">
        <v>#DIV/0!</v>
      </c>
      <c r="W69" s="191"/>
      <c r="X69" s="191" t="e">
        <v>#DIV/0!</v>
      </c>
      <c r="Y69" s="191"/>
      <c r="Z69" s="191" t="e">
        <v>#DIV/0!</v>
      </c>
      <c r="AA69" s="191"/>
      <c r="AB69" s="191" t="e">
        <v>#DIV/0!</v>
      </c>
      <c r="AC69" s="191"/>
      <c r="AD69" s="191" t="e">
        <v>#DIV/0!</v>
      </c>
      <c r="AE69" s="191"/>
      <c r="AF69" s="191" t="e">
        <v>#DIV/0!</v>
      </c>
      <c r="AG69" s="191"/>
      <c r="AH69" s="191" t="e">
        <v>#DIV/0!</v>
      </c>
      <c r="AI69" s="191"/>
      <c r="AJ69" s="191" t="e">
        <v>#DIV/0!</v>
      </c>
      <c r="AK69" s="191"/>
      <c r="AL69" s="191" t="e">
        <v>#DIV/0!</v>
      </c>
      <c r="AM69" s="191"/>
      <c r="AN69" s="191" t="e">
        <v>#DIV/0!</v>
      </c>
      <c r="AO69" s="191"/>
      <c r="AP69" s="191" t="e">
        <v>#DIV/0!</v>
      </c>
      <c r="AQ69" s="191"/>
      <c r="AR69" s="191" t="e">
        <v>#DIV/0!</v>
      </c>
      <c r="AS69" s="191"/>
      <c r="AT69" s="191" t="e">
        <v>#DIV/0!</v>
      </c>
      <c r="AU69" s="191"/>
      <c r="AV69" s="191" t="e">
        <v>#DIV/0!</v>
      </c>
    </row>
    <row r="70" spans="1:48 16384:16384" x14ac:dyDescent="0.2">
      <c r="A70" t="s">
        <v>178</v>
      </c>
      <c r="B70" s="138">
        <v>1</v>
      </c>
      <c r="C70" s="138"/>
      <c r="D70" s="138">
        <v>1.0122994937372423</v>
      </c>
      <c r="E70" s="138"/>
      <c r="F70" s="138">
        <v>1.0259559388753741</v>
      </c>
      <c r="G70" s="138"/>
      <c r="H70" s="138">
        <v>1.041458756880363</v>
      </c>
      <c r="I70" s="138"/>
      <c r="J70" s="138">
        <v>1.0596211916162481</v>
      </c>
      <c r="K70" s="138"/>
      <c r="L70" s="138">
        <v>1.0819755323774092</v>
      </c>
      <c r="M70" s="138"/>
      <c r="N70" s="138">
        <v>1.1121350411271025</v>
      </c>
      <c r="O70" s="138"/>
      <c r="P70" s="138">
        <v>1.1658713059592749</v>
      </c>
      <c r="Q70" s="138"/>
      <c r="R70" s="138">
        <v>1.3489991112353255</v>
      </c>
      <c r="S70" s="138"/>
      <c r="T70" s="138">
        <v>0</v>
      </c>
      <c r="U70" s="138"/>
      <c r="V70" s="138">
        <v>0</v>
      </c>
      <c r="W70" s="138"/>
      <c r="X70" s="138">
        <v>0</v>
      </c>
      <c r="Y70" s="138"/>
      <c r="Z70" s="138">
        <v>0</v>
      </c>
      <c r="AA70" s="138"/>
      <c r="AB70" s="138">
        <v>0</v>
      </c>
      <c r="AC70" s="138"/>
      <c r="AD70" s="138">
        <v>0</v>
      </c>
      <c r="AE70" s="138"/>
      <c r="AF70" s="138">
        <v>0</v>
      </c>
      <c r="AG70" s="138"/>
      <c r="AH70" s="138">
        <v>0</v>
      </c>
      <c r="AI70" s="138"/>
      <c r="AJ70" s="138">
        <v>0</v>
      </c>
      <c r="AK70" s="138"/>
      <c r="AL70" s="138">
        <v>0</v>
      </c>
      <c r="AM70" s="138"/>
      <c r="AN70" s="138">
        <v>0</v>
      </c>
      <c r="AO70" s="138"/>
      <c r="AP70" s="138">
        <v>0</v>
      </c>
      <c r="AQ70" s="138"/>
      <c r="AR70" s="138">
        <v>0</v>
      </c>
      <c r="AS70" s="138"/>
      <c r="AT70" s="138">
        <v>0</v>
      </c>
      <c r="AU70" s="138"/>
      <c r="AV70" s="138">
        <v>0</v>
      </c>
    </row>
    <row r="71" spans="1:48 16384:16384" x14ac:dyDescent="0.2">
      <c r="A71" t="s">
        <v>179</v>
      </c>
      <c r="B71" s="138">
        <v>1</v>
      </c>
      <c r="D71" s="138">
        <v>0.89459081479118729</v>
      </c>
      <c r="E71" s="138"/>
      <c r="F71" s="138">
        <v>0.78998622138788521</v>
      </c>
      <c r="G71" s="138"/>
      <c r="H71" s="138">
        <v>0.68627415292813365</v>
      </c>
      <c r="I71" s="138"/>
      <c r="J71" s="138">
        <v>0.58352277149198972</v>
      </c>
      <c r="K71" s="138"/>
      <c r="L71" s="138">
        <v>0.48168269222785737</v>
      </c>
      <c r="M71" s="138"/>
      <c r="N71" s="138">
        <v>0.38012743194765564</v>
      </c>
      <c r="O71" s="138"/>
      <c r="P71" s="138">
        <v>0.27351050736501181</v>
      </c>
      <c r="Q71" s="138"/>
      <c r="R71" s="138">
        <v>0.33026920252758818</v>
      </c>
      <c r="S71" s="138"/>
      <c r="T71" s="138">
        <v>0</v>
      </c>
      <c r="U71" s="138"/>
      <c r="V71" s="138">
        <v>0</v>
      </c>
      <c r="W71" s="138"/>
      <c r="X71" s="138">
        <v>0</v>
      </c>
      <c r="Y71" s="138"/>
      <c r="Z71" s="138">
        <v>0</v>
      </c>
      <c r="AA71" s="138"/>
      <c r="AB71" s="138">
        <v>0</v>
      </c>
      <c r="AC71" s="138"/>
      <c r="AD71" s="138">
        <v>0</v>
      </c>
      <c r="AE71" s="138"/>
      <c r="AF71" s="138">
        <v>0</v>
      </c>
      <c r="AG71" s="138"/>
      <c r="AH71" s="138">
        <v>0</v>
      </c>
      <c r="AI71" s="138"/>
      <c r="AJ71" s="138">
        <v>0</v>
      </c>
      <c r="AK71" s="138"/>
      <c r="AL71" s="138">
        <v>0</v>
      </c>
      <c r="AM71" s="138"/>
      <c r="AN71" s="138">
        <v>0</v>
      </c>
      <c r="AO71" s="138"/>
      <c r="AP71" s="138">
        <v>0</v>
      </c>
      <c r="AQ71" s="138"/>
      <c r="AR71" s="138">
        <v>0</v>
      </c>
      <c r="AS71" s="138"/>
      <c r="AT71" s="138">
        <v>0</v>
      </c>
      <c r="AU71" s="138"/>
      <c r="AV71" s="138">
        <v>0</v>
      </c>
      <c r="XFD71" s="138"/>
    </row>
    <row r="72" spans="1:48 16384:16384" x14ac:dyDescent="0.2">
      <c r="A72" t="s">
        <v>180</v>
      </c>
      <c r="B72" s="138">
        <v>1</v>
      </c>
      <c r="D72" s="138">
        <v>1.0383964170773026</v>
      </c>
      <c r="E72" s="138"/>
      <c r="F72" s="138">
        <v>1.0812378600051127</v>
      </c>
      <c r="G72" s="138"/>
      <c r="H72" s="138">
        <v>1.1292763251847207</v>
      </c>
      <c r="I72" s="138"/>
      <c r="J72" s="138">
        <v>1.1835987537566044</v>
      </c>
      <c r="K72" s="138"/>
      <c r="L72" s="138">
        <v>1.2460526975735617</v>
      </c>
      <c r="M72" s="138"/>
      <c r="N72" s="138">
        <v>1.3208365641166944</v>
      </c>
      <c r="O72" s="138"/>
      <c r="P72" s="138">
        <v>1.4273295146090423</v>
      </c>
      <c r="Q72" s="138"/>
      <c r="R72" s="138">
        <v>1.6078808986528128</v>
      </c>
      <c r="S72" s="138"/>
      <c r="T72" s="138">
        <v>0</v>
      </c>
      <c r="U72" s="138"/>
      <c r="V72" s="138">
        <v>0</v>
      </c>
      <c r="W72" s="138"/>
      <c r="X72" s="138">
        <v>0</v>
      </c>
      <c r="Y72" s="138"/>
      <c r="Z72" s="138">
        <v>0</v>
      </c>
      <c r="AA72" s="138"/>
      <c r="AB72" s="138">
        <v>0</v>
      </c>
      <c r="AC72" s="138"/>
      <c r="AD72" s="138">
        <v>0</v>
      </c>
      <c r="AE72" s="138"/>
      <c r="AF72" s="138">
        <v>0</v>
      </c>
      <c r="AG72" s="138"/>
      <c r="AH72" s="138">
        <v>0</v>
      </c>
      <c r="AI72" s="138"/>
      <c r="AJ72" s="138">
        <v>0</v>
      </c>
      <c r="AK72" s="138"/>
      <c r="AL72" s="138">
        <v>0</v>
      </c>
      <c r="AM72" s="138"/>
      <c r="AN72" s="138">
        <v>0</v>
      </c>
      <c r="AO72" s="138"/>
      <c r="AP72" s="138">
        <v>0</v>
      </c>
      <c r="AQ72" s="138"/>
      <c r="AR72" s="138">
        <v>0</v>
      </c>
      <c r="AS72" s="138"/>
      <c r="AT72" s="138">
        <v>0</v>
      </c>
      <c r="AU72" s="138"/>
      <c r="AV72" s="138">
        <v>0</v>
      </c>
      <c r="XFD72" s="138"/>
    </row>
    <row r="73" spans="1:48 16384:16384" x14ac:dyDescent="0.2">
      <c r="A73" t="s">
        <v>184</v>
      </c>
      <c r="B73" s="193">
        <v>0.56706723273486059</v>
      </c>
      <c r="D73" s="193">
        <v>0.56910249448364947</v>
      </c>
      <c r="E73" s="138"/>
      <c r="F73" s="193">
        <v>0.57136953403055502</v>
      </c>
      <c r="G73" s="138"/>
      <c r="H73" s="193">
        <v>0.5739502330191798</v>
      </c>
      <c r="I73" s="138"/>
      <c r="J73" s="193">
        <v>0.57697892984211907</v>
      </c>
      <c r="K73" s="138"/>
      <c r="L73" s="193">
        <v>0.5807033723570445</v>
      </c>
      <c r="M73" s="138"/>
      <c r="N73" s="193">
        <v>0.58569026874748409</v>
      </c>
      <c r="O73" s="138"/>
      <c r="P73" s="193">
        <v>0.59430854180448955</v>
      </c>
      <c r="Q73" s="138"/>
      <c r="R73" s="193">
        <v>0.61925959147205267</v>
      </c>
      <c r="S73" s="138"/>
      <c r="T73" s="193" t="e">
        <v>#DIV/0!</v>
      </c>
      <c r="U73" s="138"/>
      <c r="V73" s="193" t="e">
        <v>#DIV/0!</v>
      </c>
      <c r="W73" s="138"/>
      <c r="X73" s="193" t="e">
        <v>#DIV/0!</v>
      </c>
      <c r="Y73" s="138"/>
      <c r="Z73" s="193" t="e">
        <v>#DIV/0!</v>
      </c>
      <c r="AA73" s="138"/>
      <c r="AB73" s="193" t="e">
        <v>#DIV/0!</v>
      </c>
      <c r="AC73" s="138"/>
      <c r="AD73" s="193" t="e">
        <v>#DIV/0!</v>
      </c>
      <c r="AE73" s="138"/>
      <c r="AF73" s="193" t="e">
        <v>#DIV/0!</v>
      </c>
      <c r="AG73" s="138"/>
      <c r="AH73" s="193" t="e">
        <v>#DIV/0!</v>
      </c>
      <c r="AI73" s="138"/>
      <c r="AJ73" s="193" t="e">
        <v>#DIV/0!</v>
      </c>
      <c r="AK73" s="138"/>
      <c r="AL73" s="193" t="e">
        <v>#DIV/0!</v>
      </c>
      <c r="AM73" s="138"/>
      <c r="AN73" s="193" t="e">
        <v>#DIV/0!</v>
      </c>
      <c r="AO73" s="138"/>
      <c r="AP73" s="193" t="e">
        <v>#DIV/0!</v>
      </c>
      <c r="AQ73" s="138"/>
      <c r="AR73" s="193" t="e">
        <v>#DIV/0!</v>
      </c>
      <c r="AS73" s="138"/>
      <c r="AT73" s="193" t="e">
        <v>#DIV/0!</v>
      </c>
      <c r="AU73" s="138"/>
      <c r="AV73" s="193" t="e">
        <v>#DIV/0!</v>
      </c>
      <c r="XFD73" s="193"/>
    </row>
    <row r="74" spans="1:48 16384:16384" x14ac:dyDescent="0.2">
      <c r="A74" t="s">
        <v>185</v>
      </c>
      <c r="B74" s="193">
        <v>0.21672767296897655</v>
      </c>
      <c r="D74" s="193">
        <v>0.21672767296897655</v>
      </c>
      <c r="E74" s="138"/>
      <c r="F74" s="193">
        <v>0.21672767296897655</v>
      </c>
      <c r="G74" s="138"/>
      <c r="H74" s="193">
        <v>0.21672767296897658</v>
      </c>
      <c r="I74" s="138"/>
      <c r="J74" s="193">
        <v>0.21672767296897655</v>
      </c>
      <c r="K74" s="138"/>
      <c r="L74" s="193">
        <v>0.21672767296897655</v>
      </c>
      <c r="M74" s="138"/>
      <c r="N74" s="193">
        <v>0.21672767296897655</v>
      </c>
      <c r="O74" s="138"/>
      <c r="P74" s="193">
        <v>0.21672767296897655</v>
      </c>
      <c r="Q74" s="138"/>
      <c r="R74" s="193">
        <v>0.21672767296897655</v>
      </c>
      <c r="S74" s="138"/>
      <c r="T74" s="193" t="e">
        <v>#DIV/0!</v>
      </c>
      <c r="U74" s="138"/>
      <c r="V74" s="193" t="e">
        <v>#DIV/0!</v>
      </c>
      <c r="W74" s="138"/>
      <c r="X74" s="193" t="e">
        <v>#DIV/0!</v>
      </c>
      <c r="Y74" s="138"/>
      <c r="Z74" s="193" t="e">
        <v>#DIV/0!</v>
      </c>
      <c r="AA74" s="138"/>
      <c r="AB74" s="193" t="e">
        <v>#DIV/0!</v>
      </c>
      <c r="AC74" s="138"/>
      <c r="AD74" s="193" t="e">
        <v>#DIV/0!</v>
      </c>
      <c r="AE74" s="138"/>
      <c r="AF74" s="193" t="e">
        <v>#DIV/0!</v>
      </c>
      <c r="AG74" s="138"/>
      <c r="AH74" s="193" t="e">
        <v>#DIV/0!</v>
      </c>
      <c r="AI74" s="138"/>
      <c r="AJ74" s="193" t="e">
        <v>#DIV/0!</v>
      </c>
      <c r="AK74" s="138"/>
      <c r="AL74" s="193" t="e">
        <v>#DIV/0!</v>
      </c>
      <c r="AM74" s="138"/>
      <c r="AN74" s="193" t="e">
        <v>#DIV/0!</v>
      </c>
      <c r="AO74" s="138"/>
      <c r="AP74" s="193" t="e">
        <v>#DIV/0!</v>
      </c>
      <c r="AQ74" s="138"/>
      <c r="AR74" s="193" t="e">
        <v>#DIV/0!</v>
      </c>
      <c r="AS74" s="138"/>
      <c r="AT74" s="193" t="e">
        <v>#DIV/0!</v>
      </c>
      <c r="AU74" s="138"/>
      <c r="AV74" s="193" t="e">
        <v>#DIV/0!</v>
      </c>
      <c r="XFD74" s="193"/>
    </row>
    <row r="75" spans="1:48 16384:16384" x14ac:dyDescent="0.2">
      <c r="A75" t="s">
        <v>186</v>
      </c>
      <c r="B75" s="193">
        <v>0.20445380142857192</v>
      </c>
      <c r="D75" s="193">
        <v>0.2024185428749285</v>
      </c>
      <c r="E75" s="138"/>
      <c r="F75" s="193">
        <v>0.20015150770368248</v>
      </c>
      <c r="G75" s="138"/>
      <c r="H75" s="193">
        <v>0.19757080072513944</v>
      </c>
      <c r="I75" s="138"/>
      <c r="J75" s="193">
        <v>0.19454211314072914</v>
      </c>
      <c r="K75" s="138"/>
      <c r="L75" s="193">
        <v>0.19081766273176673</v>
      </c>
      <c r="M75" s="138"/>
      <c r="N75" s="193">
        <v>0.18583077034062143</v>
      </c>
      <c r="O75" s="138"/>
      <c r="P75" s="193">
        <v>0.17721250019401408</v>
      </c>
      <c r="Q75" s="138"/>
      <c r="R75" s="193">
        <v>0.15226144431421212</v>
      </c>
      <c r="S75" s="138"/>
      <c r="T75" s="193" t="e">
        <v>#DIV/0!</v>
      </c>
      <c r="U75" s="138"/>
      <c r="V75" s="193" t="e">
        <v>#DIV/0!</v>
      </c>
      <c r="W75" s="138"/>
      <c r="X75" s="193" t="e">
        <v>#DIV/0!</v>
      </c>
      <c r="Y75" s="138"/>
      <c r="Z75" s="193" t="e">
        <v>#DIV/0!</v>
      </c>
      <c r="AA75" s="138"/>
      <c r="AB75" s="193" t="e">
        <v>#DIV/0!</v>
      </c>
      <c r="AC75" s="138"/>
      <c r="AD75" s="193" t="e">
        <v>#DIV/0!</v>
      </c>
      <c r="AE75" s="138"/>
      <c r="AF75" s="193" t="e">
        <v>#DIV/0!</v>
      </c>
      <c r="AG75" s="138"/>
      <c r="AH75" s="193" t="e">
        <v>#DIV/0!</v>
      </c>
      <c r="AI75" s="138"/>
      <c r="AJ75" s="193" t="e">
        <v>#DIV/0!</v>
      </c>
      <c r="AK75" s="138"/>
      <c r="AL75" s="193" t="e">
        <v>#DIV/0!</v>
      </c>
      <c r="AM75" s="138"/>
      <c r="AN75" s="193" t="e">
        <v>#DIV/0!</v>
      </c>
      <c r="AO75" s="138"/>
      <c r="AP75" s="193" t="e">
        <v>#DIV/0!</v>
      </c>
      <c r="AQ75" s="138"/>
      <c r="AR75" s="193" t="e">
        <v>#DIV/0!</v>
      </c>
      <c r="AS75" s="138"/>
      <c r="AT75" s="193" t="e">
        <v>#DIV/0!</v>
      </c>
      <c r="AU75" s="138"/>
      <c r="AV75" s="193" t="e">
        <v>#DIV/0!</v>
      </c>
      <c r="XFD75" s="193"/>
    </row>
    <row r="76" spans="1:48 16384:16384" x14ac:dyDescent="0.2">
      <c r="A76" t="s">
        <v>187</v>
      </c>
      <c r="B76" s="193">
        <v>0.20231859885161138</v>
      </c>
      <c r="D76" s="193">
        <v>0.20280505702767768</v>
      </c>
      <c r="E76" s="138"/>
      <c r="F76" s="193">
        <v>0.2033688036474165</v>
      </c>
      <c r="G76" s="138"/>
      <c r="H76" s="193">
        <v>0.20400437255678219</v>
      </c>
      <c r="I76" s="138"/>
      <c r="J76" s="193">
        <v>0.20469848538818539</v>
      </c>
      <c r="K76" s="138"/>
      <c r="L76" s="193">
        <v>0.20542289805238292</v>
      </c>
      <c r="M76" s="138"/>
      <c r="N76" s="193">
        <v>0.20611577388392727</v>
      </c>
      <c r="O76" s="138"/>
      <c r="P76" s="193">
        <v>0.20659592142923577</v>
      </c>
      <c r="Q76" s="138"/>
      <c r="R76" s="193">
        <v>0.20478933589732506</v>
      </c>
      <c r="S76" s="138"/>
      <c r="T76" s="193" t="e">
        <v>#DIV/0!</v>
      </c>
      <c r="U76" s="138"/>
      <c r="V76" s="193" t="e">
        <v>#DIV/0!</v>
      </c>
      <c r="W76" s="138"/>
      <c r="X76" s="193" t="e">
        <v>#DIV/0!</v>
      </c>
      <c r="Y76" s="138"/>
      <c r="Z76" s="193" t="e">
        <v>#DIV/0!</v>
      </c>
      <c r="AA76" s="138"/>
      <c r="AB76" s="193" t="e">
        <v>#DIV/0!</v>
      </c>
      <c r="AC76" s="138"/>
      <c r="AD76" s="193" t="e">
        <v>#DIV/0!</v>
      </c>
      <c r="AE76" s="138"/>
      <c r="AF76" s="193" t="e">
        <v>#DIV/0!</v>
      </c>
      <c r="AG76" s="138"/>
      <c r="AH76" s="193" t="e">
        <v>#DIV/0!</v>
      </c>
      <c r="AI76" s="138"/>
      <c r="AJ76" s="193" t="e">
        <v>#DIV/0!</v>
      </c>
      <c r="AK76" s="138"/>
      <c r="AL76" s="193" t="e">
        <v>#DIV/0!</v>
      </c>
      <c r="AM76" s="138"/>
      <c r="AN76" s="193" t="e">
        <v>#DIV/0!</v>
      </c>
      <c r="AO76" s="138"/>
      <c r="AP76" s="193" t="e">
        <v>#DIV/0!</v>
      </c>
      <c r="AQ76" s="138"/>
      <c r="AR76" s="193" t="e">
        <v>#DIV/0!</v>
      </c>
      <c r="AS76" s="138"/>
      <c r="AT76" s="193" t="e">
        <v>#DIV/0!</v>
      </c>
      <c r="AU76" s="138"/>
      <c r="AV76" s="193" t="e">
        <v>#DIV/0!</v>
      </c>
      <c r="XFD76" s="193"/>
    </row>
    <row r="77" spans="1:48 16384:16384" x14ac:dyDescent="0.2">
      <c r="A77" t="s">
        <v>188</v>
      </c>
      <c r="B77" s="193">
        <v>0.19056730598402016</v>
      </c>
      <c r="D77" s="193">
        <v>0.19105376735523202</v>
      </c>
      <c r="E77" s="138"/>
      <c r="F77" s="193">
        <v>0.1916175183506304</v>
      </c>
      <c r="G77" s="138"/>
      <c r="H77" s="193">
        <v>0.19225307927007798</v>
      </c>
      <c r="I77" s="138"/>
      <c r="J77" s="193">
        <v>0.19294720134001003</v>
      </c>
      <c r="K77" s="138"/>
      <c r="L77" s="193">
        <v>0.19367160611017051</v>
      </c>
      <c r="M77" s="138"/>
      <c r="N77" s="193">
        <v>0.19436448594100908</v>
      </c>
      <c r="O77" s="138"/>
      <c r="P77" s="193">
        <v>0.19484463639671576</v>
      </c>
      <c r="Q77" s="138"/>
      <c r="R77" s="193">
        <v>0.19303804465256613</v>
      </c>
      <c r="S77" s="138"/>
      <c r="T77" s="193" t="e">
        <v>#DIV/0!</v>
      </c>
      <c r="U77" s="138"/>
      <c r="V77" s="193" t="e">
        <v>#DIV/0!</v>
      </c>
      <c r="W77" s="138"/>
      <c r="X77" s="193" t="e">
        <v>#DIV/0!</v>
      </c>
      <c r="Y77" s="138"/>
      <c r="Z77" s="193" t="e">
        <v>#DIV/0!</v>
      </c>
      <c r="AA77" s="138"/>
      <c r="AB77" s="193" t="e">
        <v>#DIV/0!</v>
      </c>
      <c r="AC77" s="138"/>
      <c r="AD77" s="193" t="e">
        <v>#DIV/0!</v>
      </c>
      <c r="AE77" s="138"/>
      <c r="AF77" s="193" t="e">
        <v>#DIV/0!</v>
      </c>
      <c r="AG77" s="138"/>
      <c r="AH77" s="193" t="e">
        <v>#DIV/0!</v>
      </c>
      <c r="AI77" s="138"/>
      <c r="AJ77" s="193" t="e">
        <v>#DIV/0!</v>
      </c>
      <c r="AK77" s="138"/>
      <c r="AL77" s="193" t="e">
        <v>#DIV/0!</v>
      </c>
      <c r="AM77" s="138"/>
      <c r="AN77" s="193" t="e">
        <v>#DIV/0!</v>
      </c>
      <c r="AO77" s="138"/>
      <c r="AP77" s="193" t="e">
        <v>#DIV/0!</v>
      </c>
      <c r="AQ77" s="138"/>
      <c r="AR77" s="193" t="e">
        <v>#DIV/0!</v>
      </c>
      <c r="AS77" s="138"/>
      <c r="AT77" s="193" t="e">
        <v>#DIV/0!</v>
      </c>
      <c r="AU77" s="138"/>
      <c r="AV77" s="193" t="e">
        <v>#DIV/0!</v>
      </c>
      <c r="XFD77" s="193"/>
    </row>
    <row r="78" spans="1:48 16384:16384" x14ac:dyDescent="0.2">
      <c r="A78" t="s">
        <v>189</v>
      </c>
      <c r="B78" s="193">
        <v>0.27666372811889955</v>
      </c>
      <c r="D78" s="193">
        <v>0.2806794888248127</v>
      </c>
      <c r="E78" s="138"/>
      <c r="F78" s="193">
        <v>0.28541684663688754</v>
      </c>
      <c r="G78" s="138"/>
      <c r="H78" s="193">
        <v>0.2911510073157505</v>
      </c>
      <c r="I78" s="138"/>
      <c r="J78" s="193">
        <v>0.29834757941359485</v>
      </c>
      <c r="K78" s="138"/>
      <c r="L78" s="193">
        <v>0.3079007064467118</v>
      </c>
      <c r="M78" s="138"/>
      <c r="N78" s="193">
        <v>0.32196390902352318</v>
      </c>
      <c r="O78" s="138"/>
      <c r="P78" s="193">
        <v>0.35019089517581276</v>
      </c>
      <c r="Q78" s="138"/>
      <c r="R78" s="193">
        <v>0.48045442943610223</v>
      </c>
      <c r="S78" s="138"/>
      <c r="T78" s="193" t="e">
        <v>#DIV/0!</v>
      </c>
      <c r="U78" s="138"/>
      <c r="V78" s="193" t="e">
        <v>#DIV/0!</v>
      </c>
      <c r="W78" s="138"/>
      <c r="X78" s="193" t="e">
        <v>#DIV/0!</v>
      </c>
      <c r="Y78" s="138"/>
      <c r="Z78" s="193" t="e">
        <v>#DIV/0!</v>
      </c>
      <c r="AA78" s="138"/>
      <c r="AB78" s="193" t="e">
        <v>#DIV/0!</v>
      </c>
      <c r="AC78" s="138"/>
      <c r="AD78" s="193" t="e">
        <v>#DIV/0!</v>
      </c>
      <c r="AE78" s="138"/>
      <c r="AF78" s="193" t="e">
        <v>#DIV/0!</v>
      </c>
      <c r="AG78" s="138"/>
      <c r="AH78" s="193" t="e">
        <v>#DIV/0!</v>
      </c>
      <c r="AI78" s="138"/>
      <c r="AJ78" s="193" t="e">
        <v>#DIV/0!</v>
      </c>
      <c r="AK78" s="138"/>
      <c r="AL78" s="193" t="e">
        <v>#DIV/0!</v>
      </c>
      <c r="AM78" s="138"/>
      <c r="AN78" s="193" t="e">
        <v>#DIV/0!</v>
      </c>
      <c r="AO78" s="138"/>
      <c r="AP78" s="193" t="e">
        <v>#DIV/0!</v>
      </c>
      <c r="AQ78" s="138"/>
      <c r="AR78" s="193" t="e">
        <v>#DIV/0!</v>
      </c>
      <c r="AS78" s="138"/>
      <c r="AT78" s="193" t="e">
        <v>#DIV/0!</v>
      </c>
      <c r="AU78" s="138"/>
      <c r="AV78" s="193" t="e">
        <v>#DIV/0!</v>
      </c>
      <c r="XFD78" s="193"/>
    </row>
    <row r="79" spans="1:48 16384:16384" x14ac:dyDescent="0.2">
      <c r="A79" t="s">
        <v>190</v>
      </c>
      <c r="B79" s="193">
        <v>0.42990307543833983</v>
      </c>
      <c r="D79" s="193">
        <v>0.41923600245806131</v>
      </c>
      <c r="F79" s="193">
        <v>0.40708987073280195</v>
      </c>
      <c r="H79" s="193">
        <v>0.39292187393014005</v>
      </c>
      <c r="J79" s="193">
        <v>0.37582741461198416</v>
      </c>
      <c r="L79" s="193">
        <v>0.35410264953858445</v>
      </c>
      <c r="N79" s="193">
        <v>0.32374205165992642</v>
      </c>
      <c r="P79" s="193">
        <v>0.2673501798570258</v>
      </c>
      <c r="R79" s="193">
        <v>5.5545686552176288E-2</v>
      </c>
      <c r="T79" s="193" t="e">
        <v>#DIV/0!</v>
      </c>
      <c r="V79" s="193" t="e">
        <v>#DIV/0!</v>
      </c>
      <c r="X79" s="193" t="e">
        <v>#DIV/0!</v>
      </c>
      <c r="Z79" s="193" t="e">
        <v>#DIV/0!</v>
      </c>
      <c r="AB79" s="193" t="e">
        <v>#DIV/0!</v>
      </c>
      <c r="AD79" s="193" t="e">
        <v>#DIV/0!</v>
      </c>
      <c r="AF79" s="193" t="e">
        <v>#DIV/0!</v>
      </c>
      <c r="AH79" s="193" t="e">
        <v>#DIV/0!</v>
      </c>
      <c r="AJ79" s="193" t="e">
        <v>#DIV/0!</v>
      </c>
      <c r="AL79" s="193" t="e">
        <v>#DIV/0!</v>
      </c>
      <c r="AN79" s="193" t="e">
        <v>#DIV/0!</v>
      </c>
      <c r="AP79" s="193" t="e">
        <v>#DIV/0!</v>
      </c>
      <c r="AR79" s="193" t="e">
        <v>#DIV/0!</v>
      </c>
      <c r="AT79" s="193" t="e">
        <v>#DIV/0!</v>
      </c>
      <c r="AV79" s="193" t="e">
        <v>#DIV/0!</v>
      </c>
      <c r="XFD79" s="193"/>
    </row>
    <row r="80" spans="1:48 16384:16384" x14ac:dyDescent="0.2">
      <c r="A80" t="s">
        <v>169</v>
      </c>
      <c r="B80" s="236">
        <v>0.29343319644276039</v>
      </c>
      <c r="D80" s="236">
        <v>0.30008449758032324</v>
      </c>
      <c r="F80" s="236">
        <v>0.3074932547254613</v>
      </c>
      <c r="H80" s="236">
        <v>0.31592711845864874</v>
      </c>
      <c r="J80" s="236">
        <v>0.3258249876845864</v>
      </c>
      <c r="L80" s="236">
        <v>0.33799663877321651</v>
      </c>
      <c r="N80" s="236">
        <v>0.35429400167438302</v>
      </c>
      <c r="P80" s="236">
        <v>0.38245884035595185</v>
      </c>
      <c r="R80" s="236">
        <v>0.46399988760177896</v>
      </c>
      <c r="T80" s="236" t="e">
        <v>#DIV/0!</v>
      </c>
      <c r="V80" s="236" t="e">
        <v>#DIV/0!</v>
      </c>
      <c r="X80" s="236" t="e">
        <v>#DIV/0!</v>
      </c>
      <c r="Z80" s="236" t="e">
        <v>#DIV/0!</v>
      </c>
      <c r="AB80" s="236" t="e">
        <v>#DIV/0!</v>
      </c>
      <c r="AD80" s="236" t="e">
        <v>#DIV/0!</v>
      </c>
      <c r="AF80" s="236" t="e">
        <v>#DIV/0!</v>
      </c>
      <c r="AH80" s="236" t="e">
        <v>#DIV/0!</v>
      </c>
      <c r="AJ80" s="236" t="e">
        <v>#DIV/0!</v>
      </c>
      <c r="AL80" s="236" t="e">
        <v>#DIV/0!</v>
      </c>
      <c r="AN80" s="236" t="e">
        <v>#DIV/0!</v>
      </c>
      <c r="AP80" s="236" t="e">
        <v>#DIV/0!</v>
      </c>
      <c r="AR80" s="236" t="e">
        <v>#DIV/0!</v>
      </c>
      <c r="AT80" s="236" t="e">
        <v>#DIV/0!</v>
      </c>
      <c r="AV80" s="236" t="e">
        <v>#DIV/0!</v>
      </c>
      <c r="XFD80" s="236"/>
    </row>
    <row r="81" spans="1:48 16384:16384" x14ac:dyDescent="0.2">
      <c r="A81" t="s">
        <v>191</v>
      </c>
      <c r="B81" s="236">
        <v>7.6705523473783829E-2</v>
      </c>
      <c r="D81" s="236">
        <v>8.3356824611346664E-2</v>
      </c>
      <c r="F81" s="236">
        <v>9.0765581756484734E-2</v>
      </c>
      <c r="H81" s="236">
        <v>9.9199445489672189E-2</v>
      </c>
      <c r="J81" s="236">
        <v>0.10909731471560986</v>
      </c>
      <c r="L81" s="236">
        <v>0.12126896580423994</v>
      </c>
      <c r="N81" s="236">
        <v>0.13756632870540647</v>
      </c>
      <c r="P81" s="236">
        <v>0.16573116738697527</v>
      </c>
      <c r="R81" s="236">
        <v>0.24727221463280241</v>
      </c>
      <c r="T81" s="236" t="e">
        <v>#DIV/0!</v>
      </c>
      <c r="V81" s="236" t="e">
        <v>#DIV/0!</v>
      </c>
      <c r="X81" s="236" t="e">
        <v>#DIV/0!</v>
      </c>
      <c r="Z81" s="236" t="e">
        <v>#DIV/0!</v>
      </c>
      <c r="AB81" s="236" t="e">
        <v>#DIV/0!</v>
      </c>
      <c r="AD81" s="236" t="e">
        <v>#DIV/0!</v>
      </c>
      <c r="AF81" s="236" t="e">
        <v>#DIV/0!</v>
      </c>
      <c r="AH81" s="236" t="e">
        <v>#DIV/0!</v>
      </c>
      <c r="AJ81" s="236" t="e">
        <v>#DIV/0!</v>
      </c>
      <c r="AL81" s="236" t="e">
        <v>#DIV/0!</v>
      </c>
      <c r="AN81" s="236" t="e">
        <v>#DIV/0!</v>
      </c>
      <c r="AP81" s="236" t="e">
        <v>#DIV/0!</v>
      </c>
      <c r="AR81" s="236" t="e">
        <v>#DIV/0!</v>
      </c>
      <c r="AT81" s="236" t="e">
        <v>#DIV/0!</v>
      </c>
      <c r="AV81" s="236" t="e">
        <v>#DIV/0!</v>
      </c>
      <c r="XFD81" s="236"/>
    </row>
    <row r="82" spans="1:48 16384:16384" x14ac:dyDescent="0.2">
      <c r="A82" t="s">
        <v>192</v>
      </c>
      <c r="B82" s="236">
        <v>5.4622536949655895E-2</v>
      </c>
      <c r="D82" s="236">
        <v>5.5415380446095189E-2</v>
      </c>
      <c r="F82" s="236">
        <v>5.6350690990391007E-2</v>
      </c>
      <c r="H82" s="236">
        <v>5.7482803268664971E-2</v>
      </c>
      <c r="J82" s="236">
        <v>5.8903643752519184E-2</v>
      </c>
      <c r="L82" s="236">
        <v>6.0789745837165891E-2</v>
      </c>
      <c r="N82" s="236">
        <v>6.3566285456599647E-2</v>
      </c>
      <c r="P82" s="236">
        <v>6.9139222699092978E-2</v>
      </c>
      <c r="R82" s="236">
        <v>9.4857536992419972E-2</v>
      </c>
      <c r="T82" s="236" t="e">
        <v>#DIV/0!</v>
      </c>
      <c r="V82" s="236" t="e">
        <v>#DIV/0!</v>
      </c>
      <c r="X82" s="236" t="e">
        <v>#DIV/0!</v>
      </c>
      <c r="Z82" s="236" t="e">
        <v>#DIV/0!</v>
      </c>
      <c r="AB82" s="236" t="e">
        <v>#DIV/0!</v>
      </c>
      <c r="AD82" s="236" t="e">
        <v>#DIV/0!</v>
      </c>
      <c r="AF82" s="236" t="e">
        <v>#DIV/0!</v>
      </c>
      <c r="AH82" s="236" t="e">
        <v>#DIV/0!</v>
      </c>
      <c r="AJ82" s="236" t="e">
        <v>#DIV/0!</v>
      </c>
      <c r="AL82" s="236" t="e">
        <v>#DIV/0!</v>
      </c>
      <c r="AN82" s="236" t="e">
        <v>#DIV/0!</v>
      </c>
      <c r="AP82" s="236" t="e">
        <v>#DIV/0!</v>
      </c>
      <c r="AR82" s="236" t="e">
        <v>#DIV/0!</v>
      </c>
      <c r="AT82" s="236" t="e">
        <v>#DIV/0!</v>
      </c>
      <c r="AV82" s="236" t="e">
        <v>#DIV/0!</v>
      </c>
    </row>
    <row r="83" spans="1:48 16384:16384" x14ac:dyDescent="0.2">
      <c r="A83" t="s">
        <v>193</v>
      </c>
      <c r="B83" s="236">
        <v>8.4877033872722163E-2</v>
      </c>
      <c r="D83" s="236">
        <v>8.2771002149765197E-2</v>
      </c>
      <c r="F83" s="236">
        <v>8.0372955490489215E-2</v>
      </c>
      <c r="H83" s="236">
        <v>7.7575726037543299E-2</v>
      </c>
      <c r="J83" s="236">
        <v>7.4200716447059251E-2</v>
      </c>
      <c r="L83" s="236">
        <v>6.9911531916030334E-2</v>
      </c>
      <c r="N83" s="236">
        <v>6.3917349408925767E-2</v>
      </c>
      <c r="P83" s="236">
        <v>5.2783735609395033E-2</v>
      </c>
      <c r="R83" s="236">
        <v>1.0966548946330749E-2</v>
      </c>
      <c r="T83" s="236" t="e">
        <v>#DIV/0!</v>
      </c>
      <c r="V83" s="236" t="e">
        <v>#DIV/0!</v>
      </c>
      <c r="X83" s="236" t="e">
        <v>#DIV/0!</v>
      </c>
      <c r="Z83" s="236" t="e">
        <v>#DIV/0!</v>
      </c>
      <c r="AB83" s="236" t="e">
        <v>#DIV/0!</v>
      </c>
      <c r="AD83" s="236" t="e">
        <v>#DIV/0!</v>
      </c>
      <c r="AF83" s="236" t="e">
        <v>#DIV/0!</v>
      </c>
      <c r="AH83" s="236" t="e">
        <v>#DIV/0!</v>
      </c>
      <c r="AJ83" s="236" t="e">
        <v>#DIV/0!</v>
      </c>
      <c r="AL83" s="236" t="e">
        <v>#DIV/0!</v>
      </c>
      <c r="AN83" s="236" t="e">
        <v>#DIV/0!</v>
      </c>
      <c r="AP83" s="236" t="e">
        <v>#DIV/0!</v>
      </c>
      <c r="AR83" s="236" t="e">
        <v>#DIV/0!</v>
      </c>
      <c r="AT83" s="236" t="e">
        <v>#DIV/0!</v>
      </c>
      <c r="AV83" s="236" t="e">
        <v>#DIV/0!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AY93"/>
  <sheetViews>
    <sheetView workbookViewId="0">
      <selection activeCell="F15" sqref="F15"/>
    </sheetView>
  </sheetViews>
  <sheetFormatPr baseColWidth="10" defaultRowHeight="10" x14ac:dyDescent="0.2"/>
  <cols>
    <col min="1" max="1" width="19.6640625" customWidth="1"/>
    <col min="26" max="26" width="12"/>
  </cols>
  <sheetData>
    <row r="1" spans="1:27" x14ac:dyDescent="0.2">
      <c r="A1" t="s">
        <v>97</v>
      </c>
    </row>
    <row r="2" spans="1:27" x14ac:dyDescent="0.2">
      <c r="A2" t="s">
        <v>147</v>
      </c>
      <c r="B2" s="94">
        <v>0</v>
      </c>
      <c r="C2" s="94">
        <v>0.05</v>
      </c>
      <c r="D2" s="94">
        <v>0.1</v>
      </c>
      <c r="E2" s="94">
        <v>0.15000000000000002</v>
      </c>
      <c r="F2" s="94">
        <v>0.2</v>
      </c>
      <c r="G2" s="94">
        <v>0.25</v>
      </c>
      <c r="H2" s="94">
        <v>0.3</v>
      </c>
      <c r="I2" s="94">
        <v>0.35</v>
      </c>
      <c r="J2" s="94">
        <v>0.39999999999999997</v>
      </c>
      <c r="K2" s="94">
        <v>0.44999999999999996</v>
      </c>
      <c r="L2" s="94">
        <v>0.49999999999999994</v>
      </c>
      <c r="M2" s="94">
        <v>0.54999999999999993</v>
      </c>
      <c r="N2" s="94">
        <v>0.6</v>
      </c>
      <c r="O2" s="94">
        <v>0.65</v>
      </c>
      <c r="P2" s="94">
        <v>0.70000000000000007</v>
      </c>
      <c r="Q2" s="94">
        <v>0.75000000000000011</v>
      </c>
      <c r="R2" s="94">
        <v>0.80000000000000016</v>
      </c>
      <c r="S2" s="94">
        <v>0.8500000000000002</v>
      </c>
      <c r="T2" s="94">
        <v>0.90000000000000024</v>
      </c>
      <c r="U2" s="94">
        <v>0.95000000000000029</v>
      </c>
      <c r="V2" s="94">
        <v>0.9600000000000003</v>
      </c>
      <c r="W2" s="94">
        <v>0.97000000000000031</v>
      </c>
      <c r="X2" s="94">
        <v>0.98000000000000032</v>
      </c>
      <c r="Y2" s="94">
        <v>0.99000000000000032</v>
      </c>
    </row>
    <row r="3" spans="1:27" x14ac:dyDescent="0.2">
      <c r="A3" t="s">
        <v>89</v>
      </c>
      <c r="B3" s="80">
        <f>NeoClassical!B$31</f>
        <v>1.0000000000000027</v>
      </c>
      <c r="C3" s="80">
        <f>NeoClassical!D$31</f>
        <v>0.99261117474908611</v>
      </c>
      <c r="D3" s="80">
        <f>NeoClassical!F$31</f>
        <v>0.98464223309285626</v>
      </c>
      <c r="E3" s="80">
        <f>NeoClassical!H$31</f>
        <v>0.97601017318847605</v>
      </c>
      <c r="F3" s="80">
        <f>NeoClassical!J$31</f>
        <v>0.96661509488312281</v>
      </c>
      <c r="G3" s="80">
        <f>NeoClassical!L$31</f>
        <v>0.95633558890784198</v>
      </c>
      <c r="H3" s="80">
        <f>NeoClassical!N$31</f>
        <v>0.94502247212578638</v>
      </c>
      <c r="I3" s="80">
        <f>NeoClassical!P$31</f>
        <v>0.93249009163950014</v>
      </c>
      <c r="J3" s="80">
        <f>NeoClassical!R$31</f>
        <v>0.91850405685896475</v>
      </c>
      <c r="K3" s="80">
        <f>NeoClassical!T$31</f>
        <v>0.90276354425229566</v>
      </c>
      <c r="L3" s="80">
        <f>NeoClassical!V$31</f>
        <v>0.88487467424111799</v>
      </c>
      <c r="M3" s="80">
        <f>NeoClassical!X$31</f>
        <v>0.86430970158845921</v>
      </c>
      <c r="N3" s="80">
        <f>NeoClassical!Z$31</f>
        <v>0.84034139906769378</v>
      </c>
      <c r="O3" s="80">
        <f>NeoClassical!AB$31</f>
        <v>0.81193241915288827</v>
      </c>
      <c r="P3" s="80">
        <f>NeoClassical!AD$31</f>
        <v>0.77753804135788773</v>
      </c>
      <c r="Q3" s="80">
        <f>NeoClassical!AF$31</f>
        <v>0.73472794828248844</v>
      </c>
      <c r="R3" s="80">
        <f>NeoClassical!AH$31</f>
        <v>0.67939384999138874</v>
      </c>
      <c r="S3" s="80">
        <f>NeoClassical!AJ$31</f>
        <v>0.60389434509956497</v>
      </c>
      <c r="T3" s="80">
        <f>NeoClassical!AL$31</f>
        <v>0.49207891212968369</v>
      </c>
      <c r="U3" s="80">
        <f>NeoClassical!AN$31</f>
        <v>0.30421459752711255</v>
      </c>
      <c r="V3" s="80">
        <f>NeoClassical!AP$31</f>
        <v>0.25033499382452062</v>
      </c>
      <c r="W3" s="80">
        <f>NeoClassical!AR$31</f>
        <v>0.18885132611601443</v>
      </c>
      <c r="X3" s="80">
        <f>NeoClassical!AT$31</f>
        <v>0.11971113326993933</v>
      </c>
      <c r="Y3" s="80">
        <f>NeoClassical!AV$31</f>
        <v>4.7182647169179068E-2</v>
      </c>
    </row>
    <row r="4" spans="1:27" x14ac:dyDescent="0.2">
      <c r="A4" t="s">
        <v>163</v>
      </c>
      <c r="B4" s="80">
        <f>Kaldorian!B$31</f>
        <v>1.0000000000000027</v>
      </c>
      <c r="C4" s="80">
        <f>Kaldorian!D$31</f>
        <v>0.99769642280975579</v>
      </c>
      <c r="D4" s="80">
        <f>Kaldorian!F$31</f>
        <v>0.99493177327660853</v>
      </c>
      <c r="E4" s="80">
        <f>Kaldorian!H$31</f>
        <v>0.99163957928331181</v>
      </c>
      <c r="F4" s="80">
        <f>Kaldorian!J$31</f>
        <v>0.98773942532671533</v>
      </c>
      <c r="G4" s="80">
        <f>Kaldorian!L$31</f>
        <v>0.98313301196493508</v>
      </c>
      <c r="H4" s="80">
        <f>Kaldorian!N$31</f>
        <v>0.97769885122160527</v>
      </c>
      <c r="I4" s="80">
        <f>Kaldorian!P$31</f>
        <v>0.97128466330121743</v>
      </c>
      <c r="J4" s="80">
        <f>Kaldorian!R$31</f>
        <v>0.96369678072374043</v>
      </c>
      <c r="K4" s="80">
        <f>Kaldorian!T$31</f>
        <v>0.95468452926313019</v>
      </c>
      <c r="L4" s="80">
        <f>Kaldorian!V$31</f>
        <v>0.94391681925144277</v>
      </c>
      <c r="M4" s="80">
        <f>Kaldorian!X$31</f>
        <v>0.93094555826417447</v>
      </c>
      <c r="N4" s="80">
        <f>Kaldorian!Z$31</f>
        <v>0.915146518642448</v>
      </c>
      <c r="O4" s="80">
        <f>Kaldorian!AB$31</f>
        <v>0.89561835466667417</v>
      </c>
      <c r="P4" s="80">
        <f>Kaldorian!AD$31</f>
        <v>0.87100006667740715</v>
      </c>
      <c r="Q4" s="80">
        <f>Kaldorian!AF$31</f>
        <v>0.83911445081023062</v>
      </c>
      <c r="R4" s="80">
        <f>Kaldorian!AH$31</f>
        <v>0.79620099831299074</v>
      </c>
      <c r="S4" s="80">
        <f>Kaldorian!AJ$31</f>
        <v>0.73503775435555796</v>
      </c>
      <c r="T4" s="80">
        <f>Kaldorian!AL$31</f>
        <v>0.6394457871456054</v>
      </c>
      <c r="U4" s="80">
        <f>Kaldorian!AN$31</f>
        <v>0</v>
      </c>
      <c r="V4" s="80">
        <f>Kaldorian!AP$31</f>
        <v>0</v>
      </c>
      <c r="W4" s="80">
        <f>Kaldorian!AR$31</f>
        <v>0</v>
      </c>
      <c r="X4" s="80">
        <f>Kaldorian!AT$31</f>
        <v>0</v>
      </c>
      <c r="Y4" s="80">
        <f>Kaldorian!AV$31</f>
        <v>0</v>
      </c>
    </row>
    <row r="5" spans="1:27" x14ac:dyDescent="0.2">
      <c r="A5" t="s">
        <v>90</v>
      </c>
      <c r="B5" s="80">
        <f>Johansen!B$31</f>
        <v>1.0000000000000027</v>
      </c>
      <c r="C5" s="80">
        <f>Johansen!D$31</f>
        <v>0.99771058140676561</v>
      </c>
      <c r="D5" s="80">
        <f>Johansen!F$31</f>
        <v>0.99495938675537765</v>
      </c>
      <c r="E5" s="80">
        <f>Johansen!H$31</f>
        <v>0.99168001128654959</v>
      </c>
      <c r="F5" s="80">
        <f>Johansen!J$31</f>
        <v>0.98779209192748985</v>
      </c>
      <c r="G5" s="80">
        <f>Johansen!L$31</f>
        <v>0.98319735055674051</v>
      </c>
      <c r="H5" s="80">
        <f>Johansen!N$31</f>
        <v>0.97777442220827981</v>
      </c>
      <c r="I5" s="80">
        <f>Johansen!P$31</f>
        <v>0.97137113501580952</v>
      </c>
      <c r="J5" s="80">
        <f>Johansen!R$31</f>
        <v>0.96379394340262636</v>
      </c>
      <c r="K5" s="80">
        <f>Johansen!T$31</f>
        <v>0.95479235086661129</v>
      </c>
      <c r="L5" s="80">
        <f>Johansen!V$31</f>
        <v>0.9440353631196281</v>
      </c>
      <c r="M5" s="80">
        <f>Johansen!X$31</f>
        <v>0.93107497258765259</v>
      </c>
      <c r="N5" s="80">
        <f>Johansen!Z$31</f>
        <v>0.91528684461609233</v>
      </c>
      <c r="O5" s="80">
        <f>Johansen!AB$31</f>
        <v>0.89576923600357872</v>
      </c>
      <c r="P5" s="80">
        <f>Johansen!AD$31</f>
        <v>0.87116009541790684</v>
      </c>
      <c r="Q5" s="80">
        <f>Johansen!AF$31</f>
        <v>0.83927999865846215</v>
      </c>
      <c r="R5" s="80">
        <f>Johansen!AH$31</f>
        <v>0.79636402134475015</v>
      </c>
      <c r="S5" s="80">
        <f>Johansen!AJ$31</f>
        <v>0.73518254803739536</v>
      </c>
      <c r="T5" s="80">
        <f>Johansen!AL$31</f>
        <v>0.63954620796199613</v>
      </c>
      <c r="U5" s="80">
        <f>Johansen!AN$31</f>
        <v>0.46336326939401401</v>
      </c>
      <c r="V5" s="80">
        <f>Johansen!AP$31</f>
        <v>0.40776346796132767</v>
      </c>
      <c r="W5" s="80">
        <f>Johansen!AR$31</f>
        <v>0.33999054666096584</v>
      </c>
      <c r="X5" s="80">
        <f>Johansen!AT$31</f>
        <v>0.25532667425417083</v>
      </c>
      <c r="Y5" s="80">
        <f>Johansen!AV$31</f>
        <v>0.1462129790014825</v>
      </c>
    </row>
    <row r="6" spans="1:27" x14ac:dyDescent="0.2">
      <c r="A6" t="s">
        <v>146</v>
      </c>
      <c r="B6" s="80">
        <f>'Keynes-K'!B$31</f>
        <v>1.0000000000000027</v>
      </c>
      <c r="C6" s="80">
        <f>'Keynes-K'!D$31</f>
        <v>1.0028090194360666</v>
      </c>
      <c r="D6" s="80">
        <f>'Keynes-K'!F$31</f>
        <v>1.0045809972679478</v>
      </c>
      <c r="E6" s="80">
        <f>'Keynes-K'!H$31</f>
        <v>1.0052286510626642</v>
      </c>
      <c r="F6" s="80">
        <f>'Keynes-K'!J$31</f>
        <v>1.0046362430902582</v>
      </c>
      <c r="G6" s="80">
        <f>'Keynes-K'!L$31</f>
        <v>1.0026530370101709</v>
      </c>
      <c r="H6" s="80">
        <f>'Keynes-K'!N$31</f>
        <v>0.9990834955410105</v>
      </c>
      <c r="I6" s="80">
        <f>'Keynes-K'!P$31</f>
        <v>0.99367379469359551</v>
      </c>
      <c r="J6" s="80">
        <f>'Keynes-K'!R$31</f>
        <v>0.98609214024050285</v>
      </c>
      <c r="K6" s="80">
        <f>'Keynes-K'!T$31</f>
        <v>0.97589990028358753</v>
      </c>
      <c r="L6" s="80">
        <f>'Keynes-K'!V$31</f>
        <v>0.96250827132541006</v>
      </c>
      <c r="M6" s="80">
        <f>'Keynes-K'!X$31</f>
        <v>0.94511131015342142</v>
      </c>
      <c r="N6" s="80">
        <f>'Keynes-K'!Z$31</f>
        <v>0.9225792542523128</v>
      </c>
      <c r="O6" s="80">
        <f>'Keynes-K'!AB$31</f>
        <v>0.89328199966438693</v>
      </c>
      <c r="P6" s="80">
        <f>'Keynes-K'!AD$31</f>
        <v>0.85478516745877842</v>
      </c>
      <c r="Q6" s="80">
        <f>'Keynes-K'!AF$31</f>
        <v>0.80330439253217223</v>
      </c>
      <c r="R6" s="80">
        <f>'Keynes-K'!AH$31</f>
        <v>0.73269489385777875</v>
      </c>
      <c r="S6" s="80">
        <f>'Keynes-K'!AJ$31</f>
        <v>0.63261534969308053</v>
      </c>
      <c r="T6" s="80">
        <f>'Keynes-K'!AL$31</f>
        <v>0.48599610349998562</v>
      </c>
      <c r="U6" s="80">
        <f>'Keynes-K'!AN$31</f>
        <v>0</v>
      </c>
      <c r="V6" s="80">
        <f>'Keynes-K'!AP$31</f>
        <v>0</v>
      </c>
      <c r="W6" s="80">
        <f>'Keynes-K'!AR$31</f>
        <v>0</v>
      </c>
      <c r="X6" s="80">
        <f>'Keynes-K'!AT$31</f>
        <v>0</v>
      </c>
      <c r="Y6" s="80">
        <f>'Keynes-K'!AV$31</f>
        <v>0</v>
      </c>
    </row>
    <row r="7" spans="1:27" x14ac:dyDescent="0.2">
      <c r="A7" t="s">
        <v>144</v>
      </c>
      <c r="B7" s="80">
        <f>'Keynes-M'!B$31</f>
        <v>1</v>
      </c>
      <c r="C7" s="80">
        <f>'Keynes-M'!D$31</f>
        <v>1.011664907786441</v>
      </c>
      <c r="D7" s="80">
        <f>'Keynes-M'!F$31</f>
        <v>1.0229336239405502</v>
      </c>
      <c r="E7" s="80">
        <f>'Keynes-M'!H$31</f>
        <v>1.0337805373824198</v>
      </c>
      <c r="F7" s="80">
        <f>'Keynes-M'!J$31</f>
        <v>1.0441725952070524</v>
      </c>
      <c r="G7" s="80">
        <f>'Keynes-M'!L$31</f>
        <v>1.0540692630642488</v>
      </c>
      <c r="H7" s="80">
        <f>'Keynes-M'!N$31</f>
        <v>1.0634227948076387</v>
      </c>
      <c r="I7" s="80">
        <f>'Keynes-M'!P$31</f>
        <v>1.0721796865772462</v>
      </c>
      <c r="J7" s="80">
        <f>'Keynes-M'!R$31</f>
        <v>1.0802835502926891</v>
      </c>
      <c r="K7" s="80">
        <f>'Keynes-M'!T$31</f>
        <v>1.0876812258962563</v>
      </c>
      <c r="L7" s="80">
        <f>'Keynes-M'!V$31</f>
        <v>1.0943339453160903</v>
      </c>
      <c r="M7" s="80">
        <f>'Keynes-M'!X$31</f>
        <v>1.1002348667412578</v>
      </c>
      <c r="N7" s="80">
        <f>'Keynes-M'!Z$31</f>
        <v>1.1054232652472213</v>
      </c>
      <c r="O7" s="80">
        <f>'Keynes-M'!AB$31</f>
        <v>1.1099228412238444</v>
      </c>
      <c r="P7" s="80">
        <f>'Keynes-M'!AD$31</f>
        <v>1.1132796288556681</v>
      </c>
      <c r="Q7" s="80">
        <f>'Keynes-M'!AF$31</f>
        <v>0</v>
      </c>
      <c r="R7" s="80">
        <f>'Keynes-M'!AH$31</f>
        <v>0</v>
      </c>
      <c r="S7" s="80">
        <f>'Keynes-M'!AJ$31</f>
        <v>0</v>
      </c>
      <c r="T7" s="80">
        <f>'Keynes-M'!AL$31</f>
        <v>0</v>
      </c>
      <c r="U7" s="80">
        <f>'Keynes-M'!AN$31</f>
        <v>0</v>
      </c>
      <c r="V7" s="80">
        <f>'Keynes-M'!AP$31</f>
        <v>0</v>
      </c>
      <c r="W7" s="80">
        <f>'Keynes-M'!AR$31</f>
        <v>0</v>
      </c>
      <c r="X7" s="80">
        <f>'Keynes-K'!AT$31</f>
        <v>0</v>
      </c>
      <c r="Y7" s="80">
        <f>'Keynes-K'!AV$31</f>
        <v>0</v>
      </c>
    </row>
    <row r="8" spans="1:27" x14ac:dyDescent="0.2">
      <c r="A8" t="s">
        <v>162</v>
      </c>
      <c r="B8" s="80">
        <f>Keynesian!B$31</f>
        <v>1</v>
      </c>
      <c r="C8" s="80">
        <f>Keynesian!D$31</f>
        <v>0.97738974502732823</v>
      </c>
      <c r="D8" s="80">
        <f>Keynesian!F$31</f>
        <v>0.95248623605545135</v>
      </c>
      <c r="E8" s="80">
        <f>Keynesian!H$31</f>
        <v>0.92507226763515416</v>
      </c>
      <c r="F8" s="80">
        <f>Keynesian!J$31</f>
        <v>0.89492553739385217</v>
      </c>
      <c r="G8" s="80">
        <f>Keynesian!L$31</f>
        <v>0.86183086119569285</v>
      </c>
      <c r="H8" s="80">
        <f>Keynesian!N$31</f>
        <v>0.82559591787403452</v>
      </c>
      <c r="I8" s="80">
        <f>Keynesian!P$31</f>
        <v>0.78608000411273626</v>
      </c>
      <c r="J8" s="80">
        <f>Keynesian!R$31</f>
        <v>0.74323849191588209</v>
      </c>
      <c r="K8" s="80">
        <f>Keynesian!T$31</f>
        <v>0.6972044274990119</v>
      </c>
      <c r="L8" s="80">
        <f>Keynesian!V$31</f>
        <v>0.64847162578220041</v>
      </c>
      <c r="M8" s="80">
        <f>Keynesian!X$31</f>
        <v>0.59843304916264728</v>
      </c>
      <c r="N8" s="80">
        <f>Keynesian!Z$31</f>
        <v>0</v>
      </c>
      <c r="O8" s="80">
        <f>Keynesian!AB$31</f>
        <v>0</v>
      </c>
      <c r="P8" s="80">
        <f>Keynesian!AD$31</f>
        <v>0</v>
      </c>
      <c r="Q8" s="80">
        <f>Keynesian!AF$31</f>
        <v>0</v>
      </c>
      <c r="R8" s="80">
        <f>Keynesian!AH$31</f>
        <v>0</v>
      </c>
      <c r="S8" s="80">
        <f>Keynesian!AJ$31</f>
        <v>0</v>
      </c>
      <c r="T8" s="80">
        <f>Keynesian!AL$31</f>
        <v>0</v>
      </c>
      <c r="U8" s="80">
        <f>Keynesian!AN$31</f>
        <v>0</v>
      </c>
      <c r="V8" s="80">
        <f>Keynesian!AP$31</f>
        <v>0</v>
      </c>
      <c r="W8" s="80">
        <f>Keynesian!AR$31</f>
        <v>0</v>
      </c>
      <c r="X8" s="80">
        <f>Keynesian!AT$31</f>
        <v>0</v>
      </c>
      <c r="Y8" s="80">
        <f>Keynesian!AV$31</f>
        <v>0</v>
      </c>
    </row>
    <row r="9" spans="1:27" x14ac:dyDescent="0.2">
      <c r="A9" t="s">
        <v>157</v>
      </c>
      <c r="B9" s="80">
        <f>'Neo-K2'!B$31</f>
        <v>1.0000000000000027</v>
      </c>
      <c r="C9" s="80">
        <f>'Neo-K2'!D$31</f>
        <v>0.98399349512862877</v>
      </c>
      <c r="D9" s="80">
        <f>'Neo-K2'!F$31</f>
        <v>0.96630196897220244</v>
      </c>
      <c r="E9" s="80">
        <f>'Neo-K2'!H$31</f>
        <v>0.94665074144809813</v>
      </c>
      <c r="F9" s="80">
        <f>'Neo-K2'!J$31</f>
        <v>0.924718097745723</v>
      </c>
      <c r="G9" s="80">
        <f>'Neo-K2'!L$31</f>
        <v>0.90013201458946002</v>
      </c>
      <c r="H9" s="80">
        <f>'Neo-K2'!N$31</f>
        <v>0.87247435008808871</v>
      </c>
      <c r="I9" s="80">
        <f>'Neo-K2'!P$31</f>
        <v>0.84129553445176564</v>
      </c>
      <c r="J9" s="80">
        <f>'Neo-K2'!R$31</f>
        <v>0.80614916081231081</v>
      </c>
      <c r="K9" s="80">
        <f>'Neo-K2'!T$31</f>
        <v>0.76666010843514143</v>
      </c>
      <c r="L9" s="80">
        <f>'Neo-K2'!V$31</f>
        <v>0.7226436242039066</v>
      </c>
      <c r="M9" s="80">
        <f>'Neo-K2'!X$31</f>
        <v>0.67428867511801105</v>
      </c>
      <c r="N9" s="80">
        <f>'Neo-K2'!Z$31</f>
        <v>0.62240240632160626</v>
      </c>
      <c r="O9" s="80">
        <f>'Neo-K2'!AB$31</f>
        <v>0.56862085931219664</v>
      </c>
      <c r="P9" s="80">
        <f>'Neo-K2'!AD$31</f>
        <v>0.51532446839863177</v>
      </c>
      <c r="Q9" s="80">
        <f>'Neo-K2'!AF$31</f>
        <v>0.46492051443973437</v>
      </c>
      <c r="R9" s="80">
        <f>'Neo-K2'!AH$31</f>
        <v>0.41861333612317714</v>
      </c>
      <c r="S9" s="80">
        <f>'Neo-K2'!AJ$31</f>
        <v>0.37525413164013927</v>
      </c>
      <c r="T9" s="80">
        <f>'Neo-K2'!AL$31</f>
        <v>0.32912910271880857</v>
      </c>
      <c r="U9" s="80">
        <f>'Neo-K2'!AN$31</f>
        <v>0.25813481604920296</v>
      </c>
      <c r="V9" s="80">
        <f>'Neo-K2'!AP$31</f>
        <v>0.23578102341399376</v>
      </c>
      <c r="W9" s="80">
        <f>'Neo-K2'!AR$31</f>
        <v>0.20816506650535394</v>
      </c>
      <c r="X9" s="80">
        <f>'Neo-K2'!AT$31</f>
        <v>0.17233983988929916</v>
      </c>
      <c r="Y9" s="80">
        <f>'Neo-K2'!AV$31</f>
        <v>0</v>
      </c>
    </row>
    <row r="10" spans="1:27" x14ac:dyDescent="0.2">
      <c r="A10" t="s">
        <v>158</v>
      </c>
      <c r="B10" s="80">
        <f>'Neo-K1'!B$31</f>
        <v>1.0000000000000027</v>
      </c>
      <c r="C10" s="80">
        <f>'Neo-K1'!D$31</f>
        <v>0.98664607403531401</v>
      </c>
      <c r="D10" s="80">
        <f>'Neo-K1'!F$31</f>
        <v>0.97207780746084427</v>
      </c>
      <c r="E10" s="80">
        <f>'Neo-K1'!H$31</f>
        <v>0.95611107486808411</v>
      </c>
      <c r="F10" s="80">
        <f>'Neo-K1'!J$31</f>
        <v>0.93852547588076485</v>
      </c>
      <c r="G10" s="80">
        <f>'Neo-K1'!L$31</f>
        <v>0.91905548583719188</v>
      </c>
      <c r="H10" s="80">
        <f>'Neo-K1'!N$31</f>
        <v>0.89738093875136349</v>
      </c>
      <c r="I10" s="80">
        <f>'Neo-K1'!P$31</f>
        <v>0.87311492677207669</v>
      </c>
      <c r="J10" s="80">
        <f>'Neo-K1'!R$31</f>
        <v>0.84579005373328009</v>
      </c>
      <c r="K10" s="80">
        <f>'Neo-K1'!T$31</f>
        <v>0.81484422123238709</v>
      </c>
      <c r="L10" s="80">
        <f>'Neo-K1'!V$31</f>
        <v>0.77960656491912528</v>
      </c>
      <c r="M10" s="80">
        <f>'Neo-K1'!X$31</f>
        <v>0.73928888433010653</v>
      </c>
      <c r="N10" s="80">
        <f>'Neo-K1'!Z$31</f>
        <v>0.6929869474605177</v>
      </c>
      <c r="O10" s="80">
        <f>'Neo-K1'!AB$31</f>
        <v>0.63970044076868138</v>
      </c>
      <c r="P10" s="80">
        <f>'Neo-K1'!AD$31</f>
        <v>0.57838074782905724</v>
      </c>
      <c r="Q10" s="80">
        <f>'Neo-K1'!AF$31</f>
        <v>0.50801132468990362</v>
      </c>
      <c r="R10" s="80">
        <f>'Neo-K1'!AH$31</f>
        <v>0.42771521327746537</v>
      </c>
      <c r="S10" s="80">
        <f>'Neo-K1'!AJ$31</f>
        <v>0.33686886995838811</v>
      </c>
      <c r="T10" s="80">
        <f>'Neo-K1'!AL$31</f>
        <v>0.23518836519671735</v>
      </c>
      <c r="U10" s="80">
        <f>'Neo-K1'!AN$31</f>
        <v>0.12275917191273793</v>
      </c>
      <c r="V10" s="80">
        <f>'Neo-K1'!AP$31</f>
        <v>0</v>
      </c>
      <c r="W10" s="80">
        <f>'Neo-K1'!AR$31</f>
        <v>0</v>
      </c>
      <c r="X10" s="80">
        <f>'Neo-K1'!AT$31</f>
        <v>0</v>
      </c>
      <c r="Y10" s="80">
        <f>'Neo-K1'!AV$31</f>
        <v>0</v>
      </c>
    </row>
    <row r="11" spans="1:27" x14ac:dyDescent="0.2">
      <c r="A11" t="s">
        <v>149</v>
      </c>
      <c r="B11" s="80">
        <f>'NC heteroS'!B$31</f>
        <v>0.99999999999999956</v>
      </c>
      <c r="C11" s="80">
        <f>'NC heteroS'!D$31</f>
        <v>0.99444591610775457</v>
      </c>
      <c r="D11" s="80">
        <f>'NC heteroS'!F$31</f>
        <v>0.98832398885785544</v>
      </c>
      <c r="E11" s="80">
        <f>'NC heteroS'!H$31</f>
        <v>0.98155485786275998</v>
      </c>
      <c r="F11" s="80">
        <f>'NC heteroS'!J$31</f>
        <v>0.97404297476950719</v>
      </c>
      <c r="G11" s="80">
        <f>'NC heteroS'!L$31</f>
        <v>0.96567204220783953</v>
      </c>
      <c r="H11" s="80">
        <f>'NC heteroS'!N$31</f>
        <v>0.95629799805413807</v>
      </c>
      <c r="I11" s="80">
        <f>'NC heteroS'!P$31</f>
        <v>0.94573972610617074</v>
      </c>
      <c r="J11" s="80">
        <f>'NC heteroS'!R$31</f>
        <v>0.93376390646056395</v>
      </c>
      <c r="K11" s="80">
        <f>'NC heteroS'!T$31</f>
        <v>0.92006316660733312</v>
      </c>
      <c r="L11" s="80">
        <f>'NC heteroS'!V$31</f>
        <v>0.90421972939464912</v>
      </c>
      <c r="M11" s="80">
        <f>'NC heteroS'!X$31</f>
        <v>0.88564636602078417</v>
      </c>
      <c r="N11" s="80">
        <f>'NC heteroS'!Z$31</f>
        <v>0.86348466526882439</v>
      </c>
      <c r="O11" s="80">
        <f>'NC heteroS'!AB$31</f>
        <v>0.83642519107603419</v>
      </c>
      <c r="P11" s="80">
        <f>'NC heteroS'!AD$31</f>
        <v>0.80238481689363084</v>
      </c>
      <c r="Q11" s="80">
        <f>'NC heteroS'!AF$31</f>
        <v>0.75794214216834832</v>
      </c>
      <c r="R11" s="80">
        <f>'NC heteroS'!AH$31</f>
        <v>0.69744648234885309</v>
      </c>
      <c r="S11" s="80">
        <f>'NC heteroS'!AJ$31</f>
        <v>0.61173763947405335</v>
      </c>
      <c r="T11" s="80">
        <f>'NC heteroS'!AL$31</f>
        <v>0.48516789846608083</v>
      </c>
      <c r="U11" s="80">
        <f>'NC heteroS'!AN$31</f>
        <v>0.28500358745058368</v>
      </c>
      <c r="V11" s="80">
        <f>'NC heteroS'!AP$31</f>
        <v>0.23086212220297583</v>
      </c>
      <c r="W11" s="80">
        <f>'NC heteroS'!AR$31</f>
        <v>0.17080624919208309</v>
      </c>
      <c r="X11" s="80">
        <f>'NC heteroS'!AT$31</f>
        <v>0.10553097572575747</v>
      </c>
      <c r="Y11" s="80">
        <f>'NC heteroS'!AV$31</f>
        <v>4.0042490619631235E-2</v>
      </c>
    </row>
    <row r="16" spans="1:27" x14ac:dyDescent="0.2">
      <c r="A16" t="str">
        <f>A1</f>
        <v>Utility</v>
      </c>
      <c r="AA16" t="s">
        <v>101</v>
      </c>
    </row>
    <row r="17" spans="1:51" x14ac:dyDescent="0.2">
      <c r="A17" t="str">
        <f t="shared" ref="A17:A26" si="0">A2</f>
        <v>Fossil energy control</v>
      </c>
      <c r="B17" s="94">
        <v>0</v>
      </c>
      <c r="C17" s="94">
        <v>0.05</v>
      </c>
      <c r="D17" s="94">
        <v>0.1</v>
      </c>
      <c r="E17" s="94">
        <v>0.15000000000000002</v>
      </c>
      <c r="F17" s="94">
        <v>0.2</v>
      </c>
      <c r="G17" s="94">
        <v>0.25</v>
      </c>
      <c r="H17" s="94">
        <v>0.3</v>
      </c>
      <c r="I17" s="94">
        <v>0.35</v>
      </c>
      <c r="J17" s="94">
        <v>0.39999999999999997</v>
      </c>
      <c r="K17" s="94">
        <v>0.44999999999999996</v>
      </c>
      <c r="L17" s="94">
        <v>0.49999999999999994</v>
      </c>
      <c r="M17" s="94">
        <v>0.54999999999999993</v>
      </c>
      <c r="N17" s="94">
        <v>0.6</v>
      </c>
      <c r="O17" s="94">
        <v>0.65</v>
      </c>
      <c r="P17" s="94">
        <v>0.70000000000000007</v>
      </c>
      <c r="Q17" s="94">
        <v>0.75000000000000011</v>
      </c>
      <c r="R17" s="94">
        <v>0.80000000000000016</v>
      </c>
      <c r="S17" s="94">
        <v>0.8500000000000002</v>
      </c>
      <c r="T17" s="94">
        <v>0.90000000000000024</v>
      </c>
      <c r="U17" s="94">
        <v>0.95000000000000029</v>
      </c>
      <c r="V17" s="94">
        <v>0.9600000000000003</v>
      </c>
      <c r="W17" s="94">
        <v>0.97000000000000031</v>
      </c>
      <c r="X17" s="94">
        <v>0.98000000000000032</v>
      </c>
      <c r="Y17" s="94">
        <v>0.99000000000000032</v>
      </c>
      <c r="Z17" s="139"/>
      <c r="AA17" t="s">
        <v>96</v>
      </c>
      <c r="AB17" s="94">
        <v>0</v>
      </c>
      <c r="AC17" s="94">
        <v>0.05</v>
      </c>
      <c r="AD17" s="94">
        <v>0.1</v>
      </c>
      <c r="AE17" s="94">
        <v>0.15000000000000002</v>
      </c>
      <c r="AF17" s="94">
        <v>0.2</v>
      </c>
      <c r="AG17" s="94">
        <v>0.25</v>
      </c>
      <c r="AH17" s="94">
        <v>0.3</v>
      </c>
      <c r="AI17" s="94">
        <v>0.35</v>
      </c>
      <c r="AJ17" s="94">
        <v>0.39999999999999997</v>
      </c>
      <c r="AK17" s="94">
        <v>0.44999999999999996</v>
      </c>
      <c r="AL17" s="94">
        <v>0.49999999999999994</v>
      </c>
      <c r="AM17" s="94">
        <v>0.54999999999999993</v>
      </c>
      <c r="AN17" s="94">
        <v>0.6</v>
      </c>
      <c r="AO17" s="94">
        <v>0.65</v>
      </c>
      <c r="AP17" s="94">
        <v>0.70000000000000007</v>
      </c>
      <c r="AQ17" s="94">
        <v>0.75000000000000011</v>
      </c>
      <c r="AR17" s="94">
        <v>0.80000000000000016</v>
      </c>
      <c r="AS17" s="94">
        <v>0.8500000000000002</v>
      </c>
      <c r="AT17" s="94">
        <v>0.90000000000000024</v>
      </c>
      <c r="AU17" s="94">
        <v>0.95000000000000029</v>
      </c>
      <c r="AV17" s="94">
        <v>0.9600000000000003</v>
      </c>
      <c r="AW17" s="94">
        <v>0.97000000000000031</v>
      </c>
      <c r="AX17" s="94">
        <v>0.98000000000000032</v>
      </c>
      <c r="AY17" s="94">
        <v>0.99000000000000032</v>
      </c>
    </row>
    <row r="18" spans="1:51" x14ac:dyDescent="0.2">
      <c r="A18" t="str">
        <f t="shared" si="0"/>
        <v>Neoclassical</v>
      </c>
      <c r="B18" s="80">
        <f>IF(B3&gt;0,100*B3,"")</f>
        <v>100.00000000000027</v>
      </c>
      <c r="C18" s="80">
        <f t="shared" ref="C18:Y18" si="1">IF(C3&gt;0,100*C3,"")</f>
        <v>99.261117474908616</v>
      </c>
      <c r="D18" s="80">
        <f t="shared" si="1"/>
        <v>98.464223309285629</v>
      </c>
      <c r="E18" s="80">
        <f t="shared" si="1"/>
        <v>97.60101731884761</v>
      </c>
      <c r="F18" s="80">
        <f t="shared" si="1"/>
        <v>96.661509488312277</v>
      </c>
      <c r="G18" s="80">
        <f t="shared" si="1"/>
        <v>95.633558890784201</v>
      </c>
      <c r="H18" s="80">
        <f t="shared" si="1"/>
        <v>94.502247212578638</v>
      </c>
      <c r="I18" s="80">
        <f t="shared" si="1"/>
        <v>93.249009163950021</v>
      </c>
      <c r="J18" s="80">
        <f t="shared" si="1"/>
        <v>91.850405685896476</v>
      </c>
      <c r="K18" s="80">
        <f t="shared" si="1"/>
        <v>90.27635442522957</v>
      </c>
      <c r="L18" s="80">
        <f t="shared" si="1"/>
        <v>88.487467424111799</v>
      </c>
      <c r="M18" s="80">
        <f t="shared" si="1"/>
        <v>86.430970158845923</v>
      </c>
      <c r="N18" s="80">
        <f t="shared" si="1"/>
        <v>84.034139906769383</v>
      </c>
      <c r="O18" s="80">
        <f t="shared" si="1"/>
        <v>81.193241915288823</v>
      </c>
      <c r="P18" s="80">
        <f t="shared" si="1"/>
        <v>77.753804135788769</v>
      </c>
      <c r="Q18" s="80">
        <f t="shared" si="1"/>
        <v>73.472794828248851</v>
      </c>
      <c r="R18" s="80">
        <f t="shared" si="1"/>
        <v>67.939384999138881</v>
      </c>
      <c r="S18" s="80">
        <f t="shared" si="1"/>
        <v>60.389434509956494</v>
      </c>
      <c r="T18" s="80">
        <f t="shared" si="1"/>
        <v>49.20789121296837</v>
      </c>
      <c r="U18" s="80">
        <f t="shared" si="1"/>
        <v>30.421459752711254</v>
      </c>
      <c r="V18" s="80">
        <f t="shared" si="1"/>
        <v>25.033499382452064</v>
      </c>
      <c r="W18" s="80">
        <f t="shared" si="1"/>
        <v>18.885132611601442</v>
      </c>
      <c r="X18" s="80">
        <f t="shared" si="1"/>
        <v>11.971113326993933</v>
      </c>
      <c r="Y18" s="80">
        <f t="shared" si="1"/>
        <v>4.7182647169179068</v>
      </c>
      <c r="Z18" s="138"/>
      <c r="AA18" t="s">
        <v>89</v>
      </c>
      <c r="AB18" s="138">
        <f t="shared" ref="AB18:AB23" si="2">1-B18</f>
        <v>-99.00000000000027</v>
      </c>
      <c r="AC18" s="138">
        <f t="shared" ref="AC18:AC23" si="3">1-C18</f>
        <v>-98.261117474908616</v>
      </c>
      <c r="AD18" s="138">
        <f t="shared" ref="AD18:AD23" si="4">1-D18</f>
        <v>-97.464223309285629</v>
      </c>
      <c r="AE18" s="138">
        <f t="shared" ref="AE18:AE23" si="5">1-E18</f>
        <v>-96.60101731884761</v>
      </c>
      <c r="AF18" s="138">
        <f t="shared" ref="AF18:AF23" si="6">1-F18</f>
        <v>-95.661509488312277</v>
      </c>
      <c r="AG18" s="138">
        <f t="shared" ref="AG18:AG23" si="7">1-G18</f>
        <v>-94.633558890784201</v>
      </c>
      <c r="AH18" s="138">
        <f t="shared" ref="AH18:AH23" si="8">1-H18</f>
        <v>-93.502247212578638</v>
      </c>
      <c r="AI18" s="138">
        <f t="shared" ref="AI18:AI23" si="9">1-I18</f>
        <v>-92.249009163950021</v>
      </c>
      <c r="AJ18" s="138">
        <f t="shared" ref="AJ18:AJ23" si="10">1-J18</f>
        <v>-90.850405685896476</v>
      </c>
      <c r="AK18" s="138">
        <f t="shared" ref="AK18:AK23" si="11">1-K18</f>
        <v>-89.27635442522957</v>
      </c>
      <c r="AL18" s="138">
        <f t="shared" ref="AL18:AL23" si="12">1-L18</f>
        <v>-87.487467424111799</v>
      </c>
      <c r="AM18" s="138">
        <f t="shared" ref="AM18:AM23" si="13">1-M18</f>
        <v>-85.430970158845923</v>
      </c>
      <c r="AN18" s="138">
        <f t="shared" ref="AN18:AN23" si="14">1-N18</f>
        <v>-83.034139906769383</v>
      </c>
      <c r="AO18" s="138">
        <f t="shared" ref="AO18:AO23" si="15">1-O18</f>
        <v>-80.193241915288823</v>
      </c>
      <c r="AP18" s="138">
        <f t="shared" ref="AP18:AP23" si="16">1-P18</f>
        <v>-76.753804135788769</v>
      </c>
      <c r="AQ18" s="138">
        <f t="shared" ref="AQ18:AQ23" si="17">1-Q18</f>
        <v>-72.472794828248851</v>
      </c>
      <c r="AR18" s="138">
        <f t="shared" ref="AR18:AR23" si="18">1-R18</f>
        <v>-66.939384999138881</v>
      </c>
      <c r="AS18" s="138">
        <f t="shared" ref="AS18:AS23" si="19">1-S18</f>
        <v>-59.389434509956494</v>
      </c>
      <c r="AT18" s="138">
        <f t="shared" ref="AT18:AT23" si="20">1-T18</f>
        <v>-48.20789121296837</v>
      </c>
      <c r="AU18" s="138">
        <f t="shared" ref="AU18:AU23" si="21">1-U18</f>
        <v>-29.421459752711254</v>
      </c>
      <c r="AV18" s="138">
        <f t="shared" ref="AV18:AV23" si="22">1-V18</f>
        <v>-24.033499382452064</v>
      </c>
      <c r="AW18" s="138">
        <f t="shared" ref="AW18:AW23" si="23">1-W18</f>
        <v>-17.885132611601442</v>
      </c>
      <c r="AX18" s="138">
        <f t="shared" ref="AX18:AX23" si="24">1-X18</f>
        <v>-10.971113326993933</v>
      </c>
      <c r="AY18" s="138">
        <f t="shared" ref="AY18:AY23" si="25">1-Y18</f>
        <v>-3.7182647169179068</v>
      </c>
    </row>
    <row r="19" spans="1:51" x14ac:dyDescent="0.2">
      <c r="A19" t="str">
        <f t="shared" si="0"/>
        <v>Kaldorian</v>
      </c>
      <c r="B19" s="80">
        <f t="shared" ref="B19:Y19" si="26">IF(B4&gt;0,100*B4,"")</f>
        <v>100.00000000000027</v>
      </c>
      <c r="C19" s="80">
        <f t="shared" si="26"/>
        <v>99.769642280975575</v>
      </c>
      <c r="D19" s="80">
        <f t="shared" si="26"/>
        <v>99.49317732766086</v>
      </c>
      <c r="E19" s="80">
        <f t="shared" si="26"/>
        <v>99.163957928331186</v>
      </c>
      <c r="F19" s="80">
        <f t="shared" si="26"/>
        <v>98.773942532671526</v>
      </c>
      <c r="G19" s="80">
        <f t="shared" si="26"/>
        <v>98.313301196493512</v>
      </c>
      <c r="H19" s="80">
        <f t="shared" si="26"/>
        <v>97.769885122160531</v>
      </c>
      <c r="I19" s="80">
        <f t="shared" si="26"/>
        <v>97.128466330121739</v>
      </c>
      <c r="J19" s="80">
        <f t="shared" si="26"/>
        <v>96.369678072374043</v>
      </c>
      <c r="K19" s="80">
        <f t="shared" si="26"/>
        <v>95.46845292631302</v>
      </c>
      <c r="L19" s="80">
        <f t="shared" si="26"/>
        <v>94.391681925144283</v>
      </c>
      <c r="M19" s="80">
        <f t="shared" si="26"/>
        <v>93.094555826417448</v>
      </c>
      <c r="N19" s="80">
        <f t="shared" si="26"/>
        <v>91.514651864244797</v>
      </c>
      <c r="O19" s="80">
        <f t="shared" si="26"/>
        <v>89.561835466667418</v>
      </c>
      <c r="P19" s="80">
        <f t="shared" si="26"/>
        <v>87.100006667740715</v>
      </c>
      <c r="Q19" s="80">
        <f t="shared" si="26"/>
        <v>83.911445081023061</v>
      </c>
      <c r="R19" s="80">
        <f t="shared" si="26"/>
        <v>79.620099831299072</v>
      </c>
      <c r="S19" s="80">
        <f t="shared" si="26"/>
        <v>73.503775435555795</v>
      </c>
      <c r="T19" s="80">
        <f t="shared" si="26"/>
        <v>63.944578714560542</v>
      </c>
      <c r="U19" s="80" t="str">
        <f t="shared" si="26"/>
        <v/>
      </c>
      <c r="V19" s="80" t="str">
        <f t="shared" si="26"/>
        <v/>
      </c>
      <c r="W19" s="80" t="str">
        <f t="shared" si="26"/>
        <v/>
      </c>
      <c r="X19" s="80" t="str">
        <f t="shared" si="26"/>
        <v/>
      </c>
      <c r="Y19" s="80" t="str">
        <f t="shared" si="26"/>
        <v/>
      </c>
      <c r="Z19" s="138"/>
      <c r="AA19" t="s">
        <v>90</v>
      </c>
      <c r="AB19" s="138">
        <f t="shared" si="2"/>
        <v>-99.00000000000027</v>
      </c>
      <c r="AC19" s="138">
        <f t="shared" si="3"/>
        <v>-98.769642280975575</v>
      </c>
      <c r="AD19" s="138">
        <f t="shared" si="4"/>
        <v>-98.49317732766086</v>
      </c>
      <c r="AE19" s="138">
        <f t="shared" si="5"/>
        <v>-98.163957928331186</v>
      </c>
      <c r="AF19" s="138">
        <f t="shared" si="6"/>
        <v>-97.773942532671526</v>
      </c>
      <c r="AG19" s="138">
        <f t="shared" si="7"/>
        <v>-97.313301196493512</v>
      </c>
      <c r="AH19" s="138">
        <f t="shared" si="8"/>
        <v>-96.769885122160531</v>
      </c>
      <c r="AI19" s="138">
        <f t="shared" si="9"/>
        <v>-96.128466330121739</v>
      </c>
      <c r="AJ19" s="138">
        <f t="shared" si="10"/>
        <v>-95.369678072374043</v>
      </c>
      <c r="AK19" s="138">
        <f t="shared" si="11"/>
        <v>-94.46845292631302</v>
      </c>
      <c r="AL19" s="138">
        <f t="shared" si="12"/>
        <v>-93.391681925144283</v>
      </c>
      <c r="AM19" s="138">
        <f t="shared" si="13"/>
        <v>-92.094555826417448</v>
      </c>
      <c r="AN19" s="138">
        <f t="shared" si="14"/>
        <v>-90.514651864244797</v>
      </c>
      <c r="AO19" s="138">
        <f t="shared" si="15"/>
        <v>-88.561835466667418</v>
      </c>
      <c r="AP19" s="138">
        <f t="shared" si="16"/>
        <v>-86.100006667740715</v>
      </c>
      <c r="AQ19" s="138">
        <f t="shared" si="17"/>
        <v>-82.911445081023061</v>
      </c>
      <c r="AR19" s="138">
        <f t="shared" si="18"/>
        <v>-78.620099831299072</v>
      </c>
      <c r="AS19" s="138">
        <f t="shared" si="19"/>
        <v>-72.503775435555795</v>
      </c>
      <c r="AT19" s="138">
        <f t="shared" si="20"/>
        <v>-62.944578714560542</v>
      </c>
      <c r="AU19" s="138" t="e">
        <f t="shared" si="21"/>
        <v>#VALUE!</v>
      </c>
      <c r="AV19" s="138" t="e">
        <f t="shared" si="22"/>
        <v>#VALUE!</v>
      </c>
      <c r="AW19" s="138" t="e">
        <f t="shared" si="23"/>
        <v>#VALUE!</v>
      </c>
      <c r="AX19" s="138" t="e">
        <f t="shared" si="24"/>
        <v>#VALUE!</v>
      </c>
      <c r="AY19" s="138" t="e">
        <f t="shared" si="25"/>
        <v>#VALUE!</v>
      </c>
    </row>
    <row r="20" spans="1:51" x14ac:dyDescent="0.2">
      <c r="A20" t="str">
        <f t="shared" si="0"/>
        <v>Johansen</v>
      </c>
      <c r="B20" s="80">
        <f t="shared" ref="B20:Y20" si="27">IF(B5&gt;0,100*B5,"")</f>
        <v>100.00000000000027</v>
      </c>
      <c r="C20" s="80">
        <f t="shared" si="27"/>
        <v>99.771058140676558</v>
      </c>
      <c r="D20" s="80">
        <f t="shared" si="27"/>
        <v>99.495938675537758</v>
      </c>
      <c r="E20" s="80">
        <f t="shared" si="27"/>
        <v>99.168001128654964</v>
      </c>
      <c r="F20" s="80">
        <f t="shared" si="27"/>
        <v>98.779209192748979</v>
      </c>
      <c r="G20" s="80">
        <f t="shared" si="27"/>
        <v>98.319735055674045</v>
      </c>
      <c r="H20" s="80">
        <f t="shared" si="27"/>
        <v>97.777442220827979</v>
      </c>
      <c r="I20" s="80">
        <f t="shared" si="27"/>
        <v>97.137113501580956</v>
      </c>
      <c r="J20" s="80">
        <f t="shared" si="27"/>
        <v>96.379394340262635</v>
      </c>
      <c r="K20" s="80">
        <f t="shared" si="27"/>
        <v>95.479235086661134</v>
      </c>
      <c r="L20" s="80">
        <f t="shared" si="27"/>
        <v>94.40353631196281</v>
      </c>
      <c r="M20" s="80">
        <f t="shared" si="27"/>
        <v>93.107497258765264</v>
      </c>
      <c r="N20" s="80">
        <f t="shared" si="27"/>
        <v>91.528684461609231</v>
      </c>
      <c r="O20" s="80">
        <f t="shared" si="27"/>
        <v>89.576923600357873</v>
      </c>
      <c r="P20" s="80">
        <f t="shared" si="27"/>
        <v>87.116009541790689</v>
      </c>
      <c r="Q20" s="80">
        <f t="shared" si="27"/>
        <v>83.927999865846218</v>
      </c>
      <c r="R20" s="80">
        <f t="shared" si="27"/>
        <v>79.63640213447502</v>
      </c>
      <c r="S20" s="80">
        <f t="shared" si="27"/>
        <v>73.518254803739538</v>
      </c>
      <c r="T20" s="80">
        <f t="shared" si="27"/>
        <v>63.954620796199613</v>
      </c>
      <c r="U20" s="80">
        <f t="shared" si="27"/>
        <v>46.336326939401403</v>
      </c>
      <c r="V20" s="80">
        <f t="shared" si="27"/>
        <v>40.776346796132771</v>
      </c>
      <c r="W20" s="80">
        <f t="shared" si="27"/>
        <v>33.999054666096583</v>
      </c>
      <c r="X20" s="80">
        <f t="shared" si="27"/>
        <v>25.532667425417081</v>
      </c>
      <c r="Y20" s="80">
        <f t="shared" si="27"/>
        <v>14.621297900148249</v>
      </c>
      <c r="Z20" s="138"/>
      <c r="AA20" t="s">
        <v>93</v>
      </c>
      <c r="AB20" s="138">
        <f t="shared" si="2"/>
        <v>-99.00000000000027</v>
      </c>
      <c r="AC20" s="138">
        <f t="shared" si="3"/>
        <v>-98.771058140676558</v>
      </c>
      <c r="AD20" s="138">
        <f t="shared" si="4"/>
        <v>-98.495938675537758</v>
      </c>
      <c r="AE20" s="138">
        <f t="shared" si="5"/>
        <v>-98.168001128654964</v>
      </c>
      <c r="AF20" s="138">
        <f t="shared" si="6"/>
        <v>-97.779209192748979</v>
      </c>
      <c r="AG20" s="138">
        <f t="shared" si="7"/>
        <v>-97.319735055674045</v>
      </c>
      <c r="AH20" s="138">
        <f t="shared" si="8"/>
        <v>-96.777442220827979</v>
      </c>
      <c r="AI20" s="138">
        <f t="shared" si="9"/>
        <v>-96.137113501580956</v>
      </c>
      <c r="AJ20" s="138">
        <f t="shared" si="10"/>
        <v>-95.379394340262635</v>
      </c>
      <c r="AK20" s="138">
        <f t="shared" si="11"/>
        <v>-94.479235086661134</v>
      </c>
      <c r="AL20" s="138">
        <f t="shared" si="12"/>
        <v>-93.40353631196281</v>
      </c>
      <c r="AM20" s="138">
        <f t="shared" si="13"/>
        <v>-92.107497258765264</v>
      </c>
      <c r="AN20" s="138">
        <f t="shared" si="14"/>
        <v>-90.528684461609231</v>
      </c>
      <c r="AO20" s="138">
        <f t="shared" si="15"/>
        <v>-88.576923600357873</v>
      </c>
      <c r="AP20" s="138">
        <f t="shared" si="16"/>
        <v>-86.116009541790689</v>
      </c>
      <c r="AQ20" s="138">
        <f t="shared" si="17"/>
        <v>-82.927999865846218</v>
      </c>
      <c r="AR20" s="138">
        <f t="shared" si="18"/>
        <v>-78.63640213447502</v>
      </c>
      <c r="AS20" s="138">
        <f t="shared" si="19"/>
        <v>-72.518254803739538</v>
      </c>
      <c r="AT20" s="138">
        <f t="shared" si="20"/>
        <v>-62.954620796199613</v>
      </c>
      <c r="AU20" s="138"/>
      <c r="AV20" s="138"/>
      <c r="AW20" s="138"/>
      <c r="AX20" s="138"/>
      <c r="AY20" s="138"/>
    </row>
    <row r="21" spans="1:51" x14ac:dyDescent="0.2">
      <c r="A21" t="str">
        <f t="shared" si="0"/>
        <v>Keynes-Kaldor</v>
      </c>
      <c r="B21" s="80">
        <f t="shared" ref="B21:Y21" si="28">IF(B6&gt;0,100*B6,"")</f>
        <v>100.00000000000027</v>
      </c>
      <c r="C21" s="80">
        <f t="shared" si="28"/>
        <v>100.28090194360666</v>
      </c>
      <c r="D21" s="80">
        <f t="shared" si="28"/>
        <v>100.45809972679479</v>
      </c>
      <c r="E21" s="80">
        <f t="shared" si="28"/>
        <v>100.52286510626642</v>
      </c>
      <c r="F21" s="80">
        <f t="shared" si="28"/>
        <v>100.46362430902582</v>
      </c>
      <c r="G21" s="80">
        <f t="shared" si="28"/>
        <v>100.26530370101709</v>
      </c>
      <c r="H21" s="80">
        <f t="shared" si="28"/>
        <v>99.908349554101051</v>
      </c>
      <c r="I21" s="80">
        <f t="shared" si="28"/>
        <v>99.367379469359548</v>
      </c>
      <c r="J21" s="80">
        <f t="shared" si="28"/>
        <v>98.609214024050289</v>
      </c>
      <c r="K21" s="80">
        <f t="shared" si="28"/>
        <v>97.589990028358756</v>
      </c>
      <c r="L21" s="80">
        <f t="shared" si="28"/>
        <v>96.250827132541005</v>
      </c>
      <c r="M21" s="80">
        <f t="shared" si="28"/>
        <v>94.511131015342144</v>
      </c>
      <c r="N21" s="80">
        <f t="shared" si="28"/>
        <v>92.257925425231278</v>
      </c>
      <c r="O21" s="80">
        <f t="shared" si="28"/>
        <v>89.328199966438689</v>
      </c>
      <c r="P21" s="80">
        <f t="shared" si="28"/>
        <v>85.47851674587784</v>
      </c>
      <c r="Q21" s="80">
        <f t="shared" si="28"/>
        <v>80.330439253217222</v>
      </c>
      <c r="R21" s="80">
        <f t="shared" si="28"/>
        <v>73.269489385777874</v>
      </c>
      <c r="S21" s="80">
        <f t="shared" si="28"/>
        <v>63.261534969308052</v>
      </c>
      <c r="T21" s="80">
        <f t="shared" si="28"/>
        <v>48.599610349998564</v>
      </c>
      <c r="U21" s="80" t="str">
        <f t="shared" si="28"/>
        <v/>
      </c>
      <c r="V21" s="80" t="str">
        <f t="shared" si="28"/>
        <v/>
      </c>
      <c r="W21" s="80" t="str">
        <f t="shared" si="28"/>
        <v/>
      </c>
      <c r="X21" s="80" t="str">
        <f t="shared" si="28"/>
        <v/>
      </c>
      <c r="Y21" s="80" t="str">
        <f t="shared" si="28"/>
        <v/>
      </c>
      <c r="Z21" s="138"/>
      <c r="AA21" t="s">
        <v>95</v>
      </c>
      <c r="AB21" s="138">
        <f t="shared" si="2"/>
        <v>-99.00000000000027</v>
      </c>
      <c r="AC21" s="138">
        <f t="shared" si="3"/>
        <v>-99.280901943606665</v>
      </c>
      <c r="AD21" s="138">
        <f t="shared" si="4"/>
        <v>-99.458099726794785</v>
      </c>
      <c r="AE21" s="138">
        <f t="shared" si="5"/>
        <v>-99.522865106266423</v>
      </c>
      <c r="AF21" s="138">
        <f t="shared" si="6"/>
        <v>-99.463624309025818</v>
      </c>
      <c r="AG21" s="138">
        <f t="shared" si="7"/>
        <v>-99.265303701017089</v>
      </c>
      <c r="AH21" s="138">
        <f t="shared" si="8"/>
        <v>-98.908349554101051</v>
      </c>
      <c r="AI21" s="138">
        <f t="shared" si="9"/>
        <v>-98.367379469359548</v>
      </c>
      <c r="AJ21" s="138">
        <f t="shared" si="10"/>
        <v>-97.609214024050289</v>
      </c>
      <c r="AK21" s="138">
        <f t="shared" si="11"/>
        <v>-96.589990028358756</v>
      </c>
      <c r="AL21" s="138">
        <f t="shared" si="12"/>
        <v>-95.250827132541005</v>
      </c>
      <c r="AM21" s="138">
        <f t="shared" si="13"/>
        <v>-93.511131015342144</v>
      </c>
      <c r="AN21" s="138">
        <f t="shared" si="14"/>
        <v>-91.257925425231278</v>
      </c>
      <c r="AO21" s="138">
        <f t="shared" si="15"/>
        <v>-88.328199966438689</v>
      </c>
      <c r="AP21" s="138">
        <f t="shared" si="16"/>
        <v>-84.47851674587784</v>
      </c>
      <c r="AQ21" s="138"/>
      <c r="AR21" s="138"/>
      <c r="AS21" s="138"/>
      <c r="AT21" s="138"/>
      <c r="AU21" s="138"/>
      <c r="AV21" s="138"/>
      <c r="AW21" s="138"/>
      <c r="AX21" s="138"/>
      <c r="AY21" s="138"/>
    </row>
    <row r="22" spans="1:51" x14ac:dyDescent="0.2">
      <c r="A22" t="str">
        <f t="shared" si="0"/>
        <v>Keynes-Marshall</v>
      </c>
      <c r="B22" s="80">
        <f t="shared" ref="B22:Y22" si="29">IF(B7&gt;0,100*B7,"")</f>
        <v>100</v>
      </c>
      <c r="C22" s="80">
        <f t="shared" si="29"/>
        <v>101.1664907786441</v>
      </c>
      <c r="D22" s="80">
        <f t="shared" si="29"/>
        <v>102.29336239405502</v>
      </c>
      <c r="E22" s="80">
        <f t="shared" si="29"/>
        <v>103.37805373824199</v>
      </c>
      <c r="F22" s="80">
        <f t="shared" si="29"/>
        <v>104.41725952070524</v>
      </c>
      <c r="G22" s="80">
        <f t="shared" si="29"/>
        <v>105.40692630642488</v>
      </c>
      <c r="H22" s="80">
        <f t="shared" si="29"/>
        <v>106.34227948076386</v>
      </c>
      <c r="I22" s="80">
        <f t="shared" si="29"/>
        <v>107.21796865772461</v>
      </c>
      <c r="J22" s="80">
        <f t="shared" si="29"/>
        <v>108.02835502926891</v>
      </c>
      <c r="K22" s="80">
        <f t="shared" si="29"/>
        <v>108.76812258962562</v>
      </c>
      <c r="L22" s="80">
        <f t="shared" si="29"/>
        <v>109.43339453160903</v>
      </c>
      <c r="M22" s="80">
        <f t="shared" si="29"/>
        <v>110.02348667412578</v>
      </c>
      <c r="N22" s="80">
        <f t="shared" si="29"/>
        <v>110.54232652472213</v>
      </c>
      <c r="O22" s="80">
        <f t="shared" si="29"/>
        <v>110.99228412238445</v>
      </c>
      <c r="P22" s="80">
        <f t="shared" si="29"/>
        <v>111.32796288556681</v>
      </c>
      <c r="Q22" s="80" t="str">
        <f t="shared" si="29"/>
        <v/>
      </c>
      <c r="R22" s="80" t="str">
        <f t="shared" si="29"/>
        <v/>
      </c>
      <c r="S22" s="80" t="str">
        <f t="shared" si="29"/>
        <v/>
      </c>
      <c r="T22" s="80" t="str">
        <f t="shared" si="29"/>
        <v/>
      </c>
      <c r="U22" s="80" t="str">
        <f t="shared" si="29"/>
        <v/>
      </c>
      <c r="V22" s="80" t="str">
        <f t="shared" si="29"/>
        <v/>
      </c>
      <c r="W22" s="80" t="str">
        <f t="shared" si="29"/>
        <v/>
      </c>
      <c r="X22" s="80" t="str">
        <f t="shared" si="29"/>
        <v/>
      </c>
      <c r="Y22" s="80" t="str">
        <f t="shared" si="29"/>
        <v/>
      </c>
      <c r="Z22" s="138"/>
      <c r="AA22" t="s">
        <v>92</v>
      </c>
      <c r="AB22" s="138">
        <f t="shared" si="2"/>
        <v>-99</v>
      </c>
      <c r="AC22" s="138">
        <f t="shared" si="3"/>
        <v>-100.1664907786441</v>
      </c>
      <c r="AD22" s="138">
        <f t="shared" si="4"/>
        <v>-101.29336239405502</v>
      </c>
      <c r="AE22" s="138">
        <f t="shared" si="5"/>
        <v>-102.37805373824199</v>
      </c>
      <c r="AF22" s="138">
        <f t="shared" si="6"/>
        <v>-103.41725952070524</v>
      </c>
      <c r="AG22" s="138">
        <f t="shared" si="7"/>
        <v>-104.40692630642488</v>
      </c>
      <c r="AH22" s="138">
        <f t="shared" si="8"/>
        <v>-105.34227948076386</v>
      </c>
      <c r="AI22" s="138">
        <f t="shared" si="9"/>
        <v>-106.21796865772461</v>
      </c>
      <c r="AJ22" s="138">
        <f t="shared" si="10"/>
        <v>-107.02835502926891</v>
      </c>
      <c r="AK22" s="138">
        <f t="shared" si="11"/>
        <v>-107.76812258962562</v>
      </c>
      <c r="AL22" s="138">
        <f t="shared" si="12"/>
        <v>-108.43339453160903</v>
      </c>
      <c r="AM22" s="138">
        <f t="shared" si="13"/>
        <v>-109.02348667412578</v>
      </c>
      <c r="AN22" s="138">
        <f t="shared" si="14"/>
        <v>-109.54232652472213</v>
      </c>
      <c r="AO22" s="138">
        <f t="shared" si="15"/>
        <v>-109.99228412238445</v>
      </c>
      <c r="AP22" s="138">
        <f t="shared" si="16"/>
        <v>-110.32796288556681</v>
      </c>
      <c r="AQ22" s="138" t="e">
        <f t="shared" si="17"/>
        <v>#VALUE!</v>
      </c>
      <c r="AR22" s="138" t="e">
        <f t="shared" si="18"/>
        <v>#VALUE!</v>
      </c>
      <c r="AS22" s="138" t="e">
        <f t="shared" si="19"/>
        <v>#VALUE!</v>
      </c>
      <c r="AT22" s="138" t="e">
        <f t="shared" si="20"/>
        <v>#VALUE!</v>
      </c>
      <c r="AU22" s="138"/>
      <c r="AV22" s="138"/>
      <c r="AW22" s="138"/>
      <c r="AX22" s="138"/>
      <c r="AY22" s="138"/>
    </row>
    <row r="23" spans="1:51" x14ac:dyDescent="0.2">
      <c r="A23" t="str">
        <f t="shared" si="0"/>
        <v>Keynesian</v>
      </c>
      <c r="B23" s="80">
        <f t="shared" ref="B23:Y23" si="30">IF(B8&gt;0,100*B8,"")</f>
        <v>100</v>
      </c>
      <c r="C23" s="80">
        <f>IF(C8&gt;0,100*C8,"")</f>
        <v>97.738974502732816</v>
      </c>
      <c r="D23" s="80">
        <f t="shared" si="30"/>
        <v>95.248623605545134</v>
      </c>
      <c r="E23" s="80">
        <f t="shared" si="30"/>
        <v>92.507226763515419</v>
      </c>
      <c r="F23" s="80">
        <f t="shared" si="30"/>
        <v>89.492553739385215</v>
      </c>
      <c r="G23" s="80">
        <f t="shared" si="30"/>
        <v>86.183086119569282</v>
      </c>
      <c r="H23" s="80">
        <f t="shared" si="30"/>
        <v>82.559591787403448</v>
      </c>
      <c r="I23" s="80">
        <f t="shared" si="30"/>
        <v>78.608000411273622</v>
      </c>
      <c r="J23" s="80">
        <f t="shared" si="30"/>
        <v>74.323849191588209</v>
      </c>
      <c r="K23" s="80">
        <f t="shared" si="30"/>
        <v>69.720442749901196</v>
      </c>
      <c r="L23" s="80">
        <f t="shared" si="30"/>
        <v>64.847162578220036</v>
      </c>
      <c r="M23" s="80">
        <f t="shared" si="30"/>
        <v>59.843304916264728</v>
      </c>
      <c r="N23" s="80" t="str">
        <f t="shared" si="30"/>
        <v/>
      </c>
      <c r="O23" s="80" t="str">
        <f t="shared" si="30"/>
        <v/>
      </c>
      <c r="P23" s="80" t="str">
        <f t="shared" si="30"/>
        <v/>
      </c>
      <c r="Q23" s="80" t="str">
        <f t="shared" si="30"/>
        <v/>
      </c>
      <c r="R23" s="80" t="str">
        <f t="shared" si="30"/>
        <v/>
      </c>
      <c r="S23" s="80" t="str">
        <f t="shared" si="30"/>
        <v/>
      </c>
      <c r="T23" s="80" t="str">
        <f t="shared" si="30"/>
        <v/>
      </c>
      <c r="U23" s="80" t="str">
        <f t="shared" si="30"/>
        <v/>
      </c>
      <c r="V23" s="80" t="str">
        <f t="shared" si="30"/>
        <v/>
      </c>
      <c r="W23" s="80" t="str">
        <f t="shared" si="30"/>
        <v/>
      </c>
      <c r="X23" s="80" t="str">
        <f t="shared" si="30"/>
        <v/>
      </c>
      <c r="Y23" s="80" t="str">
        <f t="shared" si="30"/>
        <v/>
      </c>
      <c r="Z23" s="138"/>
      <c r="AA23" t="s">
        <v>94</v>
      </c>
      <c r="AB23" s="138">
        <f t="shared" si="2"/>
        <v>-99</v>
      </c>
      <c r="AC23" s="138">
        <f t="shared" si="3"/>
        <v>-96.738974502732816</v>
      </c>
      <c r="AD23" s="138">
        <f t="shared" si="4"/>
        <v>-94.248623605545134</v>
      </c>
      <c r="AE23" s="138">
        <f t="shared" si="5"/>
        <v>-91.507226763515419</v>
      </c>
      <c r="AF23" s="138">
        <f t="shared" si="6"/>
        <v>-88.492553739385215</v>
      </c>
      <c r="AG23" s="138">
        <f t="shared" si="7"/>
        <v>-85.183086119569282</v>
      </c>
      <c r="AH23" s="138">
        <f t="shared" si="8"/>
        <v>-81.559591787403448</v>
      </c>
      <c r="AI23" s="138">
        <f t="shared" si="9"/>
        <v>-77.608000411273622</v>
      </c>
      <c r="AJ23" s="138">
        <f t="shared" si="10"/>
        <v>-73.323849191588209</v>
      </c>
      <c r="AK23" s="138">
        <f t="shared" si="11"/>
        <v>-68.720442749901196</v>
      </c>
      <c r="AL23" s="138">
        <f t="shared" si="12"/>
        <v>-63.847162578220036</v>
      </c>
      <c r="AM23" s="138">
        <f t="shared" si="13"/>
        <v>-58.843304916264728</v>
      </c>
      <c r="AN23" s="138" t="e">
        <f t="shared" si="14"/>
        <v>#VALUE!</v>
      </c>
      <c r="AO23" s="138" t="e">
        <f t="shared" si="15"/>
        <v>#VALUE!</v>
      </c>
      <c r="AP23" s="138" t="e">
        <f t="shared" si="16"/>
        <v>#VALUE!</v>
      </c>
      <c r="AQ23" s="138" t="e">
        <f t="shared" si="17"/>
        <v>#VALUE!</v>
      </c>
      <c r="AR23" s="138" t="e">
        <f t="shared" si="18"/>
        <v>#VALUE!</v>
      </c>
      <c r="AS23" s="138" t="e">
        <f t="shared" si="19"/>
        <v>#VALUE!</v>
      </c>
      <c r="AT23" s="138" t="e">
        <f t="shared" si="20"/>
        <v>#VALUE!</v>
      </c>
      <c r="AU23" s="138" t="e">
        <f t="shared" si="21"/>
        <v>#VALUE!</v>
      </c>
      <c r="AV23" s="138" t="e">
        <f t="shared" si="22"/>
        <v>#VALUE!</v>
      </c>
      <c r="AW23" s="138" t="e">
        <f t="shared" si="23"/>
        <v>#VALUE!</v>
      </c>
      <c r="AX23" s="138" t="e">
        <f t="shared" si="24"/>
        <v>#VALUE!</v>
      </c>
      <c r="AY23" s="138" t="e">
        <f t="shared" si="25"/>
        <v>#VALUE!</v>
      </c>
    </row>
    <row r="24" spans="1:51" x14ac:dyDescent="0.2">
      <c r="A24" t="str">
        <f t="shared" si="0"/>
        <v>Neo-K2</v>
      </c>
      <c r="B24" s="80">
        <f t="shared" ref="B24:Y24" si="31">IF(B9&gt;0,100*B9,"")</f>
        <v>100.00000000000027</v>
      </c>
      <c r="C24" s="80">
        <f t="shared" si="31"/>
        <v>98.399349512862884</v>
      </c>
      <c r="D24" s="80">
        <f t="shared" si="31"/>
        <v>96.630196897220245</v>
      </c>
      <c r="E24" s="80">
        <f t="shared" si="31"/>
        <v>94.665074144809807</v>
      </c>
      <c r="F24" s="80">
        <f t="shared" si="31"/>
        <v>92.471809774572307</v>
      </c>
      <c r="G24" s="80">
        <f t="shared" si="31"/>
        <v>90.013201458946</v>
      </c>
      <c r="H24" s="80">
        <f t="shared" si="31"/>
        <v>87.247435008808878</v>
      </c>
      <c r="I24" s="80">
        <f t="shared" si="31"/>
        <v>84.129553445176569</v>
      </c>
      <c r="J24" s="80">
        <f t="shared" si="31"/>
        <v>80.614916081231087</v>
      </c>
      <c r="K24" s="80">
        <f t="shared" si="31"/>
        <v>76.666010843514144</v>
      </c>
      <c r="L24" s="80">
        <f t="shared" si="31"/>
        <v>72.264362420390654</v>
      </c>
      <c r="M24" s="80">
        <f t="shared" si="31"/>
        <v>67.428867511801101</v>
      </c>
      <c r="N24" s="80">
        <f t="shared" si="31"/>
        <v>62.240240632160628</v>
      </c>
      <c r="O24" s="80">
        <f t="shared" si="31"/>
        <v>56.862085931219667</v>
      </c>
      <c r="P24" s="80">
        <f t="shared" si="31"/>
        <v>51.532446839863177</v>
      </c>
      <c r="Q24" s="80">
        <f t="shared" si="31"/>
        <v>46.492051443973438</v>
      </c>
      <c r="R24" s="80">
        <f t="shared" si="31"/>
        <v>41.861333612317715</v>
      </c>
      <c r="S24" s="80">
        <f t="shared" si="31"/>
        <v>37.525413164013926</v>
      </c>
      <c r="T24" s="80">
        <f t="shared" si="31"/>
        <v>32.912910271880861</v>
      </c>
      <c r="U24" s="80">
        <f t="shared" si="31"/>
        <v>25.813481604920298</v>
      </c>
      <c r="V24" s="80">
        <f t="shared" si="31"/>
        <v>23.578102341399376</v>
      </c>
      <c r="W24" s="80">
        <f t="shared" si="31"/>
        <v>20.816506650535395</v>
      </c>
      <c r="X24" s="80">
        <f t="shared" si="31"/>
        <v>17.233983988929914</v>
      </c>
      <c r="Y24" s="80" t="str">
        <f t="shared" si="31"/>
        <v/>
      </c>
      <c r="AA24" t="s">
        <v>102</v>
      </c>
      <c r="AB24">
        <v>0</v>
      </c>
      <c r="AC24">
        <v>1.6299677882760211E-2</v>
      </c>
      <c r="AD24">
        <v>3.7869151019755298E-2</v>
      </c>
      <c r="AE24">
        <v>6.0966084571312473E-2</v>
      </c>
      <c r="AF24">
        <v>8.499815731946625E-2</v>
      </c>
      <c r="AG24">
        <v>0.10976953759369823</v>
      </c>
      <c r="AH24">
        <v>0.13521909503535134</v>
      </c>
      <c r="AI24">
        <v>0.16135547761226787</v>
      </c>
      <c r="AJ24">
        <v>0.18823868110250042</v>
      </c>
      <c r="AK24">
        <v>0.21597965134053443</v>
      </c>
      <c r="AL24">
        <v>0.24475175720346387</v>
      </c>
      <c r="AM24">
        <v>0.27481537666990441</v>
      </c>
      <c r="AN24">
        <v>0.30656214429555484</v>
      </c>
      <c r="AO24">
        <v>0.34059249330608121</v>
      </c>
      <c r="AP24">
        <v>0.37785092506929718</v>
      </c>
      <c r="AQ24">
        <v>0.41985390206290241</v>
      </c>
      <c r="AR24">
        <v>0.46901959072982924</v>
      </c>
      <c r="AS24">
        <v>0.52893013133661948</v>
      </c>
      <c r="AT24">
        <v>0.60417530096699301</v>
      </c>
      <c r="AU24">
        <v>0.70136796375530863</v>
      </c>
      <c r="AV24">
        <v>0.72460834466770874</v>
      </c>
      <c r="AW24">
        <v>0.74962344681711368</v>
      </c>
      <c r="AX24">
        <v>0.77679170274978271</v>
      </c>
      <c r="AY24">
        <v>0.80664155575269203</v>
      </c>
    </row>
    <row r="25" spans="1:51" x14ac:dyDescent="0.2">
      <c r="A25" t="str">
        <f t="shared" si="0"/>
        <v>Neo-K1</v>
      </c>
      <c r="B25" s="80">
        <f t="shared" ref="B25:Y25" si="32">IF(B10&gt;0,100*B10,"")</f>
        <v>100.00000000000027</v>
      </c>
      <c r="C25" s="80">
        <f t="shared" si="32"/>
        <v>98.664607403531406</v>
      </c>
      <c r="D25" s="80">
        <f t="shared" si="32"/>
        <v>97.207780746084424</v>
      </c>
      <c r="E25" s="80">
        <f t="shared" si="32"/>
        <v>95.611107486808407</v>
      </c>
      <c r="F25" s="80">
        <f t="shared" si="32"/>
        <v>93.85254758807649</v>
      </c>
      <c r="G25" s="80">
        <f t="shared" si="32"/>
        <v>91.905548583719181</v>
      </c>
      <c r="H25" s="80">
        <f t="shared" si="32"/>
        <v>89.738093875136343</v>
      </c>
      <c r="I25" s="80">
        <f t="shared" si="32"/>
        <v>87.311492677207667</v>
      </c>
      <c r="J25" s="80">
        <f t="shared" si="32"/>
        <v>84.579005373328016</v>
      </c>
      <c r="K25" s="80">
        <f t="shared" si="32"/>
        <v>81.484422123238716</v>
      </c>
      <c r="L25" s="80">
        <f t="shared" si="32"/>
        <v>77.96065649191253</v>
      </c>
      <c r="M25" s="80">
        <f t="shared" si="32"/>
        <v>73.928888433010655</v>
      </c>
      <c r="N25" s="80">
        <f t="shared" si="32"/>
        <v>69.298694746051765</v>
      </c>
      <c r="O25" s="80">
        <f t="shared" si="32"/>
        <v>63.970044076868135</v>
      </c>
      <c r="P25" s="80">
        <f t="shared" si="32"/>
        <v>57.838074782905721</v>
      </c>
      <c r="Q25" s="80">
        <f t="shared" si="32"/>
        <v>50.80113246899036</v>
      </c>
      <c r="R25" s="80">
        <f t="shared" si="32"/>
        <v>42.771521327746534</v>
      </c>
      <c r="S25" s="80">
        <f t="shared" si="32"/>
        <v>33.686886995838812</v>
      </c>
      <c r="T25" s="80">
        <f t="shared" si="32"/>
        <v>23.518836519671733</v>
      </c>
      <c r="U25" s="80">
        <f t="shared" si="32"/>
        <v>12.275917191273793</v>
      </c>
      <c r="V25" s="80" t="str">
        <f t="shared" si="32"/>
        <v/>
      </c>
      <c r="W25" s="80" t="str">
        <f t="shared" si="32"/>
        <v/>
      </c>
      <c r="X25" s="80" t="str">
        <f t="shared" si="32"/>
        <v/>
      </c>
      <c r="Y25" s="80" t="str">
        <f t="shared" si="32"/>
        <v/>
      </c>
    </row>
    <row r="26" spans="1:51" x14ac:dyDescent="0.2">
      <c r="A26" t="str">
        <f t="shared" si="0"/>
        <v>Neoclassical - hetero s</v>
      </c>
      <c r="B26" s="80">
        <f t="shared" ref="B26:Y26" si="33">IF(B11&gt;0,100*B11,"")</f>
        <v>99.999999999999957</v>
      </c>
      <c r="C26" s="80">
        <f t="shared" si="33"/>
        <v>99.444591610775461</v>
      </c>
      <c r="D26" s="80">
        <f t="shared" si="33"/>
        <v>98.832398885785551</v>
      </c>
      <c r="E26" s="80">
        <f t="shared" si="33"/>
        <v>98.155485786276003</v>
      </c>
      <c r="F26" s="80">
        <f t="shared" si="33"/>
        <v>97.404297476950717</v>
      </c>
      <c r="G26" s="80">
        <f t="shared" si="33"/>
        <v>96.56720422078395</v>
      </c>
      <c r="H26" s="80">
        <f t="shared" si="33"/>
        <v>95.629799805413811</v>
      </c>
      <c r="I26" s="80">
        <f t="shared" si="33"/>
        <v>94.573972610617076</v>
      </c>
      <c r="J26" s="80">
        <f t="shared" si="33"/>
        <v>93.376390646056393</v>
      </c>
      <c r="K26" s="80">
        <f t="shared" si="33"/>
        <v>92.006316660733319</v>
      </c>
      <c r="L26" s="80">
        <f t="shared" si="33"/>
        <v>90.421972939464908</v>
      </c>
      <c r="M26" s="80">
        <f t="shared" si="33"/>
        <v>88.564636602078423</v>
      </c>
      <c r="N26" s="80">
        <f t="shared" si="33"/>
        <v>86.348466526882433</v>
      </c>
      <c r="O26" s="80">
        <f t="shared" si="33"/>
        <v>83.64251910760342</v>
      </c>
      <c r="P26" s="80">
        <f t="shared" si="33"/>
        <v>80.238481689363084</v>
      </c>
      <c r="Q26" s="80">
        <f t="shared" si="33"/>
        <v>75.794214216834831</v>
      </c>
      <c r="R26" s="80">
        <f t="shared" si="33"/>
        <v>69.744648234885304</v>
      </c>
      <c r="S26" s="80">
        <f t="shared" si="33"/>
        <v>61.173763947405334</v>
      </c>
      <c r="T26" s="80">
        <f t="shared" si="33"/>
        <v>48.516789846608084</v>
      </c>
      <c r="U26" s="80">
        <f t="shared" si="33"/>
        <v>28.500358745058367</v>
      </c>
      <c r="V26" s="80">
        <f t="shared" si="33"/>
        <v>23.086212220297583</v>
      </c>
      <c r="W26" s="80">
        <f t="shared" si="33"/>
        <v>17.080624919208308</v>
      </c>
      <c r="X26" s="80">
        <f t="shared" si="33"/>
        <v>10.553097572575746</v>
      </c>
      <c r="Y26" s="80">
        <f t="shared" si="33"/>
        <v>4.0042490619631232</v>
      </c>
      <c r="AA26" t="s">
        <v>105</v>
      </c>
      <c r="AB26">
        <v>0</v>
      </c>
      <c r="AC26">
        <v>2.4455413117095204E-2</v>
      </c>
      <c r="AD26">
        <v>4.9582452063072879E-2</v>
      </c>
      <c r="AE26">
        <v>7.5422482830450832E-2</v>
      </c>
      <c r="AF26">
        <v>0.10203604829027713</v>
      </c>
      <c r="AG26">
        <v>0.12950646138692268</v>
      </c>
      <c r="AH26">
        <v>0.15794577642046292</v>
      </c>
      <c r="AI26">
        <v>0.18750396612833087</v>
      </c>
      <c r="AJ26">
        <v>0.2183827517703063</v>
      </c>
      <c r="AK26">
        <v>0.25085644053670408</v>
      </c>
      <c r="AL26">
        <v>0.28530344275689024</v>
      </c>
      <c r="AM26">
        <v>0.32225376978528442</v>
      </c>
      <c r="AN26">
        <v>0.36245851783105143</v>
      </c>
      <c r="AO26">
        <v>0.4069814404263582</v>
      </c>
      <c r="AP26">
        <v>0.45728031153994497</v>
      </c>
      <c r="AQ26">
        <v>0.51513886122861874</v>
      </c>
      <c r="AR26">
        <v>0.58212085367954358</v>
      </c>
      <c r="AS26">
        <v>0.65839323187120646</v>
      </c>
      <c r="AT26">
        <v>0.74204710643489147</v>
      </c>
      <c r="AU26">
        <v>0.83020084307854525</v>
      </c>
      <c r="AV26">
        <v>0.84813253492592611</v>
      </c>
      <c r="AW26">
        <v>0.86611673995979377</v>
      </c>
      <c r="AX26">
        <v>0.88413247851147436</v>
      </c>
      <c r="AY26">
        <v>0.90215898234149516</v>
      </c>
    </row>
    <row r="27" spans="1:51" x14ac:dyDescent="0.2">
      <c r="AA27" t="s">
        <v>103</v>
      </c>
      <c r="AB27">
        <v>0</v>
      </c>
      <c r="AC27">
        <v>2.284641025922507E-2</v>
      </c>
      <c r="AD27">
        <v>4.6096151342895464E-2</v>
      </c>
      <c r="AE27">
        <v>6.9797580187829333E-2</v>
      </c>
      <c r="AF27">
        <v>9.4009847511114075E-2</v>
      </c>
      <c r="AG27">
        <v>0.1188063140133786</v>
      </c>
      <c r="AH27">
        <v>0.14427936201795311</v>
      </c>
      <c r="AI27">
        <v>0.17054730446263533</v>
      </c>
      <c r="AJ27">
        <v>0.19776451064706457</v>
      </c>
      <c r="AK27">
        <v>0.22613656357673728</v>
      </c>
      <c r="AL27">
        <v>0.25594342100818523</v>
      </c>
      <c r="AM27">
        <v>0.28757542168400196</v>
      </c>
      <c r="AN27">
        <v>0.3215896859431584</v>
      </c>
      <c r="AO27">
        <v>0.35879694978192112</v>
      </c>
      <c r="AP27">
        <v>0.40038451916212203</v>
      </c>
      <c r="AQ27">
        <v>0.44804396125478219</v>
      </c>
      <c r="AR27">
        <v>0.50394208723291989</v>
      </c>
      <c r="AS27">
        <v>0.57019341710137716</v>
      </c>
      <c r="AT27">
        <v>0.64791310762469279</v>
      </c>
      <c r="AU27">
        <v>0.73607758799831213</v>
      </c>
      <c r="AV27">
        <v>0.75329954326250947</v>
      </c>
    </row>
    <row r="28" spans="1:51" x14ac:dyDescent="0.2">
      <c r="AA28" t="s">
        <v>104</v>
      </c>
      <c r="AB28">
        <v>0</v>
      </c>
      <c r="AC28">
        <v>2.4152364158611328E-2</v>
      </c>
      <c r="AD28">
        <v>4.85126474241655E-2</v>
      </c>
      <c r="AE28">
        <v>7.3209407628021639E-2</v>
      </c>
      <c r="AF28">
        <v>9.8337130088727132E-2</v>
      </c>
      <c r="AG28">
        <v>0.12398941248779904</v>
      </c>
      <c r="AH28">
        <v>0.15027240513403839</v>
      </c>
      <c r="AI28">
        <v>0.17731516126235403</v>
      </c>
      <c r="AJ28">
        <v>0.20528143081161898</v>
      </c>
      <c r="AK28">
        <v>0.23438569374526197</v>
      </c>
      <c r="AL28">
        <v>0.26491661965899282</v>
      </c>
      <c r="AM28">
        <v>0.29727248068229861</v>
      </c>
      <c r="AN28">
        <v>0.33201482393820869</v>
      </c>
      <c r="AO28">
        <v>0.36994686756145156</v>
      </c>
      <c r="AP28">
        <v>0.41221276760680436</v>
      </c>
      <c r="AQ28">
        <v>0.46036414188478314</v>
      </c>
      <c r="AR28">
        <v>0.51619778637445179</v>
      </c>
      <c r="AS28">
        <v>0.58100448767305801</v>
      </c>
      <c r="AT28">
        <v>0.65382205431764795</v>
      </c>
    </row>
    <row r="32" spans="1:51" x14ac:dyDescent="0.2">
      <c r="A32" t="s">
        <v>99</v>
      </c>
    </row>
    <row r="33" spans="1:26" x14ac:dyDescent="0.2">
      <c r="A33" t="s">
        <v>147</v>
      </c>
      <c r="B33" s="94">
        <v>0</v>
      </c>
      <c r="C33" s="94">
        <v>0.05</v>
      </c>
      <c r="D33" s="94">
        <v>0.1</v>
      </c>
      <c r="E33" s="94">
        <v>0.15000000000000002</v>
      </c>
      <c r="F33" s="94">
        <v>0.2</v>
      </c>
      <c r="G33" s="94">
        <v>0.25</v>
      </c>
      <c r="H33" s="94">
        <v>0.3</v>
      </c>
      <c r="I33" s="94">
        <v>0.35</v>
      </c>
      <c r="J33" s="94">
        <v>0.39999999999999997</v>
      </c>
      <c r="K33" s="94">
        <v>0.44999999999999996</v>
      </c>
      <c r="L33" s="94">
        <v>0.49999999999999994</v>
      </c>
      <c r="M33" s="94">
        <v>0.54999999999999993</v>
      </c>
      <c r="N33" s="94">
        <v>0.6</v>
      </c>
      <c r="O33" s="94">
        <v>0.65</v>
      </c>
      <c r="P33" s="94">
        <v>0.70000000000000007</v>
      </c>
      <c r="Q33" s="94">
        <v>0.75000000000000011</v>
      </c>
      <c r="R33" s="94">
        <v>0.80000000000000016</v>
      </c>
      <c r="S33" s="94">
        <v>0.8500000000000002</v>
      </c>
      <c r="T33" s="94">
        <v>0.90000000000000024</v>
      </c>
      <c r="U33" s="94">
        <v>0.95000000000000029</v>
      </c>
      <c r="V33" s="94">
        <v>0.9600000000000003</v>
      </c>
      <c r="W33" s="94">
        <v>0.97000000000000031</v>
      </c>
      <c r="X33" s="94">
        <v>0.98000000000000032</v>
      </c>
      <c r="Y33" s="94">
        <v>0.99000000000000032</v>
      </c>
      <c r="Z33" s="139"/>
    </row>
    <row r="34" spans="1:26" x14ac:dyDescent="0.2">
      <c r="A34" t="str">
        <f>A3</f>
        <v>Neoclassical</v>
      </c>
      <c r="B34" s="80">
        <f>NeoClassical!B2</f>
        <v>5.7716594496607888E-3</v>
      </c>
      <c r="C34" s="80">
        <f>NeoClassical!D2</f>
        <v>5.6340422416369225E-2</v>
      </c>
      <c r="D34" s="80">
        <f>NeoClassical!F2</f>
        <v>0.11199051711865128</v>
      </c>
      <c r="E34" s="80">
        <f>NeoClassical!H2</f>
        <v>0.17351496300092922</v>
      </c>
      <c r="F34" s="80">
        <f>NeoClassical!J2</f>
        <v>0.24188314940057037</v>
      </c>
      <c r="G34" s="80">
        <f>NeoClassical!L2</f>
        <v>0.31828616911698265</v>
      </c>
      <c r="H34" s="80">
        <f>NeoClassical!N2</f>
        <v>0.40422062067046199</v>
      </c>
      <c r="I34" s="80">
        <f>NeoClassical!P2</f>
        <v>0.50158354013640671</v>
      </c>
      <c r="J34" s="80">
        <f>NeoClassical!R2</f>
        <v>0.61283174115509786</v>
      </c>
      <c r="K34" s="80">
        <f>NeoClassical!T2</f>
        <v>0.74121688597090274</v>
      </c>
      <c r="L34" s="80">
        <f>NeoClassical!V2</f>
        <v>0.89116175797922303</v>
      </c>
      <c r="M34" s="80">
        <f>NeoClassical!X2</f>
        <v>1.0688865178865512</v>
      </c>
      <c r="N34" s="80">
        <f>NeoClassical!Z2</f>
        <v>1.2835127321432536</v>
      </c>
      <c r="O34" s="80">
        <f>NeoClassical!AB2</f>
        <v>1.5491470656679502</v>
      </c>
      <c r="P34" s="80">
        <f>NeoClassical!AD2</f>
        <v>1.889145814030561</v>
      </c>
      <c r="Q34" s="80">
        <f>NeoClassical!AF2</f>
        <v>2.3458055244977483</v>
      </c>
      <c r="R34" s="80">
        <f>NeoClassical!AH2</f>
        <v>3.0055989615021641</v>
      </c>
      <c r="S34" s="80">
        <f>NeoClassical!AJ2</f>
        <v>4.0785809158236894</v>
      </c>
      <c r="T34" s="80">
        <f>NeoClassical!AL2</f>
        <v>6.2309459641018297</v>
      </c>
      <c r="U34" s="80">
        <f>NeoClassical!AN2</f>
        <v>12.89719099728678</v>
      </c>
      <c r="V34" s="80">
        <f>NeoClassical!AP2</f>
        <v>16.199355745583667</v>
      </c>
      <c r="W34" s="80">
        <f>NeoClassical!AR2</f>
        <v>21.459134273586727</v>
      </c>
      <c r="X34" s="80">
        <f>NeoClassical!AT2</f>
        <v>30.794858605942064</v>
      </c>
      <c r="Y34" s="80">
        <f>NeoClassical!AV2</f>
        <v>50.562785413270085</v>
      </c>
      <c r="Z34" s="138"/>
    </row>
    <row r="35" spans="1:26" x14ac:dyDescent="0.2">
      <c r="A35" t="str">
        <f t="shared" ref="A35:A42" si="34">A4</f>
        <v>Kaldorian</v>
      </c>
      <c r="B35" s="80">
        <f>Kaldorian!B2</f>
        <v>5.7716594496607888E-3</v>
      </c>
      <c r="C35" s="80">
        <f>Kaldorian!D2</f>
        <v>6.0018488152132461E-2</v>
      </c>
      <c r="D35" s="80">
        <f>Kaldorian!F2</f>
        <v>0.11972984499864861</v>
      </c>
      <c r="E35" s="80">
        <f>Kaldorian!H2</f>
        <v>0.18575908956269541</v>
      </c>
      <c r="F35" s="80">
        <f>Kaldorian!J2</f>
        <v>0.25914665123407377</v>
      </c>
      <c r="G35" s="80">
        <f>Kaldorian!L2</f>
        <v>0.34117474319920715</v>
      </c>
      <c r="H35" s="80">
        <f>Kaldorian!N2</f>
        <v>0.43345021558048719</v>
      </c>
      <c r="I35" s="80">
        <f>Kaldorian!P2</f>
        <v>0.53801042651541475</v>
      </c>
      <c r="J35" s="80">
        <f>Kaldorian!R2</f>
        <v>0.65749324736465065</v>
      </c>
      <c r="K35" s="80">
        <f>Kaldorian!T2</f>
        <v>0.79539073393702897</v>
      </c>
      <c r="L35" s="80">
        <f>Kaldorian!V2</f>
        <v>0.95645586592315968</v>
      </c>
      <c r="M35" s="80">
        <f>Kaldorian!X2</f>
        <v>1.1473856787091934</v>
      </c>
      <c r="N35" s="80">
        <f>Kaldorian!Z2</f>
        <v>1.3780263476400334</v>
      </c>
      <c r="O35" s="80">
        <f>Kaldorian!AB2</f>
        <v>1.6636869623043427</v>
      </c>
      <c r="P35" s="80">
        <f>Kaldorian!AD2</f>
        <v>2.0298895560149699</v>
      </c>
      <c r="Q35" s="80">
        <f>Kaldorian!AF2</f>
        <v>2.5233074041457773</v>
      </c>
      <c r="R35" s="80">
        <f>Kaldorian!AH2</f>
        <v>3.2405768109372075</v>
      </c>
      <c r="S35" s="80">
        <f>Kaldorian!AJ2</f>
        <v>4.4200842657884856</v>
      </c>
      <c r="T35" s="80">
        <f>Kaldorian!AL2</f>
        <v>6.8307369250526948</v>
      </c>
      <c r="U35" s="80">
        <f>Kaldorian!AN2</f>
        <v>0</v>
      </c>
      <c r="V35" s="80">
        <f>Kaldorian!AP2</f>
        <v>0</v>
      </c>
      <c r="W35" s="80">
        <f>Kaldorian!AR2</f>
        <v>0</v>
      </c>
      <c r="X35" s="80">
        <f>Kaldorian!AT2</f>
        <v>0</v>
      </c>
      <c r="Y35" s="80">
        <f>Kaldorian!AV2</f>
        <v>0</v>
      </c>
      <c r="Z35" s="138"/>
    </row>
    <row r="36" spans="1:26" x14ac:dyDescent="0.2">
      <c r="A36" t="str">
        <f t="shared" si="34"/>
        <v>Johansen</v>
      </c>
      <c r="B36" s="80">
        <f>Johansen!B2</f>
        <v>5.7716594496607888E-3</v>
      </c>
      <c r="C36" s="80">
        <f>Johansen!D2</f>
        <v>5.8412025453687441E-2</v>
      </c>
      <c r="D36" s="80">
        <f>Johansen!F2</f>
        <v>0.11637870080457262</v>
      </c>
      <c r="E36" s="80">
        <f>Johansen!H2</f>
        <v>0.18050787855361791</v>
      </c>
      <c r="F36" s="80">
        <f>Johansen!J2</f>
        <v>0.25181953585328715</v>
      </c>
      <c r="G36" s="80">
        <f>Johansen!L2</f>
        <v>0.33157043427921851</v>
      </c>
      <c r="H36" s="80">
        <f>Johansen!N2</f>
        <v>0.42133984630661542</v>
      </c>
      <c r="I36" s="80">
        <f>Johansen!P2</f>
        <v>0.52313301293239589</v>
      </c>
      <c r="J36" s="80">
        <f>Johansen!R2</f>
        <v>0.63955138167549797</v>
      </c>
      <c r="K36" s="80">
        <f>Johansen!T2</f>
        <v>0.77404644731365402</v>
      </c>
      <c r="L36" s="80">
        <f>Johansen!V2</f>
        <v>0.93132800298127927</v>
      </c>
      <c r="M36" s="80">
        <f>Johansen!X2</f>
        <v>1.1180484679368559</v>
      </c>
      <c r="N36" s="80">
        <f>Johansen!Z2</f>
        <v>1.3440191582309693</v>
      </c>
      <c r="O36" s="80">
        <f>Johansen!AB2</f>
        <v>1.6245231589209606</v>
      </c>
      <c r="P36" s="80">
        <f>Johansen!AD2</f>
        <v>1.9850972803820952</v>
      </c>
      <c r="Q36" s="80">
        <f>Johansen!AF2</f>
        <v>2.4725055493984049</v>
      </c>
      <c r="R36" s="80">
        <f>Johansen!AH2</f>
        <v>3.1836406307482599</v>
      </c>
      <c r="S36" s="80">
        <f>Johansen!AJ2</f>
        <v>4.357552957467651</v>
      </c>
      <c r="T36" s="80">
        <f>Johansen!AL2</f>
        <v>6.7649474448554772</v>
      </c>
      <c r="U36" s="80">
        <f>Johansen!AN2</f>
        <v>14.403363316437671</v>
      </c>
      <c r="V36" s="80">
        <f>Johansen!AP2</f>
        <v>18.192260809379686</v>
      </c>
      <c r="W36" s="80">
        <f>Johansen!AR2</f>
        <v>24.166557549921777</v>
      </c>
      <c r="X36" s="80">
        <f>Johansen!AT2</f>
        <v>34.505812749837283</v>
      </c>
      <c r="Y36" s="80">
        <f>Johansen!AV2</f>
        <v>55.103806057564896</v>
      </c>
      <c r="Z36" s="138"/>
    </row>
    <row r="37" spans="1:26" x14ac:dyDescent="0.2">
      <c r="A37" t="str">
        <f t="shared" si="34"/>
        <v>Keynes-Kaldor</v>
      </c>
      <c r="B37" s="80">
        <f>'Keynes-K'!B2</f>
        <v>5.7716594496607888E-3</v>
      </c>
      <c r="C37" s="80">
        <f>'Keynes-K'!D2</f>
        <v>6.4985953093049581E-2</v>
      </c>
      <c r="D37" s="80">
        <f>'Keynes-K'!F2</f>
        <v>0.12969371766314849</v>
      </c>
      <c r="E37" s="80">
        <f>'Keynes-K'!H2</f>
        <v>0.20071403028392631</v>
      </c>
      <c r="F37" s="80">
        <f>'Keynes-K'!J2</f>
        <v>0.27902583167200923</v>
      </c>
      <c r="G37" s="80">
        <f>'Keynes-K'!L2</f>
        <v>0.36581542347599516</v>
      </c>
      <c r="H37" s="80">
        <f>'Keynes-K'!N2</f>
        <v>0.46253073257453503</v>
      </c>
      <c r="I37" s="80">
        <f>'Keynes-K'!P2</f>
        <v>0.57096616360979158</v>
      </c>
      <c r="J37" s="80">
        <f>'Keynes-K'!R2</f>
        <v>0.69337830677308021</v>
      </c>
      <c r="K37" s="80">
        <f>'Keynes-K'!T2</f>
        <v>0.83265467356713141</v>
      </c>
      <c r="L37" s="80">
        <f>'Keynes-K'!V2</f>
        <v>0.99256655100833457</v>
      </c>
      <c r="M37" s="80">
        <f>'Keynes-K'!X2</f>
        <v>1.1781574285789937</v>
      </c>
      <c r="N37" s="80">
        <f>'Keynes-K'!Z2</f>
        <v>1.3963608508933858</v>
      </c>
      <c r="O37" s="80">
        <f>'Keynes-K'!AB2</f>
        <v>1.6570044834799456</v>
      </c>
      <c r="P37" s="80">
        <f>'Keynes-K'!AD2</f>
        <v>1.9744706074160967</v>
      </c>
      <c r="Q37" s="80">
        <f>'Keynes-K'!AF2</f>
        <v>2.3703517016036724</v>
      </c>
      <c r="R37" s="80">
        <f>'Keynes-K'!AH2</f>
        <v>2.8770151166975677</v>
      </c>
      <c r="S37" s="80">
        <f>'Keynes-K'!AJ2</f>
        <v>3.5377911409322786</v>
      </c>
      <c r="T37" s="80">
        <f>'Keynes-K'!AL2</f>
        <v>4.3743779865493186</v>
      </c>
      <c r="U37" s="80">
        <f>'Keynes-K'!AN2</f>
        <v>0</v>
      </c>
      <c r="V37" s="80">
        <f>'Keynes-K'!AP2</f>
        <v>0</v>
      </c>
      <c r="W37" s="80">
        <f>'Keynes-K'!AR2</f>
        <v>0</v>
      </c>
      <c r="X37" s="80">
        <f>'Keynes-K'!AT2</f>
        <v>0</v>
      </c>
      <c r="Y37" s="80">
        <f>'Keynes-K'!AV2</f>
        <v>0</v>
      </c>
      <c r="Z37" s="138"/>
    </row>
    <row r="38" spans="1:26" x14ac:dyDescent="0.2">
      <c r="A38" t="str">
        <f t="shared" si="34"/>
        <v>Keynes-Marshall</v>
      </c>
      <c r="B38" s="80">
        <f>'Keynes-M'!B2</f>
        <v>5.7716594496607888E-3</v>
      </c>
      <c r="C38" s="80">
        <f>'Keynes-M'!D2</f>
        <v>6.1523794427630472E-2</v>
      </c>
      <c r="D38" s="80">
        <f>'Keynes-M'!F2</f>
        <v>0.12286646391601222</v>
      </c>
      <c r="E38" s="80">
        <f>'Keynes-M'!H2</f>
        <v>0.19082706635634183</v>
      </c>
      <c r="F38" s="80">
        <f>'Keynes-M'!J2</f>
        <v>0.26674945685701446</v>
      </c>
      <c r="G38" s="80">
        <f>'Keynes-M'!L2</f>
        <v>0.35243922216532536</v>
      </c>
      <c r="H38" s="80">
        <f>'Keynes-M'!N2</f>
        <v>0.45039681041417007</v>
      </c>
      <c r="I38" s="80">
        <f>'Keynes-M'!P2</f>
        <v>0.56420433350983312</v>
      </c>
      <c r="J38" s="80">
        <f>'Keynes-M'!R2</f>
        <v>0.69919712522062705</v>
      </c>
      <c r="K38" s="80">
        <f>'Keynes-M'!T2</f>
        <v>0.86368887874841127</v>
      </c>
      <c r="L38" s="80">
        <f>'Keynes-M'!V2</f>
        <v>1.0713410800859129</v>
      </c>
      <c r="M38" s="80">
        <f>'Keynes-M'!X2</f>
        <v>1.346051370381814</v>
      </c>
      <c r="N38" s="80">
        <f>'Keynes-M'!Z2</f>
        <v>1.7327289508778689</v>
      </c>
      <c r="O38" s="80">
        <f>'Keynes-M'!AB2</f>
        <v>2.3223251545078041</v>
      </c>
      <c r="P38" s="80">
        <f>'Keynes-M'!AD2</f>
        <v>3.3103559860164053</v>
      </c>
      <c r="Q38" s="80">
        <f>'Keynes-M'!AF2</f>
        <v>0</v>
      </c>
      <c r="R38" s="80">
        <f>'Keynes-M'!AH2</f>
        <v>0</v>
      </c>
      <c r="S38" s="80">
        <f>'Keynes-M'!AJ2</f>
        <v>0</v>
      </c>
      <c r="T38" s="80">
        <f>'Keynes-M'!AL2</f>
        <v>0</v>
      </c>
      <c r="U38" s="80">
        <f>'Keynes-M'!AN2</f>
        <v>0</v>
      </c>
      <c r="V38" s="80">
        <f>'Keynes-M'!AP2</f>
        <v>0</v>
      </c>
      <c r="W38" s="80">
        <f>'Keynes-M'!AR2</f>
        <v>0</v>
      </c>
      <c r="X38" s="80">
        <f>'Keynes-M'!AT2</f>
        <v>0</v>
      </c>
      <c r="Y38" s="80">
        <f>'Keynes-M'!AV2</f>
        <v>0</v>
      </c>
      <c r="Z38" s="138"/>
    </row>
    <row r="39" spans="1:26" x14ac:dyDescent="0.2">
      <c r="A39" t="str">
        <f t="shared" si="34"/>
        <v>Keynesian</v>
      </c>
      <c r="B39" s="80">
        <f>Keynesian!B2</f>
        <v>5.7716594496607888E-3</v>
      </c>
      <c r="C39" s="80">
        <f>Keynesian!D2</f>
        <v>3.4887949747467187E-2</v>
      </c>
      <c r="D39" s="80">
        <f>Keynesian!F2</f>
        <v>6.4974668220133536E-2</v>
      </c>
      <c r="E39" s="80">
        <f>Keynesian!H2</f>
        <v>9.5933182871647954E-2</v>
      </c>
      <c r="F39" s="80">
        <f>Keynesian!J2</f>
        <v>0.12761657711332441</v>
      </c>
      <c r="G39" s="80">
        <f>Keynesian!L2</f>
        <v>0.15981900263662782</v>
      </c>
      <c r="H39" s="80">
        <f>Keynesian!N2</f>
        <v>0.19226147219898668</v>
      </c>
      <c r="I39" s="80">
        <f>Keynesian!P2</f>
        <v>0.22457749022887025</v>
      </c>
      <c r="J39" s="80">
        <f>Keynesian!R2</f>
        <v>0.25629108360389857</v>
      </c>
      <c r="K39" s="80">
        <f>Keynesian!T2</f>
        <v>0.28677539912445354</v>
      </c>
      <c r="L39" s="80">
        <f>Keynesian!V2</f>
        <v>0.31514583404300911</v>
      </c>
      <c r="M39" s="80">
        <f>Keynesian!X2</f>
        <v>0.33987571968301161</v>
      </c>
      <c r="N39" s="80">
        <f>Keynesian!Z2</f>
        <v>0</v>
      </c>
      <c r="O39" s="80">
        <f>Keynesian!AB2</f>
        <v>0</v>
      </c>
      <c r="P39" s="80">
        <f>Keynesian!AD2</f>
        <v>0</v>
      </c>
      <c r="Q39" s="80">
        <f>Keynesian!AF2</f>
        <v>0</v>
      </c>
      <c r="R39" s="80">
        <f>Keynesian!AH2</f>
        <v>0</v>
      </c>
      <c r="S39" s="80">
        <f>Keynesian!AJ2</f>
        <v>0</v>
      </c>
      <c r="T39" s="80">
        <f>Keynesian!AL2</f>
        <v>0</v>
      </c>
      <c r="U39" s="80">
        <f>Keynesian!AN2</f>
        <v>0</v>
      </c>
      <c r="V39" s="80">
        <f>Keynesian!AP2</f>
        <v>0</v>
      </c>
      <c r="W39" s="80">
        <f>Keynesian!AR2</f>
        <v>0</v>
      </c>
      <c r="X39" s="80">
        <f>Keynesian!AT2</f>
        <v>0</v>
      </c>
      <c r="Y39" s="80">
        <f>Keynesian!AV4</f>
        <v>0</v>
      </c>
      <c r="Z39" s="138"/>
    </row>
    <row r="40" spans="1:26" x14ac:dyDescent="0.2">
      <c r="A40" t="str">
        <f t="shared" si="34"/>
        <v>Neo-K2</v>
      </c>
      <c r="B40" s="80">
        <f>'Neo-K2'!B2</f>
        <v>5.7716594496607888E-3</v>
      </c>
      <c r="C40" s="80">
        <f>'Neo-K2'!D2</f>
        <v>4.4917778515141095E-2</v>
      </c>
      <c r="D40" s="80">
        <f>'Neo-K2'!F2</f>
        <v>8.6456810523513644E-2</v>
      </c>
      <c r="E40" s="80">
        <f>'Neo-K2'!H2</f>
        <v>0.13047240150606187</v>
      </c>
      <c r="F40" s="80">
        <f>'Neo-K2'!J2</f>
        <v>0.17700900885183657</v>
      </c>
      <c r="G40" s="80">
        <f>'Neo-K2'!L2</f>
        <v>0.22605436012204813</v>
      </c>
      <c r="H40" s="80">
        <f>'Neo-K2'!N2</f>
        <v>0.27752894528211203</v>
      </c>
      <c r="I40" s="80">
        <f>'Neo-K2'!P2</f>
        <v>0.33128812712730132</v>
      </c>
      <c r="J40" s="80">
        <f>'Neo-K2'!R2</f>
        <v>0.38716317636260794</v>
      </c>
      <c r="K40" s="80">
        <f>'Neo-K2'!T2</f>
        <v>0.445093752293997</v>
      </c>
      <c r="L40" s="80">
        <f>'Neo-K2'!V2</f>
        <v>0.50546584782775483</v>
      </c>
      <c r="M40" s="80">
        <f>'Neo-K2'!X2</f>
        <v>0.56986257292733</v>
      </c>
      <c r="N40" s="80">
        <f>'Neo-K2'!Z2</f>
        <v>0.64263511160749276</v>
      </c>
      <c r="O40" s="80">
        <f>'Neo-K2'!AB2</f>
        <v>0.73395424706754175</v>
      </c>
      <c r="P40" s="80">
        <f>'Neo-K2'!AD2</f>
        <v>0.86544420080066353</v>
      </c>
      <c r="Q40" s="80">
        <f>'Neo-K2'!AF2</f>
        <v>1.0816195676059328</v>
      </c>
      <c r="R40" s="80">
        <f>'Neo-K2'!AH2</f>
        <v>1.4836118232853472</v>
      </c>
      <c r="S40" s="80">
        <f>'Neo-K2'!AJ2</f>
        <v>2.3830829977608716</v>
      </c>
      <c r="T40" s="80">
        <f>'Neo-K2'!AL2</f>
        <v>5.5115504436322844</v>
      </c>
      <c r="U40" s="80">
        <f>'Neo-K2'!AN2</f>
        <v>47.591296141090531</v>
      </c>
      <c r="V40" s="80">
        <f>'Neo-K2'!AP2</f>
        <v>113.99512572696543</v>
      </c>
      <c r="W40" s="80">
        <f>'Neo-K2'!AR2</f>
        <v>387.08883929515122</v>
      </c>
      <c r="X40" s="80">
        <f>'Neo-K2'!AT2</f>
        <v>2549.6778712153791</v>
      </c>
      <c r="Y40" s="80">
        <f>'Neo-K2'!AV2</f>
        <v>0</v>
      </c>
    </row>
    <row r="41" spans="1:26" x14ac:dyDescent="0.2">
      <c r="A41" t="str">
        <f t="shared" si="34"/>
        <v>Neo-K1</v>
      </c>
      <c r="B41" s="80">
        <f>'Neo-K1'!B2</f>
        <v>5.7716594496607888E-3</v>
      </c>
      <c r="C41" s="80">
        <f>'Neo-K1'!D2</f>
        <v>4.8787297405602455E-2</v>
      </c>
      <c r="D41" s="80">
        <f>'Neo-K1'!F2</f>
        <v>9.5245209501616149E-2</v>
      </c>
      <c r="E41" s="80">
        <f>'Neo-K1'!H2</f>
        <v>0.14551007031592669</v>
      </c>
      <c r="F41" s="80">
        <f>'Neo-K1'!J2</f>
        <v>0.19998472232389986</v>
      </c>
      <c r="G41" s="80">
        <f>'Neo-K1'!L2</f>
        <v>0.25910912309913853</v>
      </c>
      <c r="H41" s="80">
        <f>'Neo-K1'!N2</f>
        <v>0.32335781402291713</v>
      </c>
      <c r="I41" s="80">
        <f>'Neo-K1'!P2</f>
        <v>0.39323148481192965</v>
      </c>
      <c r="J41" s="80">
        <f>'Neo-K1'!R2</f>
        <v>0.46924077064053921</v>
      </c>
      <c r="K41" s="80">
        <f>'Neo-K1'!T2</f>
        <v>0.55188034872198821</v>
      </c>
      <c r="L41" s="80">
        <f>'Neo-K1'!V2</f>
        <v>0.64158509512096895</v>
      </c>
      <c r="M41" s="80">
        <f>'Neo-K1'!X2</f>
        <v>0.73867089880451509</v>
      </c>
      <c r="N41" s="80">
        <f>'Neo-K1'!Z2</f>
        <v>0.8432518764428748</v>
      </c>
      <c r="O41" s="80">
        <f>'Neo-K1'!AB2</f>
        <v>0.95514500589012563</v>
      </c>
      <c r="P41" s="80">
        <f>'Neo-K1'!AD2</f>
        <v>1.0737741281532478</v>
      </c>
      <c r="Q41" s="80">
        <f>'Neo-K1'!AF2</f>
        <v>1.1981055897344635</v>
      </c>
      <c r="R41" s="80">
        <f>'Neo-K1'!AH2</f>
        <v>1.3266528881520494</v>
      </c>
      <c r="S41" s="80">
        <f>'Neo-K1'!AJ2</f>
        <v>1.4575764802207258</v>
      </c>
      <c r="T41" s="80">
        <f>'Neo-K1'!AL2</f>
        <v>1.5888766537279151</v>
      </c>
      <c r="U41" s="80">
        <f>'Neo-K1'!AN2</f>
        <v>1.7186267101355763</v>
      </c>
      <c r="V41" s="80">
        <f>'Neo-K1'!AP2</f>
        <v>0</v>
      </c>
      <c r="W41" s="80">
        <f>'Neo-K1'!AR2</f>
        <v>0</v>
      </c>
      <c r="X41" s="80">
        <f>'Neo-K1'!AT2</f>
        <v>0</v>
      </c>
      <c r="Y41" s="80">
        <f>'Neo-K1'!AV2</f>
        <v>0</v>
      </c>
    </row>
    <row r="42" spans="1:26" x14ac:dyDescent="0.2">
      <c r="A42" t="str">
        <f t="shared" si="34"/>
        <v>Neoclassical - hetero s</v>
      </c>
      <c r="B42">
        <v>27.702416010262777</v>
      </c>
      <c r="C42">
        <v>32.683073767281385</v>
      </c>
      <c r="D42">
        <v>38.310312609544411</v>
      </c>
      <c r="E42">
        <v>44.713858097512428</v>
      </c>
      <c r="F42">
        <v>52.060410365041776</v>
      </c>
      <c r="G42">
        <v>60.567731132444884</v>
      </c>
      <c r="H42">
        <v>70.525629000283416</v>
      </c>
      <c r="I42">
        <v>82.328070807418868</v>
      </c>
      <c r="J42">
        <v>96.523827304044104</v>
      </c>
      <c r="K42">
        <v>113.89913279126471</v>
      </c>
      <c r="L42">
        <v>135.61792846865748</v>
      </c>
      <c r="M42">
        <v>163.47045175737836</v>
      </c>
      <c r="N42">
        <v>200.33596050889889</v>
      </c>
      <c r="O42">
        <v>251.09118623971659</v>
      </c>
      <c r="P42">
        <v>324.49498534982405</v>
      </c>
      <c r="Q42">
        <v>437.30868279107045</v>
      </c>
      <c r="R42">
        <v>623.7671397943293</v>
      </c>
      <c r="S42">
        <v>959.33069506561208</v>
      </c>
      <c r="T42">
        <v>1635.7620878260498</v>
      </c>
      <c r="U42">
        <v>3308.1850367670995</v>
      </c>
      <c r="V42">
        <v>3928.3470991663007</v>
      </c>
    </row>
    <row r="47" spans="1:26" x14ac:dyDescent="0.2">
      <c r="A47" t="s">
        <v>100</v>
      </c>
    </row>
    <row r="48" spans="1:26" x14ac:dyDescent="0.2">
      <c r="A48" t="s">
        <v>147</v>
      </c>
      <c r="B48" s="94">
        <v>0</v>
      </c>
      <c r="C48" s="94">
        <v>0.05</v>
      </c>
      <c r="D48" s="94">
        <v>0.1</v>
      </c>
      <c r="E48" s="94">
        <v>0.15000000000000002</v>
      </c>
      <c r="F48" s="94">
        <v>0.2</v>
      </c>
      <c r="G48" s="94">
        <v>0.25</v>
      </c>
      <c r="H48" s="94">
        <v>0.3</v>
      </c>
      <c r="I48" s="94">
        <v>0.35</v>
      </c>
      <c r="J48" s="94">
        <v>0.39999999999999997</v>
      </c>
      <c r="K48" s="94">
        <v>0.44999999999999996</v>
      </c>
      <c r="L48" s="94">
        <v>0.49999999999999994</v>
      </c>
      <c r="M48" s="94">
        <v>0.54999999999999993</v>
      </c>
      <c r="N48" s="94">
        <v>0.6</v>
      </c>
      <c r="O48" s="94">
        <v>0.65</v>
      </c>
      <c r="P48" s="94">
        <v>0.70000000000000007</v>
      </c>
      <c r="Q48" s="94">
        <v>0.75000000000000011</v>
      </c>
      <c r="R48" s="94">
        <v>0.80000000000000016</v>
      </c>
      <c r="S48" s="94">
        <v>0.8500000000000002</v>
      </c>
      <c r="T48" s="94">
        <v>0.90000000000000024</v>
      </c>
      <c r="U48" s="94">
        <v>0.95000000000000029</v>
      </c>
      <c r="V48" s="94">
        <v>0.9600000000000003</v>
      </c>
      <c r="W48" s="94">
        <v>0.97000000000000031</v>
      </c>
      <c r="X48" s="94">
        <v>0.98000000000000032</v>
      </c>
      <c r="Y48" s="94">
        <v>0.99000000000000032</v>
      </c>
      <c r="Z48" s="139"/>
    </row>
    <row r="49" spans="1:26" x14ac:dyDescent="0.2">
      <c r="A49" t="str">
        <f t="shared" ref="A49:A54" si="35">A3</f>
        <v>Neoclassical</v>
      </c>
      <c r="B49" s="195">
        <f>NeoClassical!B$43</f>
        <v>0.56058995943839207</v>
      </c>
      <c r="C49" s="195">
        <f>NeoClassical!D$43</f>
        <v>0.56593279596525548</v>
      </c>
      <c r="D49" s="195">
        <f>NeoClassical!F$43</f>
        <v>0.56467126215638108</v>
      </c>
      <c r="E49" s="195">
        <f>NeoClassical!H$43</f>
        <v>0.56341623012312891</v>
      </c>
      <c r="F49" s="195">
        <f>NeoClassical!J$43</f>
        <v>0.56216796786961398</v>
      </c>
      <c r="G49" s="195">
        <f>NeoClassical!L$43</f>
        <v>0.56092671233944635</v>
      </c>
      <c r="H49" s="195">
        <f>NeoClassical!N$43</f>
        <v>0.55969258257726096</v>
      </c>
      <c r="I49" s="195">
        <f>NeoClassical!P$43</f>
        <v>0.55846566771080164</v>
      </c>
      <c r="J49" s="195">
        <f>NeoClassical!R$43</f>
        <v>0.55724596750693001</v>
      </c>
      <c r="K49" s="195">
        <f>NeoClassical!T$43</f>
        <v>0.55603340473607721</v>
      </c>
      <c r="L49" s="195">
        <f>NeoClassical!V$43</f>
        <v>0.55482787235222775</v>
      </c>
      <c r="M49" s="195">
        <f>NeoClassical!X$43</f>
        <v>0.55362933170020978</v>
      </c>
      <c r="N49" s="195">
        <f>NeoClassical!Z$43</f>
        <v>0.55243803883491305</v>
      </c>
      <c r="O49" s="195">
        <f>NeoClassical!AB$43</f>
        <v>0.55125505586863977</v>
      </c>
      <c r="P49" s="195">
        <f>NeoClassical!AD$43</f>
        <v>0.55008328134629481</v>
      </c>
      <c r="Q49" s="195">
        <f>NeoClassical!AF$43</f>
        <v>0.54892965948279537</v>
      </c>
      <c r="R49" s="195">
        <f>NeoClassical!AH$43</f>
        <v>0.54780999647765449</v>
      </c>
      <c r="S49" s="195">
        <f>NeoClassical!AJ$43</f>
        <v>0.54675956074519216</v>
      </c>
      <c r="T49" s="195">
        <f>NeoClassical!AL$43</f>
        <v>0.54585602082280271</v>
      </c>
      <c r="U49" s="195">
        <f>NeoClassical!AN$43</f>
        <v>0.54525296889406627</v>
      </c>
      <c r="V49" s="195">
        <f>NeoClassical!AP$43</f>
        <v>0.54518545372150073</v>
      </c>
      <c r="W49" s="195">
        <f>NeoClassical!AR$43</f>
        <v>0.54513721982933949</v>
      </c>
      <c r="X49" s="195">
        <f>NeoClassical!AT$43</f>
        <v>0.54510683027529538</v>
      </c>
      <c r="Y49" s="195">
        <f>NeoClassical!AV$43</f>
        <v>0.54509119422727603</v>
      </c>
      <c r="Z49" s="138"/>
    </row>
    <row r="50" spans="1:26" x14ac:dyDescent="0.2">
      <c r="A50" t="str">
        <f t="shared" si="35"/>
        <v>Kaldorian</v>
      </c>
      <c r="B50" s="195">
        <f>Kaldorian!B$43</f>
        <v>0.56058995943839207</v>
      </c>
      <c r="C50" s="195">
        <f>Kaldorian!D$43</f>
        <v>0.56097956340535138</v>
      </c>
      <c r="D50" s="195">
        <f>Kaldorian!F$43</f>
        <v>0.55445072189979705</v>
      </c>
      <c r="E50" s="195">
        <f>Kaldorian!H$43</f>
        <v>0.54756185679186919</v>
      </c>
      <c r="F50" s="195">
        <f>Kaldorian!J$43</f>
        <v>0.54024848942302051</v>
      </c>
      <c r="G50" s="195">
        <f>Kaldorian!L$43</f>
        <v>0.53242992644428888</v>
      </c>
      <c r="H50" s="195">
        <f>Kaldorian!N$43</f>
        <v>0.52400323340266419</v>
      </c>
      <c r="I50" s="195">
        <f>Kaldorian!P$43</f>
        <v>0.51483579492973408</v>
      </c>
      <c r="J50" s="195">
        <f>Kaldorian!R$43</f>
        <v>0.50475278699827653</v>
      </c>
      <c r="K50" s="195">
        <f>Kaldorian!T$43</f>
        <v>0.49351863070166252</v>
      </c>
      <c r="L50" s="195">
        <f>Kaldorian!V$43</f>
        <v>0.48080720356949685</v>
      </c>
      <c r="M50" s="195">
        <f>Kaldorian!X$43</f>
        <v>0.46615163496273898</v>
      </c>
      <c r="N50" s="195">
        <f>Kaldorian!Z$43</f>
        <v>0.44885676591669654</v>
      </c>
      <c r="O50" s="195">
        <f>Kaldorian!AB$43</f>
        <v>0.42783068694009468</v>
      </c>
      <c r="P50" s="195">
        <f>Kaldorian!AD$43</f>
        <v>0.40124316284197081</v>
      </c>
      <c r="Q50" s="195">
        <f>Kaldorian!AF$43</f>
        <v>0.36574041415946507</v>
      </c>
      <c r="R50" s="195">
        <f>Kaldorian!AH$43</f>
        <v>0.314370600578119</v>
      </c>
      <c r="S50" s="195">
        <f>Kaldorian!AJ$43</f>
        <v>0.2298336769542399</v>
      </c>
      <c r="T50" s="195">
        <f>Kaldorian!AL$43</f>
        <v>5.3753053738932417E-2</v>
      </c>
      <c r="U50" s="195" t="e">
        <f>Kaldorian!AN$43</f>
        <v>#DIV/0!</v>
      </c>
      <c r="V50" s="195" t="e">
        <f>Kaldorian!AP$43</f>
        <v>#DIV/0!</v>
      </c>
      <c r="W50" s="195" t="e">
        <f>Kaldorian!AR$43</f>
        <v>#DIV/0!</v>
      </c>
      <c r="X50" s="195" t="e">
        <f>Kaldorian!AT$43</f>
        <v>#DIV/0!</v>
      </c>
      <c r="Y50" s="195" t="e">
        <f>Kaldorian!AV$43</f>
        <v>#DIV/0!</v>
      </c>
      <c r="Z50" s="138"/>
    </row>
    <row r="51" spans="1:26" x14ac:dyDescent="0.2">
      <c r="A51" t="str">
        <f t="shared" si="35"/>
        <v>Johansen</v>
      </c>
      <c r="B51" s="195">
        <f>Kaldorian!B$43</f>
        <v>0.56058995943839207</v>
      </c>
      <c r="C51" s="195">
        <f>Johansen!D$43</f>
        <v>0.56592682604470146</v>
      </c>
      <c r="D51" s="195">
        <f>Johansen!F$43</f>
        <v>0.56465960591142927</v>
      </c>
      <c r="E51" s="195">
        <f>Johansen!H$43</f>
        <v>0.56339917239767356</v>
      </c>
      <c r="F51" s="195">
        <f>Johansen!J$43</f>
        <v>0.5621457383581534</v>
      </c>
      <c r="G51" s="195">
        <f>Johansen!L$43</f>
        <v>0.56089949583424314</v>
      </c>
      <c r="H51" s="195">
        <f>Johansen!N$43</f>
        <v>0.55966050442508719</v>
      </c>
      <c r="I51" s="195">
        <f>Johansen!P$43</f>
        <v>0.5584287704262143</v>
      </c>
      <c r="J51" s="195">
        <f>Johansen!R$43</f>
        <v>0.55720419478868988</v>
      </c>
      <c r="K51" s="195">
        <f>Johansen!T$43</f>
        <v>0.55598658537902079</v>
      </c>
      <c r="L51" s="195">
        <f>Johansen!V$43</f>
        <v>0.55477571495208688</v>
      </c>
      <c r="M51" s="195">
        <f>Johansen!X$43</f>
        <v>0.55357143595420666</v>
      </c>
      <c r="N51" s="195">
        <f>Johansen!Z$43</f>
        <v>0.5523739549482497</v>
      </c>
      <c r="O51" s="195">
        <f>Johansen!AB$43</f>
        <v>0.55118441303563026</v>
      </c>
      <c r="P51" s="195">
        <f>Johansen!AD$43</f>
        <v>0.55000608625010738</v>
      </c>
      <c r="Q51" s="195">
        <f>Johansen!AF$43</f>
        <v>0.54884689712550261</v>
      </c>
      <c r="R51" s="195">
        <f>Johansen!AH$43</f>
        <v>0.54772482944182221</v>
      </c>
      <c r="S51" s="195">
        <f>Johansen!AJ$43</f>
        <v>0.54667955258776879</v>
      </c>
      <c r="T51" s="195">
        <f>Johansen!AL$43</f>
        <v>0.54579620205012813</v>
      </c>
      <c r="U51" s="195">
        <f>Johansen!AN$43</f>
        <v>0.54523158397222382</v>
      </c>
      <c r="V51" s="195">
        <f>Johansen!AP$43</f>
        <v>0.5451717600919862</v>
      </c>
      <c r="W51" s="195">
        <f>Johansen!AR$43</f>
        <v>0.54512992598369914</v>
      </c>
      <c r="X51" s="195">
        <f>Johansen!AT$43</f>
        <v>0.54510404559428016</v>
      </c>
      <c r="Y51" s="195">
        <f>Johansen!AV$43</f>
        <v>0.54509076098518061</v>
      </c>
      <c r="Z51" s="138"/>
    </row>
    <row r="52" spans="1:26" x14ac:dyDescent="0.2">
      <c r="A52" t="str">
        <f t="shared" si="35"/>
        <v>Keynes-Kaldor</v>
      </c>
      <c r="B52" s="195">
        <f>'Keynes-K'!B$43</f>
        <v>0.56058995943839207</v>
      </c>
      <c r="C52" s="195">
        <f>'Keynes-K'!D$43</f>
        <v>0.56042404728203077</v>
      </c>
      <c r="D52" s="195">
        <f>'Keynes-K'!F$43</f>
        <v>0.55338680935866624</v>
      </c>
      <c r="E52" s="195">
        <f>'Keynes-K'!H$43</f>
        <v>0.54603491697742945</v>
      </c>
      <c r="F52" s="195">
        <f>'Keynes-K'!J$43</f>
        <v>0.53830437750112647</v>
      </c>
      <c r="G52" s="195">
        <f>'Keynes-K'!L$43</f>
        <v>0.53011733841854158</v>
      </c>
      <c r="H52" s="195">
        <f>'Keynes-K'!N$43</f>
        <v>0.52137838917278023</v>
      </c>
      <c r="I52" s="195">
        <f>'Keynes-K'!P$43</f>
        <v>0.51196806698255937</v>
      </c>
      <c r="J52" s="195">
        <f>'Keynes-K'!R$43</f>
        <v>0.50173425311907915</v>
      </c>
      <c r="K52" s="195">
        <f>'Keynes-K'!T$43</f>
        <v>0.49047958637525441</v>
      </c>
      <c r="L52" s="195">
        <f>'Keynes-K'!V$43</f>
        <v>0.47794264357871258</v>
      </c>
      <c r="M52" s="195">
        <f>'Keynes-K'!X$43</f>
        <v>0.46376908791223476</v>
      </c>
      <c r="N52" s="195">
        <f>'Keynes-K'!Z$43</f>
        <v>0.44746614550209224</v>
      </c>
      <c r="O52" s="195">
        <f>'Keynes-K'!AB$43</f>
        <v>0.42832902416824326</v>
      </c>
      <c r="P52" s="195">
        <f>'Keynes-K'!AD$43</f>
        <v>0.40532071043281515</v>
      </c>
      <c r="Q52" s="195">
        <f>'Keynes-K'!AF$43</f>
        <v>0.37687897980071383</v>
      </c>
      <c r="R52" s="195">
        <f>'Keynes-K'!AH$43</f>
        <v>0.3406551244130106</v>
      </c>
      <c r="S52" s="195">
        <f>'Keynes-K'!AJ$43</f>
        <v>0.29346933900325761</v>
      </c>
      <c r="T52" s="195">
        <f>'Keynes-K'!AL$43</f>
        <v>0.23350273197909391</v>
      </c>
      <c r="U52" s="195" t="e">
        <f>'Keynes-K'!AN$43</f>
        <v>#DIV/0!</v>
      </c>
      <c r="V52" s="195" t="e">
        <f>'Keynes-K'!AP$43</f>
        <v>#DIV/0!</v>
      </c>
      <c r="W52" s="195" t="e">
        <f>'Keynes-K'!AR$43</f>
        <v>#DIV/0!</v>
      </c>
      <c r="X52" s="195" t="e">
        <f>'Keynes-K'!AT$43</f>
        <v>#DIV/0!</v>
      </c>
      <c r="Y52" s="195" t="e">
        <f>'Keynes-K'!AV$43</f>
        <v>#DIV/0!</v>
      </c>
    </row>
    <row r="53" spans="1:26" x14ac:dyDescent="0.2">
      <c r="A53" t="str">
        <f t="shared" si="35"/>
        <v>Keynes-Marshall</v>
      </c>
      <c r="B53" s="195">
        <f>'Keynes-M'!B$43</f>
        <v>0.56058995943839085</v>
      </c>
      <c r="C53" s="195">
        <f>'Keynes-M'!D$43</f>
        <v>0.58122509399786282</v>
      </c>
      <c r="D53" s="195">
        <f>'Keynes-M'!F$43</f>
        <v>0.59560144629563205</v>
      </c>
      <c r="E53" s="195">
        <f>'Keynes-M'!H$43</f>
        <v>0.61040733353284404</v>
      </c>
      <c r="F53" s="195">
        <f>'Keynes-M'!J$43</f>
        <v>0.62573916818480846</v>
      </c>
      <c r="G53" s="195">
        <f>'Keynes-M'!L$43</f>
        <v>0.64172167231016197</v>
      </c>
      <c r="H53" s="195">
        <f>'Keynes-M'!N$43</f>
        <v>0.65852285627300833</v>
      </c>
      <c r="I53" s="195">
        <f>'Keynes-M'!P$43</f>
        <v>0.67637854810491682</v>
      </c>
      <c r="J53" s="195">
        <f>'Keynes-M'!R$43</f>
        <v>0.69563322576646858</v>
      </c>
      <c r="K53" s="195">
        <f>'Keynes-M'!T$43</f>
        <v>0.7168109261779525</v>
      </c>
      <c r="L53" s="195">
        <f>'Keynes-M'!V$43</f>
        <v>0.74074260994761687</v>
      </c>
      <c r="M53" s="195">
        <f>'Keynes-M'!X$43</f>
        <v>0.76880247976086424</v>
      </c>
      <c r="N53" s="195">
        <f>'Keynes-M'!Z$43</f>
        <v>0.80335111873297527</v>
      </c>
      <c r="O53" s="195">
        <f>'Keynes-M'!AB$43</f>
        <v>0.84852019195677397</v>
      </c>
      <c r="P53" s="195">
        <f>'Keynes-M'!AD$43</f>
        <v>0.91128183491885761</v>
      </c>
      <c r="Q53" s="195" t="e">
        <f>'Keynes-M'!AF$43</f>
        <v>#DIV/0!</v>
      </c>
      <c r="R53" s="195" t="e">
        <f>'Keynes-M'!AH$43</f>
        <v>#DIV/0!</v>
      </c>
      <c r="S53" s="195" t="e">
        <f>'Keynes-M'!AJ$43</f>
        <v>#DIV/0!</v>
      </c>
      <c r="T53" s="195" t="e">
        <f>'Keynes-M'!AL$43</f>
        <v>#DIV/0!</v>
      </c>
      <c r="U53" s="195" t="e">
        <f>'Keynes-M'!AN$43</f>
        <v>#DIV/0!</v>
      </c>
      <c r="V53" s="195" t="e">
        <f>'Keynes-M'!AP$43</f>
        <v>#DIV/0!</v>
      </c>
      <c r="W53" s="195" t="e">
        <f>'Keynes-M'!AR$43</f>
        <v>#DIV/0!</v>
      </c>
      <c r="X53" s="195" t="e">
        <f>'Keynes-M'!AT$43</f>
        <v>#DIV/0!</v>
      </c>
      <c r="Y53" s="195" t="e">
        <f>'Keynes-M'!AV$43</f>
        <v>#DIV/0!</v>
      </c>
    </row>
    <row r="54" spans="1:26" x14ac:dyDescent="0.2">
      <c r="A54" t="str">
        <f t="shared" si="35"/>
        <v>Keynesian</v>
      </c>
      <c r="B54" s="195">
        <f>Keynesian!B$43</f>
        <v>0.56058995943839085</v>
      </c>
      <c r="C54" s="195">
        <f>Keynesian!D$43</f>
        <v>0.57467057453159953</v>
      </c>
      <c r="D54" s="195">
        <f>Keynesian!F$43</f>
        <v>0.58210617984837976</v>
      </c>
      <c r="E54" s="195">
        <f>Keynesian!H$43</f>
        <v>0.58947843764537433</v>
      </c>
      <c r="F54" s="195">
        <f>Keynesian!J$43</f>
        <v>0.59675108455096071</v>
      </c>
      <c r="G54" s="195">
        <f>Keynesian!L$43</f>
        <v>0.60388102836751467</v>
      </c>
      <c r="H54" s="195">
        <f>Keynesian!N$43</f>
        <v>0.61081526781839346</v>
      </c>
      <c r="I54" s="195">
        <f>Keynesian!P$43</f>
        <v>0.61749114322110266</v>
      </c>
      <c r="J54" s="195">
        <f>Keynesian!R$43</f>
        <v>0.62383276086681805</v>
      </c>
      <c r="K54" s="195">
        <f>Keynesian!T$43</f>
        <v>0.62974314224161132</v>
      </c>
      <c r="L54" s="195">
        <f>Keynesian!V$43</f>
        <v>0.63508747234777452</v>
      </c>
      <c r="M54" s="195">
        <f>Keynesian!X$43</f>
        <v>0.63961952061332139</v>
      </c>
      <c r="N54" s="195" t="e">
        <f>Keynesian!Z$43</f>
        <v>#DIV/0!</v>
      </c>
      <c r="O54" s="195" t="e">
        <f>Keynesian!AB$43</f>
        <v>#DIV/0!</v>
      </c>
      <c r="P54" s="195" t="e">
        <f>Keynesian!AD$43</f>
        <v>#DIV/0!</v>
      </c>
      <c r="Q54" s="195" t="e">
        <f>Keynesian!AF$43</f>
        <v>#DIV/0!</v>
      </c>
      <c r="R54" s="195" t="e">
        <f>Keynesian!AH$43</f>
        <v>#DIV/0!</v>
      </c>
      <c r="S54" s="195" t="e">
        <f>Keynesian!AJ$43</f>
        <v>#DIV/0!</v>
      </c>
      <c r="T54" s="195" t="e">
        <f>Keynesian!AL$43</f>
        <v>#DIV/0!</v>
      </c>
      <c r="U54" s="195" t="e">
        <f>Keynesian!AN$43</f>
        <v>#DIV/0!</v>
      </c>
      <c r="V54" s="195" t="e">
        <f>Keynesian!AP$43</f>
        <v>#DIV/0!</v>
      </c>
      <c r="W54" s="195" t="e">
        <f>Keynesian!AR$43</f>
        <v>#DIV/0!</v>
      </c>
      <c r="X54" s="195" t="e">
        <f>Keynesian!AT$43</f>
        <v>#DIV/0!</v>
      </c>
      <c r="Y54" s="195" t="e">
        <f>Keynesian!AV$43</f>
        <v>#DIV/0!</v>
      </c>
    </row>
    <row r="55" spans="1:26" x14ac:dyDescent="0.2">
      <c r="A55" t="s">
        <v>158</v>
      </c>
      <c r="B55" s="195">
        <f>'Neo-K2'!B$43</f>
        <v>0.56058995943839207</v>
      </c>
      <c r="C55" s="195">
        <f>'Neo-K1'!D$43</f>
        <v>0.56671511805319807</v>
      </c>
      <c r="D55" s="195">
        <f>'Neo-K1'!F$43</f>
        <v>0.56622162334556658</v>
      </c>
      <c r="E55" s="195">
        <f>'Neo-K1'!H$43</f>
        <v>0.56571637061340485</v>
      </c>
      <c r="F55" s="195">
        <f>'Neo-K1'!J$43</f>
        <v>0.56519471264180321</v>
      </c>
      <c r="G55" s="195">
        <f>'Neo-K1'!L$43</f>
        <v>0.56465081523780858</v>
      </c>
      <c r="H55" s="195">
        <f>'Neo-K1'!N$43</f>
        <v>0.56407744015937533</v>
      </c>
      <c r="I55" s="195">
        <f>'Neo-K1'!P$43</f>
        <v>0.56346571224154773</v>
      </c>
      <c r="J55" s="195">
        <f>'Neo-K1'!R$43</f>
        <v>0.56280493432184542</v>
      </c>
      <c r="K55" s="195">
        <f>'Neo-K1'!T$43</f>
        <v>0.56208253105535622</v>
      </c>
      <c r="L55" s="195">
        <f>'Neo-K1'!V$43</f>
        <v>0.56128421466666201</v>
      </c>
      <c r="M55" s="195">
        <f>'Neo-K1'!X$43</f>
        <v>0.56039457315539842</v>
      </c>
      <c r="N55" s="195">
        <f>'Neo-K1'!Z$43</f>
        <v>0.55939822008878226</v>
      </c>
      <c r="O55" s="195">
        <f>'Neo-K1'!AB$43</f>
        <v>0.55828170928798448</v>
      </c>
      <c r="P55" s="195">
        <f>'Neo-K1'!AD$43</f>
        <v>0.55703609482991367</v>
      </c>
      <c r="Q55" s="195">
        <f>'Neo-K1'!AF$43</f>
        <v>0.55565976951016594</v>
      </c>
      <c r="R55" s="195">
        <f>'Neo-K1'!AH$43</f>
        <v>0.55416071584004856</v>
      </c>
      <c r="S55" s="195">
        <f>'Neo-K1'!AJ$43</f>
        <v>0.55255712569200144</v>
      </c>
      <c r="T55" s="195">
        <f>'Neo-K1'!AL$43</f>
        <v>0.55087571649949441</v>
      </c>
      <c r="U55" s="195">
        <f>'Neo-K1'!AN$43</f>
        <v>0.54914805066470196</v>
      </c>
      <c r="V55" s="195" t="e">
        <f>'Neo-K1'!AP$43</f>
        <v>#DIV/0!</v>
      </c>
      <c r="W55" s="195" t="e">
        <f>'Neo-K1'!AR$43</f>
        <v>#DIV/0!</v>
      </c>
      <c r="X55" s="195" t="e">
        <f>'Neo-K1'!AT$43</f>
        <v>#DIV/0!</v>
      </c>
      <c r="Y55" s="195" t="e">
        <f>'Neo-K1'!AV$43</f>
        <v>#DIV/0!</v>
      </c>
    </row>
    <row r="56" spans="1:26" x14ac:dyDescent="0.2">
      <c r="A56" t="s">
        <v>157</v>
      </c>
      <c r="B56" s="195">
        <f>'Neo-K2'!B$43</f>
        <v>0.56058995943839207</v>
      </c>
      <c r="C56" s="195">
        <f>'Neo-K2'!D$43</f>
        <v>0.56768929899372633</v>
      </c>
      <c r="D56" s="195">
        <f>'Neo-K2'!F$43</f>
        <v>0.56824739755381737</v>
      </c>
      <c r="E56" s="195">
        <f>'Neo-K2'!H$43</f>
        <v>0.56888143820360837</v>
      </c>
      <c r="F56" s="195">
        <f>'Neo-K2'!J$43</f>
        <v>0.56959802928665482</v>
      </c>
      <c r="G56" s="195">
        <f>'Neo-K2'!L$43</f>
        <v>0.5704033416954184</v>
      </c>
      <c r="H56" s="195">
        <f>'Neo-K2'!N$43</f>
        <v>0.57130231241583884</v>
      </c>
      <c r="I56" s="195">
        <f>'Neo-K2'!P$43</f>
        <v>0.5722973479495731</v>
      </c>
      <c r="J56" s="195">
        <f>'Neo-K2'!R$43</f>
        <v>0.57338618457984258</v>
      </c>
      <c r="K56" s="195">
        <f>'Neo-K2'!T$43</f>
        <v>0.57455825868031463</v>
      </c>
      <c r="L56" s="195">
        <f>'Neo-K2'!V$43</f>
        <v>0.57578841497831001</v>
      </c>
      <c r="M56" s="195">
        <f>'Neo-K2'!X$43</f>
        <v>0.57702592021401033</v>
      </c>
      <c r="N56" s="195">
        <f>'Neo-K2'!Z$43</f>
        <v>0.57817607520089043</v>
      </c>
      <c r="O56" s="195">
        <f>'Neo-K2'!AB$43</f>
        <v>0.57907344603979705</v>
      </c>
      <c r="P56" s="195">
        <f>'Neo-K2'!AD$43</f>
        <v>0.5794532512190147</v>
      </c>
      <c r="Q56" s="195">
        <f>'Neo-K2'!AF$43</f>
        <v>0.57892839359652415</v>
      </c>
      <c r="R56" s="195">
        <f>'Neo-K2'!AH$43</f>
        <v>0.57692402289290534</v>
      </c>
      <c r="S56" s="195">
        <f>'Neo-K2'!AJ$43</f>
        <v>0.57232634177549113</v>
      </c>
      <c r="T56" s="195">
        <f>'Neo-K2'!AL$43</f>
        <v>0.56175877755388703</v>
      </c>
      <c r="U56" s="195">
        <f>'Neo-K2'!AN$43</f>
        <v>0.52895991558094113</v>
      </c>
      <c r="V56" s="195">
        <f>'Neo-K2'!AP$43</f>
        <v>0.51431324761372677</v>
      </c>
      <c r="W56" s="195">
        <f>'Neo-K2'!AR$43</f>
        <v>0.49294989554389285</v>
      </c>
      <c r="X56" s="195">
        <f>'Neo-K2'!AT$43</f>
        <v>0.45896003941604369</v>
      </c>
      <c r="Y56" s="195" t="e">
        <f>'Neo-K2'!AV$43</f>
        <v>#DIV/0!</v>
      </c>
    </row>
    <row r="57" spans="1:26" x14ac:dyDescent="0.2">
      <c r="B57" s="140"/>
      <c r="C57" s="140"/>
      <c r="D57" s="140"/>
      <c r="E57" s="140"/>
      <c r="F57" s="140"/>
      <c r="G57" s="140"/>
      <c r="H57" s="140"/>
      <c r="I57" s="140"/>
      <c r="J57" s="140"/>
      <c r="K57" s="140"/>
      <c r="L57" s="140"/>
      <c r="M57" s="140"/>
      <c r="N57" s="140"/>
      <c r="O57" s="140"/>
      <c r="P57" s="140"/>
      <c r="Q57" s="140"/>
      <c r="R57" s="140"/>
      <c r="S57" s="140"/>
      <c r="T57" s="140"/>
      <c r="U57" s="140"/>
      <c r="V57" s="140"/>
    </row>
    <row r="58" spans="1:26" x14ac:dyDescent="0.2">
      <c r="B58" s="140"/>
      <c r="C58" s="140"/>
      <c r="D58" s="140"/>
      <c r="E58" s="140"/>
      <c r="F58" s="140"/>
      <c r="G58" s="140"/>
      <c r="H58" s="140"/>
      <c r="I58" s="140"/>
      <c r="J58" s="140"/>
      <c r="K58" s="140"/>
      <c r="L58" s="140"/>
      <c r="M58" s="140"/>
      <c r="N58" s="140"/>
      <c r="O58" s="140"/>
      <c r="P58" s="140"/>
      <c r="Q58" s="140"/>
      <c r="R58" s="140"/>
      <c r="S58" s="140"/>
      <c r="T58" s="140"/>
    </row>
    <row r="61" spans="1:26" x14ac:dyDescent="0.2">
      <c r="A61" t="s">
        <v>100</v>
      </c>
    </row>
    <row r="62" spans="1:26" x14ac:dyDescent="0.2">
      <c r="A62" t="s">
        <v>147</v>
      </c>
      <c r="B62" s="94">
        <v>0</v>
      </c>
      <c r="C62" s="94">
        <v>0.05</v>
      </c>
      <c r="D62" s="94">
        <v>0.1</v>
      </c>
      <c r="E62" s="94">
        <v>0.15000000000000002</v>
      </c>
      <c r="F62" s="94">
        <v>0.2</v>
      </c>
      <c r="G62" s="94">
        <v>0.25</v>
      </c>
      <c r="H62" s="94">
        <v>0.3</v>
      </c>
      <c r="I62" s="94">
        <v>0.35</v>
      </c>
      <c r="J62" s="94">
        <v>0.39999999999999997</v>
      </c>
      <c r="K62" s="94">
        <v>0.44999999999999996</v>
      </c>
      <c r="L62" s="94">
        <v>0.49999999999999994</v>
      </c>
      <c r="M62" s="94">
        <v>0.54999999999999993</v>
      </c>
      <c r="N62" s="94">
        <v>0.6</v>
      </c>
      <c r="O62" s="94">
        <v>0.65</v>
      </c>
      <c r="P62" s="94">
        <v>0.70000000000000007</v>
      </c>
      <c r="Q62" s="94">
        <v>0.75000000000000011</v>
      </c>
      <c r="R62" s="94">
        <v>0.80000000000000016</v>
      </c>
      <c r="S62" s="94">
        <v>0.8500000000000002</v>
      </c>
      <c r="T62" s="94">
        <v>0.90000000000000024</v>
      </c>
      <c r="U62" s="94">
        <v>0.95000000000000029</v>
      </c>
      <c r="V62" s="94">
        <v>0.9600000000000003</v>
      </c>
      <c r="W62" s="94">
        <v>0.97000000000000031</v>
      </c>
      <c r="X62" s="94">
        <v>0.98000000000000032</v>
      </c>
      <c r="Y62" s="94">
        <v>0.99000000000000032</v>
      </c>
      <c r="Z62" s="139"/>
    </row>
    <row r="63" spans="1:26" x14ac:dyDescent="0.2">
      <c r="A63" t="str">
        <f>A49</f>
        <v>Neoclassical</v>
      </c>
      <c r="B63" s="195">
        <f t="shared" ref="B63:Y63" si="36">B49</f>
        <v>0.56058995943839207</v>
      </c>
      <c r="C63" s="195">
        <f t="shared" si="36"/>
        <v>0.56593279596525548</v>
      </c>
      <c r="D63" s="195">
        <f t="shared" si="36"/>
        <v>0.56467126215638108</v>
      </c>
      <c r="E63" s="195">
        <f t="shared" si="36"/>
        <v>0.56341623012312891</v>
      </c>
      <c r="F63" s="195">
        <f t="shared" si="36"/>
        <v>0.56216796786961398</v>
      </c>
      <c r="G63" s="195">
        <f t="shared" si="36"/>
        <v>0.56092671233944635</v>
      </c>
      <c r="H63" s="195">
        <f t="shared" si="36"/>
        <v>0.55969258257726096</v>
      </c>
      <c r="I63" s="195">
        <f t="shared" si="36"/>
        <v>0.55846566771080164</v>
      </c>
      <c r="J63" s="195">
        <f t="shared" si="36"/>
        <v>0.55724596750693001</v>
      </c>
      <c r="K63" s="195">
        <f t="shared" si="36"/>
        <v>0.55603340473607721</v>
      </c>
      <c r="L63" s="195">
        <f t="shared" si="36"/>
        <v>0.55482787235222775</v>
      </c>
      <c r="M63" s="195">
        <f t="shared" si="36"/>
        <v>0.55362933170020978</v>
      </c>
      <c r="N63" s="195">
        <f t="shared" si="36"/>
        <v>0.55243803883491305</v>
      </c>
      <c r="O63" s="195">
        <f t="shared" si="36"/>
        <v>0.55125505586863977</v>
      </c>
      <c r="P63" s="195">
        <f t="shared" si="36"/>
        <v>0.55008328134629481</v>
      </c>
      <c r="Q63" s="195">
        <f t="shared" si="36"/>
        <v>0.54892965948279537</v>
      </c>
      <c r="R63" s="195">
        <f t="shared" si="36"/>
        <v>0.54780999647765449</v>
      </c>
      <c r="S63" s="195">
        <f t="shared" si="36"/>
        <v>0.54675956074519216</v>
      </c>
      <c r="T63" s="195">
        <f t="shared" si="36"/>
        <v>0.54585602082280271</v>
      </c>
      <c r="U63" s="195">
        <f t="shared" si="36"/>
        <v>0.54525296889406627</v>
      </c>
      <c r="V63" s="195">
        <f t="shared" si="36"/>
        <v>0.54518545372150073</v>
      </c>
      <c r="W63" s="195">
        <f t="shared" si="36"/>
        <v>0.54513721982933949</v>
      </c>
      <c r="X63" s="195">
        <f t="shared" si="36"/>
        <v>0.54510683027529538</v>
      </c>
      <c r="Y63" s="195">
        <f t="shared" si="36"/>
        <v>0.54509119422727603</v>
      </c>
      <c r="Z63" s="138"/>
    </row>
    <row r="64" spans="1:26" x14ac:dyDescent="0.2">
      <c r="A64" t="str">
        <f t="shared" ref="A64:Q64" si="37">A50</f>
        <v>Kaldorian</v>
      </c>
      <c r="B64" s="195">
        <f t="shared" si="37"/>
        <v>0.56058995943839207</v>
      </c>
      <c r="C64" s="195">
        <f t="shared" si="37"/>
        <v>0.56097956340535138</v>
      </c>
      <c r="D64" s="195">
        <f t="shared" si="37"/>
        <v>0.55445072189979705</v>
      </c>
      <c r="E64" s="195">
        <f t="shared" si="37"/>
        <v>0.54756185679186919</v>
      </c>
      <c r="F64" s="195">
        <f t="shared" si="37"/>
        <v>0.54024848942302051</v>
      </c>
      <c r="G64" s="195">
        <f t="shared" si="37"/>
        <v>0.53242992644428888</v>
      </c>
      <c r="H64" s="195">
        <f t="shared" si="37"/>
        <v>0.52400323340266419</v>
      </c>
      <c r="I64" s="195">
        <f t="shared" si="37"/>
        <v>0.51483579492973408</v>
      </c>
      <c r="J64" s="195">
        <f t="shared" si="37"/>
        <v>0.50475278699827653</v>
      </c>
      <c r="K64" s="195">
        <f t="shared" si="37"/>
        <v>0.49351863070166252</v>
      </c>
      <c r="L64" s="195">
        <f t="shared" si="37"/>
        <v>0.48080720356949685</v>
      </c>
      <c r="M64" s="195">
        <f t="shared" si="37"/>
        <v>0.46615163496273898</v>
      </c>
      <c r="N64" s="195">
        <f t="shared" si="37"/>
        <v>0.44885676591669654</v>
      </c>
      <c r="O64" s="195">
        <f t="shared" si="37"/>
        <v>0.42783068694009468</v>
      </c>
      <c r="P64" s="195">
        <f t="shared" si="37"/>
        <v>0.40124316284197081</v>
      </c>
      <c r="Q64" s="195">
        <f t="shared" si="37"/>
        <v>0.36574041415946507</v>
      </c>
      <c r="R64" s="195"/>
      <c r="S64" s="195"/>
      <c r="T64" s="195"/>
      <c r="U64" s="195"/>
      <c r="V64" s="195"/>
      <c r="W64" s="195"/>
      <c r="X64" s="195"/>
      <c r="Y64" s="195"/>
      <c r="Z64" s="138"/>
    </row>
    <row r="65" spans="1:26" x14ac:dyDescent="0.2">
      <c r="A65" t="str">
        <f t="shared" ref="A65:Y65" si="38">A51</f>
        <v>Johansen</v>
      </c>
      <c r="B65" s="195">
        <f t="shared" si="38"/>
        <v>0.56058995943839207</v>
      </c>
      <c r="C65" s="195">
        <f t="shared" si="38"/>
        <v>0.56592682604470146</v>
      </c>
      <c r="D65" s="195">
        <f t="shared" si="38"/>
        <v>0.56465960591142927</v>
      </c>
      <c r="E65" s="195">
        <f t="shared" si="38"/>
        <v>0.56339917239767356</v>
      </c>
      <c r="F65" s="195">
        <f t="shared" si="38"/>
        <v>0.5621457383581534</v>
      </c>
      <c r="G65" s="195">
        <f t="shared" si="38"/>
        <v>0.56089949583424314</v>
      </c>
      <c r="H65" s="195">
        <f t="shared" si="38"/>
        <v>0.55966050442508719</v>
      </c>
      <c r="I65" s="195">
        <f t="shared" si="38"/>
        <v>0.5584287704262143</v>
      </c>
      <c r="J65" s="195">
        <f t="shared" si="38"/>
        <v>0.55720419478868988</v>
      </c>
      <c r="K65" s="195">
        <f t="shared" si="38"/>
        <v>0.55598658537902079</v>
      </c>
      <c r="L65" s="195">
        <f t="shared" si="38"/>
        <v>0.55477571495208688</v>
      </c>
      <c r="M65" s="195">
        <f t="shared" si="38"/>
        <v>0.55357143595420666</v>
      </c>
      <c r="N65" s="195">
        <f t="shared" si="38"/>
        <v>0.5523739549482497</v>
      </c>
      <c r="O65" s="195">
        <f t="shared" si="38"/>
        <v>0.55118441303563026</v>
      </c>
      <c r="P65" s="195">
        <f t="shared" si="38"/>
        <v>0.55000608625010738</v>
      </c>
      <c r="Q65" s="195">
        <f t="shared" si="38"/>
        <v>0.54884689712550261</v>
      </c>
      <c r="R65" s="195">
        <f t="shared" si="38"/>
        <v>0.54772482944182221</v>
      </c>
      <c r="S65" s="195">
        <f t="shared" si="38"/>
        <v>0.54667955258776879</v>
      </c>
      <c r="T65" s="195">
        <f t="shared" si="38"/>
        <v>0.54579620205012813</v>
      </c>
      <c r="U65" s="195">
        <f t="shared" si="38"/>
        <v>0.54523158397222382</v>
      </c>
      <c r="V65" s="195">
        <f t="shared" si="38"/>
        <v>0.5451717600919862</v>
      </c>
      <c r="W65" s="195">
        <f t="shared" si="38"/>
        <v>0.54512992598369914</v>
      </c>
      <c r="X65" s="195">
        <f t="shared" si="38"/>
        <v>0.54510404559428016</v>
      </c>
      <c r="Y65" s="195">
        <f t="shared" si="38"/>
        <v>0.54509076098518061</v>
      </c>
      <c r="Z65" s="138"/>
    </row>
    <row r="66" spans="1:26" x14ac:dyDescent="0.2">
      <c r="A66" t="str">
        <f t="shared" ref="A66:R66" si="39">A52</f>
        <v>Keynes-Kaldor</v>
      </c>
      <c r="B66" s="195">
        <f t="shared" si="39"/>
        <v>0.56058995943839207</v>
      </c>
      <c r="C66" s="195">
        <f t="shared" si="39"/>
        <v>0.56042404728203077</v>
      </c>
      <c r="D66" s="195">
        <f t="shared" si="39"/>
        <v>0.55338680935866624</v>
      </c>
      <c r="E66" s="195">
        <f t="shared" si="39"/>
        <v>0.54603491697742945</v>
      </c>
      <c r="F66" s="195">
        <f t="shared" si="39"/>
        <v>0.53830437750112647</v>
      </c>
      <c r="G66" s="195">
        <f t="shared" si="39"/>
        <v>0.53011733841854158</v>
      </c>
      <c r="H66" s="195">
        <f t="shared" si="39"/>
        <v>0.52137838917278023</v>
      </c>
      <c r="I66" s="195">
        <f t="shared" si="39"/>
        <v>0.51196806698255937</v>
      </c>
      <c r="J66" s="195">
        <f t="shared" si="39"/>
        <v>0.50173425311907915</v>
      </c>
      <c r="K66" s="195">
        <f t="shared" si="39"/>
        <v>0.49047958637525441</v>
      </c>
      <c r="L66" s="195">
        <f t="shared" si="39"/>
        <v>0.47794264357871258</v>
      </c>
      <c r="M66" s="195">
        <f t="shared" si="39"/>
        <v>0.46376908791223476</v>
      </c>
      <c r="N66" s="195">
        <f t="shared" si="39"/>
        <v>0.44746614550209224</v>
      </c>
      <c r="O66" s="195">
        <f t="shared" si="39"/>
        <v>0.42832902416824326</v>
      </c>
      <c r="P66" s="195">
        <f t="shared" si="39"/>
        <v>0.40532071043281515</v>
      </c>
      <c r="Q66" s="195">
        <f t="shared" si="39"/>
        <v>0.37687897980071383</v>
      </c>
      <c r="R66" s="195">
        <f t="shared" si="39"/>
        <v>0.3406551244130106</v>
      </c>
      <c r="S66" s="195"/>
      <c r="T66" s="195"/>
      <c r="U66" s="195"/>
      <c r="V66" s="195"/>
      <c r="W66" s="195"/>
      <c r="X66" s="195"/>
      <c r="Y66" s="195"/>
    </row>
    <row r="67" spans="1:26" x14ac:dyDescent="0.2">
      <c r="A67" t="str">
        <f t="shared" ref="A67:K67" si="40">A53</f>
        <v>Keynes-Marshall</v>
      </c>
      <c r="B67" s="195">
        <f t="shared" si="40"/>
        <v>0.56058995943839085</v>
      </c>
      <c r="C67" s="195">
        <f t="shared" si="40"/>
        <v>0.58122509399786282</v>
      </c>
      <c r="D67" s="195">
        <f t="shared" si="40"/>
        <v>0.59560144629563205</v>
      </c>
      <c r="E67" s="195">
        <f t="shared" si="40"/>
        <v>0.61040733353284404</v>
      </c>
      <c r="F67" s="195">
        <f t="shared" si="40"/>
        <v>0.62573916818480846</v>
      </c>
      <c r="G67" s="195">
        <f t="shared" si="40"/>
        <v>0.64172167231016197</v>
      </c>
      <c r="H67" s="195">
        <f t="shared" si="40"/>
        <v>0.65852285627300833</v>
      </c>
      <c r="I67" s="195">
        <f t="shared" si="40"/>
        <v>0.67637854810491682</v>
      </c>
      <c r="J67" s="195">
        <f t="shared" si="40"/>
        <v>0.69563322576646858</v>
      </c>
      <c r="K67" s="195">
        <f t="shared" si="40"/>
        <v>0.7168109261779525</v>
      </c>
      <c r="L67" s="195"/>
      <c r="M67" s="195"/>
      <c r="N67" s="195"/>
      <c r="O67" s="195"/>
      <c r="P67" s="195"/>
      <c r="Q67" s="195"/>
      <c r="R67" s="195"/>
      <c r="S67" s="195"/>
      <c r="T67" s="195"/>
      <c r="U67" s="195"/>
      <c r="V67" s="195"/>
      <c r="W67" s="195"/>
      <c r="X67" s="195"/>
      <c r="Y67" s="195"/>
    </row>
    <row r="68" spans="1:26" x14ac:dyDescent="0.2">
      <c r="A68" t="str">
        <f t="shared" ref="A68:N68" si="41">A54</f>
        <v>Keynesian</v>
      </c>
      <c r="B68" s="195">
        <f t="shared" si="41"/>
        <v>0.56058995943839085</v>
      </c>
      <c r="C68" s="195">
        <f t="shared" si="41"/>
        <v>0.57467057453159953</v>
      </c>
      <c r="D68" s="195">
        <f t="shared" si="41"/>
        <v>0.58210617984837976</v>
      </c>
      <c r="E68" s="195">
        <f t="shared" si="41"/>
        <v>0.58947843764537433</v>
      </c>
      <c r="F68" s="195">
        <f t="shared" si="41"/>
        <v>0.59675108455096071</v>
      </c>
      <c r="G68" s="195">
        <f t="shared" si="41"/>
        <v>0.60388102836751467</v>
      </c>
      <c r="H68" s="195">
        <f t="shared" si="41"/>
        <v>0.61081526781839346</v>
      </c>
      <c r="I68" s="195">
        <f t="shared" si="41"/>
        <v>0.61749114322110266</v>
      </c>
      <c r="J68" s="195">
        <f t="shared" si="41"/>
        <v>0.62383276086681805</v>
      </c>
      <c r="K68" s="195">
        <f t="shared" si="41"/>
        <v>0.62974314224161132</v>
      </c>
      <c r="L68" s="195">
        <f t="shared" si="41"/>
        <v>0.63508747234777452</v>
      </c>
      <c r="M68" s="195">
        <f t="shared" si="41"/>
        <v>0.63961952061332139</v>
      </c>
      <c r="N68" s="195" t="e">
        <f t="shared" si="41"/>
        <v>#DIV/0!</v>
      </c>
      <c r="O68" s="195"/>
      <c r="P68" s="195"/>
      <c r="Q68" s="195"/>
      <c r="R68" s="195"/>
      <c r="S68" s="195"/>
      <c r="T68" s="195"/>
      <c r="U68" s="195"/>
      <c r="V68" s="195"/>
      <c r="W68" s="195"/>
      <c r="X68" s="195"/>
      <c r="Y68" s="195"/>
    </row>
    <row r="69" spans="1:26" x14ac:dyDescent="0.2">
      <c r="A69" t="str">
        <f t="shared" ref="A69:Y69" si="42">A55</f>
        <v>Neo-K1</v>
      </c>
      <c r="B69" s="195">
        <f t="shared" si="42"/>
        <v>0.56058995943839207</v>
      </c>
      <c r="C69" s="195">
        <f t="shared" si="42"/>
        <v>0.56671511805319807</v>
      </c>
      <c r="D69" s="195">
        <f t="shared" si="42"/>
        <v>0.56622162334556658</v>
      </c>
      <c r="E69" s="195">
        <f t="shared" si="42"/>
        <v>0.56571637061340485</v>
      </c>
      <c r="F69" s="195">
        <f t="shared" si="42"/>
        <v>0.56519471264180321</v>
      </c>
      <c r="G69" s="195">
        <f t="shared" si="42"/>
        <v>0.56465081523780858</v>
      </c>
      <c r="H69" s="195">
        <f t="shared" si="42"/>
        <v>0.56407744015937533</v>
      </c>
      <c r="I69" s="195">
        <f t="shared" si="42"/>
        <v>0.56346571224154773</v>
      </c>
      <c r="J69" s="195">
        <f t="shared" si="42"/>
        <v>0.56280493432184542</v>
      </c>
      <c r="K69" s="195">
        <f t="shared" si="42"/>
        <v>0.56208253105535622</v>
      </c>
      <c r="L69" s="195">
        <f t="shared" si="42"/>
        <v>0.56128421466666201</v>
      </c>
      <c r="M69" s="195">
        <f t="shared" si="42"/>
        <v>0.56039457315539842</v>
      </c>
      <c r="N69" s="195">
        <f t="shared" si="42"/>
        <v>0.55939822008878226</v>
      </c>
      <c r="O69" s="195">
        <f t="shared" si="42"/>
        <v>0.55828170928798448</v>
      </c>
      <c r="P69" s="195">
        <f t="shared" si="42"/>
        <v>0.55703609482991367</v>
      </c>
      <c r="Q69" s="195">
        <f t="shared" si="42"/>
        <v>0.55565976951016594</v>
      </c>
      <c r="R69" s="195">
        <f t="shared" si="42"/>
        <v>0.55416071584004856</v>
      </c>
      <c r="S69" s="195">
        <f t="shared" si="42"/>
        <v>0.55255712569200144</v>
      </c>
      <c r="T69" s="195">
        <f t="shared" si="42"/>
        <v>0.55087571649949441</v>
      </c>
      <c r="U69" s="195">
        <f t="shared" si="42"/>
        <v>0.54914805066470196</v>
      </c>
      <c r="V69" s="195" t="e">
        <f t="shared" si="42"/>
        <v>#DIV/0!</v>
      </c>
      <c r="W69" s="195" t="e">
        <f t="shared" si="42"/>
        <v>#DIV/0!</v>
      </c>
      <c r="X69" s="195" t="e">
        <f t="shared" si="42"/>
        <v>#DIV/0!</v>
      </c>
      <c r="Y69" s="195" t="e">
        <f t="shared" si="42"/>
        <v>#DIV/0!</v>
      </c>
    </row>
    <row r="70" spans="1:26" x14ac:dyDescent="0.2">
      <c r="A70" t="str">
        <f t="shared" ref="A70:Y70" si="43">A56</f>
        <v>Neo-K2</v>
      </c>
      <c r="B70" s="195">
        <f t="shared" si="43"/>
        <v>0.56058995943839207</v>
      </c>
      <c r="C70" s="195">
        <f t="shared" si="43"/>
        <v>0.56768929899372633</v>
      </c>
      <c r="D70" s="195">
        <f t="shared" si="43"/>
        <v>0.56824739755381737</v>
      </c>
      <c r="E70" s="195">
        <f t="shared" si="43"/>
        <v>0.56888143820360837</v>
      </c>
      <c r="F70" s="195">
        <f t="shared" si="43"/>
        <v>0.56959802928665482</v>
      </c>
      <c r="G70" s="195">
        <f t="shared" si="43"/>
        <v>0.5704033416954184</v>
      </c>
      <c r="H70" s="195">
        <f t="shared" si="43"/>
        <v>0.57130231241583884</v>
      </c>
      <c r="I70" s="195">
        <f t="shared" si="43"/>
        <v>0.5722973479495731</v>
      </c>
      <c r="J70" s="195">
        <f t="shared" si="43"/>
        <v>0.57338618457984258</v>
      </c>
      <c r="K70" s="195">
        <f t="shared" si="43"/>
        <v>0.57455825868031463</v>
      </c>
      <c r="L70" s="195">
        <f t="shared" si="43"/>
        <v>0.57578841497831001</v>
      </c>
      <c r="M70" s="195">
        <f t="shared" si="43"/>
        <v>0.57702592021401033</v>
      </c>
      <c r="N70" s="195">
        <f t="shared" si="43"/>
        <v>0.57817607520089043</v>
      </c>
      <c r="O70" s="195">
        <f t="shared" si="43"/>
        <v>0.57907344603979705</v>
      </c>
      <c r="P70" s="195">
        <f t="shared" si="43"/>
        <v>0.5794532512190147</v>
      </c>
      <c r="Q70" s="195">
        <f t="shared" si="43"/>
        <v>0.57892839359652415</v>
      </c>
      <c r="R70" s="195">
        <f t="shared" si="43"/>
        <v>0.57692402289290534</v>
      </c>
      <c r="S70" s="195">
        <f t="shared" si="43"/>
        <v>0.57232634177549113</v>
      </c>
      <c r="T70" s="195">
        <f t="shared" si="43"/>
        <v>0.56175877755388703</v>
      </c>
      <c r="U70" s="195">
        <f t="shared" si="43"/>
        <v>0.52895991558094113</v>
      </c>
      <c r="V70" s="195">
        <f t="shared" si="43"/>
        <v>0.51431324761372677</v>
      </c>
      <c r="W70" s="195">
        <f t="shared" si="43"/>
        <v>0.49294989554389285</v>
      </c>
      <c r="X70" s="195">
        <f t="shared" si="43"/>
        <v>0.45896003941604369</v>
      </c>
      <c r="Y70" s="195" t="e">
        <f t="shared" si="43"/>
        <v>#DIV/0!</v>
      </c>
    </row>
    <row r="72" spans="1:26" x14ac:dyDescent="0.2">
      <c r="A72" t="s">
        <v>165</v>
      </c>
    </row>
    <row r="73" spans="1:26" x14ac:dyDescent="0.2">
      <c r="A73" t="s">
        <v>147</v>
      </c>
      <c r="B73" s="94">
        <v>0</v>
      </c>
      <c r="C73" s="94">
        <v>0.05</v>
      </c>
      <c r="D73" s="94">
        <v>0.1</v>
      </c>
      <c r="E73" s="94">
        <v>0.15000000000000002</v>
      </c>
      <c r="F73" s="94">
        <v>0.2</v>
      </c>
      <c r="G73" s="94">
        <v>0.25</v>
      </c>
      <c r="H73" s="94">
        <v>0.3</v>
      </c>
      <c r="I73" s="94">
        <v>0.35</v>
      </c>
      <c r="J73" s="94">
        <v>0.39999999999999997</v>
      </c>
      <c r="K73" s="94">
        <v>0.44999999999999996</v>
      </c>
      <c r="L73" s="94">
        <v>0.49999999999999994</v>
      </c>
      <c r="M73" s="94">
        <v>0.54999999999999993</v>
      </c>
      <c r="N73" s="94">
        <v>0.6</v>
      </c>
      <c r="O73" s="94">
        <v>0.65</v>
      </c>
      <c r="P73" s="94">
        <v>0.70000000000000007</v>
      </c>
      <c r="Q73" s="94">
        <v>0.75000000000000011</v>
      </c>
      <c r="R73" s="94">
        <v>0.80000000000000016</v>
      </c>
      <c r="S73" s="94">
        <v>0.8500000000000002</v>
      </c>
      <c r="T73" s="94">
        <v>0.90000000000000024</v>
      </c>
      <c r="U73" s="94">
        <v>0.95000000000000029</v>
      </c>
      <c r="V73" s="94">
        <v>0.9600000000000003</v>
      </c>
      <c r="W73" s="94">
        <v>0.97000000000000031</v>
      </c>
      <c r="X73" s="94">
        <v>0.98000000000000032</v>
      </c>
      <c r="Y73" s="94">
        <v>0.99000000000000032</v>
      </c>
    </row>
    <row r="74" spans="1:26" x14ac:dyDescent="0.2">
      <c r="A74" t="s">
        <v>89</v>
      </c>
      <c r="B74" s="80">
        <f>NeoClassical!B$24</f>
        <v>3196.3846373657216</v>
      </c>
      <c r="C74" s="80">
        <f>NeoClassical!D$24</f>
        <v>3237.6544569924158</v>
      </c>
      <c r="D74" s="80">
        <f>NeoClassical!F$24</f>
        <v>3279.7238960619552</v>
      </c>
      <c r="E74" s="80">
        <f>NeoClassical!H$24</f>
        <v>3322.708598394388</v>
      </c>
      <c r="F74" s="80">
        <f>NeoClassical!J$24</f>
        <v>3366.7460615871896</v>
      </c>
      <c r="G74" s="80">
        <f>NeoClassical!L$24</f>
        <v>3411.9991694491487</v>
      </c>
      <c r="H74" s="80">
        <f>NeoClassical!N$24</f>
        <v>3458.6653648411666</v>
      </c>
      <c r="I74" s="80">
        <f>NeoClassical!P$24</f>
        <v>3506.9833303982059</v>
      </c>
      <c r="J74" s="80">
        <f>NeoClassical!R$24</f>
        <v>3557.2461490173609</v>
      </c>
      <c r="K74" s="80">
        <f>NeoClassical!T$24</f>
        <v>3609.8175318279773</v>
      </c>
      <c r="L74" s="80">
        <f>NeoClassical!V$24</f>
        <v>3665.1557403324177</v>
      </c>
      <c r="M74" s="80">
        <f>NeoClassical!X$24</f>
        <v>3723.8477684499567</v>
      </c>
      <c r="N74" s="80">
        <f>NeoClassical!Z$24</f>
        <v>3786.6609353187746</v>
      </c>
      <c r="O74" s="80">
        <f>NeoClassical!AB$24</f>
        <v>3854.6236765065701</v>
      </c>
      <c r="P74" s="80">
        <f>NeoClassical!AD$24</f>
        <v>3929.1535216265625</v>
      </c>
      <c r="Q74" s="80">
        <f>NeoClassical!AF$24</f>
        <v>4012.259543644996</v>
      </c>
      <c r="R74" s="80">
        <f>NeoClassical!AH$24</f>
        <v>4106.8073726964121</v>
      </c>
      <c r="S74" s="80">
        <f>NeoClassical!AJ$24</f>
        <v>4216.3587039716913</v>
      </c>
      <c r="T74" s="80">
        <f>NeoClassical!AL$24</f>
        <v>4339.2353161061455</v>
      </c>
      <c r="U74" s="80">
        <f>NeoClassical!AN$24</f>
        <v>4382.0077107197121</v>
      </c>
      <c r="V74" s="80">
        <f>NeoClassical!AP$24</f>
        <v>4321.1790530649687</v>
      </c>
      <c r="W74" s="80">
        <f>NeoClassical!AR$24</f>
        <v>4172.6158204703643</v>
      </c>
      <c r="X74" s="80">
        <f>NeoClassical!AT$24</f>
        <v>3824.5176924652988</v>
      </c>
      <c r="Y74" s="80">
        <f>NeoClassical!AV$24</f>
        <v>2939.4148277011154</v>
      </c>
    </row>
    <row r="75" spans="1:26" x14ac:dyDescent="0.2">
      <c r="A75" t="s">
        <v>90</v>
      </c>
      <c r="B75" s="80">
        <f>Johansen!B$24</f>
        <v>3196.3846373657216</v>
      </c>
      <c r="C75" s="80">
        <f>Johansen!D$24</f>
        <v>3201.9722965431783</v>
      </c>
      <c r="D75" s="80">
        <f>Johansen!F$24</f>
        <v>3207.1985356069981</v>
      </c>
      <c r="E75" s="80">
        <f>Johansen!H$24</f>
        <v>3212.002084448161</v>
      </c>
      <c r="F75" s="80">
        <f>Johansen!J$24</f>
        <v>3216.3066815986363</v>
      </c>
      <c r="G75" s="80">
        <f>Johansen!L$24</f>
        <v>3220.0159583043323</v>
      </c>
      <c r="H75" s="80">
        <f>Johansen!N$24</f>
        <v>3223.0067458925519</v>
      </c>
      <c r="I75" s="80">
        <f>Johansen!P$24</f>
        <v>3225.1187948346851</v>
      </c>
      <c r="J75" s="80">
        <f>Johansen!R$24</f>
        <v>3226.140066291006</v>
      </c>
      <c r="K75" s="80">
        <f>Johansen!T$24</f>
        <v>3225.7842667626041</v>
      </c>
      <c r="L75" s="80">
        <f>Johansen!V$24</f>
        <v>3223.6554559448623</v>
      </c>
      <c r="M75" s="80">
        <f>Johansen!X$24</f>
        <v>3219.1907280801224</v>
      </c>
      <c r="N75" s="80">
        <f>Johansen!Z$24</f>
        <v>3211.5625894589739</v>
      </c>
      <c r="O75" s="80">
        <f>Johansen!AB$24</f>
        <v>3199.5035426572808</v>
      </c>
      <c r="P75" s="80">
        <f>Johansen!AD$24</f>
        <v>3180.9685201115522</v>
      </c>
      <c r="Q75" s="80">
        <f>Johansen!AF$24</f>
        <v>3152.4248189497089</v>
      </c>
      <c r="R75" s="80">
        <f>Johansen!AH$24</f>
        <v>3107.1687891714805</v>
      </c>
      <c r="S75" s="80">
        <f>Johansen!AJ$24</f>
        <v>3030.6056555426067</v>
      </c>
      <c r="T75" s="80">
        <f>Johansen!AL$24</f>
        <v>2883.1651957919835</v>
      </c>
      <c r="U75" s="80">
        <f>Johansen!AN$24</f>
        <v>2504.6707360149107</v>
      </c>
      <c r="V75" s="80">
        <f>Johansen!AP$24</f>
        <v>2347.3134551889452</v>
      </c>
      <c r="W75" s="80">
        <f>Johansen!AR$24</f>
        <v>2122.7771443512129</v>
      </c>
      <c r="X75" s="80">
        <f>Johansen!AT$24</f>
        <v>1779.0194728324691</v>
      </c>
      <c r="Y75" s="80">
        <f>Johansen!AV$24</f>
        <v>1194.0007708095484</v>
      </c>
    </row>
    <row r="76" spans="1:26" x14ac:dyDescent="0.2">
      <c r="A76" t="s">
        <v>143</v>
      </c>
      <c r="B76" s="80">
        <f>Kaldorian!B$24</f>
        <v>3196.3846373657216</v>
      </c>
      <c r="C76" s="80">
        <f>Kaldorian!D$24</f>
        <v>3201.9716082563859</v>
      </c>
      <c r="D76" s="80">
        <f>Kaldorian!F$24</f>
        <v>3207.197654799636</v>
      </c>
      <c r="E76" s="80">
        <f>Kaldorian!H$24</f>
        <v>3212.0015754670685</v>
      </c>
      <c r="F76" s="80">
        <f>Kaldorian!J$24</f>
        <v>3216.3071903790792</v>
      </c>
      <c r="G76" s="80">
        <f>Kaldorian!L$24</f>
        <v>3220.0181764820713</v>
      </c>
      <c r="H76" s="80">
        <f>Kaldorian!N$24</f>
        <v>3223.0115398482144</v>
      </c>
      <c r="I76" s="80">
        <f>Kaldorian!P$24</f>
        <v>3225.1272687524997</v>
      </c>
      <c r="J76" s="80">
        <f>Kaldorian!R$24</f>
        <v>3226.1536601213793</v>
      </c>
      <c r="K76" s="80">
        <f>Kaldorian!T$24</f>
        <v>3225.8047786150923</v>
      </c>
      <c r="L76" s="80">
        <f>Kaldorian!V$24</f>
        <v>3223.6852356269274</v>
      </c>
      <c r="M76" s="80">
        <f>Kaldorian!X$24</f>
        <v>3219.2326416907213</v>
      </c>
      <c r="N76" s="80">
        <f>Kaldorian!Z$24</f>
        <v>3211.6200550609401</v>
      </c>
      <c r="O76" s="80">
        <f>Kaldorian!AB$24</f>
        <v>3199.5801248386383</v>
      </c>
      <c r="P76" s="80">
        <f>Kaldorian!AD$24</f>
        <v>3181.0671769898322</v>
      </c>
      <c r="Q76" s="80">
        <f>Kaldorian!AF$24</f>
        <v>3152.5458907704142</v>
      </c>
      <c r="R76" s="80">
        <f>Kaldorian!AH$24</f>
        <v>3107.3060244734647</v>
      </c>
      <c r="S76" s="80">
        <f>Kaldorian!AJ$24</f>
        <v>3030.7378578115254</v>
      </c>
      <c r="T76" s="80">
        <f>Kaldorian!AL$24</f>
        <v>2883.245714763882</v>
      </c>
      <c r="U76" s="80">
        <f>Kaldorian!AN$24</f>
        <v>0</v>
      </c>
      <c r="V76" s="80">
        <f>Kaldorian!AP$24</f>
        <v>0</v>
      </c>
      <c r="W76" s="80">
        <f>Kaldorian!AR$24</f>
        <v>0</v>
      </c>
      <c r="X76" s="80">
        <f>Kaldorian!AT$24</f>
        <v>0</v>
      </c>
      <c r="Y76" s="80">
        <f>Kaldorian!AV$24</f>
        <v>0</v>
      </c>
    </row>
    <row r="77" spans="1:26" x14ac:dyDescent="0.2">
      <c r="A77" t="s">
        <v>146</v>
      </c>
      <c r="B77" s="80">
        <f>'Keynes-K'!B$24</f>
        <v>3196.3846373657216</v>
      </c>
      <c r="C77" s="80">
        <f>'Keynes-K'!D$24</f>
        <v>3219.7433760007066</v>
      </c>
      <c r="D77" s="80">
        <f>'Keynes-K'!F$24</f>
        <v>3241.0041391508844</v>
      </c>
      <c r="E77" s="80">
        <f>'Keynes-K'!H$24</f>
        <v>3260.0199002960712</v>
      </c>
      <c r="F77" s="80">
        <f>'Keynes-K'!J$24</f>
        <v>3276.5723368188792</v>
      </c>
      <c r="G77" s="80">
        <f>'Keynes-K'!L$24</f>
        <v>3290.3532660387832</v>
      </c>
      <c r="H77" s="80">
        <f>'Keynes-K'!N$24</f>
        <v>3300.9363680839724</v>
      </c>
      <c r="I77" s="80">
        <f>'Keynes-K'!P$24</f>
        <v>3307.7358304846975</v>
      </c>
      <c r="J77" s="80">
        <f>'Keynes-K'!R$24</f>
        <v>3309.9438721225342</v>
      </c>
      <c r="K77" s="80">
        <f>'Keynes-K'!T$24</f>
        <v>3306.4349364891796</v>
      </c>
      <c r="L77" s="80">
        <f>'Keynes-K'!V$24</f>
        <v>3295.6149239606666</v>
      </c>
      <c r="M77" s="80">
        <f>'Keynes-K'!X$24</f>
        <v>3275.1763158969625</v>
      </c>
      <c r="N77" s="80">
        <f>'Keynes-K'!Z$24</f>
        <v>3241.6855001161107</v>
      </c>
      <c r="O77" s="80">
        <f>'Keynes-K'!AB$24</f>
        <v>3189.8566086251562</v>
      </c>
      <c r="P77" s="80">
        <f>'Keynes-K'!AD$24</f>
        <v>3111.2087109449831</v>
      </c>
      <c r="Q77" s="80">
        <f>'Keynes-K'!AF$24</f>
        <v>2991.4486369883384</v>
      </c>
      <c r="R77" s="80">
        <f>'Keynes-K'!AH$24</f>
        <v>2805.1050326467544</v>
      </c>
      <c r="S77" s="80">
        <f>'Keynes-K'!AJ$24</f>
        <v>2504.3572522468767</v>
      </c>
      <c r="T77" s="80">
        <f>'Keynes-K'!AL$24</f>
        <v>1999.1693360847185</v>
      </c>
      <c r="U77" s="80">
        <f>'Keynes-K'!AN$24</f>
        <v>0</v>
      </c>
      <c r="V77" s="80">
        <f>'Keynes-K'!AP$24</f>
        <v>0</v>
      </c>
      <c r="W77" s="80">
        <f>'Keynes-K'!AR$24</f>
        <v>0</v>
      </c>
      <c r="X77" s="80">
        <f>'Keynes-K'!AT$24</f>
        <v>0</v>
      </c>
      <c r="Y77" s="80">
        <f>'Keynes-K'!AV$24</f>
        <v>0</v>
      </c>
    </row>
    <row r="78" spans="1:26" x14ac:dyDescent="0.2">
      <c r="A78" t="s">
        <v>144</v>
      </c>
      <c r="B78" s="80">
        <f>'Keynes-M'!B$24</f>
        <v>3196.3846373657216</v>
      </c>
      <c r="C78" s="80">
        <f>'Keynes-M'!D$24</f>
        <v>3249.1218537627788</v>
      </c>
      <c r="D78" s="80">
        <f>'Keynes-M'!F$24</f>
        <v>3302.1886451665082</v>
      </c>
      <c r="E78" s="80">
        <f>'Keynes-M'!H$24</f>
        <v>3355.7112764421481</v>
      </c>
      <c r="F78" s="80">
        <f>'Keynes-M'!J$24</f>
        <v>3409.8406320129229</v>
      </c>
      <c r="G78" s="80">
        <f>'Keynes-M'!L$24</f>
        <v>3464.7709125136525</v>
      </c>
      <c r="H78" s="80">
        <f>'Keynes-M'!N$24</f>
        <v>3520.7693605015293</v>
      </c>
      <c r="I78" s="80">
        <f>'Keynes-M'!P$24</f>
        <v>3578.2274180523727</v>
      </c>
      <c r="J78" s="80">
        <f>'Keynes-M'!R$24</f>
        <v>3637.7465905433587</v>
      </c>
      <c r="K78" s="80">
        <f>'Keynes-M'!T$24</f>
        <v>3700.2903170008776</v>
      </c>
      <c r="L78" s="80">
        <f>'Keynes-M'!V$24</f>
        <v>3767.457607077436</v>
      </c>
      <c r="M78" s="80">
        <f>'Keynes-M'!X$24</f>
        <v>3841.985629787755</v>
      </c>
      <c r="N78" s="80">
        <f>'Keynes-M'!Z$24</f>
        <v>3928.6571173247598</v>
      </c>
      <c r="O78" s="80">
        <f>'Keynes-M'!AB$24</f>
        <v>4035.7320928849817</v>
      </c>
      <c r="P78" s="80">
        <f>'Keynes-M'!AD$24</f>
        <v>4176.0715633904965</v>
      </c>
      <c r="Q78" s="80">
        <f>'Keynes-M'!AF$24</f>
        <v>0</v>
      </c>
      <c r="R78" s="80">
        <f>'Keynes-M'!AH$24</f>
        <v>0</v>
      </c>
      <c r="S78" s="80">
        <f>'Keynes-M'!AJ$24</f>
        <v>0</v>
      </c>
      <c r="T78" s="80">
        <f>'Keynes-M'!AL$24</f>
        <v>0</v>
      </c>
      <c r="U78" s="80">
        <f>'Keynes-M'!AN$24</f>
        <v>0</v>
      </c>
      <c r="V78" s="80">
        <f>'Keynes-M'!AP$24</f>
        <v>0</v>
      </c>
      <c r="W78" s="80">
        <f>'Keynes-M'!AR$24</f>
        <v>0</v>
      </c>
      <c r="X78" s="80">
        <f>'Keynes-M'!AT$24</f>
        <v>0</v>
      </c>
      <c r="Y78" s="80">
        <f>'Keynes-M'!AV$24</f>
        <v>0</v>
      </c>
    </row>
    <row r="79" spans="1:26" x14ac:dyDescent="0.2">
      <c r="A79" t="s">
        <v>145</v>
      </c>
      <c r="B79" s="80">
        <f>Keynesian!B$24</f>
        <v>3196.3846373657216</v>
      </c>
      <c r="C79" s="80">
        <f>Keynesian!D$24</f>
        <v>3131.0029133829412</v>
      </c>
      <c r="D79" s="80">
        <f>Keynesian!F$24</f>
        <v>3058.048768791497</v>
      </c>
      <c r="E79" s="80">
        <f>Keynesian!H$24</f>
        <v>2976.7346201699329</v>
      </c>
      <c r="F79" s="80">
        <f>Keynesian!J$24</f>
        <v>2886.244487338925</v>
      </c>
      <c r="G79" s="80">
        <f>Keynesian!L$24</f>
        <v>2785.7757007636096</v>
      </c>
      <c r="H79" s="80">
        <f>Keynesian!N$24</f>
        <v>2674.5938496796966</v>
      </c>
      <c r="I79" s="80">
        <f>Keynesian!P$24</f>
        <v>2552.1341148542601</v>
      </c>
      <c r="J79" s="80">
        <f>Keynesian!R$24</f>
        <v>2418.1592200807436</v>
      </c>
      <c r="K79" s="80">
        <f>Keynesian!T$24</f>
        <v>2273.0490741286271</v>
      </c>
      <c r="L79" s="80">
        <f>Keynesian!V$24</f>
        <v>2118.4472752239803</v>
      </c>
      <c r="M79" s="80">
        <f>Keynesian!X$24</f>
        <v>1959.1527312153319</v>
      </c>
      <c r="N79" s="80">
        <f>Keynesian!Z$24</f>
        <v>0</v>
      </c>
      <c r="O79" s="80">
        <f>Keynesian!AB$24</f>
        <v>0</v>
      </c>
      <c r="P79" s="80">
        <f>Keynesian!AD$24</f>
        <v>0</v>
      </c>
      <c r="Q79" s="80">
        <f>Keynesian!AF$24</f>
        <v>0</v>
      </c>
      <c r="R79" s="80">
        <f>Keynesian!AH$24</f>
        <v>0</v>
      </c>
      <c r="S79" s="80">
        <f>Keynesian!AJ$24</f>
        <v>0</v>
      </c>
      <c r="T79" s="80">
        <f>Keynesian!AL$24</f>
        <v>0</v>
      </c>
      <c r="U79" s="80">
        <f>Keynesian!AN$24</f>
        <v>0</v>
      </c>
      <c r="V79" s="80">
        <f>Keynesian!AP$24</f>
        <v>0</v>
      </c>
      <c r="W79" s="80">
        <f>Keynesian!AR$24</f>
        <v>0</v>
      </c>
      <c r="X79" s="80">
        <f>Keynesian!AT$24</f>
        <v>0</v>
      </c>
      <c r="Y79" s="80">
        <f>Keynesian!AV$24</f>
        <v>0</v>
      </c>
    </row>
    <row r="80" spans="1:26" x14ac:dyDescent="0.2">
      <c r="A80" t="s">
        <v>158</v>
      </c>
      <c r="B80" s="80">
        <f>'Neo-K1'!B$24</f>
        <v>3196.3846373657216</v>
      </c>
      <c r="C80" s="80">
        <f>'Neo-K1'!D$24</f>
        <v>3206.5724820846635</v>
      </c>
      <c r="D80" s="80">
        <f>'Neo-K1'!F$24</f>
        <v>3213.7286132276354</v>
      </c>
      <c r="E80" s="80">
        <f>'Neo-K1'!H$24</f>
        <v>3217.1903881812123</v>
      </c>
      <c r="F80" s="80">
        <f>'Neo-K1'!J$24</f>
        <v>3216.1207807479122</v>
      </c>
      <c r="G80" s="80">
        <f>'Neo-K1'!L$24</f>
        <v>3209.453314292442</v>
      </c>
      <c r="H80" s="80">
        <f>'Neo-K1'!N$24</f>
        <v>3195.8267800762501</v>
      </c>
      <c r="I80" s="80">
        <f>'Neo-K1'!P$24</f>
        <v>3173.4964212917057</v>
      </c>
      <c r="J80" s="80">
        <f>'Neo-K1'!R$24</f>
        <v>3140.2220245898407</v>
      </c>
      <c r="K80" s="80">
        <f>'Neo-K1'!T$24</f>
        <v>3093.1333731004038</v>
      </c>
      <c r="L80" s="80">
        <f>'Neo-K1'!V$24</f>
        <v>3028.5696904147394</v>
      </c>
      <c r="M80" s="80">
        <f>'Neo-K1'!X$24</f>
        <v>2941.9166681161041</v>
      </c>
      <c r="N80" s="80">
        <f>'Neo-K1'!Z$24</f>
        <v>2827.4631620719747</v>
      </c>
      <c r="O80" s="80">
        <f>'Neo-K1'!AB$24</f>
        <v>2678.3405789613284</v>
      </c>
      <c r="P80" s="80">
        <f>'Neo-K1'!AD$24</f>
        <v>2486.6232501714057</v>
      </c>
      <c r="Q80" s="80">
        <f>'Neo-K1'!AF$24</f>
        <v>2243.6768092172474</v>
      </c>
      <c r="R80" s="80">
        <f>'Neo-K1'!AH$24</f>
        <v>1940.7943867306219</v>
      </c>
      <c r="S80" s="80">
        <f>'Neo-K1'!AJ$24</f>
        <v>1570.056133670749</v>
      </c>
      <c r="T80" s="80">
        <f>'Neo-K1'!AL$24</f>
        <v>1125.2114688975862</v>
      </c>
      <c r="U80" s="80">
        <f>'Neo-K1'!AN$24</f>
        <v>602.32571715823133</v>
      </c>
      <c r="V80" s="80">
        <f>'Neo-K1'!AP$24</f>
        <v>0</v>
      </c>
      <c r="W80" s="80">
        <f>'Neo-K1'!AR$24</f>
        <v>0</v>
      </c>
      <c r="X80" s="80">
        <f>'Neo-K1'!AT$24</f>
        <v>0</v>
      </c>
      <c r="Y80" s="80">
        <f>'Neo-K1'!AV$24</f>
        <v>0</v>
      </c>
    </row>
    <row r="81" spans="1:25" x14ac:dyDescent="0.2">
      <c r="A81" t="s">
        <v>157</v>
      </c>
      <c r="B81" s="80">
        <f>'Neo-K2'!B$24</f>
        <v>3196.3846373657216</v>
      </c>
      <c r="C81" s="80">
        <f>'Neo-K2'!D$24</f>
        <v>3196.3846373657216</v>
      </c>
      <c r="D81" s="80">
        <f>'Neo-K2'!F$24</f>
        <v>3196.3846373657216</v>
      </c>
      <c r="E81" s="80">
        <f>'Neo-K2'!H$24</f>
        <v>3196.3846373657216</v>
      </c>
      <c r="F81" s="80">
        <f>'Neo-K2'!J$24</f>
        <v>3196.3846373657216</v>
      </c>
      <c r="G81" s="80">
        <f>'Neo-K2'!L$24</f>
        <v>3196.3846373657216</v>
      </c>
      <c r="H81" s="80">
        <f>'Neo-K2'!N$24</f>
        <v>3196.3846373657216</v>
      </c>
      <c r="I81" s="80">
        <f>'Neo-K2'!P$24</f>
        <v>3196.3846373657216</v>
      </c>
      <c r="J81" s="80">
        <f>'Neo-K2'!R$24</f>
        <v>3196.3846373657216</v>
      </c>
      <c r="K81" s="80">
        <f>'Neo-K2'!T$24</f>
        <v>3196.3846373657216</v>
      </c>
      <c r="L81" s="80">
        <f>'Neo-K2'!V$24</f>
        <v>3196.3846373657216</v>
      </c>
      <c r="M81" s="80">
        <f>'Neo-K2'!X$24</f>
        <v>3196.3846373657216</v>
      </c>
      <c r="N81" s="80">
        <f>'Neo-K2'!Z$24</f>
        <v>3196.3846373657216</v>
      </c>
      <c r="O81" s="80">
        <f>'Neo-K2'!AB$24</f>
        <v>3196.3846373657216</v>
      </c>
      <c r="P81" s="80">
        <f>'Neo-K2'!AD$24</f>
        <v>3196.3846373657216</v>
      </c>
      <c r="Q81" s="80">
        <f>'Neo-K2'!AF$24</f>
        <v>3196.3846373657216</v>
      </c>
      <c r="R81" s="80">
        <f>'Neo-K2'!AH$24</f>
        <v>3196.3846373657216</v>
      </c>
      <c r="S81" s="80">
        <f>'Neo-K2'!AJ$24</f>
        <v>3196.3846373657216</v>
      </c>
      <c r="T81" s="80">
        <f>'Neo-K2'!AL$24</f>
        <v>3196.3846373657216</v>
      </c>
      <c r="U81" s="80">
        <f>'Neo-K2'!AN$24</f>
        <v>3196.3846373657216</v>
      </c>
      <c r="V81" s="80">
        <f>'Neo-K2'!AP$24</f>
        <v>3196.3846373657216</v>
      </c>
      <c r="W81" s="80">
        <f>'Neo-K2'!AR$24</f>
        <v>3196.3846373657216</v>
      </c>
      <c r="X81" s="80">
        <f>'Neo-K2'!AT$24</f>
        <v>3196.3846373657216</v>
      </c>
      <c r="Y81" s="80">
        <f>'Neo-K2'!AV$24</f>
        <v>0</v>
      </c>
    </row>
    <row r="84" spans="1:25" x14ac:dyDescent="0.2">
      <c r="A84" t="s">
        <v>197</v>
      </c>
      <c r="B84" s="94">
        <f>B33</f>
        <v>0</v>
      </c>
      <c r="C84" s="94">
        <f t="shared" ref="C84:Y92" si="44">C33</f>
        <v>0.05</v>
      </c>
      <c r="D84" s="94">
        <f t="shared" si="44"/>
        <v>0.1</v>
      </c>
      <c r="E84" s="94">
        <f t="shared" si="44"/>
        <v>0.15000000000000002</v>
      </c>
      <c r="F84" s="94">
        <f t="shared" si="44"/>
        <v>0.2</v>
      </c>
      <c r="G84" s="94">
        <f t="shared" si="44"/>
        <v>0.25</v>
      </c>
      <c r="H84" s="94">
        <f t="shared" si="44"/>
        <v>0.3</v>
      </c>
      <c r="I84" s="94">
        <f t="shared" si="44"/>
        <v>0.35</v>
      </c>
      <c r="J84" s="94">
        <f t="shared" si="44"/>
        <v>0.39999999999999997</v>
      </c>
      <c r="K84" s="94">
        <f t="shared" si="44"/>
        <v>0.44999999999999996</v>
      </c>
      <c r="L84" s="94">
        <f t="shared" si="44"/>
        <v>0.49999999999999994</v>
      </c>
      <c r="M84" s="94">
        <f t="shared" si="44"/>
        <v>0.54999999999999993</v>
      </c>
      <c r="N84" s="94">
        <f t="shared" si="44"/>
        <v>0.6</v>
      </c>
      <c r="O84" s="94">
        <f t="shared" si="44"/>
        <v>0.65</v>
      </c>
      <c r="P84" s="94">
        <f t="shared" si="44"/>
        <v>0.70000000000000007</v>
      </c>
      <c r="Q84" s="94">
        <f t="shared" si="44"/>
        <v>0.75000000000000011</v>
      </c>
      <c r="R84" s="94">
        <f t="shared" si="44"/>
        <v>0.80000000000000016</v>
      </c>
      <c r="S84" s="94">
        <f t="shared" si="44"/>
        <v>0.8500000000000002</v>
      </c>
      <c r="T84" s="94">
        <f t="shared" si="44"/>
        <v>0.90000000000000024</v>
      </c>
      <c r="U84" s="94">
        <f t="shared" si="44"/>
        <v>0.95000000000000029</v>
      </c>
      <c r="V84" s="94">
        <f t="shared" si="44"/>
        <v>0.9600000000000003</v>
      </c>
      <c r="W84" s="94">
        <f t="shared" si="44"/>
        <v>0.97000000000000031</v>
      </c>
      <c r="X84" s="94">
        <f t="shared" si="44"/>
        <v>0.98000000000000032</v>
      </c>
      <c r="Y84" s="94">
        <f t="shared" si="44"/>
        <v>0.99000000000000032</v>
      </c>
    </row>
    <row r="85" spans="1:25" x14ac:dyDescent="0.2">
      <c r="A85" t="str">
        <f>A3</f>
        <v>Neoclassical</v>
      </c>
      <c r="B85" s="240">
        <f t="shared" ref="B85:Q92" si="45">B34</f>
        <v>5.7716594496607888E-3</v>
      </c>
      <c r="C85" s="240">
        <f t="shared" si="45"/>
        <v>5.6340422416369225E-2</v>
      </c>
      <c r="D85" s="240">
        <f t="shared" si="45"/>
        <v>0.11199051711865128</v>
      </c>
      <c r="E85" s="240">
        <f t="shared" si="45"/>
        <v>0.17351496300092922</v>
      </c>
      <c r="F85" s="240">
        <f t="shared" si="45"/>
        <v>0.24188314940057037</v>
      </c>
      <c r="G85" s="240">
        <f t="shared" si="45"/>
        <v>0.31828616911698265</v>
      </c>
      <c r="H85" s="240">
        <f t="shared" si="45"/>
        <v>0.40422062067046199</v>
      </c>
      <c r="I85" s="240">
        <f t="shared" si="45"/>
        <v>0.50158354013640671</v>
      </c>
      <c r="J85" s="240">
        <f t="shared" si="45"/>
        <v>0.61283174115509786</v>
      </c>
      <c r="K85" s="240">
        <f t="shared" si="45"/>
        <v>0.74121688597090274</v>
      </c>
      <c r="L85" s="240">
        <f t="shared" si="45"/>
        <v>0.89116175797922303</v>
      </c>
      <c r="M85" s="240">
        <f t="shared" si="45"/>
        <v>1.0688865178865512</v>
      </c>
      <c r="N85" s="240">
        <f t="shared" si="45"/>
        <v>1.2835127321432536</v>
      </c>
      <c r="O85" s="240">
        <f t="shared" si="45"/>
        <v>1.5491470656679502</v>
      </c>
      <c r="P85" s="240">
        <f t="shared" si="45"/>
        <v>1.889145814030561</v>
      </c>
      <c r="Q85" s="240">
        <f t="shared" si="45"/>
        <v>2.3458055244977483</v>
      </c>
      <c r="R85" s="240">
        <f t="shared" si="44"/>
        <v>3.0055989615021641</v>
      </c>
      <c r="S85" s="240">
        <f t="shared" si="44"/>
        <v>4.0785809158236894</v>
      </c>
      <c r="T85" s="240">
        <f t="shared" si="44"/>
        <v>6.2309459641018297</v>
      </c>
      <c r="U85" s="240">
        <f t="shared" si="44"/>
        <v>12.89719099728678</v>
      </c>
      <c r="V85" s="240">
        <f t="shared" si="44"/>
        <v>16.199355745583667</v>
      </c>
      <c r="W85" s="240">
        <f t="shared" si="44"/>
        <v>21.459134273586727</v>
      </c>
      <c r="X85" s="240">
        <f t="shared" si="44"/>
        <v>30.794858605942064</v>
      </c>
      <c r="Y85" s="240">
        <f t="shared" si="44"/>
        <v>50.562785413270085</v>
      </c>
    </row>
    <row r="86" spans="1:25" x14ac:dyDescent="0.2">
      <c r="A86" t="str">
        <f t="shared" ref="A86:A93" si="46">A4</f>
        <v>Kaldorian</v>
      </c>
      <c r="B86" s="240">
        <f t="shared" si="45"/>
        <v>5.7716594496607888E-3</v>
      </c>
      <c r="C86" s="240">
        <f t="shared" si="44"/>
        <v>6.0018488152132461E-2</v>
      </c>
      <c r="D86" s="240">
        <f t="shared" si="44"/>
        <v>0.11972984499864861</v>
      </c>
      <c r="E86" s="240">
        <f t="shared" si="44"/>
        <v>0.18575908956269541</v>
      </c>
      <c r="F86" s="240">
        <f t="shared" si="44"/>
        <v>0.25914665123407377</v>
      </c>
      <c r="G86" s="240">
        <f t="shared" si="44"/>
        <v>0.34117474319920715</v>
      </c>
      <c r="H86" s="240">
        <f t="shared" si="44"/>
        <v>0.43345021558048719</v>
      </c>
      <c r="I86" s="240">
        <f t="shared" si="44"/>
        <v>0.53801042651541475</v>
      </c>
      <c r="J86" s="240">
        <f t="shared" si="44"/>
        <v>0.65749324736465065</v>
      </c>
      <c r="K86" s="240">
        <f t="shared" si="44"/>
        <v>0.79539073393702897</v>
      </c>
      <c r="L86" s="240">
        <f t="shared" si="44"/>
        <v>0.95645586592315968</v>
      </c>
      <c r="M86" s="240">
        <f t="shared" si="44"/>
        <v>1.1473856787091934</v>
      </c>
      <c r="N86" s="240">
        <f t="shared" si="44"/>
        <v>1.3780263476400334</v>
      </c>
      <c r="O86" s="240">
        <f t="shared" si="44"/>
        <v>1.6636869623043427</v>
      </c>
      <c r="P86" s="240">
        <f t="shared" si="44"/>
        <v>2.0298895560149699</v>
      </c>
      <c r="Q86" s="240">
        <f t="shared" si="44"/>
        <v>2.5233074041457773</v>
      </c>
      <c r="R86" s="240">
        <f t="shared" si="44"/>
        <v>3.2405768109372075</v>
      </c>
      <c r="S86" s="240">
        <f t="shared" si="44"/>
        <v>4.4200842657884856</v>
      </c>
      <c r="T86" s="240">
        <f t="shared" si="44"/>
        <v>6.8307369250526948</v>
      </c>
      <c r="U86" s="240">
        <f t="shared" si="44"/>
        <v>0</v>
      </c>
      <c r="V86" s="240">
        <f t="shared" si="44"/>
        <v>0</v>
      </c>
      <c r="W86" s="240">
        <f t="shared" si="44"/>
        <v>0</v>
      </c>
      <c r="X86" s="240">
        <f t="shared" si="44"/>
        <v>0</v>
      </c>
      <c r="Y86" s="240">
        <f t="shared" si="44"/>
        <v>0</v>
      </c>
    </row>
    <row r="87" spans="1:25" x14ac:dyDescent="0.2">
      <c r="A87" t="str">
        <f t="shared" si="46"/>
        <v>Johansen</v>
      </c>
      <c r="B87" s="240">
        <f t="shared" si="45"/>
        <v>5.7716594496607888E-3</v>
      </c>
      <c r="C87" s="240">
        <f t="shared" si="44"/>
        <v>5.8412025453687441E-2</v>
      </c>
      <c r="D87" s="240">
        <f t="shared" si="44"/>
        <v>0.11637870080457262</v>
      </c>
      <c r="E87" s="240">
        <f t="shared" si="44"/>
        <v>0.18050787855361791</v>
      </c>
      <c r="F87" s="240">
        <f t="shared" si="44"/>
        <v>0.25181953585328715</v>
      </c>
      <c r="G87" s="240">
        <f t="shared" si="44"/>
        <v>0.33157043427921851</v>
      </c>
      <c r="H87" s="240">
        <f t="shared" si="44"/>
        <v>0.42133984630661542</v>
      </c>
      <c r="I87" s="240">
        <f t="shared" si="44"/>
        <v>0.52313301293239589</v>
      </c>
      <c r="J87" s="240">
        <f t="shared" si="44"/>
        <v>0.63955138167549797</v>
      </c>
      <c r="K87" s="240">
        <f t="shared" si="44"/>
        <v>0.77404644731365402</v>
      </c>
      <c r="L87" s="240">
        <f t="shared" si="44"/>
        <v>0.93132800298127927</v>
      </c>
      <c r="M87" s="240">
        <f t="shared" si="44"/>
        <v>1.1180484679368559</v>
      </c>
      <c r="N87" s="240">
        <f t="shared" si="44"/>
        <v>1.3440191582309693</v>
      </c>
      <c r="O87" s="240">
        <f t="shared" si="44"/>
        <v>1.6245231589209606</v>
      </c>
      <c r="P87" s="240">
        <f t="shared" si="44"/>
        <v>1.9850972803820952</v>
      </c>
      <c r="Q87" s="240">
        <f t="shared" si="44"/>
        <v>2.4725055493984049</v>
      </c>
      <c r="R87" s="240">
        <f t="shared" si="44"/>
        <v>3.1836406307482599</v>
      </c>
      <c r="S87" s="240">
        <f t="shared" si="44"/>
        <v>4.357552957467651</v>
      </c>
      <c r="T87" s="240">
        <f t="shared" si="44"/>
        <v>6.7649474448554772</v>
      </c>
      <c r="U87" s="240">
        <f t="shared" si="44"/>
        <v>14.403363316437671</v>
      </c>
      <c r="V87" s="240">
        <f t="shared" si="44"/>
        <v>18.192260809379686</v>
      </c>
      <c r="W87" s="240">
        <f t="shared" si="44"/>
        <v>24.166557549921777</v>
      </c>
      <c r="X87" s="240">
        <f t="shared" si="44"/>
        <v>34.505812749837283</v>
      </c>
      <c r="Y87" s="240">
        <f t="shared" si="44"/>
        <v>55.103806057564896</v>
      </c>
    </row>
    <row r="88" spans="1:25" x14ac:dyDescent="0.2">
      <c r="A88" t="str">
        <f t="shared" si="46"/>
        <v>Keynes-Kaldor</v>
      </c>
      <c r="B88" s="240">
        <f t="shared" si="45"/>
        <v>5.7716594496607888E-3</v>
      </c>
      <c r="C88" s="240">
        <f t="shared" si="44"/>
        <v>6.4985953093049581E-2</v>
      </c>
      <c r="D88" s="240">
        <f t="shared" si="44"/>
        <v>0.12969371766314849</v>
      </c>
      <c r="E88" s="240">
        <f t="shared" si="44"/>
        <v>0.20071403028392631</v>
      </c>
      <c r="F88" s="240">
        <f t="shared" si="44"/>
        <v>0.27902583167200923</v>
      </c>
      <c r="G88" s="240">
        <f t="shared" si="44"/>
        <v>0.36581542347599516</v>
      </c>
      <c r="H88" s="240">
        <f t="shared" si="44"/>
        <v>0.46253073257453503</v>
      </c>
      <c r="I88" s="240">
        <f t="shared" si="44"/>
        <v>0.57096616360979158</v>
      </c>
      <c r="J88" s="240">
        <f t="shared" si="44"/>
        <v>0.69337830677308021</v>
      </c>
      <c r="K88" s="240">
        <f t="shared" si="44"/>
        <v>0.83265467356713141</v>
      </c>
      <c r="L88" s="240">
        <f t="shared" si="44"/>
        <v>0.99256655100833457</v>
      </c>
      <c r="M88" s="240">
        <f t="shared" si="44"/>
        <v>1.1781574285789937</v>
      </c>
      <c r="N88" s="240">
        <f t="shared" si="44"/>
        <v>1.3963608508933858</v>
      </c>
      <c r="O88" s="240">
        <f t="shared" si="44"/>
        <v>1.6570044834799456</v>
      </c>
      <c r="P88" s="240">
        <f t="shared" si="44"/>
        <v>1.9744706074160967</v>
      </c>
      <c r="Q88" s="240">
        <f t="shared" si="44"/>
        <v>2.3703517016036724</v>
      </c>
      <c r="R88" s="240">
        <f t="shared" si="44"/>
        <v>2.8770151166975677</v>
      </c>
      <c r="S88" s="240">
        <f t="shared" si="44"/>
        <v>3.5377911409322786</v>
      </c>
      <c r="T88" s="240">
        <f t="shared" si="44"/>
        <v>4.3743779865493186</v>
      </c>
      <c r="U88" s="240">
        <f t="shared" si="44"/>
        <v>0</v>
      </c>
      <c r="V88" s="240">
        <f t="shared" si="44"/>
        <v>0</v>
      </c>
      <c r="W88" s="240">
        <f t="shared" si="44"/>
        <v>0</v>
      </c>
      <c r="X88" s="240">
        <f t="shared" si="44"/>
        <v>0</v>
      </c>
      <c r="Y88" s="240">
        <f t="shared" si="44"/>
        <v>0</v>
      </c>
    </row>
    <row r="89" spans="1:25" x14ac:dyDescent="0.2">
      <c r="A89" t="str">
        <f t="shared" si="46"/>
        <v>Keynes-Marshall</v>
      </c>
      <c r="B89" s="240">
        <f t="shared" si="45"/>
        <v>5.7716594496607888E-3</v>
      </c>
      <c r="C89" s="240">
        <f t="shared" si="44"/>
        <v>6.1523794427630472E-2</v>
      </c>
      <c r="D89" s="240">
        <f t="shared" si="44"/>
        <v>0.12286646391601222</v>
      </c>
      <c r="E89" s="240">
        <f t="shared" si="44"/>
        <v>0.19082706635634183</v>
      </c>
      <c r="F89" s="240">
        <f t="shared" si="44"/>
        <v>0.26674945685701446</v>
      </c>
      <c r="G89" s="240">
        <f t="shared" si="44"/>
        <v>0.35243922216532536</v>
      </c>
      <c r="H89" s="240">
        <f t="shared" si="44"/>
        <v>0.45039681041417007</v>
      </c>
      <c r="I89" s="240">
        <f t="shared" si="44"/>
        <v>0.56420433350983312</v>
      </c>
      <c r="J89" s="240">
        <f t="shared" si="44"/>
        <v>0.69919712522062705</v>
      </c>
      <c r="K89" s="240">
        <f t="shared" si="44"/>
        <v>0.86368887874841127</v>
      </c>
      <c r="L89" s="240">
        <f t="shared" si="44"/>
        <v>1.0713410800859129</v>
      </c>
      <c r="M89" s="240">
        <f t="shared" si="44"/>
        <v>1.346051370381814</v>
      </c>
      <c r="N89" s="240">
        <f t="shared" si="44"/>
        <v>1.7327289508778689</v>
      </c>
      <c r="O89" s="240">
        <f t="shared" si="44"/>
        <v>2.3223251545078041</v>
      </c>
      <c r="P89" s="240">
        <f t="shared" si="44"/>
        <v>3.3103559860164053</v>
      </c>
      <c r="Q89" s="240">
        <f t="shared" si="44"/>
        <v>0</v>
      </c>
      <c r="R89" s="240">
        <f t="shared" si="44"/>
        <v>0</v>
      </c>
      <c r="S89" s="240">
        <f t="shared" si="44"/>
        <v>0</v>
      </c>
      <c r="T89" s="240">
        <f t="shared" si="44"/>
        <v>0</v>
      </c>
      <c r="U89" s="240">
        <f t="shared" si="44"/>
        <v>0</v>
      </c>
      <c r="V89" s="240">
        <f t="shared" si="44"/>
        <v>0</v>
      </c>
      <c r="W89" s="240">
        <f t="shared" si="44"/>
        <v>0</v>
      </c>
      <c r="X89" s="240">
        <f t="shared" si="44"/>
        <v>0</v>
      </c>
      <c r="Y89" s="240">
        <f t="shared" si="44"/>
        <v>0</v>
      </c>
    </row>
    <row r="90" spans="1:25" x14ac:dyDescent="0.2">
      <c r="A90" t="str">
        <f t="shared" si="46"/>
        <v>Keynesian</v>
      </c>
      <c r="B90" s="240">
        <f t="shared" si="45"/>
        <v>5.7716594496607888E-3</v>
      </c>
      <c r="C90" s="240">
        <f t="shared" si="44"/>
        <v>3.4887949747467187E-2</v>
      </c>
      <c r="D90" s="240">
        <f t="shared" si="44"/>
        <v>6.4974668220133536E-2</v>
      </c>
      <c r="E90" s="240">
        <f t="shared" si="44"/>
        <v>9.5933182871647954E-2</v>
      </c>
      <c r="F90" s="240">
        <f t="shared" si="44"/>
        <v>0.12761657711332441</v>
      </c>
      <c r="G90" s="240">
        <f t="shared" si="44"/>
        <v>0.15981900263662782</v>
      </c>
      <c r="H90" s="240">
        <f t="shared" si="44"/>
        <v>0.19226147219898668</v>
      </c>
      <c r="I90" s="240">
        <f t="shared" si="44"/>
        <v>0.22457749022887025</v>
      </c>
      <c r="J90" s="240">
        <f t="shared" si="44"/>
        <v>0.25629108360389857</v>
      </c>
      <c r="K90" s="240">
        <f t="shared" si="44"/>
        <v>0.28677539912445354</v>
      </c>
      <c r="L90" s="240">
        <f t="shared" si="44"/>
        <v>0.31514583404300911</v>
      </c>
      <c r="M90" s="240">
        <f t="shared" si="44"/>
        <v>0.33987571968301161</v>
      </c>
      <c r="N90" s="240">
        <f t="shared" si="44"/>
        <v>0</v>
      </c>
      <c r="O90" s="240">
        <f t="shared" si="44"/>
        <v>0</v>
      </c>
      <c r="P90" s="240">
        <f t="shared" si="44"/>
        <v>0</v>
      </c>
      <c r="Q90" s="240">
        <f t="shared" si="44"/>
        <v>0</v>
      </c>
      <c r="R90" s="240">
        <f t="shared" si="44"/>
        <v>0</v>
      </c>
      <c r="S90" s="240">
        <f t="shared" si="44"/>
        <v>0</v>
      </c>
      <c r="T90" s="240">
        <f t="shared" si="44"/>
        <v>0</v>
      </c>
      <c r="U90" s="240">
        <f t="shared" si="44"/>
        <v>0</v>
      </c>
      <c r="V90" s="240">
        <f t="shared" si="44"/>
        <v>0</v>
      </c>
      <c r="W90" s="240">
        <f t="shared" si="44"/>
        <v>0</v>
      </c>
      <c r="X90" s="240">
        <f t="shared" si="44"/>
        <v>0</v>
      </c>
      <c r="Y90" s="240">
        <f t="shared" si="44"/>
        <v>0</v>
      </c>
    </row>
    <row r="91" spans="1:25" x14ac:dyDescent="0.2">
      <c r="A91" t="str">
        <f t="shared" si="46"/>
        <v>Neo-K2</v>
      </c>
      <c r="B91" s="240">
        <f t="shared" si="45"/>
        <v>5.7716594496607888E-3</v>
      </c>
      <c r="C91" s="240">
        <f t="shared" si="44"/>
        <v>4.4917778515141095E-2</v>
      </c>
      <c r="D91" s="240">
        <f t="shared" si="44"/>
        <v>8.6456810523513644E-2</v>
      </c>
      <c r="E91" s="240">
        <f t="shared" si="44"/>
        <v>0.13047240150606187</v>
      </c>
      <c r="F91" s="240">
        <f t="shared" si="44"/>
        <v>0.17700900885183657</v>
      </c>
      <c r="G91" s="240">
        <f t="shared" si="44"/>
        <v>0.22605436012204813</v>
      </c>
      <c r="H91" s="240">
        <f t="shared" si="44"/>
        <v>0.27752894528211203</v>
      </c>
      <c r="I91" s="240">
        <f t="shared" si="44"/>
        <v>0.33128812712730132</v>
      </c>
      <c r="J91" s="240">
        <f t="shared" si="44"/>
        <v>0.38716317636260794</v>
      </c>
      <c r="K91" s="240">
        <f t="shared" si="44"/>
        <v>0.445093752293997</v>
      </c>
      <c r="L91" s="240">
        <f t="shared" si="44"/>
        <v>0.50546584782775483</v>
      </c>
      <c r="M91" s="240">
        <f t="shared" si="44"/>
        <v>0.56986257292733</v>
      </c>
      <c r="N91" s="240">
        <f t="shared" si="44"/>
        <v>0.64263511160749276</v>
      </c>
      <c r="O91" s="240">
        <f t="shared" si="44"/>
        <v>0.73395424706754175</v>
      </c>
      <c r="P91" s="240">
        <f t="shared" si="44"/>
        <v>0.86544420080066353</v>
      </c>
      <c r="Q91" s="240">
        <f t="shared" si="44"/>
        <v>1.0816195676059328</v>
      </c>
      <c r="R91" s="240">
        <f t="shared" si="44"/>
        <v>1.4836118232853472</v>
      </c>
      <c r="S91" s="240">
        <f t="shared" si="44"/>
        <v>2.3830829977608716</v>
      </c>
      <c r="T91" s="240">
        <f t="shared" si="44"/>
        <v>5.5115504436322844</v>
      </c>
      <c r="U91" s="240">
        <f t="shared" si="44"/>
        <v>47.591296141090531</v>
      </c>
      <c r="V91" s="240">
        <f t="shared" si="44"/>
        <v>113.99512572696543</v>
      </c>
      <c r="W91" s="240">
        <f t="shared" si="44"/>
        <v>387.08883929515122</v>
      </c>
      <c r="X91" s="240">
        <f t="shared" si="44"/>
        <v>2549.6778712153791</v>
      </c>
      <c r="Y91" s="240">
        <f t="shared" si="44"/>
        <v>0</v>
      </c>
    </row>
    <row r="92" spans="1:25" x14ac:dyDescent="0.2">
      <c r="A92" t="str">
        <f t="shared" si="46"/>
        <v>Neo-K1</v>
      </c>
      <c r="B92" s="240">
        <f t="shared" si="45"/>
        <v>5.7716594496607888E-3</v>
      </c>
      <c r="C92" s="240">
        <f t="shared" si="44"/>
        <v>4.8787297405602455E-2</v>
      </c>
      <c r="D92" s="240">
        <f t="shared" si="44"/>
        <v>9.5245209501616149E-2</v>
      </c>
      <c r="E92" s="240">
        <f t="shared" si="44"/>
        <v>0.14551007031592669</v>
      </c>
      <c r="F92" s="240">
        <f t="shared" si="44"/>
        <v>0.19998472232389986</v>
      </c>
      <c r="G92" s="240">
        <f t="shared" si="44"/>
        <v>0.25910912309913853</v>
      </c>
      <c r="H92" s="240">
        <f t="shared" si="44"/>
        <v>0.32335781402291713</v>
      </c>
      <c r="I92" s="240">
        <f t="shared" si="44"/>
        <v>0.39323148481192965</v>
      </c>
      <c r="J92" s="240">
        <f t="shared" si="44"/>
        <v>0.46924077064053921</v>
      </c>
      <c r="K92" s="240">
        <f t="shared" si="44"/>
        <v>0.55188034872198821</v>
      </c>
      <c r="L92" s="240">
        <f t="shared" si="44"/>
        <v>0.64158509512096895</v>
      </c>
      <c r="M92" s="240">
        <f t="shared" si="44"/>
        <v>0.73867089880451509</v>
      </c>
      <c r="N92" s="240">
        <f t="shared" si="44"/>
        <v>0.8432518764428748</v>
      </c>
      <c r="O92" s="240">
        <f t="shared" si="44"/>
        <v>0.95514500589012563</v>
      </c>
      <c r="P92" s="240">
        <f t="shared" si="44"/>
        <v>1.0737741281532478</v>
      </c>
      <c r="Q92" s="240">
        <f t="shared" si="44"/>
        <v>1.1981055897344635</v>
      </c>
      <c r="R92" s="240">
        <f t="shared" si="44"/>
        <v>1.3266528881520494</v>
      </c>
      <c r="S92" s="240">
        <f t="shared" si="44"/>
        <v>1.4575764802207258</v>
      </c>
      <c r="T92" s="240">
        <f t="shared" si="44"/>
        <v>1.5888766537279151</v>
      </c>
      <c r="U92" s="240">
        <f t="shared" si="44"/>
        <v>1.7186267101355763</v>
      </c>
      <c r="V92" s="240">
        <f t="shared" si="44"/>
        <v>0</v>
      </c>
      <c r="W92" s="240">
        <f t="shared" si="44"/>
        <v>0</v>
      </c>
      <c r="X92" s="240">
        <f t="shared" si="44"/>
        <v>0</v>
      </c>
      <c r="Y92" s="240">
        <f t="shared" si="44"/>
        <v>0</v>
      </c>
    </row>
    <row r="93" spans="1:25" x14ac:dyDescent="0.2">
      <c r="A93" t="str">
        <f t="shared" si="46"/>
        <v>Neoclassical - hetero s</v>
      </c>
    </row>
  </sheetData>
  <conditionalFormatting sqref="B49:Y56">
    <cfRule type="containsErrors" dxfId="6" priority="12">
      <formula>ISERROR(B49)</formula>
    </cfRule>
    <cfRule type="containsErrors" priority="14">
      <formula>ISERROR(B49)</formula>
    </cfRule>
  </conditionalFormatting>
  <conditionalFormatting sqref="B63:Y70">
    <cfRule type="containsErrors" dxfId="5" priority="10">
      <formula>ISERROR(B63)</formula>
    </cfRule>
    <cfRule type="containsErrors" priority="11">
      <formula>ISERROR(B63)</formula>
    </cfRule>
  </conditionalFormatting>
  <conditionalFormatting sqref="B74:Y81">
    <cfRule type="cellIs" dxfId="4" priority="8" operator="equal">
      <formula>0</formula>
    </cfRule>
  </conditionalFormatting>
  <conditionalFormatting sqref="B3:Y3 B6:Y10">
    <cfRule type="cellIs" dxfId="3" priority="4" operator="equal">
      <formula>0</formula>
    </cfRule>
  </conditionalFormatting>
  <conditionalFormatting sqref="B11:Y11">
    <cfRule type="cellIs" dxfId="2" priority="3" operator="equal">
      <formula>0</formula>
    </cfRule>
  </conditionalFormatting>
  <conditionalFormatting sqref="B5:Y5">
    <cfRule type="cellIs" dxfId="1" priority="2" operator="equal">
      <formula>0</formula>
    </cfRule>
  </conditionalFormatting>
  <conditionalFormatting sqref="B4:Y4">
    <cfRule type="cellIs" dxfId="0" priority="1" operator="equal">
      <formula>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F0A93-D066-4D42-A55A-9D15F7D88C0A}">
  <dimension ref="A1:Y9"/>
  <sheetViews>
    <sheetView tabSelected="1" workbookViewId="0">
      <selection activeCell="O26" sqref="O26"/>
    </sheetView>
  </sheetViews>
  <sheetFormatPr baseColWidth="10" defaultRowHeight="10" x14ac:dyDescent="0.2"/>
  <sheetData>
    <row r="1" spans="1:25" x14ac:dyDescent="0.2">
      <c r="A1" t="s">
        <v>198</v>
      </c>
      <c r="B1">
        <f>'Diagnosis Indicators'!B2</f>
        <v>0</v>
      </c>
      <c r="C1">
        <f>'Diagnosis Indicators'!C2</f>
        <v>0.05</v>
      </c>
      <c r="D1">
        <f>'Diagnosis Indicators'!D2</f>
        <v>0.1</v>
      </c>
      <c r="E1">
        <f>'Diagnosis Indicators'!E2</f>
        <v>0.15000000000000002</v>
      </c>
      <c r="F1">
        <f>'Diagnosis Indicators'!F2</f>
        <v>0.2</v>
      </c>
      <c r="G1">
        <f>'Diagnosis Indicators'!G2</f>
        <v>0.25</v>
      </c>
      <c r="H1">
        <f>'Diagnosis Indicators'!H2</f>
        <v>0.3</v>
      </c>
      <c r="I1">
        <f>'Diagnosis Indicators'!I2</f>
        <v>0.35</v>
      </c>
      <c r="J1">
        <f>'Diagnosis Indicators'!J2</f>
        <v>0.39999999999999997</v>
      </c>
      <c r="K1">
        <f>'Diagnosis Indicators'!K2</f>
        <v>0.44999999999999996</v>
      </c>
      <c r="L1">
        <f>'Diagnosis Indicators'!L2</f>
        <v>0.49999999999999994</v>
      </c>
      <c r="M1">
        <f>'Diagnosis Indicators'!M2</f>
        <v>0.54999999999999993</v>
      </c>
      <c r="N1">
        <f>'Diagnosis Indicators'!N2</f>
        <v>0.6</v>
      </c>
      <c r="O1">
        <f>'Diagnosis Indicators'!O2</f>
        <v>0.65</v>
      </c>
      <c r="P1">
        <f>'Diagnosis Indicators'!P2</f>
        <v>0.70000000000000007</v>
      </c>
      <c r="Q1">
        <f>'Diagnosis Indicators'!Q2</f>
        <v>0.75000000000000011</v>
      </c>
      <c r="R1">
        <f>'Diagnosis Indicators'!R2</f>
        <v>0.80000000000000016</v>
      </c>
      <c r="S1">
        <f>'Diagnosis Indicators'!S2</f>
        <v>0.8500000000000002</v>
      </c>
      <c r="T1">
        <f>'Diagnosis Indicators'!T2</f>
        <v>0.90000000000000024</v>
      </c>
      <c r="U1">
        <f>'Diagnosis Indicators'!U2</f>
        <v>0.95000000000000029</v>
      </c>
      <c r="V1">
        <f>'Diagnosis Indicators'!V2</f>
        <v>0.9600000000000003</v>
      </c>
      <c r="W1">
        <f>'Diagnosis Indicators'!W2</f>
        <v>0.97000000000000031</v>
      </c>
      <c r="X1">
        <f>'Diagnosis Indicators'!X2</f>
        <v>0.98000000000000032</v>
      </c>
      <c r="Y1">
        <f>'Diagnosis Indicators'!Y2</f>
        <v>0.99000000000000032</v>
      </c>
    </row>
    <row r="2" spans="1:25" x14ac:dyDescent="0.2">
      <c r="A2" t="str">
        <f>'Diagnosis Indicators'!A3</f>
        <v>Neoclassical</v>
      </c>
      <c r="B2">
        <f>'Diagnosis Indicators'!B3</f>
        <v>1.0000000000000027</v>
      </c>
      <c r="C2">
        <f>'Diagnosis Indicators'!C3</f>
        <v>0.99261117474908611</v>
      </c>
      <c r="D2">
        <f>'Diagnosis Indicators'!D3</f>
        <v>0.98464223309285626</v>
      </c>
      <c r="E2">
        <f>'Diagnosis Indicators'!E3</f>
        <v>0.97601017318847605</v>
      </c>
      <c r="F2">
        <f>'Diagnosis Indicators'!F3</f>
        <v>0.96661509488312281</v>
      </c>
      <c r="G2">
        <f>'Diagnosis Indicators'!G3</f>
        <v>0.95633558890784198</v>
      </c>
      <c r="H2">
        <f>'Diagnosis Indicators'!H3</f>
        <v>0.94502247212578638</v>
      </c>
      <c r="I2">
        <f>'Diagnosis Indicators'!I3</f>
        <v>0.93249009163950014</v>
      </c>
      <c r="J2">
        <f>'Diagnosis Indicators'!J3</f>
        <v>0.91850405685896475</v>
      </c>
      <c r="K2">
        <f>'Diagnosis Indicators'!K3</f>
        <v>0.90276354425229566</v>
      </c>
      <c r="L2">
        <f>'Diagnosis Indicators'!L3</f>
        <v>0.88487467424111799</v>
      </c>
      <c r="M2">
        <f>'Diagnosis Indicators'!M3</f>
        <v>0.86430970158845921</v>
      </c>
      <c r="N2">
        <f>'Diagnosis Indicators'!N3</f>
        <v>0.84034139906769378</v>
      </c>
      <c r="O2">
        <f>'Diagnosis Indicators'!O3</f>
        <v>0.81193241915288827</v>
      </c>
      <c r="P2">
        <f>'Diagnosis Indicators'!P3</f>
        <v>0.77753804135788773</v>
      </c>
      <c r="Q2">
        <f>'Diagnosis Indicators'!Q3</f>
        <v>0.73472794828248844</v>
      </c>
      <c r="R2">
        <f>'Diagnosis Indicators'!R3</f>
        <v>0.67939384999138874</v>
      </c>
      <c r="S2">
        <f>'Diagnosis Indicators'!S3</f>
        <v>0.60389434509956497</v>
      </c>
      <c r="T2">
        <f>'Diagnosis Indicators'!T3</f>
        <v>0.49207891212968369</v>
      </c>
      <c r="U2">
        <f>'Diagnosis Indicators'!U3</f>
        <v>0.30421459752711255</v>
      </c>
      <c r="V2">
        <f>'Diagnosis Indicators'!V3</f>
        <v>0.25033499382452062</v>
      </c>
      <c r="W2">
        <f>'Diagnosis Indicators'!W3</f>
        <v>0.18885132611601443</v>
      </c>
      <c r="X2">
        <f>'Diagnosis Indicators'!X3</f>
        <v>0.11971113326993933</v>
      </c>
      <c r="Y2">
        <f>'Diagnosis Indicators'!Y3</f>
        <v>4.7182647169179068E-2</v>
      </c>
    </row>
    <row r="3" spans="1:25" x14ac:dyDescent="0.2">
      <c r="A3" t="str">
        <f>'Diagnosis Indicators'!A4</f>
        <v>Kaldorian</v>
      </c>
      <c r="B3">
        <f>'Diagnosis Indicators'!B4</f>
        <v>1.0000000000000027</v>
      </c>
      <c r="C3">
        <f>'Diagnosis Indicators'!C4</f>
        <v>0.99769642280975579</v>
      </c>
      <c r="D3">
        <f>'Diagnosis Indicators'!D4</f>
        <v>0.99493177327660853</v>
      </c>
      <c r="E3">
        <f>'Diagnosis Indicators'!E4</f>
        <v>0.99163957928331181</v>
      </c>
      <c r="F3">
        <f>'Diagnosis Indicators'!F4</f>
        <v>0.98773942532671533</v>
      </c>
      <c r="G3">
        <f>'Diagnosis Indicators'!G4</f>
        <v>0.98313301196493508</v>
      </c>
      <c r="H3">
        <f>'Diagnosis Indicators'!H4</f>
        <v>0.97769885122160527</v>
      </c>
      <c r="I3">
        <f>'Diagnosis Indicators'!I4</f>
        <v>0.97128466330121743</v>
      </c>
      <c r="J3">
        <f>'Diagnosis Indicators'!J4</f>
        <v>0.96369678072374043</v>
      </c>
      <c r="K3">
        <f>'Diagnosis Indicators'!K4</f>
        <v>0.95468452926313019</v>
      </c>
      <c r="L3">
        <f>'Diagnosis Indicators'!L4</f>
        <v>0.94391681925144277</v>
      </c>
      <c r="M3">
        <f>'Diagnosis Indicators'!M4</f>
        <v>0.93094555826417447</v>
      </c>
      <c r="N3">
        <f>'Diagnosis Indicators'!N4</f>
        <v>0.915146518642448</v>
      </c>
      <c r="O3">
        <f>'Diagnosis Indicators'!O4</f>
        <v>0.89561835466667417</v>
      </c>
      <c r="P3">
        <f>'Diagnosis Indicators'!P4</f>
        <v>0.87100006667740715</v>
      </c>
      <c r="Q3">
        <f>'Diagnosis Indicators'!Q4</f>
        <v>0.83911445081023062</v>
      </c>
      <c r="R3">
        <f>'Diagnosis Indicators'!R4</f>
        <v>0.79620099831299074</v>
      </c>
      <c r="S3">
        <f>'Diagnosis Indicators'!S4</f>
        <v>0.73503775435555796</v>
      </c>
      <c r="T3">
        <f>'Diagnosis Indicators'!T4</f>
        <v>0.6394457871456054</v>
      </c>
    </row>
    <row r="4" spans="1:25" x14ac:dyDescent="0.2">
      <c r="A4" t="str">
        <f>'Diagnosis Indicators'!A5</f>
        <v>Johansen</v>
      </c>
      <c r="B4">
        <f>'Diagnosis Indicators'!B5</f>
        <v>1.0000000000000027</v>
      </c>
      <c r="C4">
        <f>'Diagnosis Indicators'!C5</f>
        <v>0.99771058140676561</v>
      </c>
      <c r="D4">
        <f>'Diagnosis Indicators'!D5</f>
        <v>0.99495938675537765</v>
      </c>
      <c r="E4">
        <f>'Diagnosis Indicators'!E5</f>
        <v>0.99168001128654959</v>
      </c>
      <c r="F4">
        <f>'Diagnosis Indicators'!F5</f>
        <v>0.98779209192748985</v>
      </c>
      <c r="G4">
        <f>'Diagnosis Indicators'!G5</f>
        <v>0.98319735055674051</v>
      </c>
      <c r="H4">
        <f>'Diagnosis Indicators'!H5</f>
        <v>0.97777442220827981</v>
      </c>
      <c r="I4">
        <f>'Diagnosis Indicators'!I5</f>
        <v>0.97137113501580952</v>
      </c>
      <c r="J4">
        <f>'Diagnosis Indicators'!J5</f>
        <v>0.96379394340262636</v>
      </c>
      <c r="K4">
        <f>'Diagnosis Indicators'!K5</f>
        <v>0.95479235086661129</v>
      </c>
      <c r="L4">
        <f>'Diagnosis Indicators'!L5</f>
        <v>0.9440353631196281</v>
      </c>
      <c r="M4">
        <f>'Diagnosis Indicators'!M5</f>
        <v>0.93107497258765259</v>
      </c>
      <c r="N4">
        <f>'Diagnosis Indicators'!N5</f>
        <v>0.91528684461609233</v>
      </c>
      <c r="O4">
        <f>'Diagnosis Indicators'!O5</f>
        <v>0.89576923600357872</v>
      </c>
      <c r="P4">
        <f>'Diagnosis Indicators'!P5</f>
        <v>0.87116009541790684</v>
      </c>
      <c r="Q4">
        <f>'Diagnosis Indicators'!Q5</f>
        <v>0.83927999865846215</v>
      </c>
      <c r="R4">
        <f>'Diagnosis Indicators'!R5</f>
        <v>0.79636402134475015</v>
      </c>
      <c r="S4">
        <f>'Diagnosis Indicators'!S5</f>
        <v>0.73518254803739536</v>
      </c>
      <c r="T4">
        <f>'Diagnosis Indicators'!T5</f>
        <v>0.63954620796199613</v>
      </c>
      <c r="U4">
        <f>'Diagnosis Indicators'!U5</f>
        <v>0.46336326939401401</v>
      </c>
      <c r="V4">
        <f>'Diagnosis Indicators'!V5</f>
        <v>0.40776346796132767</v>
      </c>
      <c r="W4">
        <f>'Diagnosis Indicators'!W5</f>
        <v>0.33999054666096584</v>
      </c>
      <c r="X4">
        <f>'Diagnosis Indicators'!X5</f>
        <v>0.25532667425417083</v>
      </c>
      <c r="Y4">
        <f>'Diagnosis Indicators'!Y5</f>
        <v>0.1462129790014825</v>
      </c>
    </row>
    <row r="5" spans="1:25" x14ac:dyDescent="0.2">
      <c r="A5" t="str">
        <f>'Diagnosis Indicators'!A6</f>
        <v>Keynes-Kaldor</v>
      </c>
      <c r="B5">
        <f>'Diagnosis Indicators'!B6</f>
        <v>1.0000000000000027</v>
      </c>
      <c r="C5">
        <f>'Diagnosis Indicators'!C6</f>
        <v>1.0028090194360666</v>
      </c>
      <c r="D5">
        <f>'Diagnosis Indicators'!D6</f>
        <v>1.0045809972679478</v>
      </c>
      <c r="E5">
        <f>'Diagnosis Indicators'!E6</f>
        <v>1.0052286510626642</v>
      </c>
      <c r="F5">
        <f>'Diagnosis Indicators'!F6</f>
        <v>1.0046362430902582</v>
      </c>
      <c r="G5">
        <f>'Diagnosis Indicators'!G6</f>
        <v>1.0026530370101709</v>
      </c>
      <c r="H5">
        <f>'Diagnosis Indicators'!H6</f>
        <v>0.9990834955410105</v>
      </c>
      <c r="I5">
        <f>'Diagnosis Indicators'!I6</f>
        <v>0.99367379469359551</v>
      </c>
      <c r="J5">
        <f>'Diagnosis Indicators'!J6</f>
        <v>0.98609214024050285</v>
      </c>
      <c r="K5">
        <f>'Diagnosis Indicators'!K6</f>
        <v>0.97589990028358753</v>
      </c>
      <c r="L5">
        <f>'Diagnosis Indicators'!L6</f>
        <v>0.96250827132541006</v>
      </c>
      <c r="M5">
        <f>'Diagnosis Indicators'!M6</f>
        <v>0.94511131015342142</v>
      </c>
      <c r="N5">
        <f>'Diagnosis Indicators'!N6</f>
        <v>0.9225792542523128</v>
      </c>
      <c r="O5">
        <f>'Diagnosis Indicators'!O6</f>
        <v>0.89328199966438693</v>
      </c>
      <c r="P5">
        <f>'Diagnosis Indicators'!P6</f>
        <v>0.85478516745877842</v>
      </c>
      <c r="Q5">
        <f>'Diagnosis Indicators'!Q6</f>
        <v>0.80330439253217223</v>
      </c>
      <c r="R5">
        <f>'Diagnosis Indicators'!R6</f>
        <v>0.73269489385777875</v>
      </c>
      <c r="S5">
        <f>'Diagnosis Indicators'!S6</f>
        <v>0.63261534969308053</v>
      </c>
      <c r="T5">
        <f>'Diagnosis Indicators'!T6</f>
        <v>0.48599610349998562</v>
      </c>
    </row>
    <row r="6" spans="1:25" x14ac:dyDescent="0.2">
      <c r="A6" t="str">
        <f>'Diagnosis Indicators'!A7</f>
        <v>Keynes-Marshall</v>
      </c>
      <c r="B6">
        <f>'Diagnosis Indicators'!B7</f>
        <v>1</v>
      </c>
      <c r="C6">
        <f>'Diagnosis Indicators'!C7</f>
        <v>1.011664907786441</v>
      </c>
      <c r="D6">
        <f>'Diagnosis Indicators'!D7</f>
        <v>1.0229336239405502</v>
      </c>
      <c r="E6">
        <f>'Diagnosis Indicators'!E7</f>
        <v>1.0337805373824198</v>
      </c>
      <c r="F6">
        <f>'Diagnosis Indicators'!F7</f>
        <v>1.0441725952070524</v>
      </c>
      <c r="G6">
        <f>'Diagnosis Indicators'!G7</f>
        <v>1.0540692630642488</v>
      </c>
      <c r="H6">
        <f>'Diagnosis Indicators'!H7</f>
        <v>1.0634227948076387</v>
      </c>
      <c r="I6">
        <f>'Diagnosis Indicators'!I7</f>
        <v>1.0721796865772462</v>
      </c>
      <c r="J6">
        <f>'Diagnosis Indicators'!J7</f>
        <v>1.0802835502926891</v>
      </c>
      <c r="K6">
        <f>'Diagnosis Indicators'!K7</f>
        <v>1.0876812258962563</v>
      </c>
      <c r="L6">
        <f>'Diagnosis Indicators'!L7</f>
        <v>1.0943339453160903</v>
      </c>
      <c r="M6">
        <f>'Diagnosis Indicators'!M7</f>
        <v>1.1002348667412578</v>
      </c>
      <c r="N6">
        <f>'Diagnosis Indicators'!N7</f>
        <v>1.1054232652472213</v>
      </c>
      <c r="O6">
        <f>'Diagnosis Indicators'!O7</f>
        <v>1.1099228412238444</v>
      </c>
      <c r="P6">
        <f>'Diagnosis Indicators'!P7</f>
        <v>1.1132796288556681</v>
      </c>
    </row>
    <row r="7" spans="1:25" x14ac:dyDescent="0.2">
      <c r="A7" t="str">
        <f>'Diagnosis Indicators'!A8</f>
        <v>Keynesian</v>
      </c>
      <c r="B7">
        <f>'Diagnosis Indicators'!B8</f>
        <v>1</v>
      </c>
      <c r="C7">
        <f>'Diagnosis Indicators'!C8</f>
        <v>0.97738974502732823</v>
      </c>
      <c r="D7">
        <f>'Diagnosis Indicators'!D8</f>
        <v>0.95248623605545135</v>
      </c>
      <c r="E7">
        <f>'Diagnosis Indicators'!E8</f>
        <v>0.92507226763515416</v>
      </c>
      <c r="F7">
        <f>'Diagnosis Indicators'!F8</f>
        <v>0.89492553739385217</v>
      </c>
      <c r="G7">
        <f>'Diagnosis Indicators'!G8</f>
        <v>0.86183086119569285</v>
      </c>
      <c r="H7">
        <f>'Diagnosis Indicators'!H8</f>
        <v>0.82559591787403452</v>
      </c>
      <c r="I7">
        <f>'Diagnosis Indicators'!I8</f>
        <v>0.78608000411273626</v>
      </c>
      <c r="J7">
        <f>'Diagnosis Indicators'!J8</f>
        <v>0.74323849191588209</v>
      </c>
      <c r="K7">
        <f>'Diagnosis Indicators'!K8</f>
        <v>0.6972044274990119</v>
      </c>
      <c r="L7">
        <f>'Diagnosis Indicators'!L8</f>
        <v>0.64847162578220041</v>
      </c>
      <c r="M7">
        <f>'Diagnosis Indicators'!M8</f>
        <v>0.59843304916264728</v>
      </c>
    </row>
    <row r="8" spans="1:25" x14ac:dyDescent="0.2">
      <c r="A8" t="str">
        <f>'Diagnosis Indicators'!A9</f>
        <v>Neo-K2</v>
      </c>
      <c r="B8">
        <f>'Diagnosis Indicators'!B9</f>
        <v>1.0000000000000027</v>
      </c>
      <c r="C8">
        <f>'Diagnosis Indicators'!C9</f>
        <v>0.98399349512862877</v>
      </c>
      <c r="D8">
        <f>'Diagnosis Indicators'!D9</f>
        <v>0.96630196897220244</v>
      </c>
      <c r="E8">
        <f>'Diagnosis Indicators'!E9</f>
        <v>0.94665074144809813</v>
      </c>
      <c r="F8">
        <f>'Diagnosis Indicators'!F9</f>
        <v>0.924718097745723</v>
      </c>
      <c r="G8">
        <f>'Diagnosis Indicators'!G9</f>
        <v>0.90013201458946002</v>
      </c>
      <c r="H8">
        <f>'Diagnosis Indicators'!H9</f>
        <v>0.87247435008808871</v>
      </c>
      <c r="I8">
        <f>'Diagnosis Indicators'!I9</f>
        <v>0.84129553445176564</v>
      </c>
      <c r="J8">
        <f>'Diagnosis Indicators'!J9</f>
        <v>0.80614916081231081</v>
      </c>
      <c r="K8">
        <f>'Diagnosis Indicators'!K9</f>
        <v>0.76666010843514143</v>
      </c>
      <c r="L8">
        <f>'Diagnosis Indicators'!L9</f>
        <v>0.7226436242039066</v>
      </c>
      <c r="M8">
        <f>'Diagnosis Indicators'!M9</f>
        <v>0.67428867511801105</v>
      </c>
      <c r="N8">
        <f>'Diagnosis Indicators'!N9</f>
        <v>0.62240240632160626</v>
      </c>
      <c r="O8">
        <f>'Diagnosis Indicators'!O9</f>
        <v>0.56862085931219664</v>
      </c>
      <c r="P8">
        <f>'Diagnosis Indicators'!P9</f>
        <v>0.51532446839863177</v>
      </c>
      <c r="Q8">
        <f>'Diagnosis Indicators'!Q9</f>
        <v>0.46492051443973437</v>
      </c>
      <c r="R8">
        <f>'Diagnosis Indicators'!R9</f>
        <v>0.41861333612317714</v>
      </c>
      <c r="S8">
        <f>'Diagnosis Indicators'!S9</f>
        <v>0.37525413164013927</v>
      </c>
      <c r="T8">
        <f>'Diagnosis Indicators'!T9</f>
        <v>0.32912910271880857</v>
      </c>
      <c r="U8">
        <f>'Diagnosis Indicators'!U9</f>
        <v>0.25813481604920296</v>
      </c>
      <c r="V8">
        <f>'Diagnosis Indicators'!V9</f>
        <v>0.23578102341399376</v>
      </c>
      <c r="W8">
        <f>'Diagnosis Indicators'!W9</f>
        <v>0.20816506650535394</v>
      </c>
      <c r="X8">
        <f>'Diagnosis Indicators'!X9</f>
        <v>0.17233983988929916</v>
      </c>
    </row>
    <row r="9" spans="1:25" x14ac:dyDescent="0.2">
      <c r="A9" t="str">
        <f>'Diagnosis Indicators'!A10</f>
        <v>Neo-K1</v>
      </c>
      <c r="B9">
        <f>'Diagnosis Indicators'!B10</f>
        <v>1.0000000000000027</v>
      </c>
      <c r="C9">
        <f>'Diagnosis Indicators'!C10</f>
        <v>0.98664607403531401</v>
      </c>
      <c r="D9">
        <f>'Diagnosis Indicators'!D10</f>
        <v>0.97207780746084427</v>
      </c>
      <c r="E9">
        <f>'Diagnosis Indicators'!E10</f>
        <v>0.95611107486808411</v>
      </c>
      <c r="F9">
        <f>'Diagnosis Indicators'!F10</f>
        <v>0.93852547588076485</v>
      </c>
      <c r="G9">
        <f>'Diagnosis Indicators'!G10</f>
        <v>0.91905548583719188</v>
      </c>
      <c r="H9">
        <f>'Diagnosis Indicators'!H10</f>
        <v>0.89738093875136349</v>
      </c>
      <c r="I9">
        <f>'Diagnosis Indicators'!I10</f>
        <v>0.87311492677207669</v>
      </c>
      <c r="J9">
        <f>'Diagnosis Indicators'!J10</f>
        <v>0.84579005373328009</v>
      </c>
      <c r="K9">
        <f>'Diagnosis Indicators'!K10</f>
        <v>0.81484422123238709</v>
      </c>
      <c r="L9">
        <f>'Diagnosis Indicators'!L10</f>
        <v>0.77960656491912528</v>
      </c>
      <c r="M9">
        <f>'Diagnosis Indicators'!M10</f>
        <v>0.73928888433010653</v>
      </c>
      <c r="N9">
        <f>'Diagnosis Indicators'!N10</f>
        <v>0.6929869474605177</v>
      </c>
      <c r="O9">
        <f>'Diagnosis Indicators'!O10</f>
        <v>0.63970044076868138</v>
      </c>
      <c r="P9">
        <f>'Diagnosis Indicators'!P10</f>
        <v>0.57838074782905724</v>
      </c>
      <c r="Q9">
        <f>'Diagnosis Indicators'!Q10</f>
        <v>0.50801132468990362</v>
      </c>
      <c r="R9">
        <f>'Diagnosis Indicators'!R10</f>
        <v>0.42771521327746537</v>
      </c>
      <c r="S9">
        <f>'Diagnosis Indicators'!S10</f>
        <v>0.33686886995838811</v>
      </c>
      <c r="T9">
        <f>'Diagnosis Indicators'!T10</f>
        <v>0.23518836519671735</v>
      </c>
      <c r="U9">
        <f>'Diagnosis Indicators'!U10</f>
        <v>0.12275917191273793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4850502-FB6B-4D5D-9DEE-48599F6EC41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3</vt:i4>
      </vt:variant>
      <vt:variant>
        <vt:lpstr>Plages nommées</vt:lpstr>
      </vt:variant>
      <vt:variant>
        <vt:i4>182</vt:i4>
      </vt:variant>
    </vt:vector>
  </HeadingPairs>
  <TitlesOfParts>
    <vt:vector size="200" baseType="lpstr">
      <vt:lpstr>Calibration</vt:lpstr>
      <vt:lpstr>Model</vt:lpstr>
      <vt:lpstr>Results</vt:lpstr>
      <vt:lpstr>NeoClassical</vt:lpstr>
      <vt:lpstr>Johansen</vt:lpstr>
      <vt:lpstr>Kaldorian</vt:lpstr>
      <vt:lpstr>Keynes-M</vt:lpstr>
      <vt:lpstr>Keynesian</vt:lpstr>
      <vt:lpstr>Keynes-K</vt:lpstr>
      <vt:lpstr>Neo-K1</vt:lpstr>
      <vt:lpstr>Neo-K2</vt:lpstr>
      <vt:lpstr>NC heteroS</vt:lpstr>
      <vt:lpstr>Keynes-I</vt:lpstr>
      <vt:lpstr>Diagnosis Indicators</vt:lpstr>
      <vt:lpstr>Utility_Export</vt:lpstr>
      <vt:lpstr>GraphU</vt:lpstr>
      <vt:lpstr>GraphPi</vt:lpstr>
      <vt:lpstr>G Tax</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cp:lastPrinted>2025-06-12T14:47:45Z</cp:lastPrinted>
  <dcterms:created xsi:type="dcterms:W3CDTF">2012-11-16T13:59:17Z</dcterms:created>
  <dcterms:modified xsi:type="dcterms:W3CDTF">2025-07-03T15:29:52Z</dcterms:modified>
</cp:coreProperties>
</file>