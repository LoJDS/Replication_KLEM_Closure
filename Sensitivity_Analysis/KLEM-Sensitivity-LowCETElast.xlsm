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4D89188D-D350-44A5-BA46-922359B40F6C}" xr6:coauthVersionLast="47" xr6:coauthVersionMax="47" xr10:uidLastSave="{00000000-0000-0000-0000-000000000000}"/>
  <bookViews>
    <workbookView xWindow="-110" yWindow="-110" windowWidth="19420" windowHeight="11500" tabRatio="935" firstSheet="6" activeTab="11"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_Export" sheetId="44" r:id="rId19"/>
    <sheet name="PShare_export" sheetId="45" r:id="rId20"/>
    <sheet name="Tax_export" sheetId="46" r:id="rId21"/>
  </sheets>
  <functionGroups builtInGroupCount="19"/>
  <externalReferences>
    <externalReference r:id="rId22"/>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8" i="2" l="1" a="1"/>
  <c r="K57" i="2" a="1"/>
  <c r="K56" i="2" a="1"/>
  <c r="K55" i="2" a="1"/>
  <c r="AV79" i="38" a="1"/>
  <c r="AV79" i="38" s="1"/>
  <c r="AT79" i="38" a="1"/>
  <c r="AT79" i="38" s="1"/>
  <c r="AR79" i="38" a="1"/>
  <c r="AR79" i="38" s="1"/>
  <c r="AP79" i="38" a="1"/>
  <c r="AP79" i="38" s="1"/>
  <c r="AN79" i="38" a="1"/>
  <c r="AN79" i="38" s="1"/>
  <c r="AL79" i="38" a="1"/>
  <c r="AL79" i="38" s="1"/>
  <c r="AJ79" i="38" a="1"/>
  <c r="AJ79" i="38" s="1"/>
  <c r="AH79" i="38" a="1"/>
  <c r="AH79" i="38" s="1"/>
  <c r="AF79" i="38" a="1"/>
  <c r="AF79" i="38" s="1"/>
  <c r="AD79" i="38" a="1"/>
  <c r="AD79" i="38" s="1"/>
  <c r="AB79" i="38" a="1"/>
  <c r="AB79" i="38" s="1"/>
  <c r="Z79" i="38" a="1"/>
  <c r="Z79" i="38" s="1"/>
  <c r="X79" i="38" a="1"/>
  <c r="X79" i="38" s="1"/>
  <c r="V79" i="38" a="1"/>
  <c r="V79" i="38" s="1"/>
  <c r="T79" i="38" a="1"/>
  <c r="T79" i="38" s="1"/>
  <c r="R79" i="38" a="1"/>
  <c r="R79" i="38" s="1"/>
  <c r="P79" i="38" a="1"/>
  <c r="P79" i="38" s="1"/>
  <c r="N79" i="38" a="1"/>
  <c r="N79" i="38" s="1"/>
  <c r="L79" i="38" a="1"/>
  <c r="L79" i="38" s="1"/>
  <c r="J79" i="38" a="1"/>
  <c r="J79" i="38" s="1"/>
  <c r="H79" i="38" a="1"/>
  <c r="H79" i="38" s="1"/>
  <c r="F79" i="38" a="1"/>
  <c r="F79" i="38" s="1"/>
  <c r="D79" i="38" a="1"/>
  <c r="D79" i="38" s="1"/>
  <c r="B79" i="38" a="1"/>
  <c r="B79" i="38" s="1"/>
  <c r="AV78" i="38" a="1"/>
  <c r="AV78" i="38" s="1"/>
  <c r="AT78" i="38" a="1"/>
  <c r="AT78" i="38" s="1"/>
  <c r="AR78" i="38" a="1"/>
  <c r="AR78" i="38" s="1"/>
  <c r="AP78" i="38" a="1"/>
  <c r="AP78" i="38" s="1"/>
  <c r="AN78" i="38" a="1"/>
  <c r="AN78" i="38" s="1"/>
  <c r="AL78" i="38" a="1"/>
  <c r="AL78" i="38" s="1"/>
  <c r="AJ78" i="38" a="1"/>
  <c r="AJ78" i="38" s="1"/>
  <c r="AH78" i="38" a="1"/>
  <c r="AH78" i="38" s="1"/>
  <c r="AF78" i="38" a="1"/>
  <c r="AF78" i="38" s="1"/>
  <c r="AD78" i="38" a="1"/>
  <c r="AD78" i="38" s="1"/>
  <c r="AB78" i="38" a="1"/>
  <c r="AB78" i="38" s="1"/>
  <c r="Z78" i="38" a="1"/>
  <c r="Z78" i="38" s="1"/>
  <c r="X78" i="38" a="1"/>
  <c r="X78" i="38" s="1"/>
  <c r="V78" i="38" a="1"/>
  <c r="V78" i="38" s="1"/>
  <c r="T78" i="38" a="1"/>
  <c r="T78" i="38" s="1"/>
  <c r="R78" i="38" a="1"/>
  <c r="R78" i="38" s="1"/>
  <c r="P78" i="38" a="1"/>
  <c r="P78" i="38" s="1"/>
  <c r="N78" i="38" a="1"/>
  <c r="N78" i="38" s="1"/>
  <c r="L78" i="38" a="1"/>
  <c r="L78" i="38" s="1"/>
  <c r="J78" i="38" a="1"/>
  <c r="J78" i="38" s="1"/>
  <c r="H78" i="38" a="1"/>
  <c r="H78" i="38" s="1"/>
  <c r="F78" i="38" a="1"/>
  <c r="F78" i="38" s="1"/>
  <c r="D78" i="38" a="1"/>
  <c r="D78" i="38" s="1"/>
  <c r="B78" i="38" a="1"/>
  <c r="B78" i="38" s="1"/>
  <c r="AV77" i="38" a="1"/>
  <c r="AV77" i="38" s="1"/>
  <c r="AT77" i="38" a="1"/>
  <c r="AT77" i="38" s="1"/>
  <c r="AR77" i="38" a="1"/>
  <c r="AR77" i="38" s="1"/>
  <c r="AP77" i="38" a="1"/>
  <c r="AP77" i="38" s="1"/>
  <c r="AN77" i="38" a="1"/>
  <c r="AN77" i="38" s="1"/>
  <c r="AL77" i="38" a="1"/>
  <c r="AL77" i="38" s="1"/>
  <c r="AJ77" i="38" a="1"/>
  <c r="AJ77" i="38" s="1"/>
  <c r="AH77" i="38" a="1"/>
  <c r="AH77" i="38" s="1"/>
  <c r="AF77" i="38" a="1"/>
  <c r="AF77" i="38" s="1"/>
  <c r="AD77" i="38" a="1"/>
  <c r="AD77" i="38" s="1"/>
  <c r="AB77" i="38" a="1"/>
  <c r="AB77" i="38" s="1"/>
  <c r="Z77" i="38" a="1"/>
  <c r="Z77" i="38" s="1"/>
  <c r="X77" i="38" a="1"/>
  <c r="X77" i="38" s="1"/>
  <c r="V77" i="38" a="1"/>
  <c r="V77" i="38" s="1"/>
  <c r="T77" i="38" a="1"/>
  <c r="T77" i="38" s="1"/>
  <c r="R77" i="38" a="1"/>
  <c r="R77" i="38" s="1"/>
  <c r="P77" i="38" a="1"/>
  <c r="P77" i="38" s="1"/>
  <c r="N77" i="38" a="1"/>
  <c r="N77" i="38" s="1"/>
  <c r="L77" i="38" a="1"/>
  <c r="L77" i="38" s="1"/>
  <c r="J77" i="38" a="1"/>
  <c r="J77" i="38" s="1"/>
  <c r="H77" i="38" a="1"/>
  <c r="H77" i="38" s="1"/>
  <c r="F77" i="38" a="1"/>
  <c r="F77" i="38" s="1"/>
  <c r="D77" i="38" a="1"/>
  <c r="D77" i="38" s="1"/>
  <c r="B77" i="38" a="1"/>
  <c r="B77" i="38" s="1"/>
  <c r="AV76" i="38" a="1"/>
  <c r="AV76" i="38" s="1"/>
  <c r="AT76" i="38" a="1"/>
  <c r="AT76" i="38" s="1"/>
  <c r="AR76" i="38" a="1"/>
  <c r="AR76" i="38" s="1"/>
  <c r="AP76" i="38" a="1"/>
  <c r="AP76" i="38" s="1"/>
  <c r="AN76" i="38" a="1"/>
  <c r="AN76" i="38" s="1"/>
  <c r="AL76" i="38" a="1"/>
  <c r="AL76" i="38" s="1"/>
  <c r="AJ76" i="38" a="1"/>
  <c r="AJ76" i="38" s="1"/>
  <c r="AH76" i="38" a="1"/>
  <c r="AH76" i="38" s="1"/>
  <c r="AF76" i="38" a="1"/>
  <c r="AF76" i="38" s="1"/>
  <c r="AD76" i="38" a="1"/>
  <c r="AD76" i="38" s="1"/>
  <c r="AB76" i="38" a="1"/>
  <c r="AB76" i="38" s="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X67" i="38" a="1"/>
  <c r="X67" i="38" s="1"/>
  <c r="V67" i="38" a="1"/>
  <c r="V67" i="38" s="1"/>
  <c r="T67" i="38" a="1"/>
  <c r="T67" i="38" s="1"/>
  <c r="R67" i="38" a="1"/>
  <c r="R67" i="38" s="1"/>
  <c r="P67" i="38" a="1"/>
  <c r="P67" i="38" s="1"/>
  <c r="N67" i="38" a="1"/>
  <c r="N67" i="38" s="1"/>
  <c r="L67" i="38" a="1"/>
  <c r="L67" i="38" s="1"/>
  <c r="J67" i="38" a="1"/>
  <c r="J67" i="38" s="1"/>
  <c r="H67" i="38" a="1"/>
  <c r="H67" i="38" s="1"/>
  <c r="F67" i="38" a="1"/>
  <c r="F67" i="38" s="1"/>
  <c r="D67" i="38" a="1"/>
  <c r="D67" i="38" s="1"/>
  <c r="B67" i="38" a="1"/>
  <c r="B67" i="38" s="1"/>
  <c r="AV66" i="38" a="1"/>
  <c r="AV66" i="38" s="1"/>
  <c r="AV68" i="38" s="1"/>
  <c r="AT66" i="38" a="1"/>
  <c r="AT66" i="38" s="1"/>
  <c r="AT68" i="38" s="1"/>
  <c r="AR66" i="38" a="1"/>
  <c r="AR66" i="38" s="1"/>
  <c r="AR68" i="38" s="1"/>
  <c r="AP66" i="38" a="1"/>
  <c r="AP66" i="38" s="1"/>
  <c r="AP68" i="38" s="1"/>
  <c r="AN66" i="38" a="1"/>
  <c r="AN66" i="38" s="1"/>
  <c r="AN68" i="38" s="1"/>
  <c r="AL66" i="38" a="1"/>
  <c r="AL66" i="38" s="1"/>
  <c r="AL68" i="38" s="1"/>
  <c r="AJ66" i="38" a="1"/>
  <c r="AJ66" i="38" s="1"/>
  <c r="AJ68" i="38" s="1"/>
  <c r="AH66" i="38" a="1"/>
  <c r="AH66" i="38" s="1"/>
  <c r="AF66" i="38" a="1"/>
  <c r="AF66" i="38" s="1"/>
  <c r="AD66" i="38" a="1"/>
  <c r="AD66" i="38" s="1"/>
  <c r="AB66" i="38" a="1"/>
  <c r="AB66" i="38" s="1"/>
  <c r="Z66" i="38" a="1"/>
  <c r="Z66" i="38" s="1"/>
  <c r="X66" i="38" a="1"/>
  <c r="X66" i="38" s="1"/>
  <c r="V66" i="38" a="1"/>
  <c r="V66" i="38" s="1"/>
  <c r="T66" i="38" a="1"/>
  <c r="T66" i="38" s="1"/>
  <c r="R66" i="38" a="1"/>
  <c r="R66" i="38" s="1"/>
  <c r="R68" i="38" s="1"/>
  <c r="P66" i="38" a="1"/>
  <c r="P66" i="38" s="1"/>
  <c r="P68" i="38" s="1"/>
  <c r="N66" i="38" a="1"/>
  <c r="N66" i="38" s="1"/>
  <c r="N68" i="38" s="1"/>
  <c r="L66" i="38" a="1"/>
  <c r="L66" i="38" s="1"/>
  <c r="L68" i="38" s="1"/>
  <c r="J66" i="38" a="1"/>
  <c r="J66" i="38" s="1"/>
  <c r="J68" i="38" s="1"/>
  <c r="H66" i="38" a="1"/>
  <c r="H66" i="38" s="1"/>
  <c r="H68" i="38" s="1"/>
  <c r="F66" i="38" a="1"/>
  <c r="F66" i="38" s="1"/>
  <c r="F68" i="38" s="1"/>
  <c r="D66" i="38" a="1"/>
  <c r="D66" i="38" s="1"/>
  <c r="D68" i="38" s="1"/>
  <c r="B66" i="38" a="1"/>
  <c r="B66"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a="1"/>
  <c r="AV58" i="38" s="1"/>
  <c r="AT58" i="38" a="1"/>
  <c r="AT58" i="38" s="1"/>
  <c r="AR58" i="38" a="1"/>
  <c r="AR58" i="38" s="1"/>
  <c r="AP58" i="38"/>
  <c r="AP58" i="38" a="1"/>
  <c r="AN58" i="38" a="1"/>
  <c r="AN58" i="38" s="1"/>
  <c r="AL58" i="38"/>
  <c r="AL58" i="38" a="1"/>
  <c r="AJ58" i="38" a="1"/>
  <c r="AJ58" i="38" s="1"/>
  <c r="AH58" i="38"/>
  <c r="AH58" i="38" a="1"/>
  <c r="AF58" i="38" a="1"/>
  <c r="AF58" i="38" s="1"/>
  <c r="AD58" i="38" a="1"/>
  <c r="AD58" i="38" s="1"/>
  <c r="AB58" i="38" a="1"/>
  <c r="AB58" i="38" s="1"/>
  <c r="Z58" i="38"/>
  <c r="Z58" i="38" a="1"/>
  <c r="X58" i="38" a="1"/>
  <c r="X58" i="38" s="1"/>
  <c r="V58" i="38"/>
  <c r="V58" i="38" a="1"/>
  <c r="T58" i="38" a="1"/>
  <c r="T58" i="38" s="1"/>
  <c r="R58" i="38"/>
  <c r="R58" i="38" a="1"/>
  <c r="P58" i="38" a="1"/>
  <c r="P58" i="38" s="1"/>
  <c r="N58" i="38" a="1"/>
  <c r="N58" i="38" s="1"/>
  <c r="L58" i="38" a="1"/>
  <c r="L58" i="38" s="1"/>
  <c r="J58" i="38"/>
  <c r="J58" i="38" a="1"/>
  <c r="H58" i="38" a="1"/>
  <c r="H58" i="38" s="1"/>
  <c r="F58" i="38"/>
  <c r="F58" i="38" a="1"/>
  <c r="D58" i="38" a="1"/>
  <c r="D58" i="38" s="1"/>
  <c r="B58" i="38"/>
  <c r="B58" i="38" a="1"/>
  <c r="AV57" i="38" a="1"/>
  <c r="AV57" i="38" s="1"/>
  <c r="AT57" i="38" a="1"/>
  <c r="AT57" i="38" s="1"/>
  <c r="AR57" i="38" a="1"/>
  <c r="AR57" i="38" s="1"/>
  <c r="AP57" i="38"/>
  <c r="AP57" i="38" a="1"/>
  <c r="AN57" i="38" a="1"/>
  <c r="AN57" i="38" s="1"/>
  <c r="AL57" i="38"/>
  <c r="AL57" i="38" a="1"/>
  <c r="AJ57" i="38" a="1"/>
  <c r="AJ57" i="38" s="1"/>
  <c r="AH57" i="38"/>
  <c r="AH57" i="38" a="1"/>
  <c r="AF57" i="38" a="1"/>
  <c r="AF57" i="38" s="1"/>
  <c r="AD57" i="38" a="1"/>
  <c r="AD57" i="38" s="1"/>
  <c r="AB57" i="38" a="1"/>
  <c r="AB57" i="38" s="1"/>
  <c r="Z57" i="38"/>
  <c r="Z57" i="38" a="1"/>
  <c r="X57" i="38" a="1"/>
  <c r="X57" i="38" s="1"/>
  <c r="V57" i="38"/>
  <c r="V57" i="38" a="1"/>
  <c r="T57" i="38" a="1"/>
  <c r="T57" i="38" s="1"/>
  <c r="R57" i="38"/>
  <c r="R57" i="38" a="1"/>
  <c r="P57" i="38" a="1"/>
  <c r="P57" i="38" s="1"/>
  <c r="N57" i="38" a="1"/>
  <c r="N57" i="38" s="1"/>
  <c r="L57" i="38" a="1"/>
  <c r="L57" i="38" s="1"/>
  <c r="J57" i="38"/>
  <c r="J57" i="38" a="1"/>
  <c r="H57" i="38" a="1"/>
  <c r="H57" i="38" s="1"/>
  <c r="F57" i="38"/>
  <c r="F57" i="38" a="1"/>
  <c r="D57" i="38" a="1"/>
  <c r="D57" i="38" s="1"/>
  <c r="B57" i="38"/>
  <c r="B57" i="38" a="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V80" i="38" s="1"/>
  <c r="AT55" i="38"/>
  <c r="AT80" i="38" s="1"/>
  <c r="AR55" i="38"/>
  <c r="AR80" i="38" s="1"/>
  <c r="AP55" i="38"/>
  <c r="AP80" i="38" s="1"/>
  <c r="AN55" i="38"/>
  <c r="AN80" i="38" s="1"/>
  <c r="AL55" i="38"/>
  <c r="AL80" i="38" s="1"/>
  <c r="AJ55" i="38"/>
  <c r="AJ80" i="38" s="1"/>
  <c r="AH55" i="38"/>
  <c r="AH80" i="38" s="1"/>
  <c r="AF55" i="38"/>
  <c r="AF80" i="38" s="1"/>
  <c r="AD55" i="38"/>
  <c r="AD80" i="38" s="1"/>
  <c r="AB55" i="38"/>
  <c r="AB80" i="38" s="1"/>
  <c r="Z55" i="38"/>
  <c r="Z80" i="38" s="1"/>
  <c r="X55" i="38"/>
  <c r="X80" i="38" s="1"/>
  <c r="V55" i="38"/>
  <c r="V80" i="38" s="1"/>
  <c r="T55" i="38"/>
  <c r="T80" i="38" s="1"/>
  <c r="R55" i="38"/>
  <c r="R80" i="38" s="1"/>
  <c r="P55" i="38"/>
  <c r="P80" i="38" s="1"/>
  <c r="N55" i="38"/>
  <c r="N80" i="38" s="1"/>
  <c r="L55" i="38"/>
  <c r="L80" i="38" s="1"/>
  <c r="J55" i="38"/>
  <c r="J80" i="38" s="1"/>
  <c r="H55" i="38"/>
  <c r="H80" i="38" s="1"/>
  <c r="F55" i="38"/>
  <c r="F80" i="38" s="1"/>
  <c r="D55" i="38"/>
  <c r="D80" i="38" s="1"/>
  <c r="B55" i="38"/>
  <c r="B80" i="38" s="1"/>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L81" i="38" s="1"/>
  <c r="AJ51" i="38"/>
  <c r="AJ81" i="38" s="1"/>
  <c r="AH51" i="38"/>
  <c r="AH81" i="38" s="1"/>
  <c r="AF51" i="38"/>
  <c r="AF81" i="38" s="1"/>
  <c r="AD51" i="38"/>
  <c r="AD81" i="38" s="1"/>
  <c r="AB51" i="38"/>
  <c r="AB81" i="38" s="1"/>
  <c r="Z51" i="38"/>
  <c r="Z81" i="38" s="1"/>
  <c r="X51" i="38"/>
  <c r="X81" i="38" s="1"/>
  <c r="V51" i="38"/>
  <c r="V81" i="38" s="1"/>
  <c r="T51" i="38"/>
  <c r="T81" i="38" s="1"/>
  <c r="R51" i="38"/>
  <c r="R81" i="38" s="1"/>
  <c r="P51" i="38"/>
  <c r="P81" i="38" s="1"/>
  <c r="N51" i="38"/>
  <c r="N81" i="38" s="1"/>
  <c r="L51" i="38"/>
  <c r="L81" i="38" s="1"/>
  <c r="J51" i="38"/>
  <c r="J81" i="38" s="1"/>
  <c r="H51" i="38"/>
  <c r="H81" i="38" s="1"/>
  <c r="F51" i="38"/>
  <c r="F81" i="38" s="1"/>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a="1"/>
  <c r="AV43" i="38" s="1"/>
  <c r="AT43" i="38" a="1"/>
  <c r="AT43" i="38" s="1"/>
  <c r="AR43" i="38" a="1"/>
  <c r="AR43" i="38" s="1"/>
  <c r="AP43" i="38"/>
  <c r="AP43" i="38" a="1"/>
  <c r="AN43" i="38" a="1"/>
  <c r="AN43" i="38" s="1"/>
  <c r="AL43" i="38"/>
  <c r="AL43" i="38" a="1"/>
  <c r="AJ43" i="38" a="1"/>
  <c r="AJ43" i="38" s="1"/>
  <c r="AH43" i="38"/>
  <c r="AH43" i="38" a="1"/>
  <c r="AF43" i="38" a="1"/>
  <c r="AF43" i="38" s="1"/>
  <c r="AD43" i="38" a="1"/>
  <c r="AD43" i="38" s="1"/>
  <c r="AB43" i="38" a="1"/>
  <c r="AB43" i="38" s="1"/>
  <c r="Z43" i="38"/>
  <c r="Z43" i="38" a="1"/>
  <c r="X43" i="38" a="1"/>
  <c r="X43" i="38" s="1"/>
  <c r="V43" i="38"/>
  <c r="V43" i="38" a="1"/>
  <c r="T43" i="38" a="1"/>
  <c r="T43" i="38" s="1"/>
  <c r="R43" i="38"/>
  <c r="R43" i="38" a="1"/>
  <c r="P43" i="38" a="1"/>
  <c r="P43" i="38" s="1"/>
  <c r="N43" i="38" a="1"/>
  <c r="N43" i="38" s="1"/>
  <c r="L43" i="38" a="1"/>
  <c r="L43" i="38" s="1"/>
  <c r="J43" i="38"/>
  <c r="J43" i="38" a="1"/>
  <c r="H43" i="38" a="1"/>
  <c r="H43" i="38" s="1"/>
  <c r="F43" i="38"/>
  <c r="F43" i="38" a="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D81" i="21"/>
  <c r="AB81" i="21"/>
  <c r="Z81" i="21"/>
  <c r="X81" i="21"/>
  <c r="AT80" i="21"/>
  <c r="AR80" i="21"/>
  <c r="AP80" i="21"/>
  <c r="AN80" i="21"/>
  <c r="N80" i="21"/>
  <c r="L80" i="21"/>
  <c r="J80" i="21"/>
  <c r="H80" i="21"/>
  <c r="AV79" i="21" a="1"/>
  <c r="AV79" i="21" s="1"/>
  <c r="AT79" i="21" a="1"/>
  <c r="AT79" i="21" s="1"/>
  <c r="AR79" i="21" a="1"/>
  <c r="AR79" i="21" s="1"/>
  <c r="AP79" i="21" a="1"/>
  <c r="AP79" i="21" s="1"/>
  <c r="AN79" i="21" a="1"/>
  <c r="AN79" i="21" s="1"/>
  <c r="AL79" i="21" a="1"/>
  <c r="AL79" i="21" s="1"/>
  <c r="AJ79" i="21"/>
  <c r="AJ79" i="21" a="1"/>
  <c r="AH79" i="21"/>
  <c r="AH79" i="21" a="1"/>
  <c r="AF79" i="21" a="1"/>
  <c r="AF79" i="21" s="1"/>
  <c r="AD79" i="21" a="1"/>
  <c r="AD79" i="21" s="1"/>
  <c r="AB79" i="21" a="1"/>
  <c r="AB79" i="21" s="1"/>
  <c r="Z79" i="21" a="1"/>
  <c r="Z79" i="21" s="1"/>
  <c r="X79" i="21" a="1"/>
  <c r="X79" i="21" s="1"/>
  <c r="V79" i="21" a="1"/>
  <c r="V79" i="21" s="1"/>
  <c r="T79" i="21"/>
  <c r="T79" i="21" a="1"/>
  <c r="R79" i="21"/>
  <c r="R79" i="21" a="1"/>
  <c r="P79" i="21" a="1"/>
  <c r="P79" i="21" s="1"/>
  <c r="N79" i="21" a="1"/>
  <c r="N79" i="21" s="1"/>
  <c r="L79" i="21" a="1"/>
  <c r="L79" i="21" s="1"/>
  <c r="J79" i="21" a="1"/>
  <c r="J79" i="21" s="1"/>
  <c r="H79" i="21" a="1"/>
  <c r="H79" i="21" s="1"/>
  <c r="F79" i="21" a="1"/>
  <c r="F79" i="21" s="1"/>
  <c r="D79" i="21"/>
  <c r="D79" i="21" a="1"/>
  <c r="B79" i="21"/>
  <c r="B79" i="21" a="1"/>
  <c r="AV78" i="21" a="1"/>
  <c r="AV78" i="21" s="1"/>
  <c r="AT78" i="21" a="1"/>
  <c r="AT78" i="21" s="1"/>
  <c r="AR78" i="21" a="1"/>
  <c r="AR78" i="21" s="1"/>
  <c r="AP78" i="21" a="1"/>
  <c r="AP78" i="21" s="1"/>
  <c r="AN78" i="21" a="1"/>
  <c r="AN78" i="21" s="1"/>
  <c r="AL78" i="21" a="1"/>
  <c r="AL78" i="21" s="1"/>
  <c r="AJ78" i="21"/>
  <c r="AJ78" i="21" a="1"/>
  <c r="AH78" i="21"/>
  <c r="AH78" i="21" a="1"/>
  <c r="AF78" i="21" a="1"/>
  <c r="AF78" i="21" s="1"/>
  <c r="AD78" i="21" a="1"/>
  <c r="AD78" i="21" s="1"/>
  <c r="AB78" i="21" a="1"/>
  <c r="AB78" i="21" s="1"/>
  <c r="Z78" i="21" a="1"/>
  <c r="Z78" i="21" s="1"/>
  <c r="X78" i="21" a="1"/>
  <c r="X78" i="21" s="1"/>
  <c r="V78" i="21" a="1"/>
  <c r="V78" i="21" s="1"/>
  <c r="T78" i="21"/>
  <c r="T78" i="21" a="1"/>
  <c r="R78" i="21"/>
  <c r="R78" i="21" a="1"/>
  <c r="P78" i="21" a="1"/>
  <c r="P78" i="21" s="1"/>
  <c r="N78" i="21" a="1"/>
  <c r="N78" i="21" s="1"/>
  <c r="L78" i="21" a="1"/>
  <c r="L78" i="21" s="1"/>
  <c r="J78" i="21" a="1"/>
  <c r="J78" i="21" s="1"/>
  <c r="H78" i="21" a="1"/>
  <c r="H78" i="21" s="1"/>
  <c r="F78" i="21" a="1"/>
  <c r="F78" i="21" s="1"/>
  <c r="D78" i="21"/>
  <c r="D78" i="21" a="1"/>
  <c r="B78" i="21"/>
  <c r="B78" i="21" a="1"/>
  <c r="AV77" i="21" a="1"/>
  <c r="AV77" i="21" s="1"/>
  <c r="AT77" i="21" a="1"/>
  <c r="AT77" i="21" s="1"/>
  <c r="AR77" i="21" a="1"/>
  <c r="AR77" i="21" s="1"/>
  <c r="AP77" i="21" a="1"/>
  <c r="AP77" i="21" s="1"/>
  <c r="AN77" i="21" a="1"/>
  <c r="AN77" i="21" s="1"/>
  <c r="AL77" i="21" a="1"/>
  <c r="AL77" i="21" s="1"/>
  <c r="AJ77" i="21"/>
  <c r="AJ77" i="21" a="1"/>
  <c r="AH77" i="21"/>
  <c r="AH77" i="21" a="1"/>
  <c r="AF77" i="21" a="1"/>
  <c r="AF77" i="21" s="1"/>
  <c r="AD77" i="21" a="1"/>
  <c r="AD77" i="21" s="1"/>
  <c r="AB77" i="21" a="1"/>
  <c r="AB77" i="21" s="1"/>
  <c r="Z77" i="21" a="1"/>
  <c r="Z77" i="21" s="1"/>
  <c r="X77" i="21" a="1"/>
  <c r="X77" i="21" s="1"/>
  <c r="V77" i="21" a="1"/>
  <c r="V77" i="21" s="1"/>
  <c r="T77" i="21"/>
  <c r="T77" i="21" a="1"/>
  <c r="R77" i="21"/>
  <c r="R77" i="21" a="1"/>
  <c r="P77" i="21" a="1"/>
  <c r="P77" i="21" s="1"/>
  <c r="N77" i="21" a="1"/>
  <c r="N77" i="21" s="1"/>
  <c r="L77" i="21" a="1"/>
  <c r="L77" i="21" s="1"/>
  <c r="J77" i="21" a="1"/>
  <c r="J77" i="21" s="1"/>
  <c r="H77" i="21" a="1"/>
  <c r="H77" i="21" s="1"/>
  <c r="F77" i="21" a="1"/>
  <c r="F77" i="21" s="1"/>
  <c r="D77" i="21"/>
  <c r="D77" i="21" a="1"/>
  <c r="B77" i="21"/>
  <c r="B77" i="21" a="1"/>
  <c r="AV76" i="21" a="1"/>
  <c r="AV76" i="21" s="1"/>
  <c r="AT76" i="21" a="1"/>
  <c r="AT76" i="21" s="1"/>
  <c r="AR76" i="21" a="1"/>
  <c r="AR76" i="21" s="1"/>
  <c r="AP76" i="21" a="1"/>
  <c r="AP76" i="21" s="1"/>
  <c r="AN76" i="21" a="1"/>
  <c r="AN76" i="21" s="1"/>
  <c r="AL76" i="21" a="1"/>
  <c r="AL76" i="21" s="1"/>
  <c r="AJ76" i="21"/>
  <c r="AJ76" i="21" a="1"/>
  <c r="AH76" i="21"/>
  <c r="AH76" i="21" a="1"/>
  <c r="AF76" i="21" a="1"/>
  <c r="AF76" i="21" s="1"/>
  <c r="AD76" i="21" a="1"/>
  <c r="AD76" i="21" s="1"/>
  <c r="AB76" i="21" a="1"/>
  <c r="AB76" i="21" s="1"/>
  <c r="Z76" i="21" a="1"/>
  <c r="Z76" i="21" s="1"/>
  <c r="X76" i="21" a="1"/>
  <c r="X76" i="21" s="1"/>
  <c r="V76" i="21" a="1"/>
  <c r="V76" i="21" s="1"/>
  <c r="T76" i="21"/>
  <c r="T76" i="21" a="1"/>
  <c r="R76" i="21" a="1"/>
  <c r="R76" i="21" s="1"/>
  <c r="P76" i="21" a="1"/>
  <c r="P76" i="21" s="1"/>
  <c r="N76" i="21" a="1"/>
  <c r="N76" i="21" s="1"/>
  <c r="L76" i="21" a="1"/>
  <c r="L76" i="21" s="1"/>
  <c r="J76" i="21" a="1"/>
  <c r="J76" i="21" s="1"/>
  <c r="H76" i="21" a="1"/>
  <c r="H76" i="21" s="1"/>
  <c r="F76" i="21" a="1"/>
  <c r="F76" i="21" s="1"/>
  <c r="D76" i="21"/>
  <c r="D76" i="21" a="1"/>
  <c r="B76" i="21" a="1"/>
  <c r="B76" i="21" s="1"/>
  <c r="AV75" i="21" a="1"/>
  <c r="AV75" i="21" s="1"/>
  <c r="AT75" i="21" a="1"/>
  <c r="AT75" i="21" s="1"/>
  <c r="AR75" i="21" a="1"/>
  <c r="AR75" i="21" s="1"/>
  <c r="AP75" i="21" a="1"/>
  <c r="AP75" i="21" s="1"/>
  <c r="AN75" i="21" a="1"/>
  <c r="AN75" i="21" s="1"/>
  <c r="AL75" i="21" a="1"/>
  <c r="AL75" i="21" s="1"/>
  <c r="AJ75" i="21"/>
  <c r="AJ75" i="21" a="1"/>
  <c r="AH75" i="21" a="1"/>
  <c r="AH75" i="21" s="1"/>
  <c r="AF75" i="21" a="1"/>
  <c r="AF75" i="21" s="1"/>
  <c r="AD75" i="21" a="1"/>
  <c r="AD75" i="21" s="1"/>
  <c r="AB75" i="21" a="1"/>
  <c r="AB75" i="21" s="1"/>
  <c r="Z75" i="21" a="1"/>
  <c r="Z75" i="21" s="1"/>
  <c r="X75" i="21" a="1"/>
  <c r="X75" i="21" s="1"/>
  <c r="V75" i="21" a="1"/>
  <c r="V75" i="21" s="1"/>
  <c r="T75" i="21"/>
  <c r="T75" i="21" a="1"/>
  <c r="R75" i="21" a="1"/>
  <c r="R75" i="21" s="1"/>
  <c r="P75" i="21" a="1"/>
  <c r="P75" i="21" s="1"/>
  <c r="N75" i="21" a="1"/>
  <c r="N75" i="21" s="1"/>
  <c r="L75" i="21" a="1"/>
  <c r="L75" i="21" s="1"/>
  <c r="J75" i="21" a="1"/>
  <c r="J75" i="21" s="1"/>
  <c r="H75" i="21" a="1"/>
  <c r="H75" i="21" s="1"/>
  <c r="F75" i="21" a="1"/>
  <c r="F75" i="21" s="1"/>
  <c r="D75" i="21"/>
  <c r="D75" i="21" a="1"/>
  <c r="B75" i="21" a="1"/>
  <c r="B75" i="21" s="1"/>
  <c r="AV74" i="21" a="1"/>
  <c r="AV74" i="21" s="1"/>
  <c r="AT74" i="21" a="1"/>
  <c r="AT74" i="21" s="1"/>
  <c r="AR74" i="21" a="1"/>
  <c r="AR74" i="21" s="1"/>
  <c r="AP74" i="21" a="1"/>
  <c r="AP74" i="21" s="1"/>
  <c r="AN74" i="21" a="1"/>
  <c r="AN74" i="21" s="1"/>
  <c r="AL74" i="21" a="1"/>
  <c r="AL74" i="21" s="1"/>
  <c r="AJ74" i="21"/>
  <c r="AJ74" i="21" a="1"/>
  <c r="AH74" i="21" a="1"/>
  <c r="AH74" i="21" s="1"/>
  <c r="AF74" i="21" a="1"/>
  <c r="AF74" i="21" s="1"/>
  <c r="AD74" i="21" a="1"/>
  <c r="AD74" i="21" s="1"/>
  <c r="AB74" i="21" a="1"/>
  <c r="AB74" i="21" s="1"/>
  <c r="Z74" i="21" a="1"/>
  <c r="Z74" i="21" s="1"/>
  <c r="X74" i="21" a="1"/>
  <c r="X74" i="21" s="1"/>
  <c r="V74" i="21" a="1"/>
  <c r="V74" i="21" s="1"/>
  <c r="T74" i="21"/>
  <c r="T74" i="21" a="1"/>
  <c r="R74" i="21" a="1"/>
  <c r="R74" i="21" s="1"/>
  <c r="P74" i="21" a="1"/>
  <c r="P74" i="21" s="1"/>
  <c r="N74" i="21" a="1"/>
  <c r="N74" i="21" s="1"/>
  <c r="L74" i="21" a="1"/>
  <c r="L74" i="21" s="1"/>
  <c r="J74" i="21" a="1"/>
  <c r="J74" i="21" s="1"/>
  <c r="H74" i="21" a="1"/>
  <c r="H74" i="21" s="1"/>
  <c r="F74" i="21" a="1"/>
  <c r="F74" i="21" s="1"/>
  <c r="D74" i="21"/>
  <c r="D74" i="21" a="1"/>
  <c r="B74" i="21" a="1"/>
  <c r="B74" i="21" s="1"/>
  <c r="AV73" i="21" a="1"/>
  <c r="AV73" i="21" s="1"/>
  <c r="AT73" i="21" a="1"/>
  <c r="AT73" i="21" s="1"/>
  <c r="AR73" i="21" a="1"/>
  <c r="AR73" i="21" s="1"/>
  <c r="AP73" i="21" a="1"/>
  <c r="AP73" i="21" s="1"/>
  <c r="AN73" i="21" a="1"/>
  <c r="AN73" i="21" s="1"/>
  <c r="AL73" i="21" a="1"/>
  <c r="AL73" i="21" s="1"/>
  <c r="AJ73" i="21"/>
  <c r="AJ73" i="21" a="1"/>
  <c r="AH73" i="21" a="1"/>
  <c r="AH73" i="21" s="1"/>
  <c r="AF73" i="21" a="1"/>
  <c r="AF73" i="21" s="1"/>
  <c r="AD73" i="21" a="1"/>
  <c r="AD73" i="21" s="1"/>
  <c r="AB73" i="21" a="1"/>
  <c r="AB73" i="21" s="1"/>
  <c r="Z73" i="21" a="1"/>
  <c r="Z73" i="21" s="1"/>
  <c r="X73" i="21" a="1"/>
  <c r="X73" i="21" s="1"/>
  <c r="V73" i="21" a="1"/>
  <c r="V73" i="21" s="1"/>
  <c r="T73" i="21"/>
  <c r="T73" i="21" a="1"/>
  <c r="R73" i="21" a="1"/>
  <c r="R73" i="21" s="1"/>
  <c r="P73" i="21" a="1"/>
  <c r="P73" i="21" s="1"/>
  <c r="N73" i="21" a="1"/>
  <c r="N73" i="21" s="1"/>
  <c r="L73" i="21" a="1"/>
  <c r="L73" i="21" s="1"/>
  <c r="J73" i="21" a="1"/>
  <c r="J73" i="21" s="1"/>
  <c r="H73" i="21" a="1"/>
  <c r="H73" i="21" s="1"/>
  <c r="F73" i="21" a="1"/>
  <c r="F73" i="21" s="1"/>
  <c r="D73" i="21"/>
  <c r="D73" i="21" a="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B69" i="21"/>
  <c r="AV67" i="21" a="1"/>
  <c r="AV67" i="21" s="1"/>
  <c r="AT67" i="21" a="1"/>
  <c r="AT67" i="21" s="1"/>
  <c r="AR67" i="21"/>
  <c r="AR67" i="21" a="1"/>
  <c r="AP67" i="21" a="1"/>
  <c r="AP67" i="21" s="1"/>
  <c r="AN67" i="21" a="1"/>
  <c r="AN67" i="21" s="1"/>
  <c r="AL67" i="21" a="1"/>
  <c r="AL67" i="21" s="1"/>
  <c r="AJ67" i="21" a="1"/>
  <c r="AJ67" i="21" s="1"/>
  <c r="AH67" i="21" a="1"/>
  <c r="AH67" i="21" s="1"/>
  <c r="AF67" i="21" a="1"/>
  <c r="AF67" i="21" s="1"/>
  <c r="AD67" i="21" a="1"/>
  <c r="AD67" i="21" s="1"/>
  <c r="AB67" i="21"/>
  <c r="AB67" i="21" a="1"/>
  <c r="Z67" i="21" a="1"/>
  <c r="Z67" i="21" s="1"/>
  <c r="X67" i="21" a="1"/>
  <c r="X67" i="21" s="1"/>
  <c r="V67" i="21" a="1"/>
  <c r="V67" i="21" s="1"/>
  <c r="T67" i="21" a="1"/>
  <c r="T67" i="21" s="1"/>
  <c r="R67" i="21" a="1"/>
  <c r="R67" i="21" s="1"/>
  <c r="P67" i="21" a="1"/>
  <c r="P67" i="21" s="1"/>
  <c r="N67" i="21" a="1"/>
  <c r="N67" i="21" s="1"/>
  <c r="L67" i="21"/>
  <c r="L67" i="21" a="1"/>
  <c r="J67" i="21" a="1"/>
  <c r="J67" i="21" s="1"/>
  <c r="H67" i="21" a="1"/>
  <c r="H67" i="21" s="1"/>
  <c r="F67" i="21" a="1"/>
  <c r="F67" i="21" s="1"/>
  <c r="D67" i="21" a="1"/>
  <c r="D67" i="21" s="1"/>
  <c r="B67" i="21" a="1"/>
  <c r="B67" i="21" s="1"/>
  <c r="AV66" i="21" a="1"/>
  <c r="AV66" i="21" s="1"/>
  <c r="AT66" i="21" a="1"/>
  <c r="AT66" i="21" s="1"/>
  <c r="AR66" i="21"/>
  <c r="AR68" i="21" s="1"/>
  <c r="AR66" i="21" a="1"/>
  <c r="AP66" i="21" a="1"/>
  <c r="AP66" i="21" s="1"/>
  <c r="AP68" i="21" s="1"/>
  <c r="AN66" i="21" a="1"/>
  <c r="AN66" i="21" s="1"/>
  <c r="AN68" i="21" s="1"/>
  <c r="AL66" i="21" a="1"/>
  <c r="AL66" i="21" s="1"/>
  <c r="AJ66" i="21" a="1"/>
  <c r="AJ66" i="21" s="1"/>
  <c r="AJ68" i="21" s="1"/>
  <c r="AH66" i="21" a="1"/>
  <c r="AH66" i="21" s="1"/>
  <c r="AH68" i="21" s="1"/>
  <c r="AF66" i="21" a="1"/>
  <c r="AF66" i="21" s="1"/>
  <c r="AD66" i="21" a="1"/>
  <c r="AD66" i="21" s="1"/>
  <c r="AB66" i="21"/>
  <c r="AB68" i="21" s="1"/>
  <c r="AB66" i="21" a="1"/>
  <c r="Z66" i="21" a="1"/>
  <c r="Z66" i="21" s="1"/>
  <c r="X66" i="21" a="1"/>
  <c r="X66" i="21" s="1"/>
  <c r="V66" i="21" a="1"/>
  <c r="V66" i="21" s="1"/>
  <c r="T66" i="21" a="1"/>
  <c r="T66" i="21" s="1"/>
  <c r="R66" i="21" a="1"/>
  <c r="R66" i="21" s="1"/>
  <c r="P66" i="21" a="1"/>
  <c r="P66" i="21" s="1"/>
  <c r="P68" i="21" s="1"/>
  <c r="N66" i="21" a="1"/>
  <c r="N66" i="21" s="1"/>
  <c r="N68" i="21" s="1"/>
  <c r="L66" i="21"/>
  <c r="L68" i="21" s="1"/>
  <c r="L66" i="21" a="1"/>
  <c r="J66" i="21" a="1"/>
  <c r="J66" i="21" s="1"/>
  <c r="H66" i="21" a="1"/>
  <c r="H66" i="21" s="1"/>
  <c r="H68" i="21" s="1"/>
  <c r="F66" i="21" a="1"/>
  <c r="F66" i="21" s="1"/>
  <c r="F68" i="21" s="1"/>
  <c r="D66" i="21" a="1"/>
  <c r="D66" i="21" s="1"/>
  <c r="B66" i="21" a="1"/>
  <c r="B66" i="21" s="1"/>
  <c r="AV65" i="21" a="1"/>
  <c r="AV65" i="21" s="1"/>
  <c r="AV69" i="21" s="1"/>
  <c r="AT65" i="21" a="1"/>
  <c r="AT65" i="21" s="1"/>
  <c r="AT69" i="21" s="1"/>
  <c r="AR65" i="21"/>
  <c r="AR69" i="21" s="1"/>
  <c r="AR65" i="21" a="1"/>
  <c r="AP65" i="21" a="1"/>
  <c r="AP65" i="21" s="1"/>
  <c r="AP69" i="21" s="1"/>
  <c r="AN65" i="21" a="1"/>
  <c r="AN65" i="21" s="1"/>
  <c r="AN69" i="21" s="1"/>
  <c r="AL65" i="21" a="1"/>
  <c r="AL65" i="21" s="1"/>
  <c r="AL69" i="21" s="1"/>
  <c r="AJ65" i="21" a="1"/>
  <c r="AJ65" i="21" s="1"/>
  <c r="AJ69" i="21" s="1"/>
  <c r="AH65" i="21" a="1"/>
  <c r="AH65" i="21" s="1"/>
  <c r="AH69" i="21" s="1"/>
  <c r="AF65" i="21" a="1"/>
  <c r="AF65" i="21" s="1"/>
  <c r="AF69" i="21" s="1"/>
  <c r="AD65" i="21" a="1"/>
  <c r="AD65" i="21" s="1"/>
  <c r="AD69" i="21" s="1"/>
  <c r="AB65" i="21"/>
  <c r="AB69" i="21" s="1"/>
  <c r="AB65" i="21" a="1"/>
  <c r="Z65" i="21" a="1"/>
  <c r="Z65" i="21" s="1"/>
  <c r="Z69" i="21" s="1"/>
  <c r="X65" i="21" a="1"/>
  <c r="X65" i="21" s="1"/>
  <c r="X69" i="21" s="1"/>
  <c r="V65" i="21" a="1"/>
  <c r="V65" i="21" s="1"/>
  <c r="V69" i="21" s="1"/>
  <c r="T65" i="21" a="1"/>
  <c r="T65" i="21" s="1"/>
  <c r="T69" i="21" s="1"/>
  <c r="R65" i="21" a="1"/>
  <c r="R65" i="21" s="1"/>
  <c r="R69" i="21" s="1"/>
  <c r="P65" i="21" a="1"/>
  <c r="P65" i="21" s="1"/>
  <c r="P69" i="21" s="1"/>
  <c r="N65" i="21" a="1"/>
  <c r="N65" i="21" s="1"/>
  <c r="N69" i="21" s="1"/>
  <c r="L65" i="21"/>
  <c r="L69" i="21" s="1"/>
  <c r="L65" i="21" a="1"/>
  <c r="J65" i="21" a="1"/>
  <c r="J65" i="21" s="1"/>
  <c r="J69" i="21" s="1"/>
  <c r="H65" i="21" a="1"/>
  <c r="H65" i="21" s="1"/>
  <c r="H69" i="21" s="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c r="AP58" i="21" a="1"/>
  <c r="AN58" i="21" a="1"/>
  <c r="AN58" i="21" s="1"/>
  <c r="AL58" i="21" a="1"/>
  <c r="AL58" i="21" s="1"/>
  <c r="AJ58" i="21" a="1"/>
  <c r="AJ58" i="21" s="1"/>
  <c r="AH58" i="21"/>
  <c r="AH58" i="21" a="1"/>
  <c r="AF58" i="21"/>
  <c r="AF58" i="21" a="1"/>
  <c r="AD58" i="21"/>
  <c r="AD58" i="21" a="1"/>
  <c r="AB58" i="21" a="1"/>
  <c r="AB58" i="21" s="1"/>
  <c r="Z58" i="21"/>
  <c r="Z58" i="21" a="1"/>
  <c r="X58" i="21" a="1"/>
  <c r="X58" i="21" s="1"/>
  <c r="V58" i="21" a="1"/>
  <c r="V58" i="21" s="1"/>
  <c r="T58" i="21" a="1"/>
  <c r="T58" i="21" s="1"/>
  <c r="R58" i="21"/>
  <c r="R58" i="21" a="1"/>
  <c r="P58" i="21"/>
  <c r="P58" i="21" a="1"/>
  <c r="N58" i="21"/>
  <c r="N58" i="21" a="1"/>
  <c r="L58" i="21" a="1"/>
  <c r="L58" i="21" s="1"/>
  <c r="J58" i="21"/>
  <c r="J58" i="21" a="1"/>
  <c r="H58" i="21" a="1"/>
  <c r="H58" i="21" s="1"/>
  <c r="F58" i="21" a="1"/>
  <c r="F58" i="21" s="1"/>
  <c r="D58" i="21" a="1"/>
  <c r="D58" i="21" s="1"/>
  <c r="B58" i="21"/>
  <c r="B58" i="21" a="1"/>
  <c r="AV57" i="21"/>
  <c r="AV57" i="21" a="1"/>
  <c r="AT57" i="21"/>
  <c r="AT57" i="21" a="1"/>
  <c r="AR57" i="21" a="1"/>
  <c r="AR57" i="21" s="1"/>
  <c r="AP57" i="21"/>
  <c r="AP57" i="21" a="1"/>
  <c r="AN57" i="21" a="1"/>
  <c r="AN57" i="21" s="1"/>
  <c r="AL57" i="21" a="1"/>
  <c r="AL57" i="21" s="1"/>
  <c r="AJ57" i="21" a="1"/>
  <c r="AJ57" i="21" s="1"/>
  <c r="AH57" i="21" a="1"/>
  <c r="AH57" i="21" s="1"/>
  <c r="AF57" i="21"/>
  <c r="AF57" i="21" a="1"/>
  <c r="AD57" i="21"/>
  <c r="AD57" i="21" a="1"/>
  <c r="AB57" i="21" a="1"/>
  <c r="AB57" i="21" s="1"/>
  <c r="Z57" i="21"/>
  <c r="Z57" i="21" a="1"/>
  <c r="X57" i="21" a="1"/>
  <c r="X57" i="21" s="1"/>
  <c r="V57" i="21" a="1"/>
  <c r="V57" i="21" s="1"/>
  <c r="T57" i="21" a="1"/>
  <c r="T57" i="21" s="1"/>
  <c r="R57" i="21" a="1"/>
  <c r="R57" i="21" s="1"/>
  <c r="P57" i="21"/>
  <c r="P57" i="21" a="1"/>
  <c r="N57" i="21" a="1"/>
  <c r="N57" i="21" s="1"/>
  <c r="L57" i="21" a="1"/>
  <c r="L57" i="21" s="1"/>
  <c r="J57" i="21" a="1"/>
  <c r="J57" i="21" s="1"/>
  <c r="H57" i="21" a="1"/>
  <c r="H57" i="21" s="1"/>
  <c r="F57" i="21" a="1"/>
  <c r="F57" i="21" s="1"/>
  <c r="D57" i="21" a="1"/>
  <c r="D57" i="21" s="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V80" i="21" s="1"/>
  <c r="AT55" i="21"/>
  <c r="AR55" i="21"/>
  <c r="AP55" i="21"/>
  <c r="AN55" i="21"/>
  <c r="AL55" i="21"/>
  <c r="AL80" i="21" s="1"/>
  <c r="AJ55" i="21"/>
  <c r="AJ80" i="21" s="1"/>
  <c r="AH55" i="21"/>
  <c r="AH80" i="21" s="1"/>
  <c r="AF55" i="21"/>
  <c r="AF80" i="21" s="1"/>
  <c r="AD55" i="21"/>
  <c r="AD80" i="21" s="1"/>
  <c r="AB55" i="21"/>
  <c r="AB80" i="21" s="1"/>
  <c r="Z55" i="21"/>
  <c r="Z80" i="21" s="1"/>
  <c r="X55" i="21"/>
  <c r="X80" i="21" s="1"/>
  <c r="V55" i="21"/>
  <c r="V80" i="21" s="1"/>
  <c r="T55" i="21"/>
  <c r="T80" i="21" s="1"/>
  <c r="R55" i="21"/>
  <c r="R80" i="21" s="1"/>
  <c r="P55" i="21"/>
  <c r="P80" i="21" s="1"/>
  <c r="N55" i="21"/>
  <c r="L55" i="21"/>
  <c r="J55" i="21"/>
  <c r="H55" i="21"/>
  <c r="F55" i="21"/>
  <c r="F80" i="21" s="1"/>
  <c r="D55" i="21"/>
  <c r="D80" i="21" s="1"/>
  <c r="B55" i="21"/>
  <c r="B80" i="21" s="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N81" i="21" s="1"/>
  <c r="AL51" i="21"/>
  <c r="AL81" i="21" s="1"/>
  <c r="AJ51" i="21"/>
  <c r="AJ81" i="21" s="1"/>
  <c r="AH51" i="21"/>
  <c r="AH81" i="21" s="1"/>
  <c r="AF51" i="21"/>
  <c r="AF81" i="21" s="1"/>
  <c r="AD51" i="21"/>
  <c r="AB51" i="21"/>
  <c r="Z51" i="21"/>
  <c r="X51" i="21"/>
  <c r="V51" i="21"/>
  <c r="V81" i="21" s="1"/>
  <c r="T51" i="21"/>
  <c r="T81" i="21" s="1"/>
  <c r="R51" i="21"/>
  <c r="R81" i="21" s="1"/>
  <c r="P51" i="21"/>
  <c r="P81" i="21" s="1"/>
  <c r="N51" i="21"/>
  <c r="N81" i="21" s="1"/>
  <c r="L51" i="21"/>
  <c r="L81" i="21" s="1"/>
  <c r="J51" i="21"/>
  <c r="J81" i="21" s="1"/>
  <c r="H51" i="21"/>
  <c r="H81" i="21" s="1"/>
  <c r="F51" i="21"/>
  <c r="F81" i="21" s="1"/>
  <c r="D51" i="21"/>
  <c r="D81" i="21" s="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a="1"/>
  <c r="AJ43" i="21" s="1"/>
  <c r="AH43" i="21" a="1"/>
  <c r="AH43" i="21" s="1"/>
  <c r="AF43" i="21"/>
  <c r="AF43" i="21" a="1"/>
  <c r="AD43" i="21" a="1"/>
  <c r="AD43" i="21" s="1"/>
  <c r="AB43" i="21" a="1"/>
  <c r="AB43" i="21" s="1"/>
  <c r="Z43" i="21" a="1"/>
  <c r="Z43" i="21" s="1"/>
  <c r="X43" i="21" a="1"/>
  <c r="X43" i="21" s="1"/>
  <c r="V43" i="21" a="1"/>
  <c r="V43" i="21" s="1"/>
  <c r="T43" i="21" a="1"/>
  <c r="T43" i="21" s="1"/>
  <c r="R43" i="21" a="1"/>
  <c r="R43" i="21" s="1"/>
  <c r="P43" i="21"/>
  <c r="P43" i="21" a="1"/>
  <c r="N43" i="21" a="1"/>
  <c r="N43" i="21" s="1"/>
  <c r="L43" i="21" a="1"/>
  <c r="L43" i="21" s="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N81" i="24"/>
  <c r="AL81" i="24"/>
  <c r="AF81" i="24"/>
  <c r="AD81" i="24"/>
  <c r="AB81" i="24"/>
  <c r="H81" i="24"/>
  <c r="F81" i="24"/>
  <c r="AV80" i="24"/>
  <c r="AT80" i="24"/>
  <c r="AR80" i="24"/>
  <c r="AP80" i="24"/>
  <c r="AN80" i="24"/>
  <c r="X80" i="24"/>
  <c r="V80" i="24"/>
  <c r="P80" i="24"/>
  <c r="N80" i="24"/>
  <c r="L80" i="24"/>
  <c r="J80" i="24"/>
  <c r="H80" i="24"/>
  <c r="AV79" i="24" a="1"/>
  <c r="AV79" i="24" s="1"/>
  <c r="AT79" i="24" a="1"/>
  <c r="AT79" i="24" s="1"/>
  <c r="AR79" i="24" a="1"/>
  <c r="AR79" i="24" s="1"/>
  <c r="AP79" i="24" a="1"/>
  <c r="AP79" i="24" s="1"/>
  <c r="AN79" i="24" a="1"/>
  <c r="AN79" i="24" s="1"/>
  <c r="AL79" i="24" a="1"/>
  <c r="AL79" i="24" s="1"/>
  <c r="AJ79" i="24"/>
  <c r="AJ79" i="24" a="1"/>
  <c r="AH79" i="24" a="1"/>
  <c r="AH79" i="24" s="1"/>
  <c r="AF79" i="24" a="1"/>
  <c r="AF79" i="24" s="1"/>
  <c r="AD79" i="24" a="1"/>
  <c r="AD79" i="24" s="1"/>
  <c r="AB79" i="24" a="1"/>
  <c r="AB79" i="24" s="1"/>
  <c r="Z79" i="24" a="1"/>
  <c r="Z79" i="24" s="1"/>
  <c r="X79" i="24" a="1"/>
  <c r="X79" i="24" s="1"/>
  <c r="V79" i="24" a="1"/>
  <c r="V79" i="24" s="1"/>
  <c r="T79" i="24"/>
  <c r="T79" i="24" a="1"/>
  <c r="R79" i="24" a="1"/>
  <c r="R79" i="24" s="1"/>
  <c r="P79" i="24" a="1"/>
  <c r="P79" i="24" s="1"/>
  <c r="N79" i="24" a="1"/>
  <c r="N79" i="24" s="1"/>
  <c r="L79" i="24" a="1"/>
  <c r="L79" i="24" s="1"/>
  <c r="J79" i="24" a="1"/>
  <c r="J79" i="24" s="1"/>
  <c r="H79" i="24" a="1"/>
  <c r="H79" i="24" s="1"/>
  <c r="F79" i="24" a="1"/>
  <c r="F79" i="24" s="1"/>
  <c r="D79" i="24"/>
  <c r="D79" i="24" a="1"/>
  <c r="B79" i="24" a="1"/>
  <c r="B79" i="24" s="1"/>
  <c r="AV78" i="24" a="1"/>
  <c r="AV78" i="24" s="1"/>
  <c r="AT78" i="24" a="1"/>
  <c r="AT78" i="24" s="1"/>
  <c r="AR78" i="24" a="1"/>
  <c r="AR78" i="24" s="1"/>
  <c r="AP78" i="24" a="1"/>
  <c r="AP78" i="24" s="1"/>
  <c r="AN78" i="24" a="1"/>
  <c r="AN78" i="24" s="1"/>
  <c r="AL78" i="24"/>
  <c r="AL78" i="24" a="1"/>
  <c r="AJ78" i="24"/>
  <c r="AJ78" i="24" a="1"/>
  <c r="AH78" i="24" a="1"/>
  <c r="AH78" i="24" s="1"/>
  <c r="AF78" i="24" a="1"/>
  <c r="AF78" i="24" s="1"/>
  <c r="AD78" i="24" a="1"/>
  <c r="AD78" i="24" s="1"/>
  <c r="AB78" i="24" a="1"/>
  <c r="AB78" i="24" s="1"/>
  <c r="Z78" i="24" a="1"/>
  <c r="Z78" i="24" s="1"/>
  <c r="X78" i="24" a="1"/>
  <c r="X78" i="24" s="1"/>
  <c r="V78" i="24" a="1"/>
  <c r="V78" i="24" s="1"/>
  <c r="T78" i="24"/>
  <c r="T78" i="24" a="1"/>
  <c r="R78" i="24" a="1"/>
  <c r="R78" i="24" s="1"/>
  <c r="P78" i="24" a="1"/>
  <c r="P78" i="24" s="1"/>
  <c r="N78" i="24" a="1"/>
  <c r="N78" i="24" s="1"/>
  <c r="L78" i="24" a="1"/>
  <c r="L78" i="24" s="1"/>
  <c r="J78" i="24" a="1"/>
  <c r="J78" i="24" s="1"/>
  <c r="H78" i="24" a="1"/>
  <c r="H78" i="24" s="1"/>
  <c r="F78" i="24" a="1"/>
  <c r="F78" i="24" s="1"/>
  <c r="D78" i="24"/>
  <c r="D78" i="24" a="1"/>
  <c r="B78" i="24" a="1"/>
  <c r="B78" i="24" s="1"/>
  <c r="AV77" i="24" a="1"/>
  <c r="AV77" i="24" s="1"/>
  <c r="AT77" i="24" a="1"/>
  <c r="AT77" i="24" s="1"/>
  <c r="AR77" i="24" a="1"/>
  <c r="AR77" i="24" s="1"/>
  <c r="AP77" i="24" a="1"/>
  <c r="AP77" i="24" s="1"/>
  <c r="AN77" i="24" a="1"/>
  <c r="AN77" i="24" s="1"/>
  <c r="AL77" i="24" a="1"/>
  <c r="AL77" i="24" s="1"/>
  <c r="AJ77" i="24"/>
  <c r="AJ77" i="24" a="1"/>
  <c r="AH77" i="24" a="1"/>
  <c r="AH77" i="24" s="1"/>
  <c r="AF77" i="24" a="1"/>
  <c r="AF77" i="24" s="1"/>
  <c r="AD77" i="24" a="1"/>
  <c r="AD77" i="24" s="1"/>
  <c r="AB77" i="24" a="1"/>
  <c r="AB77" i="24" s="1"/>
  <c r="Z77" i="24" a="1"/>
  <c r="Z77" i="24" s="1"/>
  <c r="X77" i="24" a="1"/>
  <c r="X77" i="24" s="1"/>
  <c r="V77" i="24" a="1"/>
  <c r="V77" i="24" s="1"/>
  <c r="T77" i="24"/>
  <c r="T77" i="24" a="1"/>
  <c r="R77" i="24" a="1"/>
  <c r="R77" i="24" s="1"/>
  <c r="P77" i="24" a="1"/>
  <c r="P77" i="24" s="1"/>
  <c r="N77" i="24" a="1"/>
  <c r="N77" i="24" s="1"/>
  <c r="L77" i="24" a="1"/>
  <c r="L77" i="24" s="1"/>
  <c r="J77" i="24" a="1"/>
  <c r="J77" i="24" s="1"/>
  <c r="H77" i="24" a="1"/>
  <c r="H77" i="24" s="1"/>
  <c r="F77" i="24"/>
  <c r="F77" i="24" a="1"/>
  <c r="D77" i="24"/>
  <c r="D77" i="24" a="1"/>
  <c r="B77" i="24" a="1"/>
  <c r="B77" i="24" s="1"/>
  <c r="AV76" i="24" a="1"/>
  <c r="AV76" i="24" s="1"/>
  <c r="AT76" i="24" a="1"/>
  <c r="AT76" i="24" s="1"/>
  <c r="AR76" i="24" a="1"/>
  <c r="AR76" i="24" s="1"/>
  <c r="AP76" i="24" a="1"/>
  <c r="AP76" i="24" s="1"/>
  <c r="AN76" i="24" a="1"/>
  <c r="AN76" i="24" s="1"/>
  <c r="AL76" i="24" a="1"/>
  <c r="AL76" i="24" s="1"/>
  <c r="AJ76" i="24"/>
  <c r="AJ76" i="24" a="1"/>
  <c r="AH76" i="24" a="1"/>
  <c r="AH76" i="24" s="1"/>
  <c r="AF76" i="24" a="1"/>
  <c r="AF76" i="24" s="1"/>
  <c r="AD76" i="24" a="1"/>
  <c r="AD76" i="24" s="1"/>
  <c r="AB76" i="24" a="1"/>
  <c r="AB76" i="24" s="1"/>
  <c r="Z76" i="24" a="1"/>
  <c r="Z76" i="24" s="1"/>
  <c r="X76" i="24" a="1"/>
  <c r="X76" i="24" s="1"/>
  <c r="V76" i="24" a="1"/>
  <c r="V76" i="24" s="1"/>
  <c r="T76" i="24"/>
  <c r="T76" i="24" a="1"/>
  <c r="R76" i="24" a="1"/>
  <c r="R76" i="24" s="1"/>
  <c r="P76" i="24" a="1"/>
  <c r="P76" i="24" s="1"/>
  <c r="N76" i="24" a="1"/>
  <c r="N76" i="24" s="1"/>
  <c r="L76" i="24" a="1"/>
  <c r="L76" i="24" s="1"/>
  <c r="J76" i="24" a="1"/>
  <c r="J76" i="24" s="1"/>
  <c r="H76" i="24" a="1"/>
  <c r="H76" i="24" s="1"/>
  <c r="F76" i="24" a="1"/>
  <c r="F76" i="24" s="1"/>
  <c r="D76" i="24"/>
  <c r="D76" i="24" a="1"/>
  <c r="B76" i="24" a="1"/>
  <c r="B76" i="24" s="1"/>
  <c r="AV75" i="24" a="1"/>
  <c r="AV75" i="24" s="1"/>
  <c r="AT75" i="24" a="1"/>
  <c r="AT75" i="24" s="1"/>
  <c r="AR75" i="24" a="1"/>
  <c r="AR75" i="24" s="1"/>
  <c r="AP75" i="24" a="1"/>
  <c r="AP75" i="24" s="1"/>
  <c r="AN75" i="24" a="1"/>
  <c r="AN75" i="24" s="1"/>
  <c r="AL75" i="24"/>
  <c r="AL75" i="24" a="1"/>
  <c r="AJ75" i="24"/>
  <c r="AJ75" i="24" a="1"/>
  <c r="AH75" i="24" a="1"/>
  <c r="AH75" i="24" s="1"/>
  <c r="AF75" i="24" a="1"/>
  <c r="AF75" i="24" s="1"/>
  <c r="AD75" i="24" a="1"/>
  <c r="AD75" i="24" s="1"/>
  <c r="AB75" i="24" a="1"/>
  <c r="AB75" i="24" s="1"/>
  <c r="Z75" i="24" a="1"/>
  <c r="Z75" i="24" s="1"/>
  <c r="X75" i="24" a="1"/>
  <c r="X75" i="24" s="1"/>
  <c r="V75" i="24"/>
  <c r="V75" i="24" a="1"/>
  <c r="T75" i="24"/>
  <c r="T75" i="24" a="1"/>
  <c r="R75" i="24" a="1"/>
  <c r="R75" i="24" s="1"/>
  <c r="P75" i="24" a="1"/>
  <c r="P75" i="24" s="1"/>
  <c r="N75" i="24" a="1"/>
  <c r="N75" i="24" s="1"/>
  <c r="L75" i="24" a="1"/>
  <c r="L75" i="24" s="1"/>
  <c r="J75" i="24" a="1"/>
  <c r="J75" i="24" s="1"/>
  <c r="H75" i="24" a="1"/>
  <c r="H75" i="24" s="1"/>
  <c r="F75" i="24" a="1"/>
  <c r="F75" i="24" s="1"/>
  <c r="D75" i="24"/>
  <c r="D75" i="24" a="1"/>
  <c r="B75" i="24" a="1"/>
  <c r="B75" i="24" s="1"/>
  <c r="AV74" i="24" a="1"/>
  <c r="AV74" i="24" s="1"/>
  <c r="AT74" i="24" a="1"/>
  <c r="AT74" i="24" s="1"/>
  <c r="AR74" i="24" a="1"/>
  <c r="AR74" i="24" s="1"/>
  <c r="AP74" i="24" a="1"/>
  <c r="AP74" i="24" s="1"/>
  <c r="AN74" i="24" a="1"/>
  <c r="AN74" i="24" s="1"/>
  <c r="AL74" i="24" a="1"/>
  <c r="AL74" i="24" s="1"/>
  <c r="AJ74" i="24"/>
  <c r="AJ74" i="24" a="1"/>
  <c r="AH74" i="24" a="1"/>
  <c r="AH74" i="24" s="1"/>
  <c r="AF74" i="24" a="1"/>
  <c r="AF74" i="24" s="1"/>
  <c r="AD74" i="24" a="1"/>
  <c r="AD74" i="24" s="1"/>
  <c r="AB74" i="24" a="1"/>
  <c r="AB74" i="24" s="1"/>
  <c r="Z74" i="24" a="1"/>
  <c r="Z74" i="24" s="1"/>
  <c r="X74" i="24" a="1"/>
  <c r="X74" i="24" s="1"/>
  <c r="V74" i="24"/>
  <c r="V74" i="24" a="1"/>
  <c r="T74" i="24"/>
  <c r="T74" i="24" a="1"/>
  <c r="R74" i="24" a="1"/>
  <c r="R74" i="24" s="1"/>
  <c r="P74" i="24" a="1"/>
  <c r="P74" i="24" s="1"/>
  <c r="N74" i="24" a="1"/>
  <c r="N74" i="24" s="1"/>
  <c r="L74" i="24" a="1"/>
  <c r="L74" i="24" s="1"/>
  <c r="J74" i="24" a="1"/>
  <c r="J74" i="24" s="1"/>
  <c r="H74" i="24" a="1"/>
  <c r="H74" i="24" s="1"/>
  <c r="F74" i="24" a="1"/>
  <c r="F74" i="24" s="1"/>
  <c r="D74" i="24"/>
  <c r="D74" i="24" a="1"/>
  <c r="B74" i="24" a="1"/>
  <c r="B74" i="24" s="1"/>
  <c r="AV73" i="24" a="1"/>
  <c r="AV73" i="24" s="1"/>
  <c r="AT73" i="24" a="1"/>
  <c r="AT73" i="24" s="1"/>
  <c r="AR73" i="24" a="1"/>
  <c r="AR73" i="24" s="1"/>
  <c r="AP73" i="24" a="1"/>
  <c r="AP73" i="24" s="1"/>
  <c r="AN73" i="24" a="1"/>
  <c r="AN73" i="24" s="1"/>
  <c r="AL73" i="24" a="1"/>
  <c r="AL73" i="24" s="1"/>
  <c r="AJ73" i="24"/>
  <c r="AJ73" i="24" a="1"/>
  <c r="AH73" i="24" a="1"/>
  <c r="AH73" i="24" s="1"/>
  <c r="AF73" i="24" a="1"/>
  <c r="AF73" i="24" s="1"/>
  <c r="AD73" i="24" a="1"/>
  <c r="AD73" i="24" s="1"/>
  <c r="AB73" i="24" a="1"/>
  <c r="AB73" i="24" s="1"/>
  <c r="Z73" i="24" a="1"/>
  <c r="Z73" i="24" s="1"/>
  <c r="X73" i="24" a="1"/>
  <c r="X73" i="24" s="1"/>
  <c r="V73" i="24" a="1"/>
  <c r="V73" i="24" s="1"/>
  <c r="T73" i="24"/>
  <c r="T73" i="24" a="1"/>
  <c r="R73" i="24" a="1"/>
  <c r="R73" i="24" s="1"/>
  <c r="P73" i="24" a="1"/>
  <c r="P73" i="24" s="1"/>
  <c r="N73" i="24" a="1"/>
  <c r="N73" i="24" s="1"/>
  <c r="L73" i="24" a="1"/>
  <c r="L73" i="24" s="1"/>
  <c r="J73" i="24" a="1"/>
  <c r="J73" i="24" s="1"/>
  <c r="H73" i="24" a="1"/>
  <c r="H73" i="24" s="1"/>
  <c r="F73" i="24"/>
  <c r="F73" i="24" a="1"/>
  <c r="D73" i="24"/>
  <c r="D73" i="24" a="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P69" i="24"/>
  <c r="AN69" i="24"/>
  <c r="L69" i="24"/>
  <c r="J69" i="24"/>
  <c r="B69" i="24"/>
  <c r="AB68" i="24"/>
  <c r="AV67" i="24" a="1"/>
  <c r="AV67" i="24" s="1"/>
  <c r="AT67" i="24"/>
  <c r="AT67" i="24" a="1"/>
  <c r="AR67" i="24"/>
  <c r="AR67" i="24" a="1"/>
  <c r="AP67" i="24" a="1"/>
  <c r="AP67" i="24" s="1"/>
  <c r="AN67" i="24" a="1"/>
  <c r="AN67" i="24" s="1"/>
  <c r="AL67" i="24" a="1"/>
  <c r="AL67" i="24" s="1"/>
  <c r="AJ67" i="24" a="1"/>
  <c r="AJ67" i="24" s="1"/>
  <c r="AH67" i="24" a="1"/>
  <c r="AH67" i="24" s="1"/>
  <c r="AF67" i="24" a="1"/>
  <c r="AF67" i="24" s="1"/>
  <c r="AD67" i="24" a="1"/>
  <c r="AD67" i="24" s="1"/>
  <c r="AB67" i="24"/>
  <c r="AB67" i="24" a="1"/>
  <c r="Z67" i="24" a="1"/>
  <c r="Z67" i="24" s="1"/>
  <c r="Z68" i="24" s="1"/>
  <c r="X67" i="24" a="1"/>
  <c r="X67" i="24" s="1"/>
  <c r="X68" i="24" s="1"/>
  <c r="V67" i="24" a="1"/>
  <c r="V67" i="24" s="1"/>
  <c r="T67" i="24" a="1"/>
  <c r="T67" i="24" s="1"/>
  <c r="R67" i="24" a="1"/>
  <c r="R67" i="24" s="1"/>
  <c r="P67" i="24" a="1"/>
  <c r="P67" i="24" s="1"/>
  <c r="N67" i="24" a="1"/>
  <c r="N67" i="24" s="1"/>
  <c r="L67" i="24"/>
  <c r="L67" i="24" a="1"/>
  <c r="J67" i="24" a="1"/>
  <c r="J67" i="24" s="1"/>
  <c r="H67" i="24" a="1"/>
  <c r="H67" i="24" s="1"/>
  <c r="F67" i="24" a="1"/>
  <c r="F67" i="24" s="1"/>
  <c r="D67" i="24" a="1"/>
  <c r="D67" i="24" s="1"/>
  <c r="B67" i="24" a="1"/>
  <c r="B67" i="24" s="1"/>
  <c r="AV66" i="24" a="1"/>
  <c r="AV66" i="24" s="1"/>
  <c r="AT66" i="24" a="1"/>
  <c r="AT66" i="24" s="1"/>
  <c r="AT68" i="24" s="1"/>
  <c r="AR66" i="24"/>
  <c r="AR66" i="24" a="1"/>
  <c r="AP66" i="24" a="1"/>
  <c r="AP66" i="24" s="1"/>
  <c r="AP68" i="24" s="1"/>
  <c r="AN66" i="24" a="1"/>
  <c r="AN66" i="24" s="1"/>
  <c r="AL66" i="24" a="1"/>
  <c r="AL66" i="24" s="1"/>
  <c r="AJ66" i="24" a="1"/>
  <c r="AJ66" i="24" s="1"/>
  <c r="AH66" i="24" a="1"/>
  <c r="AH66" i="24" s="1"/>
  <c r="AF66" i="24" a="1"/>
  <c r="AF66" i="24" s="1"/>
  <c r="AF68" i="24" s="1"/>
  <c r="AD66" i="24"/>
  <c r="AD66" i="24" a="1"/>
  <c r="AB66" i="24"/>
  <c r="AB66" i="24" a="1"/>
  <c r="Z66" i="24" a="1"/>
  <c r="Z66" i="24" s="1"/>
  <c r="X66" i="24" a="1"/>
  <c r="X66" i="24" s="1"/>
  <c r="V66" i="24" a="1"/>
  <c r="V66" i="24" s="1"/>
  <c r="V68" i="24" s="1"/>
  <c r="T66" i="24" a="1"/>
  <c r="T66" i="24" s="1"/>
  <c r="T68" i="24" s="1"/>
  <c r="R66" i="24" a="1"/>
  <c r="R66" i="24" s="1"/>
  <c r="P66" i="24" a="1"/>
  <c r="P66" i="24" s="1"/>
  <c r="N66" i="24"/>
  <c r="N66" i="24" a="1"/>
  <c r="L66" i="24"/>
  <c r="L66" i="24" a="1"/>
  <c r="J66" i="24" a="1"/>
  <c r="J66" i="24" s="1"/>
  <c r="H66" i="24" a="1"/>
  <c r="H66" i="24" s="1"/>
  <c r="H68" i="24" s="1"/>
  <c r="F66" i="24" a="1"/>
  <c r="F66" i="24" s="1"/>
  <c r="F68" i="24" s="1"/>
  <c r="D66" i="24" a="1"/>
  <c r="D66" i="24" s="1"/>
  <c r="B66" i="24" a="1"/>
  <c r="B66" i="24" s="1"/>
  <c r="AV65" i="24" a="1"/>
  <c r="AV65" i="24" s="1"/>
  <c r="AV69" i="24" s="1"/>
  <c r="AT65" i="24" a="1"/>
  <c r="AT65" i="24" s="1"/>
  <c r="AT69" i="24" s="1"/>
  <c r="AR65" i="24"/>
  <c r="AR69" i="24" s="1"/>
  <c r="AR65" i="24" a="1"/>
  <c r="AP65" i="24" a="1"/>
  <c r="AP65" i="24" s="1"/>
  <c r="AN65" i="24" a="1"/>
  <c r="AN65" i="24" s="1"/>
  <c r="AL65" i="24" a="1"/>
  <c r="AL65" i="24" s="1"/>
  <c r="AL69" i="24" s="1"/>
  <c r="AJ65" i="24" a="1"/>
  <c r="AJ65" i="24" s="1"/>
  <c r="AJ69" i="24" s="1"/>
  <c r="AH65" i="24" a="1"/>
  <c r="AH65" i="24" s="1"/>
  <c r="AH69" i="24" s="1"/>
  <c r="AF65" i="24" a="1"/>
  <c r="AF65" i="24" s="1"/>
  <c r="AF69" i="24" s="1"/>
  <c r="AD65" i="24" a="1"/>
  <c r="AD65" i="24" s="1"/>
  <c r="AD69" i="24" s="1"/>
  <c r="AB65" i="24"/>
  <c r="AB69" i="24" s="1"/>
  <c r="AB65" i="24" a="1"/>
  <c r="Z65" i="24" a="1"/>
  <c r="Z65" i="24" s="1"/>
  <c r="Z69" i="24" s="1"/>
  <c r="X65" i="24" a="1"/>
  <c r="X65" i="24" s="1"/>
  <c r="X69" i="24" s="1"/>
  <c r="V65" i="24" a="1"/>
  <c r="V65" i="24" s="1"/>
  <c r="V69" i="24" s="1"/>
  <c r="T65" i="24" a="1"/>
  <c r="T65" i="24" s="1"/>
  <c r="T69" i="24" s="1"/>
  <c r="R65" i="24" a="1"/>
  <c r="R65" i="24" s="1"/>
  <c r="R69" i="24" s="1"/>
  <c r="P65" i="24" a="1"/>
  <c r="P65" i="24" s="1"/>
  <c r="P69" i="24" s="1"/>
  <c r="N65" i="24"/>
  <c r="N69" i="24" s="1"/>
  <c r="N65" i="24" a="1"/>
  <c r="L65" i="24"/>
  <c r="L65" i="24" a="1"/>
  <c r="J65" i="24" a="1"/>
  <c r="J65" i="24" s="1"/>
  <c r="H65" i="24" a="1"/>
  <c r="H65" i="24" s="1"/>
  <c r="H69" i="24" s="1"/>
  <c r="F65" i="24" a="1"/>
  <c r="F65" i="24" s="1"/>
  <c r="F69"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c r="AP58" i="24" a="1"/>
  <c r="AN58" i="24" a="1"/>
  <c r="AN58" i="24" s="1"/>
  <c r="AL58" i="24" a="1"/>
  <c r="AL58" i="24" s="1"/>
  <c r="AJ58" i="24"/>
  <c r="AJ58" i="24" a="1"/>
  <c r="AH58" i="24"/>
  <c r="AH58" i="24" a="1"/>
  <c r="AF58" i="24"/>
  <c r="AF58" i="24" a="1"/>
  <c r="AD58" i="24" a="1"/>
  <c r="AD58" i="24" s="1"/>
  <c r="AB58" i="24" a="1"/>
  <c r="AB58" i="24" s="1"/>
  <c r="Z58" i="24"/>
  <c r="Z58" i="24" a="1"/>
  <c r="X58" i="24" a="1"/>
  <c r="X58" i="24" s="1"/>
  <c r="V58" i="24" a="1"/>
  <c r="V58" i="24" s="1"/>
  <c r="T58" i="24" a="1"/>
  <c r="T58" i="24" s="1"/>
  <c r="R58" i="24"/>
  <c r="R58" i="24" a="1"/>
  <c r="P58" i="24"/>
  <c r="P58" i="24" a="1"/>
  <c r="N58" i="24" a="1"/>
  <c r="N58" i="24" s="1"/>
  <c r="L58" i="24" a="1"/>
  <c r="L58" i="24" s="1"/>
  <c r="J58" i="24"/>
  <c r="J58" i="24" a="1"/>
  <c r="H58" i="24" a="1"/>
  <c r="H58" i="24" s="1"/>
  <c r="F58" i="24" a="1"/>
  <c r="F58" i="24" s="1"/>
  <c r="D58" i="24" a="1"/>
  <c r="D58" i="24" s="1"/>
  <c r="B58" i="24"/>
  <c r="B58" i="24" a="1"/>
  <c r="AV57" i="24"/>
  <c r="AV57" i="24" a="1"/>
  <c r="AT57" i="24" a="1"/>
  <c r="AT57" i="24" s="1"/>
  <c r="AR57" i="24" a="1"/>
  <c r="AR57" i="24" s="1"/>
  <c r="AP57" i="24"/>
  <c r="AP57" i="24" a="1"/>
  <c r="AN57" i="24" a="1"/>
  <c r="AN57" i="24" s="1"/>
  <c r="AL57" i="24" a="1"/>
  <c r="AL57" i="24" s="1"/>
  <c r="AJ57" i="24" a="1"/>
  <c r="AJ57" i="24" s="1"/>
  <c r="AH57" i="24"/>
  <c r="AH57" i="24" a="1"/>
  <c r="AF57" i="24"/>
  <c r="AF57" i="24" a="1"/>
  <c r="AD57" i="24" a="1"/>
  <c r="AD57" i="24" s="1"/>
  <c r="AB57" i="24" a="1"/>
  <c r="AB57" i="24" s="1"/>
  <c r="Z57" i="24"/>
  <c r="Z57" i="24" a="1"/>
  <c r="X57" i="24" a="1"/>
  <c r="X57" i="24" s="1"/>
  <c r="V57" i="24" a="1"/>
  <c r="V57" i="24" s="1"/>
  <c r="T57" i="24"/>
  <c r="T57" i="24" a="1"/>
  <c r="R57" i="24"/>
  <c r="R57" i="24" a="1"/>
  <c r="P57" i="24"/>
  <c r="P57" i="24" a="1"/>
  <c r="N57" i="24" a="1"/>
  <c r="N57" i="24" s="1"/>
  <c r="L57" i="24" a="1"/>
  <c r="L57" i="24" s="1"/>
  <c r="J57" i="24"/>
  <c r="J57" i="24" a="1"/>
  <c r="H57" i="24" a="1"/>
  <c r="H57" i="24" s="1"/>
  <c r="F57" i="24" a="1"/>
  <c r="F57" i="24" s="1"/>
  <c r="D57" i="24" a="1"/>
  <c r="D57" i="24" s="1"/>
  <c r="B57" i="24"/>
  <c r="B57" i="24" a="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L55" i="24"/>
  <c r="AL80" i="24" s="1"/>
  <c r="AJ55" i="24"/>
  <c r="AJ80" i="24" s="1"/>
  <c r="AH55" i="24"/>
  <c r="AH80" i="24" s="1"/>
  <c r="AF55" i="24"/>
  <c r="AF80" i="24" s="1"/>
  <c r="AD55" i="24"/>
  <c r="AD80" i="24" s="1"/>
  <c r="AB55" i="24"/>
  <c r="AB80" i="24" s="1"/>
  <c r="Z55" i="24"/>
  <c r="Z80" i="24" s="1"/>
  <c r="X55" i="24"/>
  <c r="V55" i="24"/>
  <c r="T55" i="24"/>
  <c r="T80" i="24" s="1"/>
  <c r="R55" i="24"/>
  <c r="R80" i="24" s="1"/>
  <c r="P55" i="24"/>
  <c r="N55" i="24"/>
  <c r="L55" i="24"/>
  <c r="J55" i="24"/>
  <c r="H55" i="24"/>
  <c r="F55" i="24"/>
  <c r="F80" i="24" s="1"/>
  <c r="D55" i="24"/>
  <c r="D80" i="24" s="1"/>
  <c r="B55" i="24"/>
  <c r="B80" i="24" s="1"/>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L51" i="24"/>
  <c r="AJ51" i="24"/>
  <c r="AJ81" i="24" s="1"/>
  <c r="AH51" i="24"/>
  <c r="AH81" i="24" s="1"/>
  <c r="AF51" i="24"/>
  <c r="AD51" i="24"/>
  <c r="AB51" i="24"/>
  <c r="Z51" i="24"/>
  <c r="Z81" i="24" s="1"/>
  <c r="X51" i="24"/>
  <c r="X81" i="24" s="1"/>
  <c r="V51" i="24"/>
  <c r="V81" i="24" s="1"/>
  <c r="T51" i="24"/>
  <c r="T81" i="24" s="1"/>
  <c r="R51" i="24"/>
  <c r="R81" i="24" s="1"/>
  <c r="P51" i="24"/>
  <c r="P81" i="24" s="1"/>
  <c r="N51" i="24"/>
  <c r="N81" i="24" s="1"/>
  <c r="L51" i="24"/>
  <c r="L81" i="24" s="1"/>
  <c r="J51" i="24"/>
  <c r="J81" i="24" s="1"/>
  <c r="H51" i="24"/>
  <c r="F51" i="24"/>
  <c r="D51" i="24"/>
  <c r="D81" i="24" s="1"/>
  <c r="B51" i="24"/>
  <c r="B81" i="24" s="1"/>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a="1"/>
  <c r="AV43" i="24" s="1"/>
  <c r="AT43" i="24" a="1"/>
  <c r="AT43" i="24" s="1"/>
  <c r="AR43" i="24" a="1"/>
  <c r="AR43" i="24" s="1"/>
  <c r="AP43" i="24"/>
  <c r="AP43" i="24" a="1"/>
  <c r="AN43" i="24" a="1"/>
  <c r="AN43" i="24" s="1"/>
  <c r="AL43" i="24" a="1"/>
  <c r="AL43" i="24" s="1"/>
  <c r="AJ43" i="24" a="1"/>
  <c r="AJ43" i="24" s="1"/>
  <c r="AH43" i="24" a="1"/>
  <c r="AH43" i="24" s="1"/>
  <c r="AF43" i="24" a="1"/>
  <c r="AF43" i="24" s="1"/>
  <c r="AD43" i="24" a="1"/>
  <c r="AD43" i="24" s="1"/>
  <c r="AB43" i="24" a="1"/>
  <c r="AB43" i="24" s="1"/>
  <c r="Z43" i="24"/>
  <c r="Z43" i="24" a="1"/>
  <c r="X43" i="24" a="1"/>
  <c r="X43" i="24" s="1"/>
  <c r="V43" i="24" a="1"/>
  <c r="V43" i="24" s="1"/>
  <c r="T43" i="24"/>
  <c r="T43" i="24" a="1"/>
  <c r="R43" i="24" a="1"/>
  <c r="R43" i="24" s="1"/>
  <c r="P43" i="24" a="1"/>
  <c r="P43" i="24" s="1"/>
  <c r="N43" i="24" a="1"/>
  <c r="N43" i="24" s="1"/>
  <c r="L43" i="24" a="1"/>
  <c r="L43" i="24" s="1"/>
  <c r="J43" i="24"/>
  <c r="J43" i="24" a="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N81" i="18"/>
  <c r="AL81" i="18"/>
  <c r="AF81" i="18"/>
  <c r="AD81" i="18"/>
  <c r="AB81" i="18"/>
  <c r="H81" i="18"/>
  <c r="F81" i="18"/>
  <c r="AV80" i="18"/>
  <c r="AT80" i="18"/>
  <c r="AR80" i="18"/>
  <c r="AH80" i="18"/>
  <c r="X80" i="18"/>
  <c r="V80" i="18"/>
  <c r="P80" i="18"/>
  <c r="N80" i="18"/>
  <c r="L80" i="18"/>
  <c r="J80" i="18"/>
  <c r="H80" i="18"/>
  <c r="F80" i="18"/>
  <c r="D80" i="18"/>
  <c r="B80" i="18"/>
  <c r="AV79" i="18" a="1"/>
  <c r="AV79" i="18" s="1"/>
  <c r="AT79" i="18"/>
  <c r="AT79" i="18" a="1"/>
  <c r="AR79" i="18" a="1"/>
  <c r="AR79" i="18" s="1"/>
  <c r="AP79" i="18" a="1"/>
  <c r="AP79" i="18" s="1"/>
  <c r="AN79" i="18" a="1"/>
  <c r="AN79" i="18" s="1"/>
  <c r="AL79" i="18" a="1"/>
  <c r="AL79" i="18" s="1"/>
  <c r="AJ79" i="18"/>
  <c r="AJ79" i="18" a="1"/>
  <c r="AH79" i="18" a="1"/>
  <c r="AH79" i="18" s="1"/>
  <c r="AF79" i="18" a="1"/>
  <c r="AF79" i="18" s="1"/>
  <c r="AD79" i="18"/>
  <c r="AD79" i="18" a="1"/>
  <c r="AB79" i="18" a="1"/>
  <c r="AB79" i="18" s="1"/>
  <c r="Z79" i="18" a="1"/>
  <c r="Z79" i="18" s="1"/>
  <c r="X79" i="18" a="1"/>
  <c r="X79" i="18" s="1"/>
  <c r="V79" i="18" a="1"/>
  <c r="V79" i="18" s="1"/>
  <c r="T79" i="18" a="1"/>
  <c r="T79" i="18" s="1"/>
  <c r="R79" i="18" a="1"/>
  <c r="R79" i="18" s="1"/>
  <c r="P79" i="18" a="1"/>
  <c r="P79" i="18" s="1"/>
  <c r="N79" i="18"/>
  <c r="N79" i="18" a="1"/>
  <c r="L79" i="18" a="1"/>
  <c r="L79" i="18" s="1"/>
  <c r="J79" i="18" a="1"/>
  <c r="J79" i="18" s="1"/>
  <c r="H79" i="18" a="1"/>
  <c r="H79" i="18" s="1"/>
  <c r="F79" i="18" a="1"/>
  <c r="F79" i="18" s="1"/>
  <c r="D79" i="18" a="1"/>
  <c r="D79" i="18" s="1"/>
  <c r="B79" i="18" a="1"/>
  <c r="B79" i="18" s="1"/>
  <c r="AV78" i="18" a="1"/>
  <c r="AV78" i="18" s="1"/>
  <c r="AT78" i="18"/>
  <c r="AT78" i="18" a="1"/>
  <c r="AR78" i="18" a="1"/>
  <c r="AR78" i="18" s="1"/>
  <c r="AP78" i="18" a="1"/>
  <c r="AP78" i="18" s="1"/>
  <c r="AN78" i="18" a="1"/>
  <c r="AN78" i="18" s="1"/>
  <c r="AL78" i="18"/>
  <c r="AL78" i="18" a="1"/>
  <c r="AJ78" i="18" a="1"/>
  <c r="AJ78" i="18" s="1"/>
  <c r="AH78" i="18" a="1"/>
  <c r="AH78" i="18" s="1"/>
  <c r="AF78" i="18" a="1"/>
  <c r="AF78" i="18" s="1"/>
  <c r="AD78" i="18"/>
  <c r="AD78" i="18" a="1"/>
  <c r="AB78" i="18" a="1"/>
  <c r="AB78" i="18" s="1"/>
  <c r="Z78" i="18" a="1"/>
  <c r="Z78" i="18" s="1"/>
  <c r="X78" i="18" a="1"/>
  <c r="X78" i="18" s="1"/>
  <c r="V78" i="18"/>
  <c r="V78" i="18" a="1"/>
  <c r="T78" i="18" a="1"/>
  <c r="T78" i="18" s="1"/>
  <c r="R78" i="18"/>
  <c r="R78" i="18" a="1"/>
  <c r="P78" i="18" a="1"/>
  <c r="P78" i="18" s="1"/>
  <c r="N78" i="18"/>
  <c r="N78" i="18" a="1"/>
  <c r="L78" i="18" a="1"/>
  <c r="L78" i="18" s="1"/>
  <c r="J78" i="18" a="1"/>
  <c r="J78" i="18" s="1"/>
  <c r="H78" i="18" a="1"/>
  <c r="H78" i="18" s="1"/>
  <c r="F78" i="18" a="1"/>
  <c r="F78" i="18" s="1"/>
  <c r="D78" i="18"/>
  <c r="D78" i="18" a="1"/>
  <c r="B78" i="18" a="1"/>
  <c r="B78" i="18" s="1"/>
  <c r="AV77" i="18" a="1"/>
  <c r="AV77" i="18" s="1"/>
  <c r="AT77" i="18"/>
  <c r="AT77" i="18" a="1"/>
  <c r="AR77" i="18" a="1"/>
  <c r="AR77" i="18" s="1"/>
  <c r="AP77" i="18" a="1"/>
  <c r="AP77" i="18" s="1"/>
  <c r="AN77" i="18" a="1"/>
  <c r="AN77" i="18" s="1"/>
  <c r="AL77" i="18" a="1"/>
  <c r="AL77" i="18" s="1"/>
  <c r="AJ77" i="18" a="1"/>
  <c r="AJ77" i="18" s="1"/>
  <c r="AH77" i="18" a="1"/>
  <c r="AH77" i="18" s="1"/>
  <c r="AF77" i="18" a="1"/>
  <c r="AF77" i="18" s="1"/>
  <c r="AD77" i="18"/>
  <c r="AD77" i="18" a="1"/>
  <c r="AB77" i="18" a="1"/>
  <c r="AB77" i="18" s="1"/>
  <c r="Z77" i="18" a="1"/>
  <c r="Z77" i="18" s="1"/>
  <c r="X77" i="18" a="1"/>
  <c r="X77" i="18" s="1"/>
  <c r="V77" i="18"/>
  <c r="V77" i="18" a="1"/>
  <c r="T77" i="18" a="1"/>
  <c r="T77" i="18" s="1"/>
  <c r="R77" i="18" a="1"/>
  <c r="R77" i="18" s="1"/>
  <c r="P77" i="18" a="1"/>
  <c r="P77" i="18" s="1"/>
  <c r="N77" i="18"/>
  <c r="N77" i="18" a="1"/>
  <c r="L77" i="18" a="1"/>
  <c r="L77" i="18" s="1"/>
  <c r="J77" i="18" a="1"/>
  <c r="J77" i="18" s="1"/>
  <c r="H77" i="18" a="1"/>
  <c r="H77" i="18" s="1"/>
  <c r="F77" i="18" a="1"/>
  <c r="F77" i="18" s="1"/>
  <c r="D77" i="18" a="1"/>
  <c r="D77" i="18" s="1"/>
  <c r="B77" i="18"/>
  <c r="B77" i="18" a="1"/>
  <c r="AV76" i="18" a="1"/>
  <c r="AV76" i="18" s="1"/>
  <c r="AT76" i="18"/>
  <c r="AT76" i="18" a="1"/>
  <c r="AR76" i="18" a="1"/>
  <c r="AR76" i="18" s="1"/>
  <c r="AP76" i="18" a="1"/>
  <c r="AP76" i="18" s="1"/>
  <c r="AN76" i="18" a="1"/>
  <c r="AN76" i="18" s="1"/>
  <c r="AL76" i="18" a="1"/>
  <c r="AL76" i="18" s="1"/>
  <c r="AJ76" i="18"/>
  <c r="AJ76" i="18" a="1"/>
  <c r="AH76" i="18" a="1"/>
  <c r="AH76" i="18" s="1"/>
  <c r="AF76" i="18" a="1"/>
  <c r="AF76" i="18" s="1"/>
  <c r="AD76" i="18"/>
  <c r="AD76" i="18" a="1"/>
  <c r="AB76" i="18" a="1"/>
  <c r="AB76" i="18" s="1"/>
  <c r="Z76" i="18" a="1"/>
  <c r="Z76" i="18" s="1"/>
  <c r="X76" i="18" a="1"/>
  <c r="X76" i="18" s="1"/>
  <c r="V76" i="18" a="1"/>
  <c r="V76" i="18" s="1"/>
  <c r="T76" i="18" a="1"/>
  <c r="T76" i="18" s="1"/>
  <c r="R76" i="18" a="1"/>
  <c r="R76" i="18" s="1"/>
  <c r="P76" i="18" a="1"/>
  <c r="P76" i="18" s="1"/>
  <c r="N76" i="18"/>
  <c r="N76" i="18" a="1"/>
  <c r="L76" i="18" a="1"/>
  <c r="L76" i="18" s="1"/>
  <c r="J76" i="18" a="1"/>
  <c r="J76" i="18" s="1"/>
  <c r="H76" i="18" a="1"/>
  <c r="H76" i="18" s="1"/>
  <c r="F76" i="18"/>
  <c r="F76" i="18" a="1"/>
  <c r="D76" i="18" a="1"/>
  <c r="D76" i="18" s="1"/>
  <c r="B76" i="18" a="1"/>
  <c r="B76" i="18" s="1"/>
  <c r="AV75" i="18" a="1"/>
  <c r="AV75" i="18" s="1"/>
  <c r="AT75" i="18"/>
  <c r="AT75" i="18" a="1"/>
  <c r="AR75" i="18" a="1"/>
  <c r="AR75" i="18" s="1"/>
  <c r="AP75" i="18" a="1"/>
  <c r="AP75" i="18" s="1"/>
  <c r="AN75" i="18" a="1"/>
  <c r="AN75" i="18" s="1"/>
  <c r="AL75" i="18" a="1"/>
  <c r="AL75" i="18" s="1"/>
  <c r="AJ75" i="18" a="1"/>
  <c r="AJ75" i="18" s="1"/>
  <c r="AH75" i="18"/>
  <c r="AH75" i="18" a="1"/>
  <c r="AF75" i="18" a="1"/>
  <c r="AF75" i="18" s="1"/>
  <c r="AD75" i="18"/>
  <c r="AD75" i="18" a="1"/>
  <c r="AB75" i="18" a="1"/>
  <c r="AB75" i="18" s="1"/>
  <c r="Z75" i="18" a="1"/>
  <c r="Z75" i="18" s="1"/>
  <c r="X75" i="18" a="1"/>
  <c r="X75" i="18" s="1"/>
  <c r="V75" i="18" a="1"/>
  <c r="V75" i="18" s="1"/>
  <c r="T75" i="18"/>
  <c r="T75" i="18" a="1"/>
  <c r="R75" i="18" a="1"/>
  <c r="R75" i="18" s="1"/>
  <c r="P75" i="18" a="1"/>
  <c r="P75" i="18" s="1"/>
  <c r="N75" i="18"/>
  <c r="N75" i="18" a="1"/>
  <c r="L75" i="18" a="1"/>
  <c r="L75" i="18" s="1"/>
  <c r="J75" i="18" a="1"/>
  <c r="J75" i="18" s="1"/>
  <c r="H75" i="18" a="1"/>
  <c r="H75" i="18" s="1"/>
  <c r="F75" i="18" a="1"/>
  <c r="F75" i="18" s="1"/>
  <c r="D75" i="18" a="1"/>
  <c r="D75" i="18" s="1"/>
  <c r="B75" i="18" a="1"/>
  <c r="B75" i="18" s="1"/>
  <c r="AV74" i="18" a="1"/>
  <c r="AV74" i="18" s="1"/>
  <c r="AT74" i="18"/>
  <c r="AT74" i="18" a="1"/>
  <c r="AR74" i="18" a="1"/>
  <c r="AR74" i="18" s="1"/>
  <c r="AP74" i="18" a="1"/>
  <c r="AP74" i="18" s="1"/>
  <c r="AN74" i="18" a="1"/>
  <c r="AN74" i="18" s="1"/>
  <c r="AL74" i="18"/>
  <c r="AL74" i="18" a="1"/>
  <c r="AJ74" i="18" a="1"/>
  <c r="AJ74" i="18" s="1"/>
  <c r="AH74" i="18" a="1"/>
  <c r="AH74" i="18" s="1"/>
  <c r="AF74" i="18" a="1"/>
  <c r="AF74" i="18" s="1"/>
  <c r="AD74" i="18"/>
  <c r="AD74" i="18" a="1"/>
  <c r="AB74" i="18" a="1"/>
  <c r="AB74" i="18" s="1"/>
  <c r="Z74" i="18" a="1"/>
  <c r="Z74" i="18" s="1"/>
  <c r="X74" i="18" a="1"/>
  <c r="X74" i="18" s="1"/>
  <c r="V74" i="18" a="1"/>
  <c r="V74" i="18" s="1"/>
  <c r="T74" i="18" a="1"/>
  <c r="T74" i="18" s="1"/>
  <c r="R74" i="18"/>
  <c r="R74" i="18" a="1"/>
  <c r="P74" i="18" a="1"/>
  <c r="P74" i="18" s="1"/>
  <c r="N74" i="18"/>
  <c r="N74" i="18" a="1"/>
  <c r="L74" i="18" a="1"/>
  <c r="L74" i="18" s="1"/>
  <c r="J74" i="18" a="1"/>
  <c r="J74" i="18" s="1"/>
  <c r="H74" i="18" a="1"/>
  <c r="H74" i="18" s="1"/>
  <c r="F74" i="18" a="1"/>
  <c r="F74" i="18" s="1"/>
  <c r="D74" i="18"/>
  <c r="D74" i="18" a="1"/>
  <c r="B74" i="18" a="1"/>
  <c r="B74" i="18" s="1"/>
  <c r="AV73" i="18" a="1"/>
  <c r="AV73" i="18" s="1"/>
  <c r="AT73" i="18"/>
  <c r="AT73" i="18" a="1"/>
  <c r="AR73" i="18" a="1"/>
  <c r="AR73" i="18" s="1"/>
  <c r="AP73" i="18" a="1"/>
  <c r="AP73" i="18" s="1"/>
  <c r="AN73" i="18" a="1"/>
  <c r="AN73" i="18" s="1"/>
  <c r="AL73" i="18" a="1"/>
  <c r="AL73" i="18" s="1"/>
  <c r="AJ73" i="18" a="1"/>
  <c r="AJ73" i="18" s="1"/>
  <c r="AH73" i="18" a="1"/>
  <c r="AH73" i="18" s="1"/>
  <c r="AF73" i="18" a="1"/>
  <c r="AF73" i="18" s="1"/>
  <c r="AD73" i="18"/>
  <c r="AD73" i="18" a="1"/>
  <c r="AB73" i="18" a="1"/>
  <c r="AB73" i="18" s="1"/>
  <c r="Z73" i="18" a="1"/>
  <c r="Z73" i="18" s="1"/>
  <c r="X73" i="18" a="1"/>
  <c r="X73" i="18" s="1"/>
  <c r="V73" i="18"/>
  <c r="V73" i="18" a="1"/>
  <c r="T73" i="18" a="1"/>
  <c r="T73" i="18" s="1"/>
  <c r="R73" i="18" a="1"/>
  <c r="R73" i="18" s="1"/>
  <c r="P73" i="18" a="1"/>
  <c r="P73" i="18" s="1"/>
  <c r="N73" i="18"/>
  <c r="N73" i="18" a="1"/>
  <c r="L73" i="18" a="1"/>
  <c r="L73" i="18" s="1"/>
  <c r="J73" i="18" a="1"/>
  <c r="J73" i="18" s="1"/>
  <c r="H73" i="18" a="1"/>
  <c r="H73" i="18" s="1"/>
  <c r="F73" i="18" a="1"/>
  <c r="F73" i="18" s="1"/>
  <c r="D73" i="18" a="1"/>
  <c r="D73" i="18" s="1"/>
  <c r="B73" i="18"/>
  <c r="B73" i="18" a="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L69" i="18"/>
  <c r="AJ69" i="18"/>
  <c r="AH69" i="18"/>
  <c r="V69" i="18"/>
  <c r="F69" i="18"/>
  <c r="B69" i="18"/>
  <c r="AL68" i="18"/>
  <c r="V68" i="18"/>
  <c r="F68" i="18"/>
  <c r="AV67" i="18" a="1"/>
  <c r="AV67" i="18" s="1"/>
  <c r="AT67" i="18"/>
  <c r="AT67" i="18" a="1"/>
  <c r="AR67" i="18" a="1"/>
  <c r="AR67" i="18" s="1"/>
  <c r="AP67" i="18" a="1"/>
  <c r="AP67" i="18" s="1"/>
  <c r="AN67" i="18" a="1"/>
  <c r="AN67" i="18" s="1"/>
  <c r="AL67" i="18"/>
  <c r="AL67" i="18" a="1"/>
  <c r="AJ67" i="18" a="1"/>
  <c r="AJ67" i="18" s="1"/>
  <c r="AH67" i="18" a="1"/>
  <c r="AH67" i="18" s="1"/>
  <c r="AF67" i="18" a="1"/>
  <c r="AF67" i="18" s="1"/>
  <c r="AD67" i="18" a="1"/>
  <c r="AD67" i="18" s="1"/>
  <c r="AB67" i="18" a="1"/>
  <c r="AB67" i="18" s="1"/>
  <c r="Z67" i="18"/>
  <c r="Z67" i="18" a="1"/>
  <c r="X67" i="18" a="1"/>
  <c r="X67" i="18" s="1"/>
  <c r="V67" i="18"/>
  <c r="V67" i="18" a="1"/>
  <c r="T67" i="18" a="1"/>
  <c r="T67" i="18" s="1"/>
  <c r="R67" i="18" a="1"/>
  <c r="R67" i="18" s="1"/>
  <c r="R68" i="18" s="1"/>
  <c r="P67" i="18" a="1"/>
  <c r="P67" i="18" s="1"/>
  <c r="N67" i="18" a="1"/>
  <c r="N67" i="18" s="1"/>
  <c r="L67" i="18"/>
  <c r="L67" i="18" a="1"/>
  <c r="J67" i="18" a="1"/>
  <c r="J67" i="18" s="1"/>
  <c r="H67" i="18" a="1"/>
  <c r="H67" i="18" s="1"/>
  <c r="F67" i="18"/>
  <c r="F67" i="18" a="1"/>
  <c r="D67" i="18" a="1"/>
  <c r="D67" i="18" s="1"/>
  <c r="B67" i="18" a="1"/>
  <c r="B67" i="18" s="1"/>
  <c r="AV66" i="18" a="1"/>
  <c r="AV66" i="18" s="1"/>
  <c r="AT66" i="18" a="1"/>
  <c r="AT66" i="18" s="1"/>
  <c r="AT68" i="18" s="1"/>
  <c r="AR66" i="18" a="1"/>
  <c r="AR66" i="18" s="1"/>
  <c r="AP66" i="18" a="1"/>
  <c r="AP66" i="18" s="1"/>
  <c r="AN66" i="18" a="1"/>
  <c r="AN66" i="18" s="1"/>
  <c r="AL66" i="18"/>
  <c r="AL66" i="18" a="1"/>
  <c r="AJ66" i="18" a="1"/>
  <c r="AJ66" i="18" s="1"/>
  <c r="AH66" i="18" a="1"/>
  <c r="AH66" i="18" s="1"/>
  <c r="AH68" i="18" s="1"/>
  <c r="AF66" i="18" a="1"/>
  <c r="AF66" i="18" s="1"/>
  <c r="AF68" i="18" s="1"/>
  <c r="AD66" i="18"/>
  <c r="AD66" i="18" a="1"/>
  <c r="AB66" i="18" a="1"/>
  <c r="AB66" i="18" s="1"/>
  <c r="Z66" i="18" a="1"/>
  <c r="Z66" i="18" s="1"/>
  <c r="Z68" i="18" s="1"/>
  <c r="X66" i="18" a="1"/>
  <c r="X66" i="18" s="1"/>
  <c r="X68" i="18" s="1"/>
  <c r="V66" i="18"/>
  <c r="V66" i="18" a="1"/>
  <c r="T66" i="18" a="1"/>
  <c r="T66" i="18" s="1"/>
  <c r="T68" i="18" s="1"/>
  <c r="R66" i="18" a="1"/>
  <c r="R66" i="18" s="1"/>
  <c r="P66" i="18" a="1"/>
  <c r="P66" i="18" s="1"/>
  <c r="N66" i="18" a="1"/>
  <c r="N66" i="18" s="1"/>
  <c r="L66" i="18" a="1"/>
  <c r="L66" i="18" s="1"/>
  <c r="L68" i="18" s="1"/>
  <c r="J66" i="18"/>
  <c r="J66" i="18" a="1"/>
  <c r="H66" i="18" a="1"/>
  <c r="H66" i="18" s="1"/>
  <c r="F66" i="18"/>
  <c r="F66" i="18" a="1"/>
  <c r="D66" i="18" a="1"/>
  <c r="D66" i="18" s="1"/>
  <c r="D68" i="18" s="1"/>
  <c r="B66" i="18" a="1"/>
  <c r="B66" i="18" s="1"/>
  <c r="B68" i="18" s="1"/>
  <c r="AV65" i="18" a="1"/>
  <c r="AV65" i="18" s="1"/>
  <c r="AV69" i="18" s="1"/>
  <c r="AT65" i="18" a="1"/>
  <c r="AT65" i="18" s="1"/>
  <c r="AT69" i="18" s="1"/>
  <c r="AR65" i="18"/>
  <c r="AR69" i="18" s="1"/>
  <c r="AR65" i="18" a="1"/>
  <c r="AP65" i="18" a="1"/>
  <c r="AP65" i="18" s="1"/>
  <c r="AP69" i="18" s="1"/>
  <c r="AN65" i="18" a="1"/>
  <c r="AN65" i="18" s="1"/>
  <c r="AN69" i="18" s="1"/>
  <c r="AL65" i="18"/>
  <c r="AL65" i="18" a="1"/>
  <c r="AJ65" i="18" a="1"/>
  <c r="AJ65" i="18" s="1"/>
  <c r="AH65" i="18" a="1"/>
  <c r="AH65" i="18" s="1"/>
  <c r="AF65" i="18" a="1"/>
  <c r="AF65" i="18" s="1"/>
  <c r="AF69" i="18" s="1"/>
  <c r="AD65" i="18" a="1"/>
  <c r="AD65" i="18" s="1"/>
  <c r="AD69" i="18" s="1"/>
  <c r="AB65" i="18" a="1"/>
  <c r="AB65" i="18" s="1"/>
  <c r="AB69" i="18" s="1"/>
  <c r="Z65" i="18" a="1"/>
  <c r="Z65" i="18" s="1"/>
  <c r="Z69" i="18" s="1"/>
  <c r="X65" i="18" a="1"/>
  <c r="X65" i="18" s="1"/>
  <c r="X69" i="18" s="1"/>
  <c r="V65" i="18"/>
  <c r="V65" i="18" a="1"/>
  <c r="T65" i="18" a="1"/>
  <c r="T65" i="18" s="1"/>
  <c r="T69" i="18" s="1"/>
  <c r="R65" i="18" a="1"/>
  <c r="R65" i="18" s="1"/>
  <c r="R69" i="18" s="1"/>
  <c r="P65" i="18" a="1"/>
  <c r="P65" i="18" s="1"/>
  <c r="P69" i="18" s="1"/>
  <c r="N65" i="18"/>
  <c r="N69" i="18" s="1"/>
  <c r="N65" i="18" a="1"/>
  <c r="L65" i="18" a="1"/>
  <c r="L65" i="18" s="1"/>
  <c r="L69" i="18" s="1"/>
  <c r="J65" i="18" a="1"/>
  <c r="J65" i="18" s="1"/>
  <c r="J69" i="18" s="1"/>
  <c r="H65" i="18" a="1"/>
  <c r="H65" i="18" s="1"/>
  <c r="H69" i="18" s="1"/>
  <c r="F65" i="18"/>
  <c r="F65" i="18" a="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a="1"/>
  <c r="AR58" i="18" s="1"/>
  <c r="AP58" i="18"/>
  <c r="AP58" i="18" a="1"/>
  <c r="AN58" i="18" a="1"/>
  <c r="AN58" i="18" s="1"/>
  <c r="AL58" i="18" a="1"/>
  <c r="AL58" i="18" s="1"/>
  <c r="AJ58" i="18" a="1"/>
  <c r="AJ58" i="18" s="1"/>
  <c r="AH58" i="18" a="1"/>
  <c r="AH58" i="18" s="1"/>
  <c r="AF58" i="18"/>
  <c r="AF58" i="18" a="1"/>
  <c r="AD58" i="18"/>
  <c r="AD58" i="18" a="1"/>
  <c r="AB58" i="18" a="1"/>
  <c r="AB58" i="18" s="1"/>
  <c r="Z58" i="18"/>
  <c r="Z58" i="18" a="1"/>
  <c r="X58" i="18" a="1"/>
  <c r="X58" i="18" s="1"/>
  <c r="V58" i="18" a="1"/>
  <c r="V58" i="18" s="1"/>
  <c r="T58" i="18"/>
  <c r="T58" i="18" a="1"/>
  <c r="R58" i="18" a="1"/>
  <c r="R58" i="18" s="1"/>
  <c r="P58" i="18"/>
  <c r="P58" i="18" a="1"/>
  <c r="N58" i="18"/>
  <c r="N58" i="18" a="1"/>
  <c r="L58" i="18" a="1"/>
  <c r="L58" i="18" s="1"/>
  <c r="J58" i="18"/>
  <c r="J58" i="18" a="1"/>
  <c r="H58" i="18" a="1"/>
  <c r="H58" i="18" s="1"/>
  <c r="F58" i="18" a="1"/>
  <c r="F58" i="18" s="1"/>
  <c r="D58" i="18" a="1"/>
  <c r="D58" i="18" s="1"/>
  <c r="B58" i="18" a="1"/>
  <c r="B58" i="18" s="1"/>
  <c r="AV57" i="18"/>
  <c r="AV57" i="18" a="1"/>
  <c r="AT57" i="18"/>
  <c r="AT57" i="18" a="1"/>
  <c r="AR57" i="18" a="1"/>
  <c r="AR57" i="18" s="1"/>
  <c r="AP57" i="18"/>
  <c r="AP57" i="18" a="1"/>
  <c r="AN57" i="18" a="1"/>
  <c r="AN57" i="18" s="1"/>
  <c r="AL57" i="18" a="1"/>
  <c r="AL57" i="18" s="1"/>
  <c r="AJ57" i="18" a="1"/>
  <c r="AJ57" i="18" s="1"/>
  <c r="AH57" i="18" a="1"/>
  <c r="AH57" i="18" s="1"/>
  <c r="AF57" i="18"/>
  <c r="AF57" i="18" a="1"/>
  <c r="AD57" i="18"/>
  <c r="AD57" i="18" a="1"/>
  <c r="AB57" i="18" a="1"/>
  <c r="AB57" i="18" s="1"/>
  <c r="Z57" i="18"/>
  <c r="Z57" i="18" a="1"/>
  <c r="X57" i="18" a="1"/>
  <c r="X57" i="18" s="1"/>
  <c r="V57" i="18" a="1"/>
  <c r="V57" i="18" s="1"/>
  <c r="T57" i="18"/>
  <c r="T57" i="18" a="1"/>
  <c r="R57" i="18" a="1"/>
  <c r="R57" i="18" s="1"/>
  <c r="P57" i="18"/>
  <c r="P57" i="18" a="1"/>
  <c r="N57" i="18"/>
  <c r="N57" i="18" a="1"/>
  <c r="L57" i="18" a="1"/>
  <c r="L57" i="18" s="1"/>
  <c r="J57" i="18"/>
  <c r="J57" i="18" a="1"/>
  <c r="H57" i="18" a="1"/>
  <c r="H57" i="18" s="1"/>
  <c r="F57" i="18" a="1"/>
  <c r="F57" i="18" s="1"/>
  <c r="D57" i="18" a="1"/>
  <c r="D57" i="18" s="1"/>
  <c r="B57" i="18"/>
  <c r="B57" i="18" a="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P80" i="18" s="1"/>
  <c r="AN55" i="18"/>
  <c r="AN80" i="18" s="1"/>
  <c r="AL55" i="18"/>
  <c r="AL80" i="18" s="1"/>
  <c r="AJ55" i="18"/>
  <c r="AJ80" i="18" s="1"/>
  <c r="AH55" i="18"/>
  <c r="AF55" i="18"/>
  <c r="AF80" i="18" s="1"/>
  <c r="AD55" i="18"/>
  <c r="AD80" i="18" s="1"/>
  <c r="AB55" i="18"/>
  <c r="AB80" i="18" s="1"/>
  <c r="Z55" i="18"/>
  <c r="Z80" i="18" s="1"/>
  <c r="X55" i="18"/>
  <c r="V55" i="18"/>
  <c r="T55" i="18"/>
  <c r="T80" i="18" s="1"/>
  <c r="R55" i="18"/>
  <c r="R80" i="18" s="1"/>
  <c r="P55" i="18"/>
  <c r="N55" i="18"/>
  <c r="L55" i="18"/>
  <c r="J55" i="18"/>
  <c r="H55" i="18"/>
  <c r="F55" i="18"/>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L51" i="18"/>
  <c r="AJ51" i="18"/>
  <c r="AJ81" i="18" s="1"/>
  <c r="AH51" i="18"/>
  <c r="AH81" i="18" s="1"/>
  <c r="AF51" i="18"/>
  <c r="AD51" i="18"/>
  <c r="AB51" i="18"/>
  <c r="Z51" i="18"/>
  <c r="Z81" i="18" s="1"/>
  <c r="X51" i="18"/>
  <c r="X81" i="18" s="1"/>
  <c r="V51" i="18"/>
  <c r="V81" i="18" s="1"/>
  <c r="T51" i="18"/>
  <c r="T81" i="18" s="1"/>
  <c r="R51" i="18"/>
  <c r="R81" i="18" s="1"/>
  <c r="P51" i="18"/>
  <c r="P81" i="18" s="1"/>
  <c r="N51" i="18"/>
  <c r="N81" i="18" s="1"/>
  <c r="L51" i="18"/>
  <c r="L81" i="18" s="1"/>
  <c r="J51" i="18"/>
  <c r="J81" i="18" s="1"/>
  <c r="H51" i="18"/>
  <c r="F51" i="18"/>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c r="AP43" i="18" a="1"/>
  <c r="AN43" i="18" a="1"/>
  <c r="AN43" i="18" s="1"/>
  <c r="AL43" i="18" a="1"/>
  <c r="AL43" i="18" s="1"/>
  <c r="AJ43" i="18" a="1"/>
  <c r="AJ43" i="18" s="1"/>
  <c r="AH43" i="18" a="1"/>
  <c r="AH43" i="18" s="1"/>
  <c r="AF43" i="18"/>
  <c r="AF43" i="18" a="1"/>
  <c r="AD43" i="18" a="1"/>
  <c r="AD43" i="18" s="1"/>
  <c r="AB43" i="18" a="1"/>
  <c r="AB43" i="18" s="1"/>
  <c r="Z43" i="18"/>
  <c r="Z43" i="18" a="1"/>
  <c r="X43" i="18" a="1"/>
  <c r="X43" i="18" s="1"/>
  <c r="V43" i="18" a="1"/>
  <c r="V43" i="18" s="1"/>
  <c r="T43" i="18" a="1"/>
  <c r="T43" i="18" s="1"/>
  <c r="R43" i="18"/>
  <c r="R43" i="18" a="1"/>
  <c r="P43" i="18"/>
  <c r="P43" i="18" a="1"/>
  <c r="N43" i="18" a="1"/>
  <c r="N43" i="18" s="1"/>
  <c r="L43" i="18" a="1"/>
  <c r="L43" i="18" s="1"/>
  <c r="J43" i="18"/>
  <c r="J43" i="18" a="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P81" i="22"/>
  <c r="AN81" i="22"/>
  <c r="AL81" i="22"/>
  <c r="AF81" i="22"/>
  <c r="AD81" i="22"/>
  <c r="AB81" i="22"/>
  <c r="J81" i="22"/>
  <c r="H81" i="22"/>
  <c r="F81" i="22"/>
  <c r="AV80" i="22"/>
  <c r="AT80" i="22"/>
  <c r="AR80" i="22"/>
  <c r="AP80" i="22"/>
  <c r="AN80" i="22"/>
  <c r="Z80" i="22"/>
  <c r="X80" i="22"/>
  <c r="V80" i="22"/>
  <c r="P80" i="22"/>
  <c r="N80" i="22"/>
  <c r="L80" i="22"/>
  <c r="J80" i="22"/>
  <c r="H80" i="22"/>
  <c r="AV79" i="22" a="1"/>
  <c r="AV79" i="22" s="1"/>
  <c r="AT79" i="22" a="1"/>
  <c r="AT79" i="22" s="1"/>
  <c r="AR79" i="22" a="1"/>
  <c r="AR79" i="22" s="1"/>
  <c r="AP79" i="22" a="1"/>
  <c r="AP79" i="22" s="1"/>
  <c r="AN79" i="22" a="1"/>
  <c r="AN79" i="22" s="1"/>
  <c r="AL79" i="22" a="1"/>
  <c r="AL79" i="22" s="1"/>
  <c r="AJ79" i="22"/>
  <c r="AJ79" i="22" a="1"/>
  <c r="AH79" i="22" a="1"/>
  <c r="AH79" i="22" s="1"/>
  <c r="AF79" i="22" a="1"/>
  <c r="AF79" i="22" s="1"/>
  <c r="AD79" i="22" a="1"/>
  <c r="AD79" i="22" s="1"/>
  <c r="AB79" i="22" a="1"/>
  <c r="AB79" i="22" s="1"/>
  <c r="Z79" i="22" a="1"/>
  <c r="Z79" i="22" s="1"/>
  <c r="X79" i="22" a="1"/>
  <c r="X79" i="22" s="1"/>
  <c r="V79" i="22" a="1"/>
  <c r="V79" i="22" s="1"/>
  <c r="T79" i="22"/>
  <c r="T79" i="22" a="1"/>
  <c r="R79" i="22" a="1"/>
  <c r="R79" i="22" s="1"/>
  <c r="P79" i="22" a="1"/>
  <c r="P79" i="22" s="1"/>
  <c r="N79" i="22" a="1"/>
  <c r="N79" i="22" s="1"/>
  <c r="L79" i="22" a="1"/>
  <c r="L79" i="22" s="1"/>
  <c r="J79" i="22" a="1"/>
  <c r="J79" i="22" s="1"/>
  <c r="H79" i="22" a="1"/>
  <c r="H79" i="22" s="1"/>
  <c r="F79" i="22" a="1"/>
  <c r="F79" i="22" s="1"/>
  <c r="D79" i="22"/>
  <c r="D79" i="22" a="1"/>
  <c r="B79" i="22" a="1"/>
  <c r="B79" i="22" s="1"/>
  <c r="AV78" i="22" a="1"/>
  <c r="AV78" i="22" s="1"/>
  <c r="AT78" i="22" a="1"/>
  <c r="AT78" i="22" s="1"/>
  <c r="AR78" i="22" a="1"/>
  <c r="AR78" i="22" s="1"/>
  <c r="AP78" i="22" a="1"/>
  <c r="AP78" i="22" s="1"/>
  <c r="AN78" i="22" a="1"/>
  <c r="AN78" i="22" s="1"/>
  <c r="AL78" i="22" a="1"/>
  <c r="AL78" i="22" s="1"/>
  <c r="AJ78" i="22"/>
  <c r="AJ78" i="22" a="1"/>
  <c r="AH78" i="22" a="1"/>
  <c r="AH78" i="22" s="1"/>
  <c r="AF78" i="22" a="1"/>
  <c r="AF78" i="22" s="1"/>
  <c r="AD78" i="22" a="1"/>
  <c r="AD78" i="22" s="1"/>
  <c r="AB78" i="22" a="1"/>
  <c r="AB78" i="22" s="1"/>
  <c r="Z78" i="22" a="1"/>
  <c r="Z78" i="22" s="1"/>
  <c r="X78" i="22" a="1"/>
  <c r="X78" i="22" s="1"/>
  <c r="V78" i="22" a="1"/>
  <c r="V78" i="22" s="1"/>
  <c r="T78" i="22"/>
  <c r="T78" i="22" a="1"/>
  <c r="R78" i="22" a="1"/>
  <c r="R78" i="22" s="1"/>
  <c r="P78" i="22" a="1"/>
  <c r="P78" i="22" s="1"/>
  <c r="N78" i="22" a="1"/>
  <c r="N78" i="22" s="1"/>
  <c r="L78" i="22" a="1"/>
  <c r="L78" i="22" s="1"/>
  <c r="J78" i="22" a="1"/>
  <c r="J78" i="22" s="1"/>
  <c r="H78" i="22" a="1"/>
  <c r="H78" i="22" s="1"/>
  <c r="F78" i="22" a="1"/>
  <c r="F78" i="22" s="1"/>
  <c r="D78" i="22"/>
  <c r="D78" i="22" a="1"/>
  <c r="B78" i="22" a="1"/>
  <c r="B78" i="22" s="1"/>
  <c r="AV77" i="22" a="1"/>
  <c r="AV77" i="22" s="1"/>
  <c r="AT77" i="22" a="1"/>
  <c r="AT77" i="22" s="1"/>
  <c r="AR77" i="22" a="1"/>
  <c r="AR77" i="22" s="1"/>
  <c r="AP77" i="22" a="1"/>
  <c r="AP77" i="22" s="1"/>
  <c r="AN77" i="22" a="1"/>
  <c r="AN77" i="22" s="1"/>
  <c r="AL77" i="22" a="1"/>
  <c r="AL77" i="22" s="1"/>
  <c r="AJ77" i="22"/>
  <c r="AJ77" i="22" a="1"/>
  <c r="AH77" i="22" a="1"/>
  <c r="AH77" i="22" s="1"/>
  <c r="AF77" i="22" a="1"/>
  <c r="AF77" i="22" s="1"/>
  <c r="AD77" i="22" a="1"/>
  <c r="AD77" i="22" s="1"/>
  <c r="AB77" i="22" a="1"/>
  <c r="AB77" i="22" s="1"/>
  <c r="Z77" i="22" a="1"/>
  <c r="Z77" i="22" s="1"/>
  <c r="X77" i="22" a="1"/>
  <c r="X77" i="22" s="1"/>
  <c r="V77" i="22" a="1"/>
  <c r="V77" i="22" s="1"/>
  <c r="T77" i="22"/>
  <c r="T77" i="22" a="1"/>
  <c r="R77" i="22" a="1"/>
  <c r="R77" i="22" s="1"/>
  <c r="P77" i="22" a="1"/>
  <c r="P77" i="22" s="1"/>
  <c r="N77" i="22" a="1"/>
  <c r="N77" i="22" s="1"/>
  <c r="L77" i="22" a="1"/>
  <c r="L77" i="22" s="1"/>
  <c r="J77" i="22" a="1"/>
  <c r="J77" i="22" s="1"/>
  <c r="H77" i="22" a="1"/>
  <c r="H77" i="22" s="1"/>
  <c r="F77" i="22" a="1"/>
  <c r="F77" i="22" s="1"/>
  <c r="D77" i="22"/>
  <c r="D77" i="22" a="1"/>
  <c r="B77" i="22" a="1"/>
  <c r="B77" i="22" s="1"/>
  <c r="AV76" i="22" a="1"/>
  <c r="AV76" i="22" s="1"/>
  <c r="AT76" i="22" a="1"/>
  <c r="AT76" i="22" s="1"/>
  <c r="AR76" i="22" a="1"/>
  <c r="AR76" i="22" s="1"/>
  <c r="AP76" i="22" a="1"/>
  <c r="AP76" i="22" s="1"/>
  <c r="AN76" i="22" a="1"/>
  <c r="AN76" i="22" s="1"/>
  <c r="AL76" i="22" a="1"/>
  <c r="AL76" i="22" s="1"/>
  <c r="AJ76" i="22"/>
  <c r="AJ76" i="22" a="1"/>
  <c r="AH76" i="22" a="1"/>
  <c r="AH76" i="22" s="1"/>
  <c r="AF76" i="22" a="1"/>
  <c r="AF76" i="22" s="1"/>
  <c r="AD76" i="22" a="1"/>
  <c r="AD76" i="22" s="1"/>
  <c r="AB76" i="22" a="1"/>
  <c r="AB76" i="22" s="1"/>
  <c r="Z76" i="22" a="1"/>
  <c r="Z76" i="22" s="1"/>
  <c r="X76" i="22" a="1"/>
  <c r="X76" i="22" s="1"/>
  <c r="V76" i="22" a="1"/>
  <c r="V76" i="22" s="1"/>
  <c r="T76" i="22"/>
  <c r="T76" i="22" a="1"/>
  <c r="R76" i="22" a="1"/>
  <c r="R76" i="22" s="1"/>
  <c r="P76" i="22" a="1"/>
  <c r="P76" i="22" s="1"/>
  <c r="N76" i="22" a="1"/>
  <c r="N76" i="22" s="1"/>
  <c r="L76" i="22" a="1"/>
  <c r="L76" i="22" s="1"/>
  <c r="J76" i="22" a="1"/>
  <c r="J76" i="22" s="1"/>
  <c r="H76" i="22" a="1"/>
  <c r="H76" i="22" s="1"/>
  <c r="F76" i="22" a="1"/>
  <c r="F76" i="22" s="1"/>
  <c r="D76" i="22"/>
  <c r="D76" i="22" a="1"/>
  <c r="B76" i="22" a="1"/>
  <c r="B76" i="22" s="1"/>
  <c r="AV75" i="22" a="1"/>
  <c r="AV75" i="22" s="1"/>
  <c r="AT75" i="22" a="1"/>
  <c r="AT75" i="22" s="1"/>
  <c r="AR75" i="22" a="1"/>
  <c r="AR75" i="22" s="1"/>
  <c r="AP75" i="22" a="1"/>
  <c r="AP75" i="22" s="1"/>
  <c r="AN75" i="22" a="1"/>
  <c r="AN75" i="22" s="1"/>
  <c r="AL75" i="22" a="1"/>
  <c r="AL75" i="22" s="1"/>
  <c r="AJ75" i="22"/>
  <c r="AJ75" i="22" a="1"/>
  <c r="AH75" i="22" a="1"/>
  <c r="AH75" i="22" s="1"/>
  <c r="AF75" i="22" a="1"/>
  <c r="AF75" i="22" s="1"/>
  <c r="AD75" i="22" a="1"/>
  <c r="AD75" i="22" s="1"/>
  <c r="AB75" i="22" a="1"/>
  <c r="AB75" i="22" s="1"/>
  <c r="Z75" i="22" a="1"/>
  <c r="Z75" i="22" s="1"/>
  <c r="X75" i="22" a="1"/>
  <c r="X75" i="22" s="1"/>
  <c r="V75" i="22" a="1"/>
  <c r="V75" i="22" s="1"/>
  <c r="T75" i="22"/>
  <c r="T75" i="22" a="1"/>
  <c r="R75" i="22" a="1"/>
  <c r="R75" i="22" s="1"/>
  <c r="P75" i="22" a="1"/>
  <c r="P75" i="22" s="1"/>
  <c r="N75" i="22" a="1"/>
  <c r="N75" i="22" s="1"/>
  <c r="L75" i="22" a="1"/>
  <c r="L75" i="22" s="1"/>
  <c r="J75" i="22" a="1"/>
  <c r="J75" i="22" s="1"/>
  <c r="H75" i="22" a="1"/>
  <c r="H75" i="22" s="1"/>
  <c r="F75" i="22" a="1"/>
  <c r="F75" i="22" s="1"/>
  <c r="D75" i="22"/>
  <c r="D75" i="22" a="1"/>
  <c r="B75" i="22" a="1"/>
  <c r="B75" i="22" s="1"/>
  <c r="AV74" i="22" a="1"/>
  <c r="AV74" i="22" s="1"/>
  <c r="AT74" i="22" a="1"/>
  <c r="AT74" i="22" s="1"/>
  <c r="AR74" i="22" a="1"/>
  <c r="AR74" i="22" s="1"/>
  <c r="AP74" i="22" a="1"/>
  <c r="AP74" i="22" s="1"/>
  <c r="AN74" i="22" a="1"/>
  <c r="AN74" i="22" s="1"/>
  <c r="AL74" i="22" a="1"/>
  <c r="AL74" i="22" s="1"/>
  <c r="AJ74" i="22"/>
  <c r="AJ74" i="22" a="1"/>
  <c r="AH74" i="22" a="1"/>
  <c r="AH74" i="22" s="1"/>
  <c r="AF74" i="22" a="1"/>
  <c r="AF74" i="22" s="1"/>
  <c r="AD74" i="22" a="1"/>
  <c r="AD74" i="22" s="1"/>
  <c r="AB74" i="22" a="1"/>
  <c r="AB74" i="22" s="1"/>
  <c r="Z74" i="22" a="1"/>
  <c r="Z74" i="22" s="1"/>
  <c r="X74" i="22" a="1"/>
  <c r="X74" i="22" s="1"/>
  <c r="V74" i="22" a="1"/>
  <c r="V74" i="22" s="1"/>
  <c r="T74" i="22"/>
  <c r="T74" i="22" a="1"/>
  <c r="R74" i="22" a="1"/>
  <c r="R74" i="22" s="1"/>
  <c r="P74" i="22" a="1"/>
  <c r="P74" i="22" s="1"/>
  <c r="N74" i="22" a="1"/>
  <c r="N74" i="22" s="1"/>
  <c r="L74" i="22" a="1"/>
  <c r="L74" i="22" s="1"/>
  <c r="J74" i="22" a="1"/>
  <c r="J74" i="22" s="1"/>
  <c r="H74" i="22" a="1"/>
  <c r="H74" i="22" s="1"/>
  <c r="F74" i="22" a="1"/>
  <c r="F74" i="22" s="1"/>
  <c r="D74" i="22"/>
  <c r="D74" i="22" a="1"/>
  <c r="B74" i="22" a="1"/>
  <c r="B74" i="22" s="1"/>
  <c r="AV73" i="22" a="1"/>
  <c r="AV73" i="22" s="1"/>
  <c r="AT73" i="22" a="1"/>
  <c r="AT73" i="22" s="1"/>
  <c r="AR73" i="22" a="1"/>
  <c r="AR73" i="22" s="1"/>
  <c r="AP73" i="22" a="1"/>
  <c r="AP73" i="22" s="1"/>
  <c r="AN73" i="22" a="1"/>
  <c r="AN73" i="22" s="1"/>
  <c r="AL73" i="22" a="1"/>
  <c r="AL73" i="22" s="1"/>
  <c r="AJ73" i="22"/>
  <c r="AJ73" i="22" a="1"/>
  <c r="AH73" i="22" a="1"/>
  <c r="AH73" i="22" s="1"/>
  <c r="AF73" i="22" a="1"/>
  <c r="AF73" i="22" s="1"/>
  <c r="AD73" i="22" a="1"/>
  <c r="AD73" i="22" s="1"/>
  <c r="AB73" i="22" a="1"/>
  <c r="AB73" i="22" s="1"/>
  <c r="Z73" i="22" a="1"/>
  <c r="Z73" i="22" s="1"/>
  <c r="X73" i="22" a="1"/>
  <c r="X73" i="22" s="1"/>
  <c r="V73" i="22" a="1"/>
  <c r="V73" i="22" s="1"/>
  <c r="T73" i="22"/>
  <c r="T73" i="22" a="1"/>
  <c r="R73" i="22" a="1"/>
  <c r="R73" i="22" s="1"/>
  <c r="P73" i="22" a="1"/>
  <c r="P73" i="22" s="1"/>
  <c r="N73" i="22" a="1"/>
  <c r="N73" i="22" s="1"/>
  <c r="L73" i="22" a="1"/>
  <c r="L73" i="22" s="1"/>
  <c r="J73" i="22" a="1"/>
  <c r="J73" i="22" s="1"/>
  <c r="H73" i="22" a="1"/>
  <c r="H73" i="22" s="1"/>
  <c r="F73" i="22" a="1"/>
  <c r="F73" i="22" s="1"/>
  <c r="D73" i="22"/>
  <c r="D73" i="22" a="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P69" i="22"/>
  <c r="AN69" i="22"/>
  <c r="J69" i="22"/>
  <c r="H69" i="22"/>
  <c r="B69" i="22"/>
  <c r="AV67" i="22" a="1"/>
  <c r="AV67" i="22" s="1"/>
  <c r="AT67" i="22" a="1"/>
  <c r="AT67" i="22" s="1"/>
  <c r="AR67" i="22"/>
  <c r="AR67" i="22" a="1"/>
  <c r="AP67" i="22" a="1"/>
  <c r="AP67" i="22" s="1"/>
  <c r="AN67" i="22" a="1"/>
  <c r="AN67" i="22" s="1"/>
  <c r="AL67" i="22" a="1"/>
  <c r="AL67" i="22" s="1"/>
  <c r="AJ67" i="22" a="1"/>
  <c r="AJ67" i="22" s="1"/>
  <c r="AH67" i="22" a="1"/>
  <c r="AH67" i="22" s="1"/>
  <c r="AF67" i="22" a="1"/>
  <c r="AF67" i="22" s="1"/>
  <c r="AD67" i="22" a="1"/>
  <c r="AD67" i="22" s="1"/>
  <c r="AB67" i="22"/>
  <c r="AB67" i="22" a="1"/>
  <c r="Z67" i="22" a="1"/>
  <c r="Z67" i="22" s="1"/>
  <c r="X67" i="22" a="1"/>
  <c r="X67" i="22" s="1"/>
  <c r="V67" i="22" a="1"/>
  <c r="V67" i="22" s="1"/>
  <c r="T67" i="22" a="1"/>
  <c r="T67" i="22" s="1"/>
  <c r="R67" i="22" a="1"/>
  <c r="R67" i="22" s="1"/>
  <c r="P67" i="22" a="1"/>
  <c r="P67" i="22" s="1"/>
  <c r="N67" i="22" a="1"/>
  <c r="N67" i="22" s="1"/>
  <c r="L67" i="22"/>
  <c r="L67" i="22" a="1"/>
  <c r="J67" i="22" a="1"/>
  <c r="J67" i="22" s="1"/>
  <c r="H67" i="22" a="1"/>
  <c r="H67" i="22" s="1"/>
  <c r="F67" i="22" a="1"/>
  <c r="F67" i="22" s="1"/>
  <c r="D67" i="22" a="1"/>
  <c r="D67" i="22" s="1"/>
  <c r="B67" i="22" a="1"/>
  <c r="B67" i="22" s="1"/>
  <c r="AV66" i="22" a="1"/>
  <c r="AV66" i="22" s="1"/>
  <c r="AV68" i="22" s="1"/>
  <c r="AT66" i="22" a="1"/>
  <c r="AT66" i="22" s="1"/>
  <c r="AT68" i="22" s="1"/>
  <c r="AR66" i="22"/>
  <c r="AR68" i="22" s="1"/>
  <c r="AR66" i="22" a="1"/>
  <c r="AP66" i="22" a="1"/>
  <c r="AP66" i="22" s="1"/>
  <c r="AP68" i="22" s="1"/>
  <c r="AN66" i="22" a="1"/>
  <c r="AN66" i="22" s="1"/>
  <c r="AL66" i="22" a="1"/>
  <c r="AL66" i="22" s="1"/>
  <c r="AJ66" i="22" a="1"/>
  <c r="AJ66" i="22" s="1"/>
  <c r="AH66" i="22" a="1"/>
  <c r="AH66" i="22" s="1"/>
  <c r="AF66" i="22" a="1"/>
  <c r="AF66" i="22" s="1"/>
  <c r="AD66" i="22" a="1"/>
  <c r="AD66" i="22" s="1"/>
  <c r="AD68" i="22" s="1"/>
  <c r="AB66" i="22"/>
  <c r="AB68" i="22" s="1"/>
  <c r="AB66" i="22" a="1"/>
  <c r="Z66" i="22" a="1"/>
  <c r="Z66" i="22" s="1"/>
  <c r="Z68" i="22" s="1"/>
  <c r="X66" i="22" a="1"/>
  <c r="X66" i="22" s="1"/>
  <c r="X68" i="22" s="1"/>
  <c r="V66" i="22" a="1"/>
  <c r="V66" i="22" s="1"/>
  <c r="T66" i="22" a="1"/>
  <c r="T66" i="22" s="1"/>
  <c r="R66" i="22" a="1"/>
  <c r="R66" i="22" s="1"/>
  <c r="R68" i="22" s="1"/>
  <c r="P66" i="22" a="1"/>
  <c r="P66" i="22" s="1"/>
  <c r="P68" i="22" s="1"/>
  <c r="N66" i="22"/>
  <c r="N68" i="22" s="1"/>
  <c r="N66" i="22" a="1"/>
  <c r="L66" i="22"/>
  <c r="L66" i="22" a="1"/>
  <c r="J66" i="22" a="1"/>
  <c r="J66" i="22" s="1"/>
  <c r="H66" i="22" a="1"/>
  <c r="H66" i="22" s="1"/>
  <c r="F66" i="22" a="1"/>
  <c r="F66" i="22" s="1"/>
  <c r="D66" i="22" a="1"/>
  <c r="D66" i="22" s="1"/>
  <c r="B66" i="22" a="1"/>
  <c r="B66" i="22" s="1"/>
  <c r="AV65" i="22" a="1"/>
  <c r="AV65" i="22" s="1"/>
  <c r="AV69" i="22" s="1"/>
  <c r="AT65" i="22" a="1"/>
  <c r="AT65" i="22" s="1"/>
  <c r="AT69" i="22" s="1"/>
  <c r="AR65" i="22"/>
  <c r="AR69" i="22" s="1"/>
  <c r="AR65" i="22" a="1"/>
  <c r="AP65" i="22" a="1"/>
  <c r="AP65" i="22" s="1"/>
  <c r="AN65" i="22" a="1"/>
  <c r="AN65" i="22" s="1"/>
  <c r="AL65" i="22" a="1"/>
  <c r="AL65" i="22" s="1"/>
  <c r="AL69" i="22" s="1"/>
  <c r="AJ65" i="22" a="1"/>
  <c r="AJ65" i="22" s="1"/>
  <c r="AJ69" i="22" s="1"/>
  <c r="AH65" i="22" a="1"/>
  <c r="AH65" i="22" s="1"/>
  <c r="AH69" i="22" s="1"/>
  <c r="AF65" i="22" a="1"/>
  <c r="AF65" i="22" s="1"/>
  <c r="AF69" i="22" s="1"/>
  <c r="AD65" i="22"/>
  <c r="AD69" i="22" s="1"/>
  <c r="AD65" i="22" a="1"/>
  <c r="AB65" i="22"/>
  <c r="AB69" i="22" s="1"/>
  <c r="AB65" i="22" a="1"/>
  <c r="Z65" i="22" a="1"/>
  <c r="Z65" i="22" s="1"/>
  <c r="Z69" i="22" s="1"/>
  <c r="X65" i="22" a="1"/>
  <c r="X65" i="22" s="1"/>
  <c r="X69" i="22" s="1"/>
  <c r="V65" i="22" a="1"/>
  <c r="V65" i="22" s="1"/>
  <c r="V69" i="22" s="1"/>
  <c r="T65" i="22" a="1"/>
  <c r="T65" i="22" s="1"/>
  <c r="T69" i="22" s="1"/>
  <c r="R65" i="22" a="1"/>
  <c r="R65" i="22" s="1"/>
  <c r="R69" i="22" s="1"/>
  <c r="P65" i="22" a="1"/>
  <c r="P65" i="22" s="1"/>
  <c r="P69" i="22" s="1"/>
  <c r="N65" i="22"/>
  <c r="N69" i="22" s="1"/>
  <c r="N65" i="22" a="1"/>
  <c r="L65" i="22"/>
  <c r="L69" i="22" s="1"/>
  <c r="L65" i="22" a="1"/>
  <c r="J65" i="22" a="1"/>
  <c r="J65" i="22" s="1"/>
  <c r="H65" i="22" a="1"/>
  <c r="H65" i="22" s="1"/>
  <c r="F65" i="22" a="1"/>
  <c r="F65" i="22" s="1"/>
  <c r="F69" i="22" s="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c r="AP58" i="22" a="1"/>
  <c r="AN58" i="22" a="1"/>
  <c r="AN58" i="22" s="1"/>
  <c r="AL58" i="22" a="1"/>
  <c r="AL58" i="22" s="1"/>
  <c r="AJ58" i="22" a="1"/>
  <c r="AJ58" i="22" s="1"/>
  <c r="AH58" i="22" a="1"/>
  <c r="AH58" i="22" s="1"/>
  <c r="AF58" i="22"/>
  <c r="AF58" i="22" a="1"/>
  <c r="AD58" i="22"/>
  <c r="AD58" i="22" a="1"/>
  <c r="AB58" i="22" a="1"/>
  <c r="AB58" i="22" s="1"/>
  <c r="Z58" i="22"/>
  <c r="Z58" i="22" a="1"/>
  <c r="X58" i="22" a="1"/>
  <c r="X58" i="22" s="1"/>
  <c r="V58" i="22" a="1"/>
  <c r="V58" i="22" s="1"/>
  <c r="T58" i="22"/>
  <c r="T58" i="22" a="1"/>
  <c r="R58" i="22" a="1"/>
  <c r="R58" i="22" s="1"/>
  <c r="P58" i="22"/>
  <c r="P58" i="22" a="1"/>
  <c r="N58" i="22"/>
  <c r="N58" i="22" a="1"/>
  <c r="L58" i="22" a="1"/>
  <c r="L58" i="22" s="1"/>
  <c r="J58" i="22"/>
  <c r="J58" i="22" a="1"/>
  <c r="H58" i="22" a="1"/>
  <c r="H58" i="22" s="1"/>
  <c r="F58" i="22" a="1"/>
  <c r="F58" i="22" s="1"/>
  <c r="D58" i="22"/>
  <c r="D58" i="22" a="1"/>
  <c r="B58" i="22" a="1"/>
  <c r="B58" i="22" s="1"/>
  <c r="AV57" i="22"/>
  <c r="AV57" i="22" a="1"/>
  <c r="AT57" i="22"/>
  <c r="AT57" i="22" a="1"/>
  <c r="AR57" i="22" a="1"/>
  <c r="AR57" i="22" s="1"/>
  <c r="AP57" i="22"/>
  <c r="AP57" i="22" a="1"/>
  <c r="AN57" i="22" a="1"/>
  <c r="AN57" i="22" s="1"/>
  <c r="AL57" i="22" a="1"/>
  <c r="AL57" i="22" s="1"/>
  <c r="AJ57" i="22" a="1"/>
  <c r="AJ57" i="22" s="1"/>
  <c r="AH57" i="22" a="1"/>
  <c r="AH57" i="22" s="1"/>
  <c r="AF57" i="22"/>
  <c r="AF57" i="22" a="1"/>
  <c r="AD57" i="22"/>
  <c r="AD57" i="22" a="1"/>
  <c r="AB57" i="22" a="1"/>
  <c r="AB57" i="22" s="1"/>
  <c r="Z57" i="22"/>
  <c r="Z57" i="22" a="1"/>
  <c r="X57" i="22" a="1"/>
  <c r="X57" i="22" s="1"/>
  <c r="V57" i="22" a="1"/>
  <c r="V57" i="22" s="1"/>
  <c r="T57" i="22" a="1"/>
  <c r="T57" i="22" s="1"/>
  <c r="R57" i="22" a="1"/>
  <c r="R57" i="22" s="1"/>
  <c r="P57" i="22"/>
  <c r="P57" i="22" a="1"/>
  <c r="N57" i="22"/>
  <c r="N57" i="22" a="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N55" i="22"/>
  <c r="AL55" i="22"/>
  <c r="AL80" i="22" s="1"/>
  <c r="AJ55" i="22"/>
  <c r="AJ80" i="22" s="1"/>
  <c r="AH55" i="22"/>
  <c r="AH80" i="22" s="1"/>
  <c r="AF55" i="22"/>
  <c r="AF80" i="22" s="1"/>
  <c r="AD55" i="22"/>
  <c r="AD80" i="22" s="1"/>
  <c r="AB55" i="22"/>
  <c r="AB80" i="22" s="1"/>
  <c r="Z55" i="22"/>
  <c r="X55" i="22"/>
  <c r="V55" i="22"/>
  <c r="T55" i="22"/>
  <c r="T80" i="22" s="1"/>
  <c r="R55" i="22"/>
  <c r="R80" i="22" s="1"/>
  <c r="P55" i="22"/>
  <c r="N55" i="22"/>
  <c r="L55" i="22"/>
  <c r="J55" i="22"/>
  <c r="H55" i="22"/>
  <c r="F55" i="22"/>
  <c r="F80" i="22" s="1"/>
  <c r="D55" i="22"/>
  <c r="D80" i="22" s="1"/>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N51" i="22"/>
  <c r="AL51" i="22"/>
  <c r="AJ51" i="22"/>
  <c r="AJ81" i="22" s="1"/>
  <c r="AH51" i="22"/>
  <c r="AH81" i="22" s="1"/>
  <c r="AF51" i="22"/>
  <c r="AD51" i="22"/>
  <c r="AB51" i="22"/>
  <c r="Z51" i="22"/>
  <c r="Z81" i="22" s="1"/>
  <c r="X51" i="22"/>
  <c r="X81" i="22" s="1"/>
  <c r="V51" i="22"/>
  <c r="V81" i="22" s="1"/>
  <c r="T51" i="22"/>
  <c r="T81" i="22" s="1"/>
  <c r="R51" i="22"/>
  <c r="R81" i="22" s="1"/>
  <c r="P51" i="22"/>
  <c r="P81" i="22" s="1"/>
  <c r="N51" i="22"/>
  <c r="N81" i="22" s="1"/>
  <c r="L51" i="22"/>
  <c r="L81" i="22" s="1"/>
  <c r="J51" i="22"/>
  <c r="H51" i="22"/>
  <c r="F51" i="22"/>
  <c r="D51" i="22"/>
  <c r="D81" i="22" s="1"/>
  <c r="B51" i="22"/>
  <c r="B81" i="22" s="1"/>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c r="AT43" i="22" a="1"/>
  <c r="AR43" i="22" a="1"/>
  <c r="AR43" i="22" s="1"/>
  <c r="AP43" i="22"/>
  <c r="AP43" i="22" a="1"/>
  <c r="AN43" i="22" a="1"/>
  <c r="AN43" i="22" s="1"/>
  <c r="AL43" i="22" a="1"/>
  <c r="AL43" i="22" s="1"/>
  <c r="AJ43" i="22" a="1"/>
  <c r="AJ43" i="22" s="1"/>
  <c r="AH43" i="22" a="1"/>
  <c r="AH43" i="22" s="1"/>
  <c r="AF43" i="22"/>
  <c r="AF43" i="22" a="1"/>
  <c r="AD43" i="22"/>
  <c r="AD43" i="22" a="1"/>
  <c r="AB43" i="22" a="1"/>
  <c r="AB43" i="22" s="1"/>
  <c r="Z43" i="22"/>
  <c r="Z43" i="22" a="1"/>
  <c r="X43" i="22" a="1"/>
  <c r="X43" i="22" s="1"/>
  <c r="V43" i="22" a="1"/>
  <c r="V43" i="22" s="1"/>
  <c r="T43" i="22"/>
  <c r="T43" i="22" a="1"/>
  <c r="R43" i="22" a="1"/>
  <c r="R43" i="22" s="1"/>
  <c r="P43" i="22"/>
  <c r="P43" i="22" a="1"/>
  <c r="N43" i="22"/>
  <c r="N43" i="22" a="1"/>
  <c r="L43" i="22" a="1"/>
  <c r="L43" i="22" s="1"/>
  <c r="J43" i="22"/>
  <c r="J43" i="22" a="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N81" i="12"/>
  <c r="AL81" i="12"/>
  <c r="AF81" i="12"/>
  <c r="AD81" i="12"/>
  <c r="AB81" i="12"/>
  <c r="R81" i="12"/>
  <c r="H81" i="12"/>
  <c r="F81" i="12"/>
  <c r="AV80" i="12"/>
  <c r="AT80" i="12"/>
  <c r="AR80" i="12"/>
  <c r="AP80" i="12"/>
  <c r="AN80" i="12"/>
  <c r="AH80" i="12"/>
  <c r="X80" i="12"/>
  <c r="V80" i="12"/>
  <c r="P80" i="12"/>
  <c r="N80" i="12"/>
  <c r="L80" i="12"/>
  <c r="H80" i="12"/>
  <c r="B80" i="12"/>
  <c r="AV79" i="12" a="1"/>
  <c r="AV79" i="12" s="1"/>
  <c r="AT79" i="12" a="1"/>
  <c r="AT79" i="12" s="1"/>
  <c r="AR79" i="12" a="1"/>
  <c r="AR79" i="12" s="1"/>
  <c r="AP79" i="12" a="1"/>
  <c r="AP79" i="12" s="1"/>
  <c r="AN79" i="12" a="1"/>
  <c r="AN79" i="12" s="1"/>
  <c r="AL79" i="12" a="1"/>
  <c r="AL79" i="12" s="1"/>
  <c r="AJ79" i="12"/>
  <c r="AJ79" i="12" a="1"/>
  <c r="AH79" i="12" a="1"/>
  <c r="AH79" i="12" s="1"/>
  <c r="AF79" i="12" a="1"/>
  <c r="AF79" i="12" s="1"/>
  <c r="AD79" i="12" a="1"/>
  <c r="AD79" i="12" s="1"/>
  <c r="AB79" i="12" a="1"/>
  <c r="AB79" i="12" s="1"/>
  <c r="Z79" i="12" a="1"/>
  <c r="Z79" i="12" s="1"/>
  <c r="X79" i="12" a="1"/>
  <c r="X79" i="12" s="1"/>
  <c r="V79" i="12" a="1"/>
  <c r="V79" i="12" s="1"/>
  <c r="T79" i="12"/>
  <c r="T79" i="12" a="1"/>
  <c r="R79" i="12" a="1"/>
  <c r="R79" i="12" s="1"/>
  <c r="P79" i="12" a="1"/>
  <c r="P79" i="12" s="1"/>
  <c r="N79" i="12" a="1"/>
  <c r="N79" i="12" s="1"/>
  <c r="L79" i="12" a="1"/>
  <c r="L79" i="12" s="1"/>
  <c r="J79" i="12" a="1"/>
  <c r="J79" i="12" s="1"/>
  <c r="H79" i="12" a="1"/>
  <c r="H79" i="12" s="1"/>
  <c r="F79" i="12" a="1"/>
  <c r="F79" i="12" s="1"/>
  <c r="D79" i="12"/>
  <c r="D79" i="12" a="1"/>
  <c r="B79" i="12" a="1"/>
  <c r="B79" i="12" s="1"/>
  <c r="AV78" i="12" a="1"/>
  <c r="AV78" i="12" s="1"/>
  <c r="AT78" i="12" a="1"/>
  <c r="AT78" i="12" s="1"/>
  <c r="AR78" i="12" a="1"/>
  <c r="AR78" i="12" s="1"/>
  <c r="AP78" i="12" a="1"/>
  <c r="AP78" i="12" s="1"/>
  <c r="AN78" i="12" a="1"/>
  <c r="AN78" i="12" s="1"/>
  <c r="AL78" i="12" a="1"/>
  <c r="AL78" i="12" s="1"/>
  <c r="AJ78" i="12"/>
  <c r="AJ78" i="12" a="1"/>
  <c r="AH78" i="12" a="1"/>
  <c r="AH78" i="12" s="1"/>
  <c r="AF78" i="12" a="1"/>
  <c r="AF78" i="12" s="1"/>
  <c r="AD78" i="12" a="1"/>
  <c r="AD78" i="12" s="1"/>
  <c r="AB78" i="12" a="1"/>
  <c r="AB78" i="12" s="1"/>
  <c r="Z78" i="12" a="1"/>
  <c r="Z78" i="12" s="1"/>
  <c r="X78" i="12" a="1"/>
  <c r="X78" i="12" s="1"/>
  <c r="V78" i="12" a="1"/>
  <c r="V78" i="12" s="1"/>
  <c r="T78" i="12"/>
  <c r="T78" i="12" a="1"/>
  <c r="R78" i="12" a="1"/>
  <c r="R78" i="12" s="1"/>
  <c r="P78" i="12" a="1"/>
  <c r="P78" i="12" s="1"/>
  <c r="N78" i="12" a="1"/>
  <c r="N78" i="12" s="1"/>
  <c r="L78" i="12" a="1"/>
  <c r="L78" i="12" s="1"/>
  <c r="J78" i="12" a="1"/>
  <c r="J78" i="12" s="1"/>
  <c r="H78" i="12" a="1"/>
  <c r="H78" i="12" s="1"/>
  <c r="F78" i="12" a="1"/>
  <c r="F78" i="12" s="1"/>
  <c r="D78" i="12"/>
  <c r="D78" i="12" a="1"/>
  <c r="B78" i="12" a="1"/>
  <c r="B78" i="12" s="1"/>
  <c r="AV77" i="12" a="1"/>
  <c r="AV77" i="12" s="1"/>
  <c r="AT77" i="12" a="1"/>
  <c r="AT77" i="12" s="1"/>
  <c r="AR77" i="12" a="1"/>
  <c r="AR77" i="12" s="1"/>
  <c r="AP77" i="12" a="1"/>
  <c r="AP77" i="12" s="1"/>
  <c r="AN77" i="12" a="1"/>
  <c r="AN77" i="12" s="1"/>
  <c r="AL77" i="12" a="1"/>
  <c r="AL77" i="12" s="1"/>
  <c r="AJ77" i="12"/>
  <c r="AJ77" i="12" a="1"/>
  <c r="AH77" i="12" a="1"/>
  <c r="AH77" i="12" s="1"/>
  <c r="AF77" i="12" a="1"/>
  <c r="AF77" i="12" s="1"/>
  <c r="AD77" i="12" a="1"/>
  <c r="AD77" i="12" s="1"/>
  <c r="AB77" i="12" a="1"/>
  <c r="AB77" i="12" s="1"/>
  <c r="Z77" i="12" a="1"/>
  <c r="Z77" i="12" s="1"/>
  <c r="X77" i="12" a="1"/>
  <c r="X77" i="12" s="1"/>
  <c r="V77" i="12" a="1"/>
  <c r="V77" i="12" s="1"/>
  <c r="T77" i="12"/>
  <c r="T77" i="12" a="1"/>
  <c r="R77" i="12" a="1"/>
  <c r="R77" i="12" s="1"/>
  <c r="P77" i="12" a="1"/>
  <c r="P77" i="12" s="1"/>
  <c r="N77" i="12" a="1"/>
  <c r="N77" i="12" s="1"/>
  <c r="L77" i="12" a="1"/>
  <c r="L77" i="12" s="1"/>
  <c r="J77" i="12" a="1"/>
  <c r="J77" i="12" s="1"/>
  <c r="H77" i="12" a="1"/>
  <c r="H77" i="12" s="1"/>
  <c r="F77" i="12"/>
  <c r="F77" i="12" a="1"/>
  <c r="D77" i="12"/>
  <c r="D77" i="12" a="1"/>
  <c r="B77" i="12" a="1"/>
  <c r="B77" i="12" s="1"/>
  <c r="AV76" i="12" a="1"/>
  <c r="AV76" i="12" s="1"/>
  <c r="AT76" i="12" a="1"/>
  <c r="AT76" i="12" s="1"/>
  <c r="AR76" i="12" a="1"/>
  <c r="AR76" i="12" s="1"/>
  <c r="AP76" i="12" a="1"/>
  <c r="AP76" i="12" s="1"/>
  <c r="AN76" i="12" a="1"/>
  <c r="AN76" i="12" s="1"/>
  <c r="AL76" i="12" a="1"/>
  <c r="AL76" i="12" s="1"/>
  <c r="AJ76" i="12"/>
  <c r="AJ76" i="12" a="1"/>
  <c r="AH76" i="12" a="1"/>
  <c r="AH76" i="12" s="1"/>
  <c r="AF76" i="12" a="1"/>
  <c r="AF76" i="12" s="1"/>
  <c r="AD76" i="12" a="1"/>
  <c r="AD76" i="12" s="1"/>
  <c r="AB76" i="12" a="1"/>
  <c r="AB76" i="12" s="1"/>
  <c r="Z76" i="12" a="1"/>
  <c r="Z76" i="12" s="1"/>
  <c r="X76" i="12" a="1"/>
  <c r="X76" i="12" s="1"/>
  <c r="V76" i="12"/>
  <c r="V76" i="12" a="1"/>
  <c r="T76" i="12"/>
  <c r="T76" i="12" a="1"/>
  <c r="R76" i="12" a="1"/>
  <c r="R76" i="12" s="1"/>
  <c r="P76" i="12" a="1"/>
  <c r="P76" i="12" s="1"/>
  <c r="N76" i="12" a="1"/>
  <c r="N76" i="12" s="1"/>
  <c r="L76" i="12" a="1"/>
  <c r="L76" i="12" s="1"/>
  <c r="J76" i="12" a="1"/>
  <c r="J76" i="12" s="1"/>
  <c r="H76" i="12" a="1"/>
  <c r="H76" i="12" s="1"/>
  <c r="F76" i="12"/>
  <c r="F76" i="12" a="1"/>
  <c r="D76" i="12"/>
  <c r="D76" i="12" a="1"/>
  <c r="B76" i="12" a="1"/>
  <c r="B76" i="12" s="1"/>
  <c r="AV75" i="12" a="1"/>
  <c r="AV75" i="12" s="1"/>
  <c r="AT75" i="12" a="1"/>
  <c r="AT75" i="12" s="1"/>
  <c r="AR75" i="12" a="1"/>
  <c r="AR75" i="12" s="1"/>
  <c r="AP75" i="12" a="1"/>
  <c r="AP75" i="12" s="1"/>
  <c r="AN75" i="12" a="1"/>
  <c r="AN75" i="12" s="1"/>
  <c r="AL75" i="12" a="1"/>
  <c r="AL75" i="12" s="1"/>
  <c r="AJ75" i="12"/>
  <c r="AJ75" i="12" a="1"/>
  <c r="AH75" i="12" a="1"/>
  <c r="AH75" i="12" s="1"/>
  <c r="AF75" i="12" a="1"/>
  <c r="AF75" i="12" s="1"/>
  <c r="AD75" i="12" a="1"/>
  <c r="AD75" i="12" s="1"/>
  <c r="AB75" i="12" a="1"/>
  <c r="AB75" i="12" s="1"/>
  <c r="Z75" i="12" a="1"/>
  <c r="Z75" i="12" s="1"/>
  <c r="X75" i="12" a="1"/>
  <c r="X75" i="12" s="1"/>
  <c r="V75" i="12" a="1"/>
  <c r="V75" i="12" s="1"/>
  <c r="T75" i="12"/>
  <c r="T75" i="12" a="1"/>
  <c r="R75" i="12" a="1"/>
  <c r="R75" i="12" s="1"/>
  <c r="P75" i="12" a="1"/>
  <c r="P75" i="12" s="1"/>
  <c r="N75" i="12" a="1"/>
  <c r="N75" i="12" s="1"/>
  <c r="L75" i="12" a="1"/>
  <c r="L75" i="12" s="1"/>
  <c r="J75" i="12" a="1"/>
  <c r="J75" i="12" s="1"/>
  <c r="H75" i="12" a="1"/>
  <c r="H75" i="12" s="1"/>
  <c r="F75" i="12" a="1"/>
  <c r="F75" i="12" s="1"/>
  <c r="D75" i="12"/>
  <c r="D75" i="12" a="1"/>
  <c r="B75" i="12" a="1"/>
  <c r="B75" i="12" s="1"/>
  <c r="AV74" i="12" a="1"/>
  <c r="AV74" i="12" s="1"/>
  <c r="AT74" i="12" a="1"/>
  <c r="AT74" i="12" s="1"/>
  <c r="AR74" i="12" a="1"/>
  <c r="AR74" i="12" s="1"/>
  <c r="AP74" i="12" a="1"/>
  <c r="AP74" i="12" s="1"/>
  <c r="AN74" i="12" a="1"/>
  <c r="AN74" i="12" s="1"/>
  <c r="AL74" i="12" a="1"/>
  <c r="AL74" i="12" s="1"/>
  <c r="AJ74" i="12"/>
  <c r="AJ74" i="12" a="1"/>
  <c r="AH74" i="12" a="1"/>
  <c r="AH74" i="12" s="1"/>
  <c r="AF74" i="12" a="1"/>
  <c r="AF74" i="12" s="1"/>
  <c r="AD74" i="12" a="1"/>
  <c r="AD74" i="12" s="1"/>
  <c r="AB74" i="12" a="1"/>
  <c r="AB74" i="12" s="1"/>
  <c r="Z74" i="12" a="1"/>
  <c r="Z74" i="12" s="1"/>
  <c r="X74" i="12" a="1"/>
  <c r="X74" i="12" s="1"/>
  <c r="V74" i="12"/>
  <c r="V74" i="12" a="1"/>
  <c r="T74" i="12"/>
  <c r="T74" i="12" a="1"/>
  <c r="R74" i="12" a="1"/>
  <c r="R74" i="12" s="1"/>
  <c r="P74" i="12" a="1"/>
  <c r="P74" i="12" s="1"/>
  <c r="N74" i="12" a="1"/>
  <c r="N74" i="12" s="1"/>
  <c r="L74" i="12" a="1"/>
  <c r="L74" i="12" s="1"/>
  <c r="J74" i="12" a="1"/>
  <c r="J74" i="12" s="1"/>
  <c r="H74" i="12" a="1"/>
  <c r="H74" i="12" s="1"/>
  <c r="F74" i="12" a="1"/>
  <c r="F74" i="12" s="1"/>
  <c r="D74" i="12"/>
  <c r="D74" i="12" a="1"/>
  <c r="B74" i="12" a="1"/>
  <c r="B74" i="12" s="1"/>
  <c r="AV73" i="12" a="1"/>
  <c r="AV73" i="12" s="1"/>
  <c r="AT73" i="12" a="1"/>
  <c r="AT73" i="12" s="1"/>
  <c r="AR73" i="12" a="1"/>
  <c r="AR73" i="12" s="1"/>
  <c r="AP73" i="12" a="1"/>
  <c r="AP73" i="12" s="1"/>
  <c r="AN73" i="12" a="1"/>
  <c r="AN73" i="12" s="1"/>
  <c r="AL73" i="12"/>
  <c r="AL73" i="12" a="1"/>
  <c r="AJ73" i="12"/>
  <c r="AJ73" i="12" a="1"/>
  <c r="AH73" i="12" a="1"/>
  <c r="AH73" i="12" s="1"/>
  <c r="AF73" i="12" a="1"/>
  <c r="AF73" i="12" s="1"/>
  <c r="AD73" i="12" a="1"/>
  <c r="AD73" i="12" s="1"/>
  <c r="AB73" i="12" a="1"/>
  <c r="AB73" i="12" s="1"/>
  <c r="Z73" i="12" a="1"/>
  <c r="Z73" i="12" s="1"/>
  <c r="X73" i="12" a="1"/>
  <c r="X73" i="12" s="1"/>
  <c r="V73" i="12"/>
  <c r="V73" i="12" a="1"/>
  <c r="T73" i="12"/>
  <c r="T73" i="12" a="1"/>
  <c r="R73" i="12" a="1"/>
  <c r="R73" i="12" s="1"/>
  <c r="P73" i="12" a="1"/>
  <c r="P73" i="12" s="1"/>
  <c r="N73" i="12" a="1"/>
  <c r="N73" i="12" s="1"/>
  <c r="L73" i="12" a="1"/>
  <c r="L73" i="12" s="1"/>
  <c r="J73" i="12" a="1"/>
  <c r="J73" i="12" s="1"/>
  <c r="H73" i="12" a="1"/>
  <c r="H73" i="12" s="1"/>
  <c r="F73" i="12" a="1"/>
  <c r="F73" i="12" s="1"/>
  <c r="D73" i="12"/>
  <c r="D73" i="12" a="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P69" i="12"/>
  <c r="AN69" i="12"/>
  <c r="L69" i="12"/>
  <c r="J69" i="12"/>
  <c r="H69" i="12"/>
  <c r="B69" i="12"/>
  <c r="X68" i="12"/>
  <c r="AV67" i="12" a="1"/>
  <c r="AV67" i="12" s="1"/>
  <c r="AT67" i="12"/>
  <c r="AT67" i="12" a="1"/>
  <c r="AR67" i="12"/>
  <c r="AR67" i="12" a="1"/>
  <c r="AP67" i="12" a="1"/>
  <c r="AP67" i="12" s="1"/>
  <c r="AN67" i="12" a="1"/>
  <c r="AN67" i="12" s="1"/>
  <c r="AL67" i="12" a="1"/>
  <c r="AL67" i="12" s="1"/>
  <c r="AJ67" i="12" a="1"/>
  <c r="AJ67" i="12" s="1"/>
  <c r="AH67" i="12" a="1"/>
  <c r="AH67" i="12" s="1"/>
  <c r="AF67" i="12" a="1"/>
  <c r="AF67" i="12" s="1"/>
  <c r="AD67" i="12" a="1"/>
  <c r="AD67" i="12" s="1"/>
  <c r="AB67" i="12"/>
  <c r="AB67" i="12" a="1"/>
  <c r="Z67" i="12" a="1"/>
  <c r="Z67" i="12" s="1"/>
  <c r="Z68" i="12" s="1"/>
  <c r="X67" i="12" a="1"/>
  <c r="X67" i="12" s="1"/>
  <c r="V67" i="12" a="1"/>
  <c r="V67" i="12" s="1"/>
  <c r="T67" i="12" a="1"/>
  <c r="T67" i="12" s="1"/>
  <c r="R67" i="12" a="1"/>
  <c r="R67" i="12" s="1"/>
  <c r="P67" i="12" a="1"/>
  <c r="P67" i="12" s="1"/>
  <c r="N67" i="12"/>
  <c r="N67" i="12" a="1"/>
  <c r="L67" i="12"/>
  <c r="L67" i="12" a="1"/>
  <c r="J67" i="12" a="1"/>
  <c r="J67" i="12" s="1"/>
  <c r="H67" i="12" a="1"/>
  <c r="H67" i="12" s="1"/>
  <c r="F67" i="12" a="1"/>
  <c r="F67" i="12" s="1"/>
  <c r="D67" i="12" a="1"/>
  <c r="D67" i="12" s="1"/>
  <c r="B67" i="12" a="1"/>
  <c r="B67" i="12" s="1"/>
  <c r="AV66" i="12" a="1"/>
  <c r="AV66" i="12" s="1"/>
  <c r="AV68" i="12" s="1"/>
  <c r="AT66" i="12"/>
  <c r="AT68" i="12" s="1"/>
  <c r="AT66" i="12" a="1"/>
  <c r="AR66" i="12"/>
  <c r="AR68" i="12" s="1"/>
  <c r="AR66" i="12" a="1"/>
  <c r="AP66" i="12" a="1"/>
  <c r="AP66" i="12" s="1"/>
  <c r="AN66" i="12" a="1"/>
  <c r="AN66" i="12" s="1"/>
  <c r="AN68" i="12" s="1"/>
  <c r="AL66" i="12" a="1"/>
  <c r="AL66" i="12" s="1"/>
  <c r="AJ66" i="12" a="1"/>
  <c r="AJ66" i="12" s="1"/>
  <c r="AH66" i="12" a="1"/>
  <c r="AH66" i="12" s="1"/>
  <c r="AF66" i="12" a="1"/>
  <c r="AF66" i="12" s="1"/>
  <c r="AD66" i="12" a="1"/>
  <c r="AD66" i="12" s="1"/>
  <c r="AB66" i="12"/>
  <c r="AB68" i="12" s="1"/>
  <c r="AB66" i="12" a="1"/>
  <c r="Z66" i="12" a="1"/>
  <c r="Z66" i="12" s="1"/>
  <c r="X66" i="12" a="1"/>
  <c r="X66" i="12" s="1"/>
  <c r="V66" i="12" a="1"/>
  <c r="V66" i="12" s="1"/>
  <c r="V68" i="12" s="1"/>
  <c r="T66" i="12" a="1"/>
  <c r="T66" i="12" s="1"/>
  <c r="R66" i="12" a="1"/>
  <c r="R66" i="12" s="1"/>
  <c r="R68" i="12" s="1"/>
  <c r="P66" i="12" a="1"/>
  <c r="P66" i="12" s="1"/>
  <c r="N66" i="12" a="1"/>
  <c r="N66" i="12" s="1"/>
  <c r="N68" i="12" s="1"/>
  <c r="L66" i="12"/>
  <c r="L66" i="12" a="1"/>
  <c r="J66" i="12" a="1"/>
  <c r="J66" i="12" s="1"/>
  <c r="H66" i="12" a="1"/>
  <c r="H66" i="12" s="1"/>
  <c r="F66" i="12" a="1"/>
  <c r="F66" i="12" s="1"/>
  <c r="D66" i="12" a="1"/>
  <c r="D66" i="12" s="1"/>
  <c r="B66" i="12" a="1"/>
  <c r="B66" i="12" s="1"/>
  <c r="B68" i="12" s="1"/>
  <c r="AV65" i="12" a="1"/>
  <c r="AV65" i="12" s="1"/>
  <c r="AV69" i="12" s="1"/>
  <c r="AT65" i="12" a="1"/>
  <c r="AT65" i="12" s="1"/>
  <c r="AT69" i="12" s="1"/>
  <c r="AR65" i="12"/>
  <c r="AR69" i="12" s="1"/>
  <c r="AR65" i="12" a="1"/>
  <c r="AP65" i="12" a="1"/>
  <c r="AP65" i="12" s="1"/>
  <c r="AN65" i="12" a="1"/>
  <c r="AN65" i="12" s="1"/>
  <c r="AL65" i="12" a="1"/>
  <c r="AL65" i="12" s="1"/>
  <c r="AL69" i="12" s="1"/>
  <c r="AJ65" i="12" a="1"/>
  <c r="AJ65" i="12" s="1"/>
  <c r="AJ69" i="12" s="1"/>
  <c r="AH65" i="12" a="1"/>
  <c r="AH65" i="12" s="1"/>
  <c r="AH69" i="12" s="1"/>
  <c r="AF65" i="12" a="1"/>
  <c r="AF65" i="12" s="1"/>
  <c r="AF69" i="12" s="1"/>
  <c r="AD65" i="12" a="1"/>
  <c r="AD65" i="12" s="1"/>
  <c r="AD69" i="12" s="1"/>
  <c r="AB65" i="12"/>
  <c r="AB69" i="12" s="1"/>
  <c r="AB65" i="12" a="1"/>
  <c r="Z65" i="12" a="1"/>
  <c r="Z65" i="12" s="1"/>
  <c r="Z69" i="12" s="1"/>
  <c r="X65" i="12" a="1"/>
  <c r="X65" i="12" s="1"/>
  <c r="X69" i="12" s="1"/>
  <c r="V65" i="12" a="1"/>
  <c r="V65" i="12" s="1"/>
  <c r="V69" i="12" s="1"/>
  <c r="T65" i="12" a="1"/>
  <c r="T65" i="12" s="1"/>
  <c r="T69" i="12" s="1"/>
  <c r="R65" i="12" a="1"/>
  <c r="R65" i="12" s="1"/>
  <c r="R69" i="12" s="1"/>
  <c r="P65" i="12" a="1"/>
  <c r="P65" i="12" s="1"/>
  <c r="P69" i="12" s="1"/>
  <c r="N65" i="12"/>
  <c r="N69" i="12" s="1"/>
  <c r="N65" i="12" a="1"/>
  <c r="L65" i="12"/>
  <c r="L65" i="12" a="1"/>
  <c r="J65" i="12" a="1"/>
  <c r="J65" i="12" s="1"/>
  <c r="H65" i="12" a="1"/>
  <c r="H65"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a="1"/>
  <c r="AR58" i="12" s="1"/>
  <c r="AP58" i="12"/>
  <c r="AP58" i="12" a="1"/>
  <c r="AN58" i="12" a="1"/>
  <c r="AN58" i="12" s="1"/>
  <c r="AL58" i="12" a="1"/>
  <c r="AL58" i="12" s="1"/>
  <c r="AJ58" i="12" a="1"/>
  <c r="AJ58" i="12" s="1"/>
  <c r="AH58" i="12" a="1"/>
  <c r="AH58" i="12" s="1"/>
  <c r="AF58" i="12"/>
  <c r="AF58" i="12" a="1"/>
  <c r="AD58" i="12"/>
  <c r="AD58" i="12" a="1"/>
  <c r="AB58" i="12" a="1"/>
  <c r="AB58" i="12" s="1"/>
  <c r="Z58" i="12"/>
  <c r="Z58" i="12" a="1"/>
  <c r="X58" i="12" a="1"/>
  <c r="X58" i="12" s="1"/>
  <c r="V58" i="12" a="1"/>
  <c r="V58" i="12" s="1"/>
  <c r="T58" i="12" a="1"/>
  <c r="T58" i="12" s="1"/>
  <c r="R58" i="12" a="1"/>
  <c r="R58" i="12" s="1"/>
  <c r="P58" i="12"/>
  <c r="P58" i="12" a="1"/>
  <c r="N58" i="12"/>
  <c r="N58" i="12" a="1"/>
  <c r="L58" i="12" a="1"/>
  <c r="L58" i="12" s="1"/>
  <c r="J58" i="12"/>
  <c r="J58" i="12" a="1"/>
  <c r="H58" i="12" a="1"/>
  <c r="H58" i="12" s="1"/>
  <c r="F58" i="12" a="1"/>
  <c r="F58" i="12" s="1"/>
  <c r="D58" i="12" a="1"/>
  <c r="D58" i="12" s="1"/>
  <c r="B58" i="12" a="1"/>
  <c r="B58" i="12" s="1"/>
  <c r="AV57" i="12"/>
  <c r="AV57" i="12" a="1"/>
  <c r="AT57" i="12"/>
  <c r="AT57" i="12" a="1"/>
  <c r="AR57" i="12" a="1"/>
  <c r="AR57" i="12" s="1"/>
  <c r="AP57" i="12"/>
  <c r="AP57" i="12" a="1"/>
  <c r="AN57" i="12" a="1"/>
  <c r="AN57" i="12" s="1"/>
  <c r="AL57" i="12" a="1"/>
  <c r="AL57" i="12" s="1"/>
  <c r="AJ57" i="12"/>
  <c r="AJ57" i="12" a="1"/>
  <c r="AH57" i="12" a="1"/>
  <c r="AH57" i="12" s="1"/>
  <c r="AF57" i="12"/>
  <c r="AF57" i="12" a="1"/>
  <c r="AD57" i="12"/>
  <c r="AD57" i="12" a="1"/>
  <c r="AB57" i="12" a="1"/>
  <c r="AB57" i="12" s="1"/>
  <c r="Z57" i="12"/>
  <c r="Z57" i="12" a="1"/>
  <c r="X57" i="12" a="1"/>
  <c r="X57" i="12" s="1"/>
  <c r="V57" i="12" a="1"/>
  <c r="V57" i="12" s="1"/>
  <c r="T57" i="12" a="1"/>
  <c r="T57" i="12" s="1"/>
  <c r="R57" i="12" a="1"/>
  <c r="R57" i="12" s="1"/>
  <c r="P57" i="12"/>
  <c r="P57" i="12" a="1"/>
  <c r="N57" i="12"/>
  <c r="N57" i="12" a="1"/>
  <c r="L57" i="12" a="1"/>
  <c r="L57" i="12" s="1"/>
  <c r="J57" i="12"/>
  <c r="J57" i="12" a="1"/>
  <c r="H57" i="12" a="1"/>
  <c r="H57" i="12" s="1"/>
  <c r="F57" i="12" a="1"/>
  <c r="F57" i="12" s="1"/>
  <c r="D57" i="12" a="1"/>
  <c r="D57" i="12" s="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L55" i="12"/>
  <c r="AL80" i="12" s="1"/>
  <c r="AJ55" i="12"/>
  <c r="AJ80" i="12" s="1"/>
  <c r="AH55" i="12"/>
  <c r="AF55" i="12"/>
  <c r="AF80" i="12" s="1"/>
  <c r="AD55" i="12"/>
  <c r="AD80" i="12" s="1"/>
  <c r="AB55" i="12"/>
  <c r="AB80" i="12" s="1"/>
  <c r="Z55" i="12"/>
  <c r="Z80" i="12" s="1"/>
  <c r="X55" i="12"/>
  <c r="V55" i="12"/>
  <c r="T55" i="12"/>
  <c r="T80" i="12" s="1"/>
  <c r="R55" i="12"/>
  <c r="R80" i="12" s="1"/>
  <c r="P55" i="12"/>
  <c r="N55" i="12"/>
  <c r="L55" i="12"/>
  <c r="J55" i="12"/>
  <c r="J80" i="12" s="1"/>
  <c r="H55" i="12"/>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L51" i="12"/>
  <c r="AJ51" i="12"/>
  <c r="AJ81" i="12" s="1"/>
  <c r="AH51" i="12"/>
  <c r="AH81" i="12" s="1"/>
  <c r="AF51" i="12"/>
  <c r="AD51" i="12"/>
  <c r="AB51" i="12"/>
  <c r="Z51" i="12"/>
  <c r="Z81" i="12" s="1"/>
  <c r="X51" i="12"/>
  <c r="X81" i="12" s="1"/>
  <c r="V51" i="12"/>
  <c r="V81" i="12" s="1"/>
  <c r="T51" i="12"/>
  <c r="T81" i="12" s="1"/>
  <c r="R51" i="12"/>
  <c r="P51" i="12"/>
  <c r="P81" i="12" s="1"/>
  <c r="N51" i="12"/>
  <c r="N81" i="12" s="1"/>
  <c r="L51" i="12"/>
  <c r="L81" i="12" s="1"/>
  <c r="J51" i="12"/>
  <c r="J81" i="12" s="1"/>
  <c r="H51" i="12"/>
  <c r="F51" i="12"/>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c r="AT43" i="12" a="1"/>
  <c r="AR43" i="12" a="1"/>
  <c r="AR43" i="12" s="1"/>
  <c r="AP43" i="12"/>
  <c r="AP43" i="12" a="1"/>
  <c r="AN43" i="12" a="1"/>
  <c r="AN43" i="12" s="1"/>
  <c r="AL43" i="12" a="1"/>
  <c r="AL43" i="12" s="1"/>
  <c r="AJ43" i="12" a="1"/>
  <c r="AJ43" i="12" s="1"/>
  <c r="AH43" i="12" a="1"/>
  <c r="AH43" i="12" s="1"/>
  <c r="AF43" i="12"/>
  <c r="AF43" i="12" a="1"/>
  <c r="AD43" i="12"/>
  <c r="AD43" i="12" a="1"/>
  <c r="AB43" i="12" a="1"/>
  <c r="AB43" i="12" s="1"/>
  <c r="Z43" i="12"/>
  <c r="Z43" i="12" a="1"/>
  <c r="X43" i="12" a="1"/>
  <c r="X43" i="12" s="1"/>
  <c r="V43" i="12" a="1"/>
  <c r="V43" i="12" s="1"/>
  <c r="T43" i="12" a="1"/>
  <c r="T43" i="12" s="1"/>
  <c r="R43" i="12" a="1"/>
  <c r="R43" i="12" s="1"/>
  <c r="P43" i="12"/>
  <c r="P43" i="12" a="1"/>
  <c r="N43" i="12"/>
  <c r="N43" i="12" a="1"/>
  <c r="L43" i="12" a="1"/>
  <c r="L43" i="12" s="1"/>
  <c r="J43" i="12"/>
  <c r="J43" i="12" a="1"/>
  <c r="H43" i="12" a="1"/>
  <c r="H43" i="12" s="1"/>
  <c r="F43" i="12" a="1"/>
  <c r="F43" i="12" s="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N81" i="11"/>
  <c r="AH81" i="11"/>
  <c r="AF81" i="11"/>
  <c r="AD81" i="11"/>
  <c r="AB81" i="11"/>
  <c r="H81" i="11"/>
  <c r="B81" i="11"/>
  <c r="AV80" i="11"/>
  <c r="AT80" i="11"/>
  <c r="AR80" i="11"/>
  <c r="AN80" i="11"/>
  <c r="AL80" i="11"/>
  <c r="AJ80" i="11"/>
  <c r="AH80" i="11"/>
  <c r="X80" i="11"/>
  <c r="R80" i="11"/>
  <c r="P80" i="11"/>
  <c r="AV79" i="11" a="1"/>
  <c r="AV79" i="11" s="1"/>
  <c r="AT79" i="11" a="1"/>
  <c r="AT79" i="11" s="1"/>
  <c r="AR79" i="11" a="1"/>
  <c r="AR79" i="11" s="1"/>
  <c r="AP79" i="11" a="1"/>
  <c r="AP79" i="11" s="1"/>
  <c r="AN79" i="11" a="1"/>
  <c r="AN79" i="11" s="1"/>
  <c r="AL79" i="11" a="1"/>
  <c r="AL79" i="11" s="1"/>
  <c r="AJ79" i="11"/>
  <c r="AJ79" i="11" a="1"/>
  <c r="AH79" i="11" a="1"/>
  <c r="AH79" i="11" s="1"/>
  <c r="AF79" i="11" a="1"/>
  <c r="AF79" i="11" s="1"/>
  <c r="AD79" i="11" a="1"/>
  <c r="AD79" i="11" s="1"/>
  <c r="AB79" i="11" a="1"/>
  <c r="AB79" i="11" s="1"/>
  <c r="Z79" i="11" a="1"/>
  <c r="Z79" i="11" s="1"/>
  <c r="X79" i="11" a="1"/>
  <c r="X79" i="11" s="1"/>
  <c r="V79" i="11" a="1"/>
  <c r="V79" i="11" s="1"/>
  <c r="T79" i="11"/>
  <c r="T79" i="11" a="1"/>
  <c r="R79" i="11" a="1"/>
  <c r="R79" i="11" s="1"/>
  <c r="P79" i="11" a="1"/>
  <c r="P79" i="11" s="1"/>
  <c r="N79" i="11" a="1"/>
  <c r="N79" i="11" s="1"/>
  <c r="L79" i="11" a="1"/>
  <c r="L79" i="11" s="1"/>
  <c r="J79" i="11" a="1"/>
  <c r="J79" i="11" s="1"/>
  <c r="H79" i="11" a="1"/>
  <c r="H79" i="11" s="1"/>
  <c r="F79" i="11" a="1"/>
  <c r="F79" i="11" s="1"/>
  <c r="D79" i="11" a="1"/>
  <c r="D79" i="11" s="1"/>
  <c r="B79" i="11" a="1"/>
  <c r="B79" i="11" s="1"/>
  <c r="AV78" i="11" a="1"/>
  <c r="AV78" i="11" s="1"/>
  <c r="AT78" i="11" a="1"/>
  <c r="AT78" i="11" s="1"/>
  <c r="AR78" i="11" a="1"/>
  <c r="AR78" i="11" s="1"/>
  <c r="AP78" i="11" a="1"/>
  <c r="AP78" i="11" s="1"/>
  <c r="AN78" i="11" a="1"/>
  <c r="AN78" i="11" s="1"/>
  <c r="AL78" i="11" a="1"/>
  <c r="AL78" i="11" s="1"/>
  <c r="AJ78" i="11" a="1"/>
  <c r="AJ78" i="11" s="1"/>
  <c r="AH78" i="11" a="1"/>
  <c r="AH78" i="11" s="1"/>
  <c r="AF78" i="11" a="1"/>
  <c r="AF78" i="11" s="1"/>
  <c r="AD78" i="11" a="1"/>
  <c r="AD78" i="11" s="1"/>
  <c r="AB78" i="11" a="1"/>
  <c r="AB78" i="11" s="1"/>
  <c r="Z78" i="11" a="1"/>
  <c r="Z78" i="11" s="1"/>
  <c r="X78" i="11" a="1"/>
  <c r="X78" i="11" s="1"/>
  <c r="V78" i="11" a="1"/>
  <c r="V78" i="11" s="1"/>
  <c r="T78" i="11"/>
  <c r="T78" i="11" a="1"/>
  <c r="R78" i="11" a="1"/>
  <c r="R78" i="11" s="1"/>
  <c r="P78" i="11" a="1"/>
  <c r="P78" i="11" s="1"/>
  <c r="N78" i="11" a="1"/>
  <c r="N78" i="11" s="1"/>
  <c r="L78" i="11" a="1"/>
  <c r="L78" i="11" s="1"/>
  <c r="J78" i="11" a="1"/>
  <c r="J78" i="11" s="1"/>
  <c r="H78" i="11" a="1"/>
  <c r="H78" i="11" s="1"/>
  <c r="F78" i="11" a="1"/>
  <c r="F78" i="11" s="1"/>
  <c r="D78" i="11"/>
  <c r="D78" i="11" a="1"/>
  <c r="B78" i="11" a="1"/>
  <c r="B78" i="11" s="1"/>
  <c r="AV77" i="11" a="1"/>
  <c r="AV77" i="11" s="1"/>
  <c r="AT77" i="11" a="1"/>
  <c r="AT77" i="11" s="1"/>
  <c r="AR77" i="11" a="1"/>
  <c r="AR77" i="11" s="1"/>
  <c r="AP77" i="11" a="1"/>
  <c r="AP77" i="11" s="1"/>
  <c r="AN77" i="11" a="1"/>
  <c r="AN77" i="11" s="1"/>
  <c r="AL77" i="11" a="1"/>
  <c r="AL77" i="11" s="1"/>
  <c r="AJ77" i="11" a="1"/>
  <c r="AJ77" i="11" s="1"/>
  <c r="AH77" i="11" a="1"/>
  <c r="AH77" i="11" s="1"/>
  <c r="AF77" i="11" a="1"/>
  <c r="AF77" i="11" s="1"/>
  <c r="AD77" i="11" a="1"/>
  <c r="AD77" i="11" s="1"/>
  <c r="AB77" i="11" a="1"/>
  <c r="AB77" i="11" s="1"/>
  <c r="Z77" i="11" a="1"/>
  <c r="Z77" i="11" s="1"/>
  <c r="X77" i="11" a="1"/>
  <c r="X77" i="11" s="1"/>
  <c r="V77" i="11" a="1"/>
  <c r="V77" i="11" s="1"/>
  <c r="T77" i="11" a="1"/>
  <c r="T77" i="11" s="1"/>
  <c r="R77" i="11" a="1"/>
  <c r="R77" i="11" s="1"/>
  <c r="P77" i="11" a="1"/>
  <c r="P77" i="11" s="1"/>
  <c r="N77" i="11" a="1"/>
  <c r="N77" i="11" s="1"/>
  <c r="L77" i="11" a="1"/>
  <c r="L77" i="11" s="1"/>
  <c r="J77" i="11" a="1"/>
  <c r="J77" i="11" s="1"/>
  <c r="H77" i="11" a="1"/>
  <c r="H77" i="11" s="1"/>
  <c r="F77" i="11" a="1"/>
  <c r="F77" i="11" s="1"/>
  <c r="D77" i="11"/>
  <c r="D77" i="11" a="1"/>
  <c r="B77" i="11" a="1"/>
  <c r="B77" i="11" s="1"/>
  <c r="AV76" i="11" a="1"/>
  <c r="AV76" i="11" s="1"/>
  <c r="AT76" i="11" a="1"/>
  <c r="AT76" i="11" s="1"/>
  <c r="AR76" i="11" a="1"/>
  <c r="AR76" i="11" s="1"/>
  <c r="AP76" i="11" a="1"/>
  <c r="AP76" i="11" s="1"/>
  <c r="AN76" i="11" a="1"/>
  <c r="AN76" i="11" s="1"/>
  <c r="AL76" i="11" a="1"/>
  <c r="AL76" i="11" s="1"/>
  <c r="AJ76" i="11"/>
  <c r="AJ76" i="11" a="1"/>
  <c r="AH76" i="11" a="1"/>
  <c r="AH76" i="11" s="1"/>
  <c r="AF76" i="11" a="1"/>
  <c r="AF76" i="11" s="1"/>
  <c r="AD76" i="11" a="1"/>
  <c r="AD76" i="11" s="1"/>
  <c r="AB76" i="11" a="1"/>
  <c r="AB76" i="11" s="1"/>
  <c r="Z76" i="11" a="1"/>
  <c r="Z76" i="11" s="1"/>
  <c r="X76" i="11" a="1"/>
  <c r="X76" i="11" s="1"/>
  <c r="V76" i="11" a="1"/>
  <c r="V76" i="11" s="1"/>
  <c r="T76" i="11" a="1"/>
  <c r="T76" i="11" s="1"/>
  <c r="R76" i="11" a="1"/>
  <c r="R76" i="11" s="1"/>
  <c r="P76" i="11" a="1"/>
  <c r="P76" i="11" s="1"/>
  <c r="N76" i="11" a="1"/>
  <c r="N76" i="11" s="1"/>
  <c r="L76" i="11" a="1"/>
  <c r="L76" i="11" s="1"/>
  <c r="J76" i="11" a="1"/>
  <c r="J76" i="11" s="1"/>
  <c r="H76" i="11" a="1"/>
  <c r="H76" i="11" s="1"/>
  <c r="F76" i="11" a="1"/>
  <c r="F76" i="11" s="1"/>
  <c r="D76" i="11" a="1"/>
  <c r="D76" i="11" s="1"/>
  <c r="B76" i="11" a="1"/>
  <c r="B76" i="11" s="1"/>
  <c r="AV75" i="11" a="1"/>
  <c r="AV75" i="11" s="1"/>
  <c r="AT75" i="11" a="1"/>
  <c r="AT75" i="11" s="1"/>
  <c r="AR75" i="11" a="1"/>
  <c r="AR75" i="11" s="1"/>
  <c r="AP75" i="11" a="1"/>
  <c r="AP75" i="11" s="1"/>
  <c r="AN75" i="11" a="1"/>
  <c r="AN75" i="11" s="1"/>
  <c r="AL75" i="11" a="1"/>
  <c r="AL75" i="11" s="1"/>
  <c r="AJ75" i="11"/>
  <c r="AJ75" i="11" a="1"/>
  <c r="AH75" i="11" a="1"/>
  <c r="AH75" i="11" s="1"/>
  <c r="AF75" i="11" a="1"/>
  <c r="AF75" i="11" s="1"/>
  <c r="AD75" i="11" a="1"/>
  <c r="AD75" i="11" s="1"/>
  <c r="AB75" i="11" a="1"/>
  <c r="AB75" i="11" s="1"/>
  <c r="Z75" i="11" a="1"/>
  <c r="Z75" i="11" s="1"/>
  <c r="X75" i="11" a="1"/>
  <c r="X75" i="11" s="1"/>
  <c r="V75" i="11" a="1"/>
  <c r="V75" i="11" s="1"/>
  <c r="T75" i="11"/>
  <c r="T75" i="11" a="1"/>
  <c r="R75" i="11" a="1"/>
  <c r="R75" i="11" s="1"/>
  <c r="P75" i="11" a="1"/>
  <c r="P75" i="11" s="1"/>
  <c r="N75" i="11" a="1"/>
  <c r="N75" i="11" s="1"/>
  <c r="L75" i="11" a="1"/>
  <c r="L75" i="11" s="1"/>
  <c r="J75" i="11" a="1"/>
  <c r="J75" i="11" s="1"/>
  <c r="H75" i="11" a="1"/>
  <c r="H75" i="11" s="1"/>
  <c r="F75" i="11" a="1"/>
  <c r="F75" i="11" s="1"/>
  <c r="D75" i="11" a="1"/>
  <c r="D75" i="11" s="1"/>
  <c r="B75" i="11" a="1"/>
  <c r="B75" i="11" s="1"/>
  <c r="AV74" i="11" a="1"/>
  <c r="AV74" i="11" s="1"/>
  <c r="AT74" i="11" a="1"/>
  <c r="AT74" i="11" s="1"/>
  <c r="AR74" i="11" a="1"/>
  <c r="AR74" i="11" s="1"/>
  <c r="AP74" i="11" a="1"/>
  <c r="AP74" i="11" s="1"/>
  <c r="AN74" i="11" a="1"/>
  <c r="AN74" i="11" s="1"/>
  <c r="AL74" i="11" a="1"/>
  <c r="AL74" i="11" s="1"/>
  <c r="AJ74" i="11" a="1"/>
  <c r="AJ74" i="11" s="1"/>
  <c r="AH74" i="11" a="1"/>
  <c r="AH74" i="11" s="1"/>
  <c r="AF74" i="11" a="1"/>
  <c r="AF74" i="11" s="1"/>
  <c r="AD74" i="11" a="1"/>
  <c r="AD74" i="11" s="1"/>
  <c r="AB74" i="11" a="1"/>
  <c r="AB74" i="11" s="1"/>
  <c r="Z74" i="11" a="1"/>
  <c r="Z74" i="11" s="1"/>
  <c r="X74" i="11" a="1"/>
  <c r="X74" i="11" s="1"/>
  <c r="V74" i="11" a="1"/>
  <c r="V74" i="11" s="1"/>
  <c r="T74" i="11"/>
  <c r="T74" i="11" a="1"/>
  <c r="R74" i="11" a="1"/>
  <c r="R74" i="11" s="1"/>
  <c r="P74" i="11" a="1"/>
  <c r="P74" i="11" s="1"/>
  <c r="N74" i="11" a="1"/>
  <c r="N74" i="11" s="1"/>
  <c r="L74" i="11" a="1"/>
  <c r="L74" i="11" s="1"/>
  <c r="J74" i="11" a="1"/>
  <c r="J74" i="11" s="1"/>
  <c r="H74" i="11" a="1"/>
  <c r="H74" i="11" s="1"/>
  <c r="F74" i="11" a="1"/>
  <c r="F74" i="11" s="1"/>
  <c r="D74" i="11"/>
  <c r="D74" i="11" a="1"/>
  <c r="B74" i="11" a="1"/>
  <c r="B74" i="11" s="1"/>
  <c r="AV73" i="11" a="1"/>
  <c r="AV73" i="11" s="1"/>
  <c r="AT73" i="11" a="1"/>
  <c r="AT73" i="11" s="1"/>
  <c r="AR73" i="11" a="1"/>
  <c r="AR73" i="11" s="1"/>
  <c r="AP73" i="11" a="1"/>
  <c r="AP73" i="11" s="1"/>
  <c r="AN73" i="11" a="1"/>
  <c r="AN73" i="11" s="1"/>
  <c r="AL73" i="11" a="1"/>
  <c r="AL73" i="11" s="1"/>
  <c r="AJ73" i="11" a="1"/>
  <c r="AJ73" i="11" s="1"/>
  <c r="AH73" i="11" a="1"/>
  <c r="AH73" i="11" s="1"/>
  <c r="AF73" i="11" a="1"/>
  <c r="AF73" i="11" s="1"/>
  <c r="AD73" i="11" a="1"/>
  <c r="AD73" i="11" s="1"/>
  <c r="AB73" i="11" a="1"/>
  <c r="AB73" i="11" s="1"/>
  <c r="Z73" i="11" a="1"/>
  <c r="Z73" i="11" s="1"/>
  <c r="X73" i="11" a="1"/>
  <c r="X73" i="11" s="1"/>
  <c r="V73" i="11" a="1"/>
  <c r="V73" i="11" s="1"/>
  <c r="T73" i="11" a="1"/>
  <c r="T73" i="11" s="1"/>
  <c r="R73" i="11" a="1"/>
  <c r="R73" i="11" s="1"/>
  <c r="P73" i="11" a="1"/>
  <c r="P73" i="11" s="1"/>
  <c r="N73" i="11" a="1"/>
  <c r="N73" i="11" s="1"/>
  <c r="L73" i="11" a="1"/>
  <c r="L73" i="11" s="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N69" i="11"/>
  <c r="X69" i="11"/>
  <c r="V69" i="11"/>
  <c r="D69" i="11"/>
  <c r="B69" i="11"/>
  <c r="H68" i="11"/>
  <c r="F68" i="11"/>
  <c r="AV67" i="11" a="1"/>
  <c r="AV67" i="11" s="1"/>
  <c r="AT67" i="11"/>
  <c r="AT67" i="11" a="1"/>
  <c r="AR67" i="11"/>
  <c r="AR67" i="11" a="1"/>
  <c r="AP67" i="11" a="1"/>
  <c r="AP67" i="11" s="1"/>
  <c r="AN67" i="11" a="1"/>
  <c r="AN67" i="11" s="1"/>
  <c r="AL67" i="11" a="1"/>
  <c r="AL67" i="11" s="1"/>
  <c r="AJ67" i="11" a="1"/>
  <c r="AJ67" i="11" s="1"/>
  <c r="AH67" i="11" a="1"/>
  <c r="AH67" i="11" s="1"/>
  <c r="AF67" i="11" a="1"/>
  <c r="AF67" i="11" s="1"/>
  <c r="AD67" i="11" a="1"/>
  <c r="AD67" i="11" s="1"/>
  <c r="AB67" i="11"/>
  <c r="AB67" i="11" a="1"/>
  <c r="Z67" i="11" a="1"/>
  <c r="Z67" i="11" s="1"/>
  <c r="X67" i="11" a="1"/>
  <c r="X67" i="11" s="1"/>
  <c r="V67" i="11" a="1"/>
  <c r="V67" i="11" s="1"/>
  <c r="T67" i="11" a="1"/>
  <c r="T67" i="11" s="1"/>
  <c r="R67" i="11" a="1"/>
  <c r="R67" i="11" s="1"/>
  <c r="P67" i="11" a="1"/>
  <c r="P67" i="11" s="1"/>
  <c r="N67" i="11"/>
  <c r="N67" i="11" a="1"/>
  <c r="L67" i="11" a="1"/>
  <c r="L67" i="11" s="1"/>
  <c r="J67" i="11" a="1"/>
  <c r="J67" i="11" s="1"/>
  <c r="H67" i="11" a="1"/>
  <c r="H67" i="11" s="1"/>
  <c r="F67" i="11" a="1"/>
  <c r="F67" i="11" s="1"/>
  <c r="D67" i="11"/>
  <c r="D67" i="11" a="1"/>
  <c r="B67" i="11" a="1"/>
  <c r="B67" i="11" s="1"/>
  <c r="AV66" i="11" a="1"/>
  <c r="AV66" i="11" s="1"/>
  <c r="AV68" i="11" s="1"/>
  <c r="AT66" i="11" a="1"/>
  <c r="AT66" i="11" s="1"/>
  <c r="AT68" i="11" s="1"/>
  <c r="AR66" i="11" a="1"/>
  <c r="AR66" i="11" s="1"/>
  <c r="AR68" i="11" s="1"/>
  <c r="AP66" i="11" a="1"/>
  <c r="AP66" i="11" s="1"/>
  <c r="AN66" i="11" a="1"/>
  <c r="AN66" i="11" s="1"/>
  <c r="AN68" i="11" s="1"/>
  <c r="AL66" i="11" a="1"/>
  <c r="AL66" i="11" s="1"/>
  <c r="AL68" i="11" s="1"/>
  <c r="AJ66" i="11"/>
  <c r="AJ66" i="11" a="1"/>
  <c r="AH66" i="11" a="1"/>
  <c r="AH66" i="11" s="1"/>
  <c r="AF66" i="11"/>
  <c r="AF68" i="11" s="1"/>
  <c r="AF66" i="11" a="1"/>
  <c r="AD66" i="11" a="1"/>
  <c r="AD66" i="11" s="1"/>
  <c r="AD68" i="11" s="1"/>
  <c r="AB66" i="11" a="1"/>
  <c r="AB66" i="11" s="1"/>
  <c r="AB68" i="11" s="1"/>
  <c r="Z66" i="11" a="1"/>
  <c r="Z66" i="11" s="1"/>
  <c r="X66" i="11" a="1"/>
  <c r="X66" i="11" s="1"/>
  <c r="X68" i="11" s="1"/>
  <c r="V66" i="11" a="1"/>
  <c r="V66" i="11" s="1"/>
  <c r="V68" i="11" s="1"/>
  <c r="T66" i="11" a="1"/>
  <c r="T66" i="11" s="1"/>
  <c r="T68" i="11" s="1"/>
  <c r="R66" i="11" a="1"/>
  <c r="R66" i="11" s="1"/>
  <c r="R68" i="11" s="1"/>
  <c r="P66" i="11"/>
  <c r="P66" i="11" a="1"/>
  <c r="N66" i="11" a="1"/>
  <c r="N66" i="11" s="1"/>
  <c r="N68" i="11" s="1"/>
  <c r="L66" i="11"/>
  <c r="L66" i="11" a="1"/>
  <c r="J66" i="11" a="1"/>
  <c r="J66" i="11" s="1"/>
  <c r="H66" i="11" a="1"/>
  <c r="H66" i="11" s="1"/>
  <c r="F66" i="11" a="1"/>
  <c r="F66" i="11" s="1"/>
  <c r="D66" i="11" a="1"/>
  <c r="D66" i="11" s="1"/>
  <c r="D68" i="11" s="1"/>
  <c r="B66" i="11" a="1"/>
  <c r="B66" i="11" s="1"/>
  <c r="B68" i="11" s="1"/>
  <c r="AV65" i="11" a="1"/>
  <c r="AV65" i="11" s="1"/>
  <c r="AV69" i="11" s="1"/>
  <c r="AT65" i="11" a="1"/>
  <c r="AT65" i="11" s="1"/>
  <c r="AT69" i="11" s="1"/>
  <c r="AR65" i="11"/>
  <c r="AR69" i="11" s="1"/>
  <c r="AR65" i="11" a="1"/>
  <c r="AP65" i="11"/>
  <c r="AP69" i="11" s="1"/>
  <c r="AP65" i="11" a="1"/>
  <c r="AN65" i="11" a="1"/>
  <c r="AN65" i="11" s="1"/>
  <c r="AL65" i="11" a="1"/>
  <c r="AL65" i="11" s="1"/>
  <c r="AL69" i="11" s="1"/>
  <c r="AJ65" i="11" a="1"/>
  <c r="AJ65" i="11" s="1"/>
  <c r="AJ69" i="11" s="1"/>
  <c r="AH65" i="11" a="1"/>
  <c r="AH65" i="11" s="1"/>
  <c r="AH69" i="11" s="1"/>
  <c r="AF65" i="11" a="1"/>
  <c r="AF65" i="11" s="1"/>
  <c r="AF69" i="11" s="1"/>
  <c r="AD65" i="11" a="1"/>
  <c r="AD65" i="11" s="1"/>
  <c r="AD69" i="11" s="1"/>
  <c r="AB65" i="11" a="1"/>
  <c r="AB65" i="11" s="1"/>
  <c r="AB69" i="11" s="1"/>
  <c r="Z65" i="11"/>
  <c r="Z69" i="11" s="1"/>
  <c r="Z65" i="11" a="1"/>
  <c r="X65" i="11" a="1"/>
  <c r="X65" i="11" s="1"/>
  <c r="V65" i="11" a="1"/>
  <c r="V65" i="11" s="1"/>
  <c r="T65" i="11"/>
  <c r="T69" i="11" s="1"/>
  <c r="T65" i="11" a="1"/>
  <c r="R65" i="11" a="1"/>
  <c r="R65" i="11" s="1"/>
  <c r="R69" i="11" s="1"/>
  <c r="P65" i="11" a="1"/>
  <c r="P65" i="11" s="1"/>
  <c r="P69" i="11" s="1"/>
  <c r="N65" i="11" a="1"/>
  <c r="N65" i="11" s="1"/>
  <c r="N69" i="11" s="1"/>
  <c r="L65" i="11"/>
  <c r="L69" i="11" s="1"/>
  <c r="L65" i="11" a="1"/>
  <c r="J65" i="11" a="1"/>
  <c r="J65" i="11" s="1"/>
  <c r="J69" i="11" s="1"/>
  <c r="H65" i="11" a="1"/>
  <c r="H65" i="11" s="1"/>
  <c r="H69" i="11" s="1"/>
  <c r="F65" i="11" a="1"/>
  <c r="F65" i="11" s="1"/>
  <c r="F69" i="11" s="1"/>
  <c r="D65" i="1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c r="AP58" i="11" a="1"/>
  <c r="AN58" i="11" a="1"/>
  <c r="AN58" i="11" s="1"/>
  <c r="AL58" i="11"/>
  <c r="AL58" i="11" a="1"/>
  <c r="AJ58" i="11" a="1"/>
  <c r="AJ58" i="11" s="1"/>
  <c r="AH58" i="11" a="1"/>
  <c r="AH58" i="11" s="1"/>
  <c r="AF58" i="11"/>
  <c r="AF58" i="11" a="1"/>
  <c r="AD58" i="11"/>
  <c r="AD58" i="11" a="1"/>
  <c r="AB58" i="11" a="1"/>
  <c r="AB58" i="11" s="1"/>
  <c r="Z58" i="11"/>
  <c r="Z58" i="11" a="1"/>
  <c r="X58" i="11" a="1"/>
  <c r="X58" i="11" s="1"/>
  <c r="V58" i="11" a="1"/>
  <c r="V58" i="11" s="1"/>
  <c r="T58" i="11"/>
  <c r="T58" i="11" a="1"/>
  <c r="R58" i="11" a="1"/>
  <c r="R58" i="11" s="1"/>
  <c r="P58" i="11"/>
  <c r="P58" i="11" a="1"/>
  <c r="N58" i="11"/>
  <c r="N58" i="11" a="1"/>
  <c r="L58" i="11" a="1"/>
  <c r="L58" i="11" s="1"/>
  <c r="J58" i="11"/>
  <c r="J58" i="11" a="1"/>
  <c r="H58" i="11" a="1"/>
  <c r="H58" i="11" s="1"/>
  <c r="F58" i="11"/>
  <c r="F58" i="11" a="1"/>
  <c r="D58" i="11" a="1"/>
  <c r="D58" i="11" s="1"/>
  <c r="B58" i="11"/>
  <c r="B58" i="11" a="1"/>
  <c r="AV57" i="11"/>
  <c r="AV57" i="11" a="1"/>
  <c r="AT57" i="11"/>
  <c r="AT57" i="11" a="1"/>
  <c r="AR57" i="11" a="1"/>
  <c r="AR57" i="11" s="1"/>
  <c r="AP57" i="11"/>
  <c r="AP57" i="11" a="1"/>
  <c r="AN57" i="11" a="1"/>
  <c r="AN57" i="11" s="1"/>
  <c r="AL57" i="11" a="1"/>
  <c r="AL57" i="11" s="1"/>
  <c r="AJ57" i="11"/>
  <c r="AJ57" i="11" a="1"/>
  <c r="AH57" i="11" a="1"/>
  <c r="AH57" i="11" s="1"/>
  <c r="AF57" i="11"/>
  <c r="AF57" i="11" a="1"/>
  <c r="AD57" i="11"/>
  <c r="AD57" i="11" a="1"/>
  <c r="AB57" i="11" a="1"/>
  <c r="AB57" i="11" s="1"/>
  <c r="Z57" i="11"/>
  <c r="Z57" i="11" a="1"/>
  <c r="X57" i="11" a="1"/>
  <c r="X57" i="11" s="1"/>
  <c r="V57" i="11" a="1"/>
  <c r="V57" i="11" s="1"/>
  <c r="T57" i="11" a="1"/>
  <c r="T57" i="11" s="1"/>
  <c r="R57" i="11"/>
  <c r="R57" i="11" a="1"/>
  <c r="P57" i="11"/>
  <c r="P57" i="11" a="1"/>
  <c r="N57" i="11"/>
  <c r="N57" i="11" a="1"/>
  <c r="L57" i="11" a="1"/>
  <c r="L57" i="11" s="1"/>
  <c r="J57" i="11"/>
  <c r="J57" i="11" a="1"/>
  <c r="H57" i="11" a="1"/>
  <c r="H57" i="11" s="1"/>
  <c r="F57" i="11" a="1"/>
  <c r="F57" i="11" s="1"/>
  <c r="D57" i="11" a="1"/>
  <c r="D57" i="11" s="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P80" i="11" s="1"/>
  <c r="AN55" i="11"/>
  <c r="AL55" i="11"/>
  <c r="AJ55" i="11"/>
  <c r="AH55" i="11"/>
  <c r="AF55" i="11"/>
  <c r="AF80" i="11" s="1"/>
  <c r="AD55" i="11"/>
  <c r="AD80" i="11" s="1"/>
  <c r="AB55" i="11"/>
  <c r="AB80" i="11" s="1"/>
  <c r="Z55" i="11"/>
  <c r="Z80" i="11" s="1"/>
  <c r="X55" i="11"/>
  <c r="V55" i="11"/>
  <c r="V80" i="11" s="1"/>
  <c r="T55" i="11"/>
  <c r="T80" i="11" s="1"/>
  <c r="R55" i="11"/>
  <c r="P55" i="11"/>
  <c r="N55" i="11"/>
  <c r="N80" i="11" s="1"/>
  <c r="L55" i="11"/>
  <c r="L80" i="11" s="1"/>
  <c r="J55" i="11"/>
  <c r="J80" i="11" s="1"/>
  <c r="H55" i="11"/>
  <c r="H80" i="11" s="1"/>
  <c r="F55" i="11"/>
  <c r="F80" i="11" s="1"/>
  <c r="D55" i="11"/>
  <c r="D80" i="11" s="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L51" i="11"/>
  <c r="AL81" i="11" s="1"/>
  <c r="AJ51" i="11"/>
  <c r="AJ81" i="11" s="1"/>
  <c r="AH51" i="11"/>
  <c r="AF51" i="11"/>
  <c r="AD51" i="11"/>
  <c r="AB51" i="11"/>
  <c r="Z51" i="11"/>
  <c r="Z81" i="11" s="1"/>
  <c r="X51" i="11"/>
  <c r="X81" i="11" s="1"/>
  <c r="V51" i="11"/>
  <c r="V81" i="11" s="1"/>
  <c r="T51" i="11"/>
  <c r="T81" i="11" s="1"/>
  <c r="R51" i="11"/>
  <c r="R81" i="11" s="1"/>
  <c r="P51" i="11"/>
  <c r="P81" i="11" s="1"/>
  <c r="N51" i="11"/>
  <c r="N81" i="11" s="1"/>
  <c r="L51" i="11"/>
  <c r="L81" i="11" s="1"/>
  <c r="J51" i="11"/>
  <c r="J81" i="11" s="1"/>
  <c r="H51" i="11"/>
  <c r="F51" i="11"/>
  <c r="F81" i="11" s="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c r="AT43" i="11" a="1"/>
  <c r="AR43" i="11" a="1"/>
  <c r="AR43" i="11" s="1"/>
  <c r="AP43" i="11"/>
  <c r="AP43" i="11" a="1"/>
  <c r="AN43" i="11" a="1"/>
  <c r="AN43" i="11" s="1"/>
  <c r="AL43" i="11" a="1"/>
  <c r="AL43" i="11" s="1"/>
  <c r="AJ43" i="11" a="1"/>
  <c r="AJ43" i="11" s="1"/>
  <c r="AH43" i="11"/>
  <c r="AH43" i="11" a="1"/>
  <c r="AF43" i="11"/>
  <c r="AF43" i="11" a="1"/>
  <c r="AD43" i="11"/>
  <c r="AD43" i="11" a="1"/>
  <c r="AB43" i="11" a="1"/>
  <c r="AB43" i="11" s="1"/>
  <c r="Z43" i="11"/>
  <c r="Z43" i="11" a="1"/>
  <c r="X43" i="11" a="1"/>
  <c r="X43" i="11" s="1"/>
  <c r="V43" i="11" a="1"/>
  <c r="V43" i="11" s="1"/>
  <c r="T43" i="11" a="1"/>
  <c r="T43" i="11" s="1"/>
  <c r="R43" i="11" a="1"/>
  <c r="R43" i="11" s="1"/>
  <c r="P43" i="11"/>
  <c r="P43" i="11" a="1"/>
  <c r="N43" i="11" a="1"/>
  <c r="N43" i="11" s="1"/>
  <c r="L43" i="11" a="1"/>
  <c r="L43" i="11" s="1"/>
  <c r="J43" i="11"/>
  <c r="J43" i="11" a="1"/>
  <c r="H43" i="11" a="1"/>
  <c r="H43" i="11" s="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T6" i="23"/>
  <c r="S6" i="23"/>
  <c r="R6" i="23"/>
  <c r="Y4" i="23"/>
  <c r="X4" i="23"/>
  <c r="W4" i="23"/>
  <c r="V4" i="23"/>
  <c r="U4" i="23"/>
  <c r="Z68" i="38" l="1"/>
  <c r="T68" i="38"/>
  <c r="V68" i="38"/>
  <c r="X68" i="38"/>
  <c r="AB68" i="38"/>
  <c r="AD68" i="38"/>
  <c r="AF68" i="38"/>
  <c r="B68" i="38"/>
  <c r="AH68" i="38"/>
  <c r="J68" i="21"/>
  <c r="AL68" i="21"/>
  <c r="R68" i="21"/>
  <c r="AT68" i="21"/>
  <c r="T68" i="21"/>
  <c r="AV68" i="21"/>
  <c r="V68" i="21"/>
  <c r="Z68" i="21"/>
  <c r="X68" i="21"/>
  <c r="B68" i="21"/>
  <c r="AD68" i="21"/>
  <c r="D68" i="21"/>
  <c r="AF68" i="21"/>
  <c r="N68" i="24"/>
  <c r="P68" i="24"/>
  <c r="R68" i="24"/>
  <c r="AR68" i="24"/>
  <c r="AV68" i="24"/>
  <c r="B68" i="24"/>
  <c r="D68" i="24"/>
  <c r="J68" i="24"/>
  <c r="AH68" i="24"/>
  <c r="AD68" i="24"/>
  <c r="AJ68" i="24"/>
  <c r="L68" i="24"/>
  <c r="AL68" i="24"/>
  <c r="AN68" i="24"/>
  <c r="N68" i="18"/>
  <c r="AB68" i="18"/>
  <c r="AP68" i="18"/>
  <c r="AR68" i="18"/>
  <c r="AV68" i="18"/>
  <c r="H68" i="18"/>
  <c r="J68" i="18"/>
  <c r="AD68" i="18"/>
  <c r="AJ68" i="18"/>
  <c r="P68" i="18"/>
  <c r="AN68" i="18"/>
  <c r="T68" i="22"/>
  <c r="V68" i="22"/>
  <c r="F68" i="22"/>
  <c r="H68" i="22"/>
  <c r="AF68" i="22"/>
  <c r="B68" i="22"/>
  <c r="D68" i="22"/>
  <c r="AH68" i="22"/>
  <c r="AJ68" i="22"/>
  <c r="L68" i="22"/>
  <c r="AL68" i="22"/>
  <c r="J68" i="22"/>
  <c r="AN68" i="22"/>
  <c r="AD68" i="12"/>
  <c r="J68" i="12"/>
  <c r="AH68" i="12"/>
  <c r="AJ68" i="12"/>
  <c r="F68" i="12"/>
  <c r="H68" i="12"/>
  <c r="AF68" i="12"/>
  <c r="L68" i="12"/>
  <c r="AP68" i="12"/>
  <c r="AL68" i="12"/>
  <c r="P68" i="12"/>
  <c r="D68" i="12"/>
  <c r="T68" i="12"/>
  <c r="J68" i="11"/>
  <c r="AP68" i="11"/>
  <c r="Z68" i="11"/>
  <c r="AJ68" i="11"/>
  <c r="L68" i="11"/>
  <c r="P68" i="11"/>
  <c r="AH68" i="11"/>
  <c r="W58" i="2" a="1"/>
  <c r="W59" i="2" a="1"/>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A9" i="44" l="1"/>
  <c r="A8" i="44"/>
  <c r="A7" i="44"/>
  <c r="A6" i="44"/>
  <c r="A5"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40" i="23"/>
  <c r="O6" i="45" s="1"/>
  <c r="N40" i="23"/>
  <c r="N6" i="45" s="1"/>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39" i="23"/>
  <c r="Q5" i="45" s="1"/>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Y4" i="45" s="1"/>
  <c r="X38" i="23"/>
  <c r="X4" i="45" s="1"/>
  <c r="W38" i="23"/>
  <c r="W4" i="45" s="1"/>
  <c r="V38" i="23"/>
  <c r="V4" i="45" s="1"/>
  <c r="U38" i="23"/>
  <c r="U4" i="45" s="1"/>
  <c r="T38" i="23"/>
  <c r="T4" i="45" s="1"/>
  <c r="S38" i="23"/>
  <c r="S4" i="45" s="1"/>
  <c r="R38" i="23"/>
  <c r="R4" i="45" s="1"/>
  <c r="Q38" i="23"/>
  <c r="Q4" i="45" s="1"/>
  <c r="P38" i="23"/>
  <c r="P4" i="45" s="1"/>
  <c r="O38" i="23"/>
  <c r="O4" i="45" s="1"/>
  <c r="N38" i="23"/>
  <c r="N4" i="45" s="1"/>
  <c r="M38" i="23"/>
  <c r="M4" i="45" s="1"/>
  <c r="L38" i="23"/>
  <c r="L4" i="45" s="1"/>
  <c r="K38" i="23"/>
  <c r="K4" i="45" s="1"/>
  <c r="J38" i="23"/>
  <c r="J4" i="45" s="1"/>
  <c r="I38" i="23"/>
  <c r="I4" i="45" s="1"/>
  <c r="H38" i="23"/>
  <c r="H4" i="45" s="1"/>
  <c r="G38" i="23"/>
  <c r="G4" i="45" s="1"/>
  <c r="F38" i="23"/>
  <c r="F4" i="45" s="1"/>
  <c r="E38" i="23"/>
  <c r="E4" i="45" s="1"/>
  <c r="D38" i="23"/>
  <c r="D4" i="45" s="1"/>
  <c r="C38" i="23"/>
  <c r="C4" i="45" s="1"/>
  <c r="B38" i="23"/>
  <c r="B4" i="45" s="1"/>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Y8" i="44" s="1"/>
  <c r="X9" i="23"/>
  <c r="X8" i="44" s="1"/>
  <c r="W9" i="23"/>
  <c r="W8" i="44" s="1"/>
  <c r="V9" i="23"/>
  <c r="V8" i="44" s="1"/>
  <c r="U9" i="23"/>
  <c r="U8" i="44" s="1"/>
  <c r="T9" i="23"/>
  <c r="T8" i="44" s="1"/>
  <c r="S9" i="23"/>
  <c r="S8" i="44" s="1"/>
  <c r="R9" i="23"/>
  <c r="R8" i="44" s="1"/>
  <c r="Q9" i="23"/>
  <c r="Q8" i="44" s="1"/>
  <c r="P9" i="23"/>
  <c r="P8" i="44" s="1"/>
  <c r="O9" i="23"/>
  <c r="O8" i="44" s="1"/>
  <c r="N9" i="23"/>
  <c r="N8" i="44" s="1"/>
  <c r="M9" i="23"/>
  <c r="M8" i="44" s="1"/>
  <c r="L9" i="23"/>
  <c r="L8" i="44" s="1"/>
  <c r="K9" i="23"/>
  <c r="K8" i="44" s="1"/>
  <c r="J9" i="23"/>
  <c r="J8" i="44" s="1"/>
  <c r="I9" i="23"/>
  <c r="I8" i="44" s="1"/>
  <c r="H9" i="23"/>
  <c r="H8" i="44" s="1"/>
  <c r="G9" i="23"/>
  <c r="G8" i="44" s="1"/>
  <c r="F9" i="23"/>
  <c r="F8" i="44" s="1"/>
  <c r="E9" i="23"/>
  <c r="E8" i="44" s="1"/>
  <c r="D9" i="23"/>
  <c r="D8" i="44" s="1"/>
  <c r="C9" i="23"/>
  <c r="C8" i="44" s="1"/>
  <c r="B9" i="23"/>
  <c r="B8" i="44" s="1"/>
  <c r="Y10" i="23"/>
  <c r="Y9" i="44" s="1"/>
  <c r="X10" i="23"/>
  <c r="X9" i="44" s="1"/>
  <c r="W10" i="23"/>
  <c r="W9" i="44" s="1"/>
  <c r="V10" i="23"/>
  <c r="V9" i="44" s="1"/>
  <c r="U10" i="23"/>
  <c r="U9" i="44" s="1"/>
  <c r="T10" i="23"/>
  <c r="T9" i="44" s="1"/>
  <c r="S10" i="23"/>
  <c r="S9" i="44" s="1"/>
  <c r="R10" i="23"/>
  <c r="R9" i="44" s="1"/>
  <c r="Q10" i="23"/>
  <c r="Q9" i="44" s="1"/>
  <c r="P10" i="23"/>
  <c r="P9" i="44" s="1"/>
  <c r="O10" i="23"/>
  <c r="O9" i="44" s="1"/>
  <c r="N10" i="23"/>
  <c r="N9" i="44" s="1"/>
  <c r="M10" i="23"/>
  <c r="M9" i="44" s="1"/>
  <c r="L10" i="23"/>
  <c r="L9" i="44" s="1"/>
  <c r="K10" i="23"/>
  <c r="K9" i="44" s="1"/>
  <c r="J10" i="23"/>
  <c r="J9" i="44" s="1"/>
  <c r="I10" i="23"/>
  <c r="I9" i="44" s="1"/>
  <c r="H10" i="23"/>
  <c r="H9" i="44" s="1"/>
  <c r="G10" i="23"/>
  <c r="G9" i="44" s="1"/>
  <c r="F10" i="23"/>
  <c r="F9" i="44" s="1"/>
  <c r="E10" i="23"/>
  <c r="E9" i="44" s="1"/>
  <c r="D10" i="23"/>
  <c r="D9" i="44" s="1"/>
  <c r="C10" i="23"/>
  <c r="C9" i="44" s="1"/>
  <c r="B10" i="23"/>
  <c r="B9" i="44" s="1"/>
  <c r="T8" i="23"/>
  <c r="S8" i="23"/>
  <c r="S7" i="44" s="1"/>
  <c r="R8" i="23"/>
  <c r="R7" i="44" s="1"/>
  <c r="Q8" i="23"/>
  <c r="Q7" i="44" s="1"/>
  <c r="P8" i="23"/>
  <c r="P7" i="44" s="1"/>
  <c r="O8" i="23"/>
  <c r="O7" i="44" s="1"/>
  <c r="N8" i="23"/>
  <c r="N7" i="44" s="1"/>
  <c r="M8" i="23"/>
  <c r="M7" i="44" s="1"/>
  <c r="L8" i="23"/>
  <c r="L7" i="44" s="1"/>
  <c r="K8" i="23"/>
  <c r="K7" i="44" s="1"/>
  <c r="J8" i="23"/>
  <c r="J7" i="44" s="1"/>
  <c r="I8" i="23"/>
  <c r="I7" i="44" s="1"/>
  <c r="H8" i="23"/>
  <c r="H7" i="44" s="1"/>
  <c r="G8" i="23"/>
  <c r="G7" i="44" s="1"/>
  <c r="F8" i="23"/>
  <c r="F7" i="44" s="1"/>
  <c r="E8" i="23"/>
  <c r="E7" i="44" s="1"/>
  <c r="D8" i="23"/>
  <c r="D7" i="44" s="1"/>
  <c r="C8" i="23"/>
  <c r="C7" i="44" s="1"/>
  <c r="B8" i="23"/>
  <c r="B7" i="44" s="1"/>
  <c r="O7" i="23"/>
  <c r="N7" i="23"/>
  <c r="M7" i="23"/>
  <c r="M6" i="44" s="1"/>
  <c r="L7" i="23"/>
  <c r="L6" i="44" s="1"/>
  <c r="K7" i="23"/>
  <c r="K6" i="44" s="1"/>
  <c r="J7" i="23"/>
  <c r="J6" i="44" s="1"/>
  <c r="I7" i="23"/>
  <c r="I6" i="44" s="1"/>
  <c r="H7" i="23"/>
  <c r="H6" i="44" s="1"/>
  <c r="G7" i="23"/>
  <c r="G6" i="44" s="1"/>
  <c r="F7" i="23"/>
  <c r="F6" i="44" s="1"/>
  <c r="E7" i="23"/>
  <c r="E6" i="44" s="1"/>
  <c r="D7" i="23"/>
  <c r="D6" i="44" s="1"/>
  <c r="C7" i="23"/>
  <c r="C6" i="44" s="1"/>
  <c r="B7" i="23"/>
  <c r="B6" i="44" s="1"/>
  <c r="Q6" i="23"/>
  <c r="P6" i="23"/>
  <c r="O6" i="23"/>
  <c r="N6" i="23"/>
  <c r="N5" i="44" s="1"/>
  <c r="M6" i="23"/>
  <c r="M5" i="44" s="1"/>
  <c r="L6" i="23"/>
  <c r="L5" i="44" s="1"/>
  <c r="K6" i="23"/>
  <c r="K5" i="44" s="1"/>
  <c r="J6" i="23"/>
  <c r="J5" i="44" s="1"/>
  <c r="I6" i="23"/>
  <c r="I5" i="44" s="1"/>
  <c r="H6" i="23"/>
  <c r="H5" i="44" s="1"/>
  <c r="G6" i="23"/>
  <c r="G5" i="44" s="1"/>
  <c r="F6" i="23"/>
  <c r="F5" i="44" s="1"/>
  <c r="E6" i="23"/>
  <c r="E5" i="44" s="1"/>
  <c r="D6" i="23"/>
  <c r="D5" i="44" s="1"/>
  <c r="C6" i="23"/>
  <c r="C5" i="44" s="1"/>
  <c r="B6" i="23"/>
  <c r="B5" i="44" s="1"/>
  <c r="Y5" i="23"/>
  <c r="X5" i="23"/>
  <c r="X4" i="44" s="1"/>
  <c r="W5" i="23"/>
  <c r="W4" i="44" s="1"/>
  <c r="V5" i="23"/>
  <c r="V4" i="44" s="1"/>
  <c r="U5" i="23"/>
  <c r="U4" i="44" s="1"/>
  <c r="T5" i="23"/>
  <c r="T4" i="44" s="1"/>
  <c r="S5" i="23"/>
  <c r="S4" i="44" s="1"/>
  <c r="R5" i="23"/>
  <c r="R4" i="44" s="1"/>
  <c r="Q5" i="23"/>
  <c r="Q4" i="44" s="1"/>
  <c r="P5" i="23"/>
  <c r="P4" i="44" s="1"/>
  <c r="O5" i="23"/>
  <c r="O4" i="44" s="1"/>
  <c r="N5" i="23"/>
  <c r="N4" i="44" s="1"/>
  <c r="M5" i="23"/>
  <c r="M4" i="44" s="1"/>
  <c r="L5" i="23"/>
  <c r="L4" i="44" s="1"/>
  <c r="K5" i="23"/>
  <c r="K4" i="44" s="1"/>
  <c r="J5" i="23"/>
  <c r="J4" i="44" s="1"/>
  <c r="I5" i="23"/>
  <c r="I4" i="44" s="1"/>
  <c r="H5" i="23"/>
  <c r="H4" i="44" s="1"/>
  <c r="G5" i="23"/>
  <c r="G4" i="44" s="1"/>
  <c r="F5" i="23"/>
  <c r="F4" i="44" s="1"/>
  <c r="E5" i="23"/>
  <c r="E4" i="44" s="1"/>
  <c r="D5" i="23"/>
  <c r="D4" i="44" s="1"/>
  <c r="C5" i="23"/>
  <c r="C4" i="44" s="1"/>
  <c r="B5" i="23"/>
  <c r="B4" i="44" s="1"/>
  <c r="T4" i="23"/>
  <c r="S4" i="23"/>
  <c r="R4" i="23"/>
  <c r="R3" i="44" s="1"/>
  <c r="Q4" i="23"/>
  <c r="Q3" i="44" s="1"/>
  <c r="P4" i="23"/>
  <c r="P3" i="44" s="1"/>
  <c r="O4" i="23"/>
  <c r="O3" i="44" s="1"/>
  <c r="N4" i="23"/>
  <c r="N3" i="44" s="1"/>
  <c r="M4" i="23"/>
  <c r="M3" i="44" s="1"/>
  <c r="L4" i="23"/>
  <c r="L3" i="44" s="1"/>
  <c r="K4" i="23"/>
  <c r="K3" i="44" s="1"/>
  <c r="J4" i="23"/>
  <c r="J3" i="44" s="1"/>
  <c r="I4" i="23"/>
  <c r="I3" i="44" s="1"/>
  <c r="H4" i="23"/>
  <c r="H3" i="44" s="1"/>
  <c r="G4" i="23"/>
  <c r="G3" i="44" s="1"/>
  <c r="F4" i="23"/>
  <c r="F3" i="44" s="1"/>
  <c r="E4" i="23"/>
  <c r="E3" i="44" s="1"/>
  <c r="D4" i="23"/>
  <c r="D3" i="44" s="1"/>
  <c r="C4" i="23"/>
  <c r="C3" i="44" s="1"/>
  <c r="B4" i="23"/>
  <c r="B3" i="44" s="1"/>
  <c r="Y3" i="23"/>
  <c r="Y2" i="44" s="1"/>
  <c r="X3" i="23"/>
  <c r="X2" i="44" s="1"/>
  <c r="W3" i="23"/>
  <c r="W2" i="44" s="1"/>
  <c r="V3" i="23"/>
  <c r="V2" i="44" s="1"/>
  <c r="U3" i="23"/>
  <c r="U2" i="44" s="1"/>
  <c r="T3" i="23"/>
  <c r="T2" i="44" s="1"/>
  <c r="S3" i="23"/>
  <c r="S2" i="44" s="1"/>
  <c r="R3" i="23"/>
  <c r="R2" i="44" s="1"/>
  <c r="Q3" i="23"/>
  <c r="Q2" i="44" s="1"/>
  <c r="P3" i="23"/>
  <c r="P2" i="44" s="1"/>
  <c r="O3" i="23"/>
  <c r="O2" i="44" s="1"/>
  <c r="N3" i="23"/>
  <c r="N2" i="44" s="1"/>
  <c r="M3" i="23"/>
  <c r="M2" i="44" s="1"/>
  <c r="L3" i="23"/>
  <c r="L2" i="44" s="1"/>
  <c r="K3" i="23"/>
  <c r="K2" i="44" s="1"/>
  <c r="J3" i="23"/>
  <c r="J2" i="44" s="1"/>
  <c r="I3" i="23"/>
  <c r="I2" i="44" s="1"/>
  <c r="H3" i="23"/>
  <c r="H2" i="44" s="1"/>
  <c r="G3" i="23"/>
  <c r="G2" i="44" s="1"/>
  <c r="F3" i="23"/>
  <c r="F2" i="44" s="1"/>
  <c r="E3" i="23"/>
  <c r="E2" i="44" s="1"/>
  <c r="D3" i="23"/>
  <c r="D2" i="44" s="1"/>
  <c r="C3" i="23"/>
  <c r="C2" i="44" s="1"/>
  <c r="B3" i="23"/>
  <c r="B2" i="44" s="1"/>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D33" i="2" l="1"/>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O29" i="23"/>
  <c r="N29" i="23"/>
  <c r="M29" i="23"/>
  <c r="L29" i="23"/>
  <c r="K29" i="23"/>
  <c r="J29" i="23"/>
  <c r="I29" i="23"/>
  <c r="H29" i="23"/>
  <c r="G29" i="23"/>
  <c r="F29" i="23"/>
  <c r="E29" i="23"/>
  <c r="D29" i="23"/>
  <c r="C29" i="23"/>
  <c r="B29" i="23"/>
  <c r="Q28"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V52" i="38" l="1"/>
  <c r="V82" i="38" s="1"/>
  <c r="AP52" i="38"/>
  <c r="AP82" i="38" s="1"/>
  <c r="F52" i="38"/>
  <c r="F82" i="38" s="1"/>
  <c r="B52" i="38"/>
  <c r="B82" i="38" s="1"/>
  <c r="J52" i="38"/>
  <c r="J82" i="38" s="1"/>
  <c r="Z52" i="38"/>
  <c r="Z82" i="38" s="1"/>
  <c r="R52" i="38"/>
  <c r="R82" i="38" s="1"/>
  <c r="AL52" i="38"/>
  <c r="AL82" i="38" s="1"/>
  <c r="AH52" i="38"/>
  <c r="AH82" i="38" s="1"/>
  <c r="H52" i="38"/>
  <c r="H82" i="38" s="1"/>
  <c r="N52" i="38"/>
  <c r="N82" i="38" s="1"/>
  <c r="AJ52" i="38"/>
  <c r="AJ82" i="38" s="1"/>
  <c r="P52" i="38"/>
  <c r="P82" i="38" s="1"/>
  <c r="AN52" i="38"/>
  <c r="AN82" i="38" s="1"/>
  <c r="X52" i="38"/>
  <c r="X82" i="38" s="1"/>
  <c r="AV52" i="38"/>
  <c r="AV82" i="38" s="1"/>
  <c r="D52" i="38"/>
  <c r="D82" i="38" s="1"/>
  <c r="AB52" i="38"/>
  <c r="AB82" i="38" s="1"/>
  <c r="AF52" i="38"/>
  <c r="AF82" i="38" s="1"/>
  <c r="L52" i="38"/>
  <c r="L82" i="38" s="1"/>
  <c r="T52" i="38"/>
  <c r="T82" i="38" s="1"/>
  <c r="AR52" i="38"/>
  <c r="AR82" i="38" s="1"/>
  <c r="AT52" i="38"/>
  <c r="AT82" i="38" s="1"/>
  <c r="AD52" i="38"/>
  <c r="AD82" i="38" s="1"/>
  <c r="P52" i="21"/>
  <c r="P82" i="21" s="1"/>
  <c r="AF52" i="21"/>
  <c r="AF82" i="21" s="1"/>
  <c r="AV52" i="21"/>
  <c r="AV82" i="21" s="1"/>
  <c r="R52" i="21"/>
  <c r="R82" i="21" s="1"/>
  <c r="AH52" i="21"/>
  <c r="AH82" i="21" s="1"/>
  <c r="H52" i="21"/>
  <c r="H82" i="21" s="1"/>
  <c r="N52" i="21"/>
  <c r="N82" i="21" s="1"/>
  <c r="Z52" i="21"/>
  <c r="Z82" i="21" s="1"/>
  <c r="AB52" i="21"/>
  <c r="AB82" i="21" s="1"/>
  <c r="B52" i="21"/>
  <c r="B82" i="21" s="1"/>
  <c r="L52" i="21"/>
  <c r="L82" i="21" s="1"/>
  <c r="F52" i="21"/>
  <c r="F82" i="21" s="1"/>
  <c r="AP52" i="21"/>
  <c r="AP82" i="21" s="1"/>
  <c r="X52" i="21"/>
  <c r="X82" i="21" s="1"/>
  <c r="D52" i="21"/>
  <c r="D82" i="21" s="1"/>
  <c r="T52" i="21"/>
  <c r="T82" i="21" s="1"/>
  <c r="J52" i="21"/>
  <c r="J82" i="21" s="1"/>
  <c r="AL52" i="21"/>
  <c r="AL82" i="21" s="1"/>
  <c r="AR52" i="21"/>
  <c r="AR82" i="21" s="1"/>
  <c r="AJ52" i="21"/>
  <c r="AJ82" i="21" s="1"/>
  <c r="AN52" i="21"/>
  <c r="AN82" i="21" s="1"/>
  <c r="V52" i="21"/>
  <c r="V82" i="21" s="1"/>
  <c r="AD52" i="21"/>
  <c r="AD82" i="21" s="1"/>
  <c r="AT52" i="21"/>
  <c r="AT82" i="21" s="1"/>
  <c r="AP52" i="24"/>
  <c r="AP82" i="24" s="1"/>
  <c r="AJ52" i="24"/>
  <c r="AJ82" i="24" s="1"/>
  <c r="J52" i="24"/>
  <c r="J82" i="24" s="1"/>
  <c r="Z52" i="24"/>
  <c r="Z82" i="24" s="1"/>
  <c r="X52" i="24"/>
  <c r="X82" i="24" s="1"/>
  <c r="L52" i="24"/>
  <c r="L82" i="24" s="1"/>
  <c r="V52" i="24"/>
  <c r="V82" i="24" s="1"/>
  <c r="AB52" i="24"/>
  <c r="AB82" i="24" s="1"/>
  <c r="AN52" i="24"/>
  <c r="AN82" i="24" s="1"/>
  <c r="AV52" i="24"/>
  <c r="AV82" i="24" s="1"/>
  <c r="AH52" i="24"/>
  <c r="AH82" i="24" s="1"/>
  <c r="H52" i="24"/>
  <c r="H82" i="24" s="1"/>
  <c r="B52" i="24"/>
  <c r="B82" i="24" s="1"/>
  <c r="N52" i="24"/>
  <c r="N82" i="24" s="1"/>
  <c r="AD52" i="24"/>
  <c r="AD82" i="24" s="1"/>
  <c r="P52" i="24"/>
  <c r="P82" i="24" s="1"/>
  <c r="R52" i="24"/>
  <c r="R82" i="24" s="1"/>
  <c r="AF52" i="24"/>
  <c r="AF82" i="24" s="1"/>
  <c r="AL52" i="24"/>
  <c r="AL82" i="24" s="1"/>
  <c r="AT52" i="24"/>
  <c r="AT82" i="24" s="1"/>
  <c r="D52" i="24"/>
  <c r="D82" i="24" s="1"/>
  <c r="F52" i="24"/>
  <c r="F82" i="24" s="1"/>
  <c r="AR52" i="24"/>
  <c r="AR82" i="24" s="1"/>
  <c r="T52" i="24"/>
  <c r="T82" i="24" s="1"/>
  <c r="J52" i="18"/>
  <c r="J82" i="18" s="1"/>
  <c r="AF52" i="18"/>
  <c r="AF82" i="18" s="1"/>
  <c r="Z52" i="18"/>
  <c r="Z82" i="18" s="1"/>
  <c r="T52" i="18"/>
  <c r="T82" i="18" s="1"/>
  <c r="P52" i="18"/>
  <c r="P82" i="18" s="1"/>
  <c r="AH52" i="18"/>
  <c r="AH82" i="18" s="1"/>
  <c r="AP52" i="18"/>
  <c r="AP82" i="18" s="1"/>
  <c r="AV52" i="18"/>
  <c r="AV82" i="18" s="1"/>
  <c r="X52" i="18"/>
  <c r="X82" i="18" s="1"/>
  <c r="AB52" i="18"/>
  <c r="AB82" i="18" s="1"/>
  <c r="AR52" i="18"/>
  <c r="AR82" i="18" s="1"/>
  <c r="AT52" i="18"/>
  <c r="AT82" i="18" s="1"/>
  <c r="AJ52" i="18"/>
  <c r="AJ82" i="18" s="1"/>
  <c r="AL52" i="18"/>
  <c r="AL82" i="18" s="1"/>
  <c r="V52" i="18"/>
  <c r="V82" i="18" s="1"/>
  <c r="AN52" i="18"/>
  <c r="AN82" i="18" s="1"/>
  <c r="R52" i="18"/>
  <c r="R82" i="18" s="1"/>
  <c r="L52" i="18"/>
  <c r="L82" i="18" s="1"/>
  <c r="AD52" i="18"/>
  <c r="AD82" i="18" s="1"/>
  <c r="H52" i="18"/>
  <c r="H82" i="18" s="1"/>
  <c r="B52" i="18"/>
  <c r="B82" i="18" s="1"/>
  <c r="F52" i="18"/>
  <c r="F82" i="18" s="1"/>
  <c r="N52" i="18"/>
  <c r="N82" i="18" s="1"/>
  <c r="D52" i="18"/>
  <c r="D82" i="18" s="1"/>
  <c r="J52" i="22"/>
  <c r="J82" i="22" s="1"/>
  <c r="AD52" i="22"/>
  <c r="AD82" i="22" s="1"/>
  <c r="AT52" i="22"/>
  <c r="AT82" i="22" s="1"/>
  <c r="AV52" i="22"/>
  <c r="AV82" i="22" s="1"/>
  <c r="P52" i="22"/>
  <c r="P82" i="22" s="1"/>
  <c r="Z52" i="22"/>
  <c r="Z82" i="22" s="1"/>
  <c r="AP52" i="22"/>
  <c r="AP82" i="22" s="1"/>
  <c r="T52" i="22"/>
  <c r="T82" i="22" s="1"/>
  <c r="N52" i="22"/>
  <c r="N82" i="22" s="1"/>
  <c r="AF52" i="22"/>
  <c r="AF82" i="22" s="1"/>
  <c r="AJ52" i="22"/>
  <c r="AJ82" i="22" s="1"/>
  <c r="L52" i="22"/>
  <c r="L82" i="22" s="1"/>
  <c r="F52" i="22"/>
  <c r="F82" i="22" s="1"/>
  <c r="AB52" i="22"/>
  <c r="AB82" i="22" s="1"/>
  <c r="AH52" i="22"/>
  <c r="AH82" i="22" s="1"/>
  <c r="AN52" i="22"/>
  <c r="AN82" i="22" s="1"/>
  <c r="H52" i="22"/>
  <c r="H82" i="22" s="1"/>
  <c r="V52" i="22"/>
  <c r="V82" i="22" s="1"/>
  <c r="X52" i="22"/>
  <c r="X82" i="22" s="1"/>
  <c r="R52" i="22"/>
  <c r="R82" i="22" s="1"/>
  <c r="D52" i="22"/>
  <c r="D82" i="22" s="1"/>
  <c r="AR52" i="22"/>
  <c r="AR82" i="22" s="1"/>
  <c r="AL52" i="22"/>
  <c r="AL82" i="22" s="1"/>
  <c r="B52" i="22"/>
  <c r="B82" i="22" s="1"/>
  <c r="N52" i="12"/>
  <c r="N82" i="12" s="1"/>
  <c r="AD52" i="12"/>
  <c r="AD82" i="12" s="1"/>
  <c r="AT52" i="12"/>
  <c r="AT82" i="12" s="1"/>
  <c r="AF52" i="12"/>
  <c r="AF82" i="12" s="1"/>
  <c r="J52" i="12"/>
  <c r="J82" i="12" s="1"/>
  <c r="D52" i="12"/>
  <c r="D82" i="12" s="1"/>
  <c r="AV52" i="12"/>
  <c r="AV82" i="12" s="1"/>
  <c r="Z52" i="12"/>
  <c r="Z82" i="12" s="1"/>
  <c r="AP52" i="12"/>
  <c r="AP82" i="12" s="1"/>
  <c r="P52" i="12"/>
  <c r="P82" i="12" s="1"/>
  <c r="AN52" i="12"/>
  <c r="AN82" i="12" s="1"/>
  <c r="L52" i="12"/>
  <c r="L82" i="12" s="1"/>
  <c r="X52" i="12"/>
  <c r="X82" i="12" s="1"/>
  <c r="AR52" i="12"/>
  <c r="AR82" i="12" s="1"/>
  <c r="T52" i="12"/>
  <c r="T82" i="12" s="1"/>
  <c r="AH52" i="12"/>
  <c r="AH82" i="12" s="1"/>
  <c r="AJ52" i="12"/>
  <c r="AJ82" i="12" s="1"/>
  <c r="B52" i="12"/>
  <c r="B82" i="12" s="1"/>
  <c r="AB52" i="12"/>
  <c r="AB82" i="12" s="1"/>
  <c r="AL52" i="12"/>
  <c r="AL82" i="12" s="1"/>
  <c r="F52" i="12"/>
  <c r="F82" i="12" s="1"/>
  <c r="R52" i="12"/>
  <c r="R82" i="12" s="1"/>
  <c r="H52" i="12"/>
  <c r="H82" i="12" s="1"/>
  <c r="V52" i="12"/>
  <c r="V82" i="12" s="1"/>
  <c r="AV52" i="11"/>
  <c r="AV82" i="11" s="1"/>
  <c r="Z52" i="11"/>
  <c r="Z82" i="11" s="1"/>
  <c r="N52" i="11"/>
  <c r="N82" i="11" s="1"/>
  <c r="AF52" i="11"/>
  <c r="AF82" i="11" s="1"/>
  <c r="J52" i="11"/>
  <c r="J82" i="11" s="1"/>
  <c r="AD52" i="11"/>
  <c r="AD82" i="11" s="1"/>
  <c r="AT52" i="11"/>
  <c r="AT82" i="11" s="1"/>
  <c r="D52" i="11"/>
  <c r="D82" i="11" s="1"/>
  <c r="AP52" i="11"/>
  <c r="AP82" i="11" s="1"/>
  <c r="P52" i="11"/>
  <c r="P82" i="11" s="1"/>
  <c r="R52" i="11"/>
  <c r="R82" i="11" s="1"/>
  <c r="AJ52" i="11"/>
  <c r="AJ82" i="11" s="1"/>
  <c r="V52" i="11"/>
  <c r="V82" i="11" s="1"/>
  <c r="AL52" i="11"/>
  <c r="AL82" i="11" s="1"/>
  <c r="AH52" i="11"/>
  <c r="AH82" i="11" s="1"/>
  <c r="F52" i="11"/>
  <c r="F82" i="11" s="1"/>
  <c r="H52" i="11"/>
  <c r="H82" i="11" s="1"/>
  <c r="AB52" i="11"/>
  <c r="AB82" i="11" s="1"/>
  <c r="L52" i="11"/>
  <c r="L82" i="11" s="1"/>
  <c r="AN52" i="11"/>
  <c r="AN82" i="11" s="1"/>
  <c r="T52" i="11"/>
  <c r="T82" i="11" s="1"/>
  <c r="AR52" i="11"/>
  <c r="AR82" i="11" s="1"/>
  <c r="B52" i="11"/>
  <c r="B82" i="11" s="1"/>
  <c r="X52" i="11"/>
  <c r="X82" i="11"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Y3" i="46" s="1"/>
  <c r="X16" i="23"/>
  <c r="X3" i="46" s="1"/>
  <c r="W16" i="23"/>
  <c r="W3" i="46" s="1"/>
  <c r="V16" i="23"/>
  <c r="V3" i="46" s="1"/>
  <c r="U16" i="23"/>
  <c r="U3" i="46" s="1"/>
  <c r="T16" i="23"/>
  <c r="T3" i="46" s="1"/>
  <c r="S16" i="23"/>
  <c r="S3" i="46" s="1"/>
  <c r="R16" i="23"/>
  <c r="R3" i="46" s="1"/>
  <c r="Q16" i="23"/>
  <c r="Q3" i="46" s="1"/>
  <c r="P16" i="23"/>
  <c r="P3" i="46" s="1"/>
  <c r="O16" i="23"/>
  <c r="O3" i="46" s="1"/>
  <c r="N16" i="23"/>
  <c r="N3" i="46" s="1"/>
  <c r="M16" i="23"/>
  <c r="M3" i="46" s="1"/>
  <c r="L16" i="23"/>
  <c r="L3" i="46" s="1"/>
  <c r="K16" i="23"/>
  <c r="K3" i="46" s="1"/>
  <c r="J16" i="23"/>
  <c r="J3" i="46" s="1"/>
  <c r="I16" i="23"/>
  <c r="I3" i="46" s="1"/>
  <c r="H16" i="23"/>
  <c r="H3" i="46" s="1"/>
  <c r="G16" i="23"/>
  <c r="G3" i="46" s="1"/>
  <c r="F16" i="23"/>
  <c r="F3" i="46" s="1"/>
  <c r="E16" i="23"/>
  <c r="E3" i="46" s="1"/>
  <c r="D16" i="23"/>
  <c r="D3" i="46" s="1"/>
  <c r="C16" i="23"/>
  <c r="C3" i="46" s="1"/>
  <c r="B16" i="23"/>
  <c r="B3" i="46" s="1"/>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J53" i="38" l="1"/>
  <c r="J83" i="38" s="1"/>
  <c r="B53" i="38"/>
  <c r="B83" i="38" s="1"/>
  <c r="AP53" i="38"/>
  <c r="AP83" i="38" s="1"/>
  <c r="R53" i="38"/>
  <c r="R83" i="38" s="1"/>
  <c r="AH53" i="38"/>
  <c r="AH83" i="38" s="1"/>
  <c r="Z53" i="38"/>
  <c r="Z83" i="38" s="1"/>
  <c r="AL53" i="38"/>
  <c r="AL83" i="38" s="1"/>
  <c r="F53" i="38"/>
  <c r="F83" i="38" s="1"/>
  <c r="V53" i="38"/>
  <c r="V83" i="38" s="1"/>
  <c r="H53" i="38"/>
  <c r="H83" i="38" s="1"/>
  <c r="AJ53" i="38"/>
  <c r="AJ83" i="38" s="1"/>
  <c r="N53" i="38"/>
  <c r="N83" i="38" s="1"/>
  <c r="P53" i="38"/>
  <c r="P83" i="38" s="1"/>
  <c r="AN53" i="38"/>
  <c r="AN83" i="38" s="1"/>
  <c r="X53" i="38"/>
  <c r="X83" i="38" s="1"/>
  <c r="AD53" i="38"/>
  <c r="AD83" i="38" s="1"/>
  <c r="AF53" i="38"/>
  <c r="AF83" i="38" s="1"/>
  <c r="T53" i="38"/>
  <c r="T83" i="38" s="1"/>
  <c r="AT53" i="38"/>
  <c r="AT83" i="38" s="1"/>
  <c r="D53" i="38"/>
  <c r="D83" i="38" s="1"/>
  <c r="L53" i="38"/>
  <c r="L83" i="38" s="1"/>
  <c r="AR53" i="38"/>
  <c r="AR83" i="38" s="1"/>
  <c r="AV53" i="38"/>
  <c r="AV83" i="38" s="1"/>
  <c r="AB53" i="38"/>
  <c r="AB83" i="38" s="1"/>
  <c r="P53" i="21"/>
  <c r="P83" i="21" s="1"/>
  <c r="AV53" i="21"/>
  <c r="AV83" i="21" s="1"/>
  <c r="AF53" i="21"/>
  <c r="AF83" i="21" s="1"/>
  <c r="R53" i="21"/>
  <c r="R83" i="21" s="1"/>
  <c r="V53" i="21"/>
  <c r="V83" i="21" s="1"/>
  <c r="AH53" i="21"/>
  <c r="AH83" i="21" s="1"/>
  <c r="AB53" i="21"/>
  <c r="AB83" i="21" s="1"/>
  <c r="AR53" i="21"/>
  <c r="AR83" i="21" s="1"/>
  <c r="AT53" i="21"/>
  <c r="AT83" i="21" s="1"/>
  <c r="AL53" i="21"/>
  <c r="AL83" i="21" s="1"/>
  <c r="L53" i="21"/>
  <c r="L83" i="21" s="1"/>
  <c r="B53" i="21"/>
  <c r="B83" i="21" s="1"/>
  <c r="Z53" i="21"/>
  <c r="Z83" i="21" s="1"/>
  <c r="T53" i="21"/>
  <c r="T83" i="21" s="1"/>
  <c r="AD53" i="21"/>
  <c r="AD83" i="21" s="1"/>
  <c r="X53" i="21"/>
  <c r="X83" i="21" s="1"/>
  <c r="F53" i="21"/>
  <c r="F83" i="21" s="1"/>
  <c r="AP53" i="21"/>
  <c r="AP83" i="21" s="1"/>
  <c r="J53" i="21"/>
  <c r="J83" i="21" s="1"/>
  <c r="H53" i="21"/>
  <c r="H83" i="21" s="1"/>
  <c r="AJ53" i="21"/>
  <c r="AJ83" i="21" s="1"/>
  <c r="AN53" i="21"/>
  <c r="AN83" i="21" s="1"/>
  <c r="N53" i="21"/>
  <c r="N83" i="21" s="1"/>
  <c r="D53" i="21"/>
  <c r="D83" i="21" s="1"/>
  <c r="AP53" i="24"/>
  <c r="AP83" i="24" s="1"/>
  <c r="R53" i="24"/>
  <c r="R83" i="24" s="1"/>
  <c r="AJ53" i="24"/>
  <c r="AJ83" i="24" s="1"/>
  <c r="J53" i="24"/>
  <c r="J83" i="24" s="1"/>
  <c r="AH53" i="24"/>
  <c r="AH83" i="24" s="1"/>
  <c r="D53" i="24"/>
  <c r="D83" i="24" s="1"/>
  <c r="Z53" i="24"/>
  <c r="Z83" i="24" s="1"/>
  <c r="B53" i="24"/>
  <c r="B83" i="24" s="1"/>
  <c r="L53" i="24"/>
  <c r="L83" i="24" s="1"/>
  <c r="X53" i="24"/>
  <c r="X83" i="24" s="1"/>
  <c r="AB53" i="24"/>
  <c r="AB83" i="24" s="1"/>
  <c r="N53" i="24"/>
  <c r="N83" i="24" s="1"/>
  <c r="AV53" i="24"/>
  <c r="AV83" i="24" s="1"/>
  <c r="AL53" i="24"/>
  <c r="AL83" i="24" s="1"/>
  <c r="T53" i="24"/>
  <c r="T83" i="24" s="1"/>
  <c r="AD53" i="24"/>
  <c r="AD83" i="24" s="1"/>
  <c r="F53" i="24"/>
  <c r="F83" i="24" s="1"/>
  <c r="H53" i="24"/>
  <c r="H83" i="24" s="1"/>
  <c r="V53" i="24"/>
  <c r="V83" i="24" s="1"/>
  <c r="AT53" i="24"/>
  <c r="AT83" i="24" s="1"/>
  <c r="AR53" i="24"/>
  <c r="AR83" i="24" s="1"/>
  <c r="P53" i="24"/>
  <c r="P83" i="24" s="1"/>
  <c r="AF53" i="24"/>
  <c r="AF83" i="24" s="1"/>
  <c r="AN53" i="24"/>
  <c r="AN83" i="24" s="1"/>
  <c r="J53" i="18"/>
  <c r="J83" i="18" s="1"/>
  <c r="AP53" i="18"/>
  <c r="AP83" i="18" s="1"/>
  <c r="P53" i="18"/>
  <c r="P83" i="18" s="1"/>
  <c r="AJ53" i="18"/>
  <c r="AJ83" i="18" s="1"/>
  <c r="AF53" i="18"/>
  <c r="AF83" i="18" s="1"/>
  <c r="Z53" i="18"/>
  <c r="Z83" i="18" s="1"/>
  <c r="AV53" i="18"/>
  <c r="AV83" i="18" s="1"/>
  <c r="AN53" i="18"/>
  <c r="AN83" i="18" s="1"/>
  <c r="R53" i="18"/>
  <c r="R83" i="18" s="1"/>
  <c r="AL53" i="18"/>
  <c r="AL83" i="18" s="1"/>
  <c r="T53" i="18"/>
  <c r="T83" i="18" s="1"/>
  <c r="D53" i="18"/>
  <c r="D83" i="18" s="1"/>
  <c r="V53" i="18"/>
  <c r="V83" i="18" s="1"/>
  <c r="H53" i="18"/>
  <c r="H83" i="18" s="1"/>
  <c r="X53" i="18"/>
  <c r="X83" i="18" s="1"/>
  <c r="AR53" i="18"/>
  <c r="AR83" i="18" s="1"/>
  <c r="AB53" i="18"/>
  <c r="AB83" i="18" s="1"/>
  <c r="AH53" i="18"/>
  <c r="AH83" i="18" s="1"/>
  <c r="AT53" i="18"/>
  <c r="AT83" i="18" s="1"/>
  <c r="AD53" i="18"/>
  <c r="AD83" i="18" s="1"/>
  <c r="B53" i="18"/>
  <c r="B83" i="18" s="1"/>
  <c r="N53" i="18"/>
  <c r="N83" i="18" s="1"/>
  <c r="L53" i="18"/>
  <c r="L83" i="18" s="1"/>
  <c r="F53" i="18"/>
  <c r="F83" i="18" s="1"/>
  <c r="AV53" i="22"/>
  <c r="AV83" i="22" s="1"/>
  <c r="N53" i="22"/>
  <c r="N83" i="22" s="1"/>
  <c r="Z53" i="22"/>
  <c r="Z83" i="22" s="1"/>
  <c r="AJ53" i="22"/>
  <c r="AJ83" i="22" s="1"/>
  <c r="AT53" i="22"/>
  <c r="AT83" i="22" s="1"/>
  <c r="AP53" i="22"/>
  <c r="AP83" i="22" s="1"/>
  <c r="P53" i="22"/>
  <c r="P83" i="22" s="1"/>
  <c r="AF53" i="22"/>
  <c r="AF83" i="22" s="1"/>
  <c r="J53" i="22"/>
  <c r="J83" i="22" s="1"/>
  <c r="AD53" i="22"/>
  <c r="AD83" i="22" s="1"/>
  <c r="H53" i="22"/>
  <c r="H83" i="22" s="1"/>
  <c r="AH53" i="22"/>
  <c r="AH83" i="22" s="1"/>
  <c r="AN53" i="22"/>
  <c r="AN83" i="22" s="1"/>
  <c r="B53" i="22"/>
  <c r="B83" i="22" s="1"/>
  <c r="AL53" i="22"/>
  <c r="AL83" i="22" s="1"/>
  <c r="AR53" i="22"/>
  <c r="AR83" i="22" s="1"/>
  <c r="D53" i="22"/>
  <c r="D83" i="22" s="1"/>
  <c r="AB53" i="22"/>
  <c r="AB83" i="22" s="1"/>
  <c r="T53" i="22"/>
  <c r="T83" i="22" s="1"/>
  <c r="L53" i="22"/>
  <c r="L83" i="22" s="1"/>
  <c r="F53" i="22"/>
  <c r="F83" i="22" s="1"/>
  <c r="V53" i="22"/>
  <c r="V83" i="22" s="1"/>
  <c r="X53" i="22"/>
  <c r="X83" i="22" s="1"/>
  <c r="R53" i="22"/>
  <c r="R83" i="22" s="1"/>
  <c r="AF53" i="12"/>
  <c r="AF83" i="12" s="1"/>
  <c r="J53" i="12"/>
  <c r="J83" i="12" s="1"/>
  <c r="AD53" i="12"/>
  <c r="AD83" i="12" s="1"/>
  <c r="T53" i="12"/>
  <c r="T83" i="12" s="1"/>
  <c r="AV53" i="12"/>
  <c r="AV83" i="12" s="1"/>
  <c r="Z53" i="12"/>
  <c r="Z83" i="12" s="1"/>
  <c r="AT53" i="12"/>
  <c r="AT83" i="12" s="1"/>
  <c r="AP53" i="12"/>
  <c r="AP83" i="12" s="1"/>
  <c r="P53" i="12"/>
  <c r="P83" i="12" s="1"/>
  <c r="N53" i="12"/>
  <c r="N83" i="12" s="1"/>
  <c r="AJ53" i="12"/>
  <c r="AJ83" i="12" s="1"/>
  <c r="F53" i="12"/>
  <c r="F83" i="12" s="1"/>
  <c r="R53" i="12"/>
  <c r="R83" i="12" s="1"/>
  <c r="L53" i="12"/>
  <c r="L83" i="12" s="1"/>
  <c r="X53" i="12"/>
  <c r="X83" i="12" s="1"/>
  <c r="B53" i="12"/>
  <c r="B83" i="12" s="1"/>
  <c r="AL53" i="12"/>
  <c r="AL83" i="12" s="1"/>
  <c r="H53" i="12"/>
  <c r="H83" i="12" s="1"/>
  <c r="AN53" i="12"/>
  <c r="AN83" i="12" s="1"/>
  <c r="V53" i="12"/>
  <c r="V83" i="12" s="1"/>
  <c r="AH53" i="12"/>
  <c r="AH83" i="12" s="1"/>
  <c r="AB53" i="12"/>
  <c r="AB83" i="12" s="1"/>
  <c r="AR53" i="12"/>
  <c r="AR83" i="12" s="1"/>
  <c r="D53" i="12"/>
  <c r="D83" i="12" s="1"/>
  <c r="AF53" i="11"/>
  <c r="AF83" i="11" s="1"/>
  <c r="Z53" i="11"/>
  <c r="Z83" i="11" s="1"/>
  <c r="AD53" i="11"/>
  <c r="AD83" i="11" s="1"/>
  <c r="F53" i="11"/>
  <c r="F83" i="11" s="1"/>
  <c r="AT53" i="11"/>
  <c r="AT83" i="11" s="1"/>
  <c r="AV53" i="11"/>
  <c r="AV83" i="11" s="1"/>
  <c r="AP53" i="11"/>
  <c r="AP83" i="11" s="1"/>
  <c r="P53" i="11"/>
  <c r="P83" i="11" s="1"/>
  <c r="N53" i="11"/>
  <c r="N83" i="11" s="1"/>
  <c r="J53" i="11"/>
  <c r="J83" i="11" s="1"/>
  <c r="X53" i="11"/>
  <c r="X83" i="11" s="1"/>
  <c r="AJ53" i="11"/>
  <c r="AJ83" i="11" s="1"/>
  <c r="AL53" i="11"/>
  <c r="AL83" i="11" s="1"/>
  <c r="L53" i="11"/>
  <c r="L83" i="11" s="1"/>
  <c r="H53" i="11"/>
  <c r="H83" i="11" s="1"/>
  <c r="B53" i="11"/>
  <c r="B83" i="11" s="1"/>
  <c r="AN53" i="11"/>
  <c r="AN83" i="11" s="1"/>
  <c r="V53" i="11"/>
  <c r="V83" i="11" s="1"/>
  <c r="R53" i="11"/>
  <c r="R83" i="11" s="1"/>
  <c r="AH53" i="11"/>
  <c r="AH83" i="11" s="1"/>
  <c r="T53" i="11"/>
  <c r="T83" i="11" s="1"/>
  <c r="AR53" i="11"/>
  <c r="AR83" i="11" s="1"/>
  <c r="D53" i="11"/>
  <c r="D83" i="11" s="1"/>
  <c r="AB53" i="11"/>
  <c r="AB83" i="11"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<sst xmlns="http://schemas.openxmlformats.org/spreadsheetml/2006/main" count="995" uniqueCount="187">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</sst>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60">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0.99296618797721159</c:v>
                </c:pt>
                <c:pt idx="2">
                  <c:v>0.98543593577150623</c:v>
                </c:pt>
                <c:pt idx="3">
                  <c:v>0.97734343283897884</c:v>
                </c:pt>
                <c:pt idx="4">
                  <c:v>0.9686095807600773</c:v>
                </c:pt>
                <c:pt idx="5">
                  <c:v>0.95913801550647804</c:v>
                </c:pt>
                <c:pt idx="6">
                  <c:v>0.94880931839787208</c:v>
                </c:pt>
                <c:pt idx="7">
                  <c:v>0.93747272306712592</c:v>
                </c:pt>
                <c:pt idx="8">
                  <c:v>0.92493361836966159</c:v>
                </c:pt>
                <c:pt idx="9">
                  <c:v>0.91093365050145381</c:v>
                </c:pt>
                <c:pt idx="10">
                  <c:v>0.89511891517756226</c:v>
                </c:pt>
                <c:pt idx="11">
                  <c:v>0.8769859690404449</c:v>
                </c:pt>
                <c:pt idx="12">
                  <c:v>0.85578686084429412</c:v>
                </c:pt>
                <c:pt idx="13">
                  <c:v>0.83035539263281732</c:v>
                </c:pt>
                <c:pt idx="14">
                  <c:v>0.79877987389764271</c:v>
                </c:pt>
                <c:pt idx="15">
                  <c:v>0.75779707181759326</c:v>
                </c:pt>
                <c:pt idx="16">
                  <c:v>0.70178267971210484</c:v>
                </c:pt>
                <c:pt idx="17">
                  <c:v>0.62134217313259998</c:v>
                </c:pt>
                <c:pt idx="18">
                  <c:v>0.50021770375087438</c:v>
                </c:pt>
                <c:pt idx="19">
                  <c:v>0.30277591568107937</c:v>
                </c:pt>
                <c:pt idx="20">
                  <c:v>0.24785259629937384</c:v>
                </c:pt>
                <c:pt idx="21">
                  <c:v>0.18594523773702273</c:v>
                </c:pt>
                <c:pt idx="22">
                  <c:v>0.11716973070114529</c:v>
                </c:pt>
                <c:pt idx="23">
                  <c:v>4.5874414528498011E-2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0.99787000699331885</c:v>
                </c:pt>
                <c:pt idx="2">
                  <c:v>0.99532457432441968</c:v>
                </c:pt>
                <c:pt idx="3">
                  <c:v>0.99230772772139486</c:v>
                </c:pt>
                <c:pt idx="4">
                  <c:v>0.98875221316949147</c:v>
                </c:pt>
                <c:pt idx="5">
                  <c:v>0.98457566864662005</c:v>
                </c:pt>
                <c:pt idx="6">
                  <c:v>0.97967680576695637</c:v>
                </c:pt>
                <c:pt idx="7">
                  <c:v>0.97392789581583339</c:v>
                </c:pt>
                <c:pt idx="8">
                  <c:v>0.96716509623754765</c:v>
                </c:pt>
                <c:pt idx="9">
                  <c:v>0.95917311624726387</c:v>
                </c:pt>
                <c:pt idx="10">
                  <c:v>0.94966059360215016</c:v>
                </c:pt>
                <c:pt idx="11">
                  <c:v>0.93821937797721033</c:v>
                </c:pt>
                <c:pt idx="12">
                  <c:v>0.92425327861234552</c:v>
                </c:pt>
                <c:pt idx="13">
                  <c:v>0.90684744656527938</c:v>
                </c:pt>
                <c:pt idx="14">
                  <c:v>0.88451667787402954</c:v>
                </c:pt>
                <c:pt idx="15">
                  <c:v>0.85470837445853487</c:v>
                </c:pt>
                <c:pt idx="16">
                  <c:v>0.81283061625239261</c:v>
                </c:pt>
                <c:pt idx="17">
                  <c:v>0.75034380684715762</c:v>
                </c:pt>
                <c:pt idx="18">
                  <c:v>0.64976921130084964</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0.99789306599996375</c:v>
                </c:pt>
                <c:pt idx="2">
                  <c:v>0.99537168063367842</c:v>
                </c:pt>
                <c:pt idx="3">
                  <c:v>0.99237988884740147</c:v>
                </c:pt>
                <c:pt idx="4">
                  <c:v>0.98885035933294385</c:v>
                </c:pt>
                <c:pt idx="5">
                  <c:v>0.98470098810371876</c:v>
                </c:pt>
                <c:pt idx="6">
                  <c:v>0.97983010747358756</c:v>
                </c:pt>
                <c:pt idx="7">
                  <c:v>0.97410974924082494</c:v>
                </c:pt>
                <c:pt idx="8">
                  <c:v>0.96737560182921001</c:v>
                </c:pt>
                <c:pt idx="9">
                  <c:v>0.95941140450904627</c:v>
                </c:pt>
                <c:pt idx="10">
                  <c:v>0.94992431030601987</c:v>
                </c:pt>
                <c:pt idx="11">
                  <c:v>0.93850373262754094</c:v>
                </c:pt>
                <c:pt idx="12">
                  <c:v>0.92454964528615258</c:v>
                </c:pt>
                <c:pt idx="13">
                  <c:v>0.90714107179495906</c:v>
                </c:pt>
                <c:pt idx="14">
                  <c:v>0.88478410795358442</c:v>
                </c:pt>
                <c:pt idx="15">
                  <c:v>0.85491688203818483</c:v>
                </c:pt>
                <c:pt idx="16">
                  <c:v>0.81295123169048444</c:v>
                </c:pt>
                <c:pt idx="17">
                  <c:v>0.75038438523377871</c:v>
                </c:pt>
                <c:pt idx="18">
                  <c:v>0.64977481690370842</c:v>
                </c:pt>
                <c:pt idx="19">
                  <c:v>0.46490814669884761</c:v>
                </c:pt>
                <c:pt idx="20">
                  <c:v>0.40746159595838494</c:v>
                </c:pt>
                <c:pt idx="21">
                  <c:v>0.33808043570136642</c:v>
                </c:pt>
                <c:pt idx="22">
                  <c:v>0.2523639357740759</c:v>
                </c:pt>
                <c:pt idx="23">
                  <c:v>0.1433912494942329</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1.0112986096159524</c:v>
                </c:pt>
                <c:pt idx="2">
                  <c:v>1.0222054037481272</c:v>
                </c:pt>
                <c:pt idx="3">
                  <c:v>1.0326961359410609</c:v>
                </c:pt>
                <c:pt idx="4">
                  <c:v>1.0427392190536204</c:v>
                </c:pt>
                <c:pt idx="5">
                  <c:v>1.0522953745244874</c:v>
                </c:pt>
                <c:pt idx="6">
                  <c:v>1.0613171186879689</c:v>
                </c:pt>
                <c:pt idx="7">
                  <c:v>1.0697491860342756</c:v>
                </c:pt>
                <c:pt idx="8">
                  <c:v>1.0775296769678369</c:v>
                </c:pt>
                <c:pt idx="9">
                  <c:v>1.084593389548471</c:v>
                </c:pt>
                <c:pt idx="10">
                  <c:v>1.0908784352558614</c:v>
                </c:pt>
                <c:pt idx="11">
                  <c:v>1.0963363881604449</c:v>
                </c:pt>
                <c:pt idx="12">
                  <c:v>1.1009356659009153</c:v>
                </c:pt>
                <c:pt idx="13">
                  <c:v>1.1045910899302431</c:v>
                </c:pt>
                <c:pt idx="14">
                  <c:v>1.1067240183449485</c:v>
                </c:pt>
                <c:pt idx="15">
                  <c:v>0</c:v>
                </c:pt>
                <c:pt idx="16">
                  <c:v>0</c:v>
                </c:pt>
                <c:pt idx="17">
                  <c:v>0</c:v>
                </c:pt>
                <c:pt idx="18">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0.97769882610947667</c:v>
                </c:pt>
                <c:pt idx="2">
                  <c:v>0.95313400068404119</c:v>
                </c:pt>
                <c:pt idx="3">
                  <c:v>0.92608586209399102</c:v>
                </c:pt>
                <c:pt idx="4">
                  <c:v>0.89632717222323022</c:v>
                </c:pt>
                <c:pt idx="5">
                  <c:v>0.86363445613485001</c:v>
                </c:pt>
                <c:pt idx="6">
                  <c:v>0.82780276759861049</c:v>
                </c:pt>
                <c:pt idx="7">
                  <c:v>0.78867298702707789</c:v>
                </c:pt>
                <c:pt idx="8">
                  <c:v>0.74617464374592357</c:v>
                </c:pt>
                <c:pt idx="9">
                  <c:v>0.70040384382478971</c:v>
                </c:pt>
                <c:pt idx="10">
                  <c:v>0.65179573038998551</c:v>
                </c:pt>
                <c:pt idx="11">
                  <c:v>0.60162191090227546</c:v>
                </c:pt>
                <c:pt idx="12">
                  <c:v>0</c:v>
                </c:pt>
                <c:pt idx="1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1.0027756281775111</c:v>
                </c:pt>
                <c:pt idx="2">
                  <c:v>1.0045738425733204</c:v>
                </c:pt>
                <c:pt idx="3">
                  <c:v>1.0053207321185449</c:v>
                </c:pt>
                <c:pt idx="4">
                  <c:v>1.0049180870405912</c:v>
                </c:pt>
                <c:pt idx="5">
                  <c:v>1.0032382592258045</c:v>
                </c:pt>
                <c:pt idx="6">
                  <c:v>1.0001157844814981</c:v>
                </c:pt>
                <c:pt idx="7">
                  <c:v>0.99533591411020861</c:v>
                </c:pt>
                <c:pt idx="8">
                  <c:v>0.98861727680147471</c:v>
                </c:pt>
                <c:pt idx="9">
                  <c:v>0.9795857345771477</c:v>
                </c:pt>
                <c:pt idx="10">
                  <c:v>0.96773349518965968</c:v>
                </c:pt>
                <c:pt idx="11">
                  <c:v>0.95235264879402348</c:v>
                </c:pt>
                <c:pt idx="12">
                  <c:v>0.93242314659715342</c:v>
                </c:pt>
                <c:pt idx="13">
                  <c:v>0.90641390343058592</c:v>
                </c:pt>
                <c:pt idx="14">
                  <c:v>0.87191598655320002</c:v>
                </c:pt>
                <c:pt idx="15">
                  <c:v>0.82494442120374989</c:v>
                </c:pt>
                <c:pt idx="16">
                  <c:v>0.75862832480268994</c:v>
                </c:pt>
                <c:pt idx="17">
                  <c:v>0.66099970343096981</c:v>
                </c:pt>
                <c:pt idx="18">
                  <c:v>0.51239709132760769</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0.98920384481853063</c:v>
                </c:pt>
                <c:pt idx="2">
                  <c:v>0.97748815664141953</c:v>
                </c:pt>
                <c:pt idx="3">
                  <c:v>0.96470927868053213</c:v>
                </c:pt>
                <c:pt idx="4">
                  <c:v>0.95069080907202208</c:v>
                </c:pt>
                <c:pt idx="5">
                  <c:v>0.93521480978141025</c:v>
                </c:pt>
                <c:pt idx="6">
                  <c:v>0.91800809832753749</c:v>
                </c:pt>
                <c:pt idx="7">
                  <c:v>0.89872506293272125</c:v>
                </c:pt>
                <c:pt idx="8">
                  <c:v>0.87692355900321073</c:v>
                </c:pt>
                <c:pt idx="9">
                  <c:v>0.8520320572980975</c:v>
                </c:pt>
                <c:pt idx="10">
                  <c:v>0.82330643750659172</c:v>
                </c:pt>
                <c:pt idx="11">
                  <c:v>0.78977454392124402</c:v>
                </c:pt>
                <c:pt idx="12">
                  <c:v>0.75017171100251678</c:v>
                </c:pt>
                <c:pt idx="13">
                  <c:v>0.70288172583264152</c:v>
                </c:pt>
                <c:pt idx="14">
                  <c:v>0.64591908831988087</c:v>
                </c:pt>
                <c:pt idx="15">
                  <c:v>0.57702080254679045</c:v>
                </c:pt>
                <c:pt idx="16">
                  <c:v>0.49392835730684626</c:v>
                </c:pt>
                <c:pt idx="17">
                  <c:v>0.39486995897169774</c:v>
                </c:pt>
                <c:pt idx="18">
                  <c:v>0.27906819015296724</c:v>
                </c:pt>
                <c:pt idx="19">
                  <c:v>0.1469637825189794</c:v>
                </c:pt>
                <c:pt idx="20">
                  <c:v>0.11870113855164308</c:v>
                </c:pt>
                <c:pt idx="21">
                  <c:v>8.9857526296882803E-2</c:v>
                </c:pt>
                <c:pt idx="22">
                  <c:v>6.0448631543672506E-2</c:v>
                </c:pt>
                <c:pt idx="23">
                  <c:v>3.0490622187023645E-2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0.98812212735407079</c:v>
                </c:pt>
                <c:pt idx="2">
                  <c:v>0.97509074916931782</c:v>
                </c:pt>
                <c:pt idx="3">
                  <c:v>0.96070193341948407</c:v>
                </c:pt>
                <c:pt idx="4">
                  <c:v>0.94470151994452678</c:v>
                </c:pt>
                <c:pt idx="5">
                  <c:v>0.92677347032181268</c:v>
                </c:pt>
                <c:pt idx="6">
                  <c:v>0.90652073549800705</c:v>
                </c:pt>
                <c:pt idx="7">
                  <c:v>0.88344725270175462</c:v>
                </c:pt>
                <c:pt idx="8">
                  <c:v>0.8569383306438042</c:v>
                </c:pt>
                <c:pt idx="9">
                  <c:v>0.82625042352331945</c:v>
                </c:pt>
                <c:pt idx="10">
                  <c:v>0.7905274328413846</c:v>
                </c:pt>
                <c:pt idx="11">
                  <c:v>0.74887661342006406</c:v>
                </c:pt>
                <c:pt idx="12">
                  <c:v>0.70055122039960915</c:v>
                </c:pt>
                <c:pt idx="13">
                  <c:v>0.64527041341966085</c:v>
                </c:pt>
                <c:pt idx="14">
                  <c:v>0.58359068063464847</c:v>
                </c:pt>
                <c:pt idx="15">
                  <c:v>0.51698834120279658</c:v>
                </c:pt>
                <c:pt idx="16">
                  <c:v>0.44712897035204396</c:v>
                </c:pt>
                <c:pt idx="17">
                  <c:v>0.37423503473877034</c:v>
                </c:pt>
                <c:pt idx="18">
                  <c:v>0.29521699241933191</c:v>
                </c:pt>
                <c:pt idx="19">
                  <c:v>0.19941274059682706</c:v>
                </c:pt>
                <c:pt idx="20">
                  <c:v>0.1755406116196965</c:v>
                </c:pt>
                <c:pt idx="21">
                  <c:v>0.14854301012815282</c:v>
                </c:pt>
                <c:pt idx="22">
                  <c:v>0.11669576496327633</c:v>
                </c:pt>
                <c:pt idx="23">
                  <c:v>7.5948576952393321E-2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5.3826806255889689E-2</c:v>
                </c:pt>
                <c:pt idx="2">
                  <c:v>0.10643729405667772</c:v>
                </c:pt>
                <c:pt idx="3">
                  <c:v>0.16432981763103588</c:v>
                </c:pt>
                <c:pt idx="4">
                  <c:v>0.22841385697015329</c:v>
                </c:pt>
                <c:pt idx="5">
                  <c:v>0.29985141605384441</c:v>
                </c:pt>
                <c:pt idx="6">
                  <c:v>0.380161009186406</c:v>
                </c:pt>
                <c:pt idx="7">
                  <c:v>0.47137902607793886</c:v>
                </c:pt>
                <c:pt idx="8">
                  <c:v>0.57632190333126854</c:v>
                </c:pt>
                <c:pt idx="9">
                  <c:v>0.69902529991275597</c:v>
                </c:pt>
                <c:pt idx="10">
                  <c:v>0.84552044741147214</c:v>
                </c:pt>
                <c:pt idx="11">
                  <c:v>1.0252769651161187</c:v>
                </c:pt>
                <c:pt idx="12">
                  <c:v>1.254061413060811</c:v>
                </c:pt>
                <c:pt idx="13">
                  <c:v>1.5600266144421695</c:v>
                </c:pt>
                <c:pt idx="14">
                  <c:v>1.9977427031002679</c:v>
                </c:pt>
                <c:pt idx="15">
                  <c:v>2.6832905951016759</c:v>
                </c:pt>
                <c:pt idx="16">
                  <c:v>3.8884238726982976</c:v>
                </c:pt>
                <c:pt idx="17">
                  <c:v>6.3171649316262384</c:v>
                </c:pt>
                <c:pt idx="18">
                  <c:v>12.166820328183054</c:v>
                </c:pt>
                <c:pt idx="19">
                  <c:v>32.335691511161919</c:v>
                </c:pt>
                <c:pt idx="20">
                  <c:v>42.531624712359729</c:v>
                </c:pt>
                <c:pt idx="21">
                  <c:v>58.794677975776672</c:v>
                </c:pt>
                <c:pt idx="22">
                  <c:v>87.63150708207435</c:v>
                </c:pt>
                <c:pt idx="23">
                  <c:v>148.55324279396211</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5.733192406430266E-2</c:v>
                </c:pt>
                <c:pt idx="2">
                  <c:v>0.1137669530427904</c:v>
                </c:pt>
                <c:pt idx="3">
                  <c:v>0.17584594695567424</c:v>
                </c:pt>
                <c:pt idx="4">
                  <c:v>0.24453290981002296</c:v>
                </c:pt>
                <c:pt idx="5">
                  <c:v>0.32105575718883911</c:v>
                </c:pt>
                <c:pt idx="6">
                  <c:v>0.40702950664873838</c:v>
                </c:pt>
                <c:pt idx="7">
                  <c:v>0.5046192110370975</c:v>
                </c:pt>
                <c:pt idx="8">
                  <c:v>0.61683247406449304</c:v>
                </c:pt>
                <c:pt idx="9">
                  <c:v>0.74800251854177291</c:v>
                </c:pt>
                <c:pt idx="10">
                  <c:v>0.90464901434183687</c:v>
                </c:pt>
                <c:pt idx="11">
                  <c:v>1.0970947848260506</c:v>
                </c:pt>
                <c:pt idx="12">
                  <c:v>1.3427030230503485</c:v>
                </c:pt>
                <c:pt idx="13">
                  <c:v>1.672849159741602</c:v>
                </c:pt>
                <c:pt idx="14">
                  <c:v>2.1492052460687172</c:v>
                </c:pt>
                <c:pt idx="15">
                  <c:v>2.9049054757331763</c:v>
                </c:pt>
                <c:pt idx="16">
                  <c:v>4.2554916822806765</c:v>
                </c:pt>
                <c:pt idx="17">
                  <c:v>7.0232993510271635</c:v>
                </c:pt>
                <c:pt idx="18">
                  <c:v>13.785729914213345</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5.5723088998547082E-2</c:v>
                </c:pt>
                <c:pt idx="2">
                  <c:v>0.11042248398172445</c:v>
                </c:pt>
                <c:pt idx="3">
                  <c:v>0.17063098825914153</c:v>
                </c:pt>
                <c:pt idx="4">
                  <c:v>0.23730376789910101</c:v>
                </c:pt>
                <c:pt idx="5">
                  <c:v>0.31166548537448158</c:v>
                </c:pt>
                <c:pt idx="6">
                  <c:v>0.39532346163037296</c:v>
                </c:pt>
                <c:pt idx="7">
                  <c:v>0.49044459607027058</c:v>
                </c:pt>
                <c:pt idx="8">
                  <c:v>0.60004458433545649</c:v>
                </c:pt>
                <c:pt idx="9">
                  <c:v>0.72847702789119162</c:v>
                </c:pt>
                <c:pt idx="10">
                  <c:v>0.88230447282099778</c:v>
                </c:pt>
                <c:pt idx="11">
                  <c:v>1.0719344245451174</c:v>
                </c:pt>
                <c:pt idx="12">
                  <c:v>1.3148984765241982</c:v>
                </c:pt>
                <c:pt idx="13">
                  <c:v>1.6429156014845263</c:v>
                </c:pt>
                <c:pt idx="14">
                  <c:v>2.1183706363064818</c:v>
                </c:pt>
                <c:pt idx="15">
                  <c:v>2.8757641760284707</c:v>
                </c:pt>
                <c:pt idx="16">
                  <c:v>4.232414068593239</c:v>
                </c:pt>
                <c:pt idx="17">
                  <c:v>7.0101485081741179</c:v>
                </c:pt>
                <c:pt idx="18">
                  <c:v>13.78125186245124</c:v>
                </c:pt>
                <c:pt idx="19">
                  <c:v>37.302173316757795</c:v>
                </c:pt>
                <c:pt idx="20">
                  <c:v>49.110569423839529</c:v>
                </c:pt>
                <c:pt idx="21">
                  <c:v>67.693674190408998</c:v>
                </c:pt>
                <c:pt idx="22">
                  <c:v>99.705947158431087</c:v>
                </c:pt>
                <c:pt idx="23">
                  <c:v>163.02977805445803</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6.1597304985443399E-2</c:v>
                </c:pt>
                <c:pt idx="2">
                  <c:v>0.12297823845261331</c:v>
                </c:pt>
                <c:pt idx="3">
                  <c:v>0.19095671533868494</c:v>
                </c:pt>
                <c:pt idx="4">
                  <c:v>0.26689491797427473</c:v>
                </c:pt>
                <c:pt idx="5">
                  <c:v>0.35261927921098285</c:v>
                </c:pt>
                <c:pt idx="6">
                  <c:v>0.45065051843234394</c:v>
                </c:pt>
                <c:pt idx="7">
                  <c:v>0.56458483105756718</c:v>
                </c:pt>
                <c:pt idx="8">
                  <c:v>0.69975388717807263</c:v>
                </c:pt>
                <c:pt idx="9">
                  <c:v>0.86442640471117937</c:v>
                </c:pt>
                <c:pt idx="10">
                  <c:v>1.0721274838250701</c:v>
                </c:pt>
                <c:pt idx="11">
                  <c:v>1.3464168235284113</c:v>
                </c:pt>
                <c:pt idx="12">
                  <c:v>1.7314238009485905</c:v>
                </c:pt>
                <c:pt idx="13">
                  <c:v>2.3164321946024451</c:v>
                </c:pt>
                <c:pt idx="14">
                  <c:v>3.2941242984046712</c:v>
                </c:pt>
                <c:pt idx="15">
                  <c:v>0</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3.5321047603244171E-2</c:v>
                </c:pt>
                <c:pt idx="2">
                  <c:v>6.5893470162731144E-2</c:v>
                </c:pt>
                <c:pt idx="3">
                  <c:v>9.7399810094390804E-2</c:v>
                </c:pt>
                <c:pt idx="4">
                  <c:v>0.12970297565016586</c:v>
                </c:pt>
                <c:pt idx="5">
                  <c:v>0.16260658055301122</c:v>
                </c:pt>
                <c:pt idx="6">
                  <c:v>0.1958396776508709</c:v>
                </c:pt>
                <c:pt idx="7">
                  <c:v>0.22904087415042632</c:v>
                </c:pt>
                <c:pt idx="8">
                  <c:v>0.26173496471689095</c:v>
                </c:pt>
                <c:pt idx="9">
                  <c:v>0.29329058291344895</c:v>
                </c:pt>
                <c:pt idx="10">
                  <c:v>0.32281544199785661</c:v>
                </c:pt>
                <c:pt idx="11">
                  <c:v>0.34878813634059186</c:v>
                </c:pt>
                <c:pt idx="12">
                  <c:v>0</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6.1692434892421988E-2</c:v>
                </c:pt>
                <c:pt idx="2">
                  <c:v>0.12244159806063513</c:v>
                </c:pt>
                <c:pt idx="3">
                  <c:v>0.18877164195265397</c:v>
                </c:pt>
                <c:pt idx="4">
                  <c:v>0.26161832174956012</c:v>
                </c:pt>
                <c:pt idx="5">
                  <c:v>0.34216561729218048</c:v>
                </c:pt>
                <c:pt idx="6">
                  <c:v>0.4319494489535422</c:v>
                </c:pt>
                <c:pt idx="7">
                  <c:v>0.53301192704299349</c:v>
                </c:pt>
                <c:pt idx="8">
                  <c:v>0.64814794055571545</c:v>
                </c:pt>
                <c:pt idx="9">
                  <c:v>0.78130786476492908</c:v>
                </c:pt>
                <c:pt idx="10">
                  <c:v>0.93828320210320515</c:v>
                </c:pt>
                <c:pt idx="11">
                  <c:v>1.1279187643426889</c:v>
                </c:pt>
                <c:pt idx="12">
                  <c:v>1.3643588651128182</c:v>
                </c:pt>
                <c:pt idx="13">
                  <c:v>1.671381869689512</c:v>
                </c:pt>
                <c:pt idx="14">
                  <c:v>2.0910386981846805</c:v>
                </c:pt>
                <c:pt idx="15">
                  <c:v>2.7006940334751128</c:v>
                </c:pt>
                <c:pt idx="16">
                  <c:v>3.6426014450345385</c:v>
                </c:pt>
                <c:pt idx="17">
                  <c:v>5.1512404591900003</c:v>
                </c:pt>
                <c:pt idx="18">
                  <c:v>7.4618729343776664</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4.7297706922975379E-2</c:v>
                </c:pt>
                <c:pt idx="2">
                  <c:v>9.1852978935893365E-2</c:v>
                </c:pt>
                <c:pt idx="3">
                  <c:v>0.13973560805567337</c:v>
                </c:pt>
                <c:pt idx="4">
                  <c:v>0.19127117220039824</c:v>
                </c:pt>
                <c:pt idx="5">
                  <c:v>0.24681432654652222</c:v>
                </c:pt>
                <c:pt idx="6">
                  <c:v>0.30674225424817358</c:v>
                </c:pt>
                <c:pt idx="7">
                  <c:v>0.37145074456193977</c:v>
                </c:pt>
                <c:pt idx="8">
                  <c:v>0.44134807549639032</c:v>
                </c:pt>
                <c:pt idx="9">
                  <c:v>0.51686768243953551</c:v>
                </c:pt>
                <c:pt idx="10">
                  <c:v>0.59854324576196116</c:v>
                </c:pt>
                <c:pt idx="11">
                  <c:v>0.68728090730395208</c:v>
                </c:pt>
                <c:pt idx="12">
                  <c:v>0.78516066108492111</c:v>
                </c:pt>
                <c:pt idx="13">
                  <c:v>0.89755259383625641</c:v>
                </c:pt>
                <c:pt idx="14">
                  <c:v>1.0383004761332535</c:v>
                </c:pt>
                <c:pt idx="15">
                  <c:v>1.2422650733012184</c:v>
                </c:pt>
                <c:pt idx="16">
                  <c:v>1.5992785084218379</c:v>
                </c:pt>
                <c:pt idx="17">
                  <c:v>2.3708065380718661</c:v>
                </c:pt>
                <c:pt idx="18">
                  <c:v>4.5132420941802227</c:v>
                </c:pt>
                <c:pt idx="19">
                  <c:v>13.683962883183757</c:v>
                </c:pt>
                <c:pt idx="20">
                  <c:v>19.150493259920101</c:v>
                </c:pt>
                <c:pt idx="21">
                  <c:v>29.063021172417937</c:v>
                </c:pt>
                <c:pt idx="22">
                  <c:v>50.843486073567533</c:v>
                </c:pt>
                <c:pt idx="23">
                  <c:v>123.54395776478378</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4.8832483530291716E-2</c:v>
                </c:pt>
                <c:pt idx="2">
                  <c:v>9.5472642043200717E-2</c:v>
                </c:pt>
                <c:pt idx="3">
                  <c:v>0.14615764861661035</c:v>
                </c:pt>
                <c:pt idx="4">
                  <c:v>0.20144065267200961</c:v>
                </c:pt>
                <c:pt idx="5">
                  <c:v>0.26198456178306145</c:v>
                </c:pt>
                <c:pt idx="6">
                  <c:v>0.32859065692880468</c:v>
                </c:pt>
                <c:pt idx="7">
                  <c:v>0.40223565063034261</c:v>
                </c:pt>
                <c:pt idx="8">
                  <c:v>0.4841180996450446</c:v>
                </c:pt>
                <c:pt idx="9">
                  <c:v>0.5757166554066</c:v>
                </c:pt>
                <c:pt idx="10">
                  <c:v>0.67885453570643106</c:v>
                </c:pt>
                <c:pt idx="11">
                  <c:v>0.79576097980694416</c:v>
                </c:pt>
                <c:pt idx="12">
                  <c:v>0.92909727843248024</c:v>
                </c:pt>
                <c:pt idx="13">
                  <c:v>1.0818816454146589</c:v>
                </c:pt>
                <c:pt idx="14">
                  <c:v>1.2571948221785134</c:v>
                </c:pt>
                <c:pt idx="15">
                  <c:v>1.457522735782748</c:v>
                </c:pt>
                <c:pt idx="16">
                  <c:v>1.6836983144931683</c:v>
                </c:pt>
                <c:pt idx="17">
                  <c:v>1.9337772790759795</c:v>
                </c:pt>
                <c:pt idx="18">
                  <c:v>2.2026168027899713</c:v>
                </c:pt>
                <c:pt idx="19">
                  <c:v>2.4827747679293974</c:v>
                </c:pt>
                <c:pt idx="20">
                  <c:v>2.5394563105798564</c:v>
                </c:pt>
                <c:pt idx="21">
                  <c:v>2.5962108075547436</c:v>
                </c:pt>
                <c:pt idx="22">
                  <c:v>2.652981269074798</c:v>
                </c:pt>
                <c:pt idx="23">
                  <c:v>2.7097135861331729</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1.0014892437601794</c:v>
                </c:pt>
                <c:pt idx="2">
                  <c:v>1.0028499743539647</c:v>
                </c:pt>
                <c:pt idx="3">
                  <c:v>1.0040618665746357</c:v>
                </c:pt>
                <c:pt idx="4">
                  <c:v>1.0051001757207918</c:v>
                </c:pt>
                <c:pt idx="5">
                  <c:v>1.0059344170879259</c:v>
                </c:pt>
                <c:pt idx="6">
                  <c:v>1.0065265708275997</c:v>
                </c:pt>
                <c:pt idx="7">
                  <c:v>1.0068287335935222</c:v>
                </c:pt>
                <c:pt idx="8">
                  <c:v>1.0067797476665905</c:v>
                </c:pt>
                <c:pt idx="9">
                  <c:v>1.0063001414127226</c:v>
                </c:pt>
                <c:pt idx="10">
                  <c:v>1.0052846598843939</c:v>
                </c:pt>
                <c:pt idx="11">
                  <c:v>1.0035902449845593</c:v>
                </c:pt>
                <c:pt idx="12">
                  <c:v>1.0010155610625682</c:v>
                </c:pt>
                <c:pt idx="13">
                  <c:v>0.99726269462716743</c:v>
                </c:pt>
                <c:pt idx="14">
                  <c:v>0.99185498695930274</c:v>
                </c:pt>
                <c:pt idx="15">
                  <c:v>0.98393064661281937</c:v>
                </c:pt>
                <c:pt idx="16">
                  <c:v>0.97163532765092353</c:v>
                </c:pt>
                <c:pt idx="17">
                  <c:v>0.95020840180557387</c:v>
                </c:pt>
                <c:pt idx="18">
                  <c:v>0.90570434539433009</c:v>
                </c:pt>
                <c:pt idx="19">
                  <c:v>0.78471873222316124</c:v>
                </c:pt>
                <c:pt idx="20">
                  <c:v>0.73436909530907679</c:v>
                </c:pt>
                <c:pt idx="21">
                  <c:v>0.66310775460601767</c:v>
                </c:pt>
                <c:pt idx="22">
                  <c:v>0.5551795365174611</c:v>
                </c:pt>
                <c:pt idx="23">
                  <c:v>0.37323662067754088</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1.001567034752975</c:v>
                </c:pt>
                <c:pt idx="2">
                  <c:v>1.0030107974495426</c:v>
                </c:pt>
                <c:pt idx="3">
                  <c:v>1.0043116458078927</c:v>
                </c:pt>
                <c:pt idx="4">
                  <c:v>1.0054456721622214</c:v>
                </c:pt>
                <c:pt idx="5">
                  <c:v>1.0063830980512232</c:v>
                </c:pt>
                <c:pt idx="6">
                  <c:v>1.0070872107957511</c:v>
                </c:pt>
                <c:pt idx="7">
                  <c:v>1.007511552289738</c:v>
                </c:pt>
                <c:pt idx="8">
                  <c:v>1.0075969188072231</c:v>
                </c:pt>
                <c:pt idx="9">
                  <c:v>1.0072667859928011</c:v>
                </c:pt>
                <c:pt idx="10">
                  <c:v>1.0064203452792431</c:v>
                </c:pt>
                <c:pt idx="11">
                  <c:v>1.0049218742311521</c:v>
                </c:pt>
                <c:pt idx="12">
                  <c:v>1.0025828450324712</c:v>
                </c:pt>
                <c:pt idx="13">
                  <c:v>0.99912893141038384</c:v>
                </c:pt>
                <c:pt idx="14">
                  <c:v>0.99412849546554105</c:v>
                </c:pt>
                <c:pt idx="15">
                  <c:v>0.98680485083191016</c:v>
                </c:pt>
                <c:pt idx="16">
                  <c:v>0.97544585526747551</c:v>
                </c:pt>
                <c:pt idx="17">
                  <c:v>0.95546058059037842</c:v>
                </c:pt>
                <c:pt idx="18">
                  <c:v>0.9130078742683454</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1.0015536185783145</c:v>
                </c:pt>
                <c:pt idx="2">
                  <c:v>1.002982836201717</c:v>
                </c:pt>
                <c:pt idx="3">
                  <c:v>1.0042678304933976</c:v>
                </c:pt>
                <c:pt idx="4">
                  <c:v>1.0053844900117321</c:v>
                </c:pt>
                <c:pt idx="5">
                  <c:v>1.0063031443953085</c:v>
                </c:pt>
                <c:pt idx="6">
                  <c:v>1.0069868615666737</c:v>
                </c:pt>
                <c:pt idx="7">
                  <c:v>1.007389260065791</c:v>
                </c:pt>
                <c:pt idx="8">
                  <c:v>1.0074514122861233</c:v>
                </c:pt>
                <c:pt idx="9">
                  <c:v>1.0070972691597562</c:v>
                </c:pt>
                <c:pt idx="10">
                  <c:v>1.0062270586819881</c:v>
                </c:pt>
                <c:pt idx="11">
                  <c:v>1.0047069059903433</c:v>
                </c:pt>
                <c:pt idx="12">
                  <c:v>1.0023515437362793</c:v>
                </c:pt>
                <c:pt idx="13">
                  <c:v>0.99889207302335259</c:v>
                </c:pt>
                <c:pt idx="14">
                  <c:v>0.99390543905196715</c:v>
                </c:pt>
                <c:pt idx="15">
                  <c:v>0.98662496662611898</c:v>
                </c:pt>
                <c:pt idx="16">
                  <c:v>0.97533832914294027</c:v>
                </c:pt>
                <c:pt idx="17">
                  <c:v>0.95542324577859283</c:v>
                </c:pt>
                <c:pt idx="18">
                  <c:v>0.91300258799571266</c:v>
                </c:pt>
                <c:pt idx="19">
                  <c:v>0.79404438108507325</c:v>
                </c:pt>
                <c:pt idx="20">
                  <c:v>0.74362340598645027</c:v>
                </c:pt>
                <c:pt idx="21">
                  <c:v>0.67168055131897919</c:v>
                </c:pt>
                <c:pt idx="22">
                  <c:v>0.56189921178520574</c:v>
                </c:pt>
                <c:pt idx="23">
                  <c:v>0.37615670671547646</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1.0158432711076204</c:v>
                </c:pt>
                <c:pt idx="2">
                  <c:v>1.0317709457133857</c:v>
                </c:pt>
                <c:pt idx="3">
                  <c:v>1.0478238411416312</c:v>
                </c:pt>
                <c:pt idx="4">
                  <c:v>1.0640513321208618</c:v>
                </c:pt>
                <c:pt idx="5">
                  <c:v>1.0805171311715118</c:v>
                </c:pt>
                <c:pt idx="6">
                  <c:v>1.0973082321052452</c:v>
                </c:pt>
                <c:pt idx="7">
                  <c:v>1.1145504033270597</c:v>
                </c:pt>
                <c:pt idx="8">
                  <c:v>1.1324341732665788</c:v>
                </c:pt>
                <c:pt idx="9">
                  <c:v>1.1512608993152726</c:v>
                </c:pt>
                <c:pt idx="10">
                  <c:v>1.1715260932497844</c:v>
                </c:pt>
                <c:pt idx="11">
                  <c:v>1.194073268361272</c:v>
                </c:pt>
                <c:pt idx="12">
                  <c:v>1.2203744809908907</c:v>
                </c:pt>
                <c:pt idx="13">
                  <c:v>1.2529849575657219</c:v>
                </c:pt>
                <c:pt idx="14">
                  <c:v>1.2959517358064956</c:v>
                </c:pt>
                <c:pt idx="15">
                  <c:v>0</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0.97979417347181397</c:v>
                </c:pt>
                <c:pt idx="2">
                  <c:v>0.95726020175248594</c:v>
                </c:pt>
                <c:pt idx="3">
                  <c:v>0.93215043533526776</c:v>
                </c:pt>
                <c:pt idx="4">
                  <c:v>0.90420556649622308</c:v>
                </c:pt>
                <c:pt idx="5">
                  <c:v>0.87316654748984845</c:v>
                </c:pt>
                <c:pt idx="6">
                  <c:v>0.83879048915723453</c:v>
                </c:pt>
                <c:pt idx="7">
                  <c:v>0.80088042497973144</c:v>
                </c:pt>
                <c:pt idx="8">
                  <c:v>0.75933240498967092</c:v>
                </c:pt>
                <c:pt idx="9">
                  <c:v>0.7142211487514275</c:v>
                </c:pt>
                <c:pt idx="10">
                  <c:v>0.66598850028474732</c:v>
                </c:pt>
                <c:pt idx="11">
                  <c:v>0.61598340122840267</c:v>
                </c:pt>
                <c:pt idx="12">
                  <c:v>0</c:v>
                </c:pt>
                <c:pt idx="13">
                  <c:v>0</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1.0068470227143056</c:v>
                </c:pt>
                <c:pt idx="2">
                  <c:v>1.0130306531830959</c:v>
                </c:pt>
                <c:pt idx="3">
                  <c:v>1.0185074175553797</c:v>
                </c:pt>
                <c:pt idx="4">
                  <c:v>1.0232143941569181</c:v>
                </c:pt>
                <c:pt idx="5">
                  <c:v>1.027065174742704</c:v>
                </c:pt>
                <c:pt idx="6">
                  <c:v>1.0299430599648203</c:v>
                </c:pt>
                <c:pt idx="7">
                  <c:v>1.0316917192847137</c:v>
                </c:pt>
                <c:pt idx="8">
                  <c:v>1.0321009001985404</c:v>
                </c:pt>
                <c:pt idx="9">
                  <c:v>1.0308845727851996</c:v>
                </c:pt>
                <c:pt idx="10">
                  <c:v>1.0276461131163521</c:v>
                </c:pt>
                <c:pt idx="11">
                  <c:v>1.0218198965620235</c:v>
                </c:pt>
                <c:pt idx="12">
                  <c:v>1.0125680804509323</c:v>
                </c:pt>
                <c:pt idx="13">
                  <c:v>0.99858397453408587</c:v>
                </c:pt>
                <c:pt idx="14">
                  <c:v>0.97768884089592256</c:v>
                </c:pt>
                <c:pt idx="15">
                  <c:v>0.94593861470507079</c:v>
                </c:pt>
                <c:pt idx="16">
                  <c:v>0.89555682552656324</c:v>
                </c:pt>
                <c:pt idx="17">
                  <c:v>0.81034951722977877</c:v>
                </c:pt>
                <c:pt idx="18">
                  <c:v>0.6576332458570241</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0.99648336978545804</c:v>
                </c:pt>
                <c:pt idx="2">
                  <c:v>0.9922511093291434</c:v>
                </c:pt>
                <c:pt idx="3">
                  <c:v>0.98716517588304764</c:v>
                </c:pt>
                <c:pt idx="4">
                  <c:v>0.98105111868177886</c:v>
                </c:pt>
                <c:pt idx="5">
                  <c:v>0.97368718605039151</c:v>
                </c:pt>
                <c:pt idx="6">
                  <c:v>0.96478707846021594</c:v>
                </c:pt>
                <c:pt idx="7">
                  <c:v>0.95397750442197327</c:v>
                </c:pt>
                <c:pt idx="8">
                  <c:v>0.94076583910406786</c:v>
                </c:pt>
                <c:pt idx="9">
                  <c:v>0.92449405758325631</c:v>
                </c:pt>
                <c:pt idx="10">
                  <c:v>0.90427527442354794</c:v>
                </c:pt>
                <c:pt idx="11">
                  <c:v>0.87890607060072468</c:v>
                </c:pt>
                <c:pt idx="12">
                  <c:v>0.84675339771162683</c:v>
                </c:pt>
                <c:pt idx="13">
                  <c:v>0.80562554565884903</c:v>
                </c:pt>
                <c:pt idx="14">
                  <c:v>0.75266609450377775</c:v>
                </c:pt>
                <c:pt idx="15">
                  <c:v>0.68436314923490771</c:v>
                </c:pt>
                <c:pt idx="16">
                  <c:v>0.59681663449013933</c:v>
                </c:pt>
                <c:pt idx="17">
                  <c:v>0.48636119600054867</c:v>
                </c:pt>
                <c:pt idx="18">
                  <c:v>0.35040048428231674</c:v>
                </c:pt>
                <c:pt idx="19">
                  <c:v>0.18801927521404083</c:v>
                </c:pt>
                <c:pt idx="20">
                  <c:v>0.15241625125559993</c:v>
                </c:pt>
                <c:pt idx="21">
                  <c:v>0.11579712760715169</c:v>
                </c:pt>
                <c:pt idx="22">
                  <c:v>7.8176873188120027E-2</c:v>
                </c:pt>
                <c:pt idx="23">
                  <c:v>3.9571931436339094E-2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1.0124980892478193</c:v>
                </c:pt>
                <c:pt idx="2">
                  <c:v>1.0251546785014567</c:v>
                </c:pt>
                <c:pt idx="3">
                  <c:v>1.0379877770442663</c:v>
                </c:pt>
                <c:pt idx="4">
                  <c:v>1.0510189340519107</c:v>
                </c:pt>
                <c:pt idx="5">
                  <c:v>1.0642744181767649</c:v>
                </c:pt>
                <c:pt idx="6">
                  <c:v>1.07778735996677</c:v>
                </c:pt>
                <c:pt idx="7">
                  <c:v>1.0916014014529674</c:v>
                </c:pt>
                <c:pt idx="8">
                  <c:v>1.1057767378530687</c:v>
                </c:pt>
                <c:pt idx="9">
                  <c:v>1.1204010019656783</c:v>
                </c:pt>
                <c:pt idx="10">
                  <c:v>1.1356087263211057</c:v>
                </c:pt>
                <c:pt idx="11">
                  <c:v>1.1516176207933333</c:v>
                </c:pt>
                <c:pt idx="12">
                  <c:v>1.1687976182591262</c:v>
                </c:pt>
                <c:pt idx="13">
                  <c:v>1.1878043950808217</c:v>
                </c:pt>
                <c:pt idx="14">
                  <c:v>1.2098315558882269</c:v>
                </c:pt>
                <c:pt idx="15">
                  <c:v>1.2370257223779131</c:v>
                </c:pt>
                <c:pt idx="16">
                  <c:v>1.2728055922737609</c:v>
                </c:pt>
                <c:pt idx="17">
                  <c:v>1.3205982396362841</c:v>
                </c:pt>
                <c:pt idx="18">
                  <c:v>1.3775930474116729</c:v>
                </c:pt>
                <c:pt idx="19">
                  <c:v>1.4010314785956959</c:v>
                </c:pt>
                <c:pt idx="20">
                  <c:v>1.3803509467462782</c:v>
                </c:pt>
                <c:pt idx="21">
                  <c:v>1.3301193633507016</c:v>
                </c:pt>
                <c:pt idx="22">
                  <c:v>1.2149901355242709</c:v>
                </c:pt>
                <c:pt idx="23">
                  <c:v>0.92934824064924215</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1.0017313006985811</c:v>
                </c:pt>
                <c:pt idx="2">
                  <c:v>1.0033513299309105</c:v>
                </c:pt>
                <c:pt idx="3">
                  <c:v>1.004842054176442</c:v>
                </c:pt>
                <c:pt idx="4">
                  <c:v>1.0061814191961547</c:v>
                </c:pt>
                <c:pt idx="5">
                  <c:v>1.0073417509158931</c:v>
                </c:pt>
                <c:pt idx="6">
                  <c:v>1.0082886810303413</c:v>
                </c:pt>
                <c:pt idx="7">
                  <c:v>1.0089782338071904</c:v>
                </c:pt>
                <c:pt idx="8">
                  <c:v>1.0093536205108813</c:v>
                </c:pt>
                <c:pt idx="9">
                  <c:v>1.0093401920820411</c:v>
                </c:pt>
                <c:pt idx="10">
                  <c:v>1.0088375118803203</c:v>
                </c:pt>
                <c:pt idx="11">
                  <c:v>1.0077067760201097</c:v>
                </c:pt>
                <c:pt idx="12">
                  <c:v>1.0057490292900586</c:v>
                </c:pt>
                <c:pt idx="13">
                  <c:v>1.0026645139238175</c:v>
                </c:pt>
                <c:pt idx="14">
                  <c:v>0.99796700461552545</c:v>
                </c:pt>
                <c:pt idx="15">
                  <c:v>0.99077549910067853</c:v>
                </c:pt>
                <c:pt idx="16">
                  <c:v>0.97922123908389136</c:v>
                </c:pt>
                <c:pt idx="17">
                  <c:v>0.95860443392073547</c:v>
                </c:pt>
                <c:pt idx="18">
                  <c:v>0.91521875796801355</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1.0017299096800794</c:v>
                </c:pt>
                <c:pt idx="2">
                  <c:v>1.0033474695452518</c:v>
                </c:pt>
                <c:pt idx="3">
                  <c:v>1.0048344662010082</c:v>
                </c:pt>
                <c:pt idx="4">
                  <c:v>1.0061686222995172</c:v>
                </c:pt>
                <c:pt idx="5">
                  <c:v>1.0073223302803613</c:v>
                </c:pt>
                <c:pt idx="6">
                  <c:v>1.008260914517519</c:v>
                </c:pt>
                <c:pt idx="7">
                  <c:v>1.0089403340693055</c:v>
                </c:pt>
                <c:pt idx="8">
                  <c:v>1.0093038383433366</c:v>
                </c:pt>
                <c:pt idx="9">
                  <c:v>1.0092768765896447</c:v>
                </c:pt>
                <c:pt idx="10">
                  <c:v>1.008759452825138</c:v>
                </c:pt>
                <c:pt idx="11">
                  <c:v>1.0076136769613877</c:v>
                </c:pt>
                <c:pt idx="12">
                  <c:v>1.005642391372612</c:v>
                </c:pt>
                <c:pt idx="13">
                  <c:v>1.0025490161701056</c:v>
                </c:pt>
                <c:pt idx="14">
                  <c:v>0.99785270987387908</c:v>
                </c:pt>
                <c:pt idx="15">
                  <c:v>0.99067932623908161</c:v>
                </c:pt>
                <c:pt idx="16">
                  <c:v>0.97916188106929314</c:v>
                </c:pt>
                <c:pt idx="17">
                  <c:v>0.95858358345455419</c:v>
                </c:pt>
                <c:pt idx="18">
                  <c:v>0.91521594037777299</c:v>
                </c:pt>
                <c:pt idx="19">
                  <c:v>0.7953548675959845</c:v>
                </c:pt>
                <c:pt idx="20">
                  <c:v>0.74478251757951708</c:v>
                </c:pt>
                <c:pt idx="21">
                  <c:v>0.67269502251472513</c:v>
                </c:pt>
                <c:pt idx="22">
                  <c:v>0.56275793300183774</c:v>
                </c:pt>
                <c:pt idx="23">
                  <c:v>0.37678058796932051</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1.0161310520795177</c:v>
                </c:pt>
                <c:pt idx="2">
                  <c:v>1.0323690302053272</c:v>
                </c:pt>
                <c:pt idx="3">
                  <c:v>1.04875750638062</c:v>
                </c:pt>
                <c:pt idx="4">
                  <c:v>1.0653488054910747</c:v>
                </c:pt>
                <c:pt idx="5">
                  <c:v>1.0822096342594556</c:v>
                </c:pt>
                <c:pt idx="6">
                  <c:v>1.0994297506245658</c:v>
                </c:pt>
                <c:pt idx="7">
                  <c:v>1.1171369141303404</c:v>
                </c:pt>
                <c:pt idx="8">
                  <c:v>1.1355218591523928</c:v>
                </c:pt>
                <c:pt idx="9">
                  <c:v>1.1548824661099735</c:v>
                </c:pt>
                <c:pt idx="10">
                  <c:v>1.1757034846360617</c:v>
                </c:pt>
                <c:pt idx="11">
                  <c:v>1.1988035272595181</c:v>
                </c:pt>
                <c:pt idx="12">
                  <c:v>1.2256029871314877</c:v>
                </c:pt>
                <c:pt idx="13">
                  <c:v>1.2585589129709425</c:v>
                </c:pt>
                <c:pt idx="14">
                  <c:v>1.3015616198692332</c:v>
                </c:pt>
                <c:pt idx="15">
                  <c:v>0</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0.9798900921525342</c:v>
                </c:pt>
                <c:pt idx="2">
                  <c:v>0.95744545841287187</c:v>
                </c:pt>
                <c:pt idx="3">
                  <c:v>0.93241733470748478</c:v>
                </c:pt>
                <c:pt idx="4">
                  <c:v>0.90454527744499824</c:v>
                </c:pt>
                <c:pt idx="5">
                  <c:v>0.87356917067567186</c:v>
                </c:pt>
                <c:pt idx="6">
                  <c:v>0.83924529548427185</c:v>
                </c:pt>
                <c:pt idx="7">
                  <c:v>0.80137636414023916</c:v>
                </c:pt>
                <c:pt idx="8">
                  <c:v>0.7598591204962083</c:v>
                </c:pt>
                <c:pt idx="9">
                  <c:v>0.71477100738587862</c:v>
                </c:pt>
                <c:pt idx="10">
                  <c:v>0.66656108125092006</c:v>
                </c:pt>
                <c:pt idx="11">
                  <c:v>0.61659795139388307</c:v>
                </c:pt>
                <c:pt idx="12">
                  <c:v>0</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1.0070354335673408</c:v>
                </c:pt>
                <c:pt idx="2">
                  <c:v>1.0134191286182765</c:v>
                </c:pt>
                <c:pt idx="3">
                  <c:v>1.019108979149097</c:v>
                </c:pt>
                <c:pt idx="4">
                  <c:v>1.0240435457068162</c:v>
                </c:pt>
                <c:pt idx="5">
                  <c:v>1.0281379209570345</c:v>
                </c:pt>
                <c:pt idx="6">
                  <c:v>1.0312768550623821</c:v>
                </c:pt>
                <c:pt idx="7">
                  <c:v>1.0333051947361402</c:v>
                </c:pt>
                <c:pt idx="8">
                  <c:v>1.0340132334701722</c:v>
                </c:pt>
                <c:pt idx="9">
                  <c:v>1.033114207699795</c:v>
                </c:pt>
                <c:pt idx="10">
                  <c:v>1.0302083493747154</c:v>
                </c:pt>
                <c:pt idx="11">
                  <c:v>1.0247225075447455</c:v>
                </c:pt>
                <c:pt idx="12">
                  <c:v>1.0158035233525617</c:v>
                </c:pt>
                <c:pt idx="13">
                  <c:v>1.0021159424131989</c:v>
                </c:pt>
                <c:pt idx="14">
                  <c:v>0.98143036700808162</c:v>
                </c:pt>
                <c:pt idx="15">
                  <c:v>0.94972178639681859</c:v>
                </c:pt>
                <c:pt idx="16">
                  <c:v>0.89910961365676889</c:v>
                </c:pt>
                <c:pt idx="17">
                  <c:v>0.81332820642276782</c:v>
                </c:pt>
                <c:pt idx="18">
                  <c:v>0.65974202390936476</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1.0055492114320903</c:v>
                </c:pt>
                <c:pt idx="2">
                  <c:v>1.0104969947611724</c:v>
                </c:pt>
                <c:pt idx="3">
                  <c:v>1.0147035507727986</c:v>
                </c:pt>
                <c:pt idx="4">
                  <c:v>1.0179882111276846</c:v>
                </c:pt>
                <c:pt idx="5">
                  <c:v>1.0201164255902637</c:v>
                </c:pt>
                <c:pt idx="6">
                  <c:v>1.0207788625303011</c:v>
                </c:pt>
                <c:pt idx="7">
                  <c:v>1.0195636759241657</c:v>
                </c:pt>
                <c:pt idx="8">
                  <c:v>1.015915871675813</c:v>
                </c:pt>
                <c:pt idx="9">
                  <c:v>1.0090779655229762</c:v>
                </c:pt>
                <c:pt idx="10">
                  <c:v>0.99800622493401814</c:v>
                </c:pt>
                <c:pt idx="11">
                  <c:v>0.9812503685909344</c:v>
                </c:pt>
                <c:pt idx="12">
                  <c:v>0.95679086772957733</c:v>
                </c:pt>
                <c:pt idx="13">
                  <c:v>0.92183721682217101</c:v>
                </c:pt>
                <c:pt idx="14">
                  <c:v>0.87262756551936671</c:v>
                </c:pt>
                <c:pt idx="15">
                  <c:v>0.80434417423474314</c:v>
                </c:pt>
                <c:pt idx="16">
                  <c:v>0.71134998851530951</c:v>
                </c:pt>
                <c:pt idx="17">
                  <c:v>0.58793866140883855</c:v>
                </c:pt>
                <c:pt idx="18">
                  <c:v>0.42949870660014167</c:v>
                </c:pt>
                <c:pt idx="19">
                  <c:v>0.23354294874456677</c:v>
                </c:pt>
                <c:pt idx="20">
                  <c:v>0.18980487419734648</c:v>
                </c:pt>
                <c:pt idx="21">
                  <c:v>0.14456724840803009</c:v>
                </c:pt>
                <c:pt idx="22">
                  <c:v>9.7843107297090434E-2</c:v>
                </c:pt>
                <c:pt idx="23">
                  <c:v>4.9648060285789136E-2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0.56579827058704746</c:v>
                </c:pt>
                <c:pt idx="2">
                  <c:v>0.56438743824727899</c:v>
                </c:pt>
                <c:pt idx="3">
                  <c:v>0.56296738184706674</c:v>
                </c:pt>
                <c:pt idx="4">
                  <c:v>0.56153748713784801</c:v>
                </c:pt>
                <c:pt idx="5">
                  <c:v>0.56009731225855752</c:v>
                </c:pt>
                <c:pt idx="6">
                  <c:v>0.55864679482981816</c:v>
                </c:pt>
                <c:pt idx="7">
                  <c:v>0.55718650383839319</c:v>
                </c:pt>
                <c:pt idx="8">
                  <c:v>0.55571808300579351</c:v>
                </c:pt>
                <c:pt idx="9">
                  <c:v>0.55424504637317462</c:v>
                </c:pt>
                <c:pt idx="10">
                  <c:v>0.55277397833485464</c:v>
                </c:pt>
                <c:pt idx="11">
                  <c:v>0.55131658382597037</c:v>
                </c:pt>
                <c:pt idx="12">
                  <c:v>0.54989306187837206</c:v>
                </c:pt>
                <c:pt idx="13">
                  <c:v>0.54853750907572818</c:v>
                </c:pt>
                <c:pt idx="14">
                  <c:v>0.54730579735697005</c:v>
                </c:pt>
                <c:pt idx="15">
                  <c:v>0.54628235281865689</c:v>
                </c:pt>
                <c:pt idx="16">
                  <c:v>0.54556746301667425</c:v>
                </c:pt>
                <c:pt idx="17">
                  <c:v>0.5452059536805558</c:v>
                </c:pt>
                <c:pt idx="18">
                  <c:v>0.54509925797687442</c:v>
                </c:pt>
                <c:pt idx="19">
                  <c:v>0.54508573309079411</c:v>
                </c:pt>
                <c:pt idx="20">
                  <c:v>0.54508550034885295</c:v>
                </c:pt>
                <c:pt idx="21">
                  <c:v>0.54508541573268354</c:v>
                </c:pt>
                <c:pt idx="22">
                  <c:v>0.54508539155278912</c:v>
                </c:pt>
                <c:pt idx="23">
                  <c:v>0.5450853866121167</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0.561310972223796</c:v>
                </c:pt>
                <c:pt idx="2">
                  <c:v>0.55518872160428312</c:v>
                </c:pt>
                <c:pt idx="3">
                  <c:v>0.54879926756609487</c:v>
                </c:pt>
                <c:pt idx="4">
                  <c:v>0.54210011223185761</c:v>
                </c:pt>
                <c:pt idx="5">
                  <c:v>0.53503810845489419</c:v>
                </c:pt>
                <c:pt idx="6">
                  <c:v>0.52754473807551994</c:v>
                </c:pt>
                <c:pt idx="7">
                  <c:v>0.51952988817543932</c:v>
                </c:pt>
                <c:pt idx="8">
                  <c:v>0.51087067606874603</c:v>
                </c:pt>
                <c:pt idx="9">
                  <c:v>0.50139320333287241</c:v>
                </c:pt>
                <c:pt idx="10">
                  <c:v>0.49083995079170156</c:v>
                </c:pt>
                <c:pt idx="11">
                  <c:v>0.47880975484307997</c:v>
                </c:pt>
                <c:pt idx="12">
                  <c:v>0.46464042108206566</c:v>
                </c:pt>
                <c:pt idx="13">
                  <c:v>0.44716630141226832</c:v>
                </c:pt>
                <c:pt idx="14">
                  <c:v>0.4241890401440303</c:v>
                </c:pt>
                <c:pt idx="15">
                  <c:v>0.39127434274685446</c:v>
                </c:pt>
                <c:pt idx="16">
                  <c:v>0.33896951318390534</c:v>
                </c:pt>
                <c:pt idx="17">
                  <c:v>0.24564077385192196</c:v>
                </c:pt>
                <c:pt idx="18">
                  <c:v>4.6645109422502357E-2</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0.5657871366638485</c:v>
                </c:pt>
                <c:pt idx="2">
                  <c:v>0.56436432167076689</c:v>
                </c:pt>
                <c:pt idx="3">
                  <c:v>0.56293136652874964</c:v>
                </c:pt>
                <c:pt idx="4">
                  <c:v>0.56148760195292891</c:v>
                </c:pt>
                <c:pt idx="5">
                  <c:v>0.56003256099218646</c:v>
                </c:pt>
                <c:pt idx="6">
                  <c:v>0.55856621097563541</c:v>
                </c:pt>
                <c:pt idx="7">
                  <c:v>0.55708924092340673</c:v>
                </c:pt>
                <c:pt idx="8">
                  <c:v>0.55560356087548124</c:v>
                </c:pt>
                <c:pt idx="9">
                  <c:v>0.55411318484143601</c:v>
                </c:pt>
                <c:pt idx="10">
                  <c:v>0.5526255739744681</c:v>
                </c:pt>
                <c:pt idx="11">
                  <c:v>0.55115390401324127</c:v>
                </c:pt>
                <c:pt idx="12">
                  <c:v>0.54972076917734669</c:v>
                </c:pt>
                <c:pt idx="13">
                  <c:v>0.54836408355954702</c:v>
                </c:pt>
                <c:pt idx="14">
                  <c:v>0.54714524702695089</c:v>
                </c:pt>
                <c:pt idx="15">
                  <c:v>0.54615462670409942</c:v>
                </c:pt>
                <c:pt idx="16">
                  <c:v>0.54549117001925429</c:v>
                </c:pt>
                <c:pt idx="17">
                  <c:v>0.54517873528677663</c:v>
                </c:pt>
                <c:pt idx="18">
                  <c:v>0.54509509735714434</c:v>
                </c:pt>
                <c:pt idx="19">
                  <c:v>0.54508560614133716</c:v>
                </c:pt>
                <c:pt idx="20">
                  <c:v>0.54508545793909113</c:v>
                </c:pt>
                <c:pt idx="21">
                  <c:v>0.54508540487725665</c:v>
                </c:pt>
                <c:pt idx="22">
                  <c:v>0.54508538964382935</c:v>
                </c:pt>
                <c:pt idx="23">
                  <c:v>0.54508538651705596</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0.5807654763870489</c:v>
                </c:pt>
                <c:pt idx="2">
                  <c:v>0.59466927290350347</c:v>
                </c:pt>
                <c:pt idx="3">
                  <c:v>0.60899283767244183</c:v>
                </c:pt>
                <c:pt idx="4">
                  <c:v>0.62383660499855997</c:v>
                </c:pt>
                <c:pt idx="5">
                  <c:v>0.63932975842617545</c:v>
                </c:pt>
                <c:pt idx="6">
                  <c:v>0.65564468693795408</c:v>
                </c:pt>
                <c:pt idx="7">
                  <c:v>0.67302035146171058</c:v>
                </c:pt>
                <c:pt idx="8">
                  <c:v>0.69180117083706449</c:v>
                </c:pt>
                <c:pt idx="9">
                  <c:v>0.7125044426224304</c:v>
                </c:pt>
                <c:pt idx="10">
                  <c:v>0.73594144842526621</c:v>
                </c:pt>
                <c:pt idx="11">
                  <c:v>0.76344255676783412</c:v>
                </c:pt>
                <c:pt idx="12">
                  <c:v>0.7972819497812863</c:v>
                </c:pt>
                <c:pt idx="13">
                  <c:v>0.84144378765200278</c:v>
                </c:pt>
                <c:pt idx="14">
                  <c:v>0.90272796209155914</c:v>
                </c:pt>
                <c:pt idx="15">
                  <c:v>0</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0.57451572899101488</c:v>
                </c:pt>
                <c:pt idx="2">
                  <c:v>0.58180492490347402</c:v>
                </c:pt>
                <c:pt idx="3">
                  <c:v>0.58904141579820468</c:v>
                </c:pt>
                <c:pt idx="4">
                  <c:v>0.59619125267706374</c:v>
                </c:pt>
                <c:pt idx="5">
                  <c:v>0.60321374969209363</c:v>
                </c:pt>
                <c:pt idx="6">
                  <c:v>0.6100583560908247</c:v>
                </c:pt>
                <c:pt idx="7">
                  <c:v>0.6166646232602534</c:v>
                </c:pt>
                <c:pt idx="8">
                  <c:v>0.62295889483537792</c:v>
                </c:pt>
                <c:pt idx="9">
                  <c:v>0.62884688220213658</c:v>
                </c:pt>
                <c:pt idx="10">
                  <c:v>0.6341983487402737</c:v>
                </c:pt>
                <c:pt idx="11">
                  <c:v>0.6387807425706169</c:v>
                </c:pt>
                <c:pt idx="12">
                  <c:v>0</c:v>
                </c:pt>
                <c:pt idx="13">
                  <c:v>0</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0.5608277336710451</c:v>
                </c:pt>
                <c:pt idx="2">
                  <c:v>0.55427715744380268</c:v>
                </c:pt>
                <c:pt idx="3">
                  <c:v>0.54751249426391857</c:v>
                </c:pt>
                <c:pt idx="4">
                  <c:v>0.54049075367002108</c:v>
                </c:pt>
                <c:pt idx="5">
                  <c:v>0.53315979134880553</c:v>
                </c:pt>
                <c:pt idx="6">
                  <c:v>0.52545428180814713</c:v>
                </c:pt>
                <c:pt idx="7">
                  <c:v>0.51728991135702118</c:v>
                </c:pt>
                <c:pt idx="8">
                  <c:v>0.50855406364510425</c:v>
                </c:pt>
                <c:pt idx="9">
                  <c:v>0.4990908442434287</c:v>
                </c:pt>
                <c:pt idx="10">
                  <c:v>0.48867559263966243</c:v>
                </c:pt>
                <c:pt idx="11">
                  <c:v>0.47697095227819297</c:v>
                </c:pt>
                <c:pt idx="12">
                  <c:v>0.46344788654344748</c:v>
                </c:pt>
                <c:pt idx="13">
                  <c:v>0.44724055434741006</c:v>
                </c:pt>
                <c:pt idx="14">
                  <c:v>0.42687963861096218</c:v>
                </c:pt>
                <c:pt idx="15">
                  <c:v>0.39983337824182802</c:v>
                </c:pt>
                <c:pt idx="16">
                  <c:v>0.3619077860095159</c:v>
                </c:pt>
                <c:pt idx="17">
                  <c:v>0.30724465961128178</c:v>
                </c:pt>
                <c:pt idx="18">
                  <c:v>0.23188786491210767</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0.56690273319446993</c:v>
                </c:pt>
                <c:pt idx="2">
                  <c:v>0.56661170566088126</c:v>
                </c:pt>
                <c:pt idx="3">
                  <c:v>0.56632576141364122</c:v>
                </c:pt>
                <c:pt idx="4">
                  <c:v>0.5660424259701845</c:v>
                </c:pt>
                <c:pt idx="5">
                  <c:v>0.56575815817131114</c:v>
                </c:pt>
                <c:pt idx="6">
                  <c:v>0.56546797832554929</c:v>
                </c:pt>
                <c:pt idx="7">
                  <c:v>0.56516495207309303</c:v>
                </c:pt>
                <c:pt idx="8">
                  <c:v>0.56483952487197342</c:v>
                </c:pt>
                <c:pt idx="9">
                  <c:v>0.56447863815255972</c:v>
                </c:pt>
                <c:pt idx="10">
                  <c:v>0.56406472034295041</c:v>
                </c:pt>
                <c:pt idx="11">
                  <c:v>0.56357451474133624</c:v>
                </c:pt>
                <c:pt idx="12">
                  <c:v>0.56297823590941354</c:v>
                </c:pt>
                <c:pt idx="13">
                  <c:v>0.56223968259662827</c:v>
                </c:pt>
                <c:pt idx="14">
                  <c:v>0.56131881817925455</c:v>
                </c:pt>
                <c:pt idx="15">
                  <c:v>0.56017864912590409</c:v>
                </c:pt>
                <c:pt idx="16">
                  <c:v>0.55879716620620001</c:v>
                </c:pt>
                <c:pt idx="17">
                  <c:v>0.55718090960993971</c:v>
                </c:pt>
                <c:pt idx="18">
                  <c:v>0.55537134479592798</c:v>
                </c:pt>
                <c:pt idx="19">
                  <c:v>0.55343656719404577</c:v>
                </c:pt>
                <c:pt idx="20">
                  <c:v>0.5530413229532688</c:v>
                </c:pt>
                <c:pt idx="21">
                  <c:v>0.55264469965344298</c:v>
                </c:pt>
                <c:pt idx="22">
                  <c:v>0.55224725251525264</c:v>
                </c:pt>
                <c:pt idx="23">
                  <c:v>0.55184950889708773</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6.1000000000000623E-2</c:v>
                </c:pt>
                <c:pt idx="2">
                  <c:v>6.0999999999999791E-2</c:v>
                </c:pt>
                <c:pt idx="3">
                  <c:v>6.0999999999999791E-2</c:v>
                </c:pt>
                <c:pt idx="4">
                  <c:v>6.0999999999999582E-2</c:v>
                </c:pt>
                <c:pt idx="5">
                  <c:v>6.0999999999999582E-2</c:v>
                </c:pt>
                <c:pt idx="6">
                  <c:v>6.0999999999999999E-2</c:v>
                </c:pt>
                <c:pt idx="7">
                  <c:v>6.0999999999998958E-2</c:v>
                </c:pt>
                <c:pt idx="8">
                  <c:v>6.0999999999999582E-2</c:v>
                </c:pt>
                <c:pt idx="9">
                  <c:v>6.0999999999999791E-2</c:v>
                </c:pt>
                <c:pt idx="10">
                  <c:v>6.0999999999999999E-2</c:v>
                </c:pt>
                <c:pt idx="11">
                  <c:v>6.0999999999999791E-2</c:v>
                </c:pt>
                <c:pt idx="12">
                  <c:v>6.1000000000000519E-2</c:v>
                </c:pt>
                <c:pt idx="13">
                  <c:v>6.0999999999999166E-2</c:v>
                </c:pt>
                <c:pt idx="14">
                  <c:v>6.1000000000000519E-2</c:v>
                </c:pt>
                <c:pt idx="15">
                  <c:v>6.0999999999999791E-2</c:v>
                </c:pt>
                <c:pt idx="16">
                  <c:v>6.0999999999999374E-2</c:v>
                </c:pt>
                <c:pt idx="17">
                  <c:v>6.0999999999999582E-2</c:v>
                </c:pt>
                <c:pt idx="18">
                  <c:v>6.0999999999999791E-2</c:v>
                </c:pt>
                <c:pt idx="19">
                  <c:v>6.0999999999999791E-2</c:v>
                </c:pt>
                <c:pt idx="20">
                  <c:v>6.0999999999999374E-2</c:v>
                </c:pt>
                <c:pt idx="21">
                  <c:v>6.1000000000000207E-2</c:v>
                </c:pt>
                <c:pt idx="22">
                  <c:v>6.1000000000000311E-2</c:v>
                </c:pt>
                <c:pt idx="23">
                  <c:v>6.0999999999999791E-2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6.0999999999999999E-2</c:v>
                </c:pt>
                <c:pt idx="2">
                  <c:v>6.0999999999999582E-2</c:v>
                </c:pt>
                <c:pt idx="3">
                  <c:v>6.0999999999994788E-2</c:v>
                </c:pt>
                <c:pt idx="4">
                  <c:v>6.0999999999998333E-2</c:v>
                </c:pt>
                <c:pt idx="5">
                  <c:v>6.1000000000000519E-2</c:v>
                </c:pt>
                <c:pt idx="6">
                  <c:v>6.1000000000000519E-2</c:v>
                </c:pt>
                <c:pt idx="7">
                  <c:v>6.1000000000000207E-2</c:v>
                </c:pt>
                <c:pt idx="8">
                  <c:v>6.0999999999999791E-2</c:v>
                </c:pt>
                <c:pt idx="9">
                  <c:v>6.0999999999999582E-2</c:v>
                </c:pt>
                <c:pt idx="10">
                  <c:v>6.1000000000000207E-2</c:v>
                </c:pt>
                <c:pt idx="11">
                  <c:v>6.0999999999999582E-2</c:v>
                </c:pt>
                <c:pt idx="12">
                  <c:v>6.099999999999875E-2</c:v>
                </c:pt>
                <c:pt idx="13">
                  <c:v>6.0999999999999999E-2</c:v>
                </c:pt>
                <c:pt idx="14">
                  <c:v>6.0999999999998958E-2</c:v>
                </c:pt>
                <c:pt idx="15">
                  <c:v>6.0999999999999582E-2</c:v>
                </c:pt>
                <c:pt idx="16">
                  <c:v>6.1000000000000207E-2</c:v>
                </c:pt>
                <c:pt idx="17">
                  <c:v>6.0999999999999582E-2</c:v>
                </c:pt>
                <c:pt idx="18">
                  <c:v>6.0999999999999791E-2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6.1000000000000623E-2</c:v>
                </c:pt>
                <c:pt idx="2">
                  <c:v>6.0999999999999999E-2</c:v>
                </c:pt>
                <c:pt idx="3">
                  <c:v>6.1000000000000311E-2</c:v>
                </c:pt>
                <c:pt idx="4">
                  <c:v>6.0999999999999582E-2</c:v>
                </c:pt>
                <c:pt idx="5">
                  <c:v>6.1000000000000207E-2</c:v>
                </c:pt>
                <c:pt idx="6">
                  <c:v>6.1000000000000207E-2</c:v>
                </c:pt>
                <c:pt idx="7">
                  <c:v>6.0999999999999582E-2</c:v>
                </c:pt>
                <c:pt idx="8">
                  <c:v>6.0999999999999582E-2</c:v>
                </c:pt>
                <c:pt idx="9">
                  <c:v>6.1000000000000311E-2</c:v>
                </c:pt>
                <c:pt idx="10">
                  <c:v>6.1000000000000519E-2</c:v>
                </c:pt>
                <c:pt idx="11">
                  <c:v>6.1000000000000207E-2</c:v>
                </c:pt>
                <c:pt idx="12">
                  <c:v>6.0999999999999582E-2</c:v>
                </c:pt>
                <c:pt idx="13">
                  <c:v>6.0999999999999791E-2</c:v>
                </c:pt>
                <c:pt idx="14">
                  <c:v>6.1000000000000311E-2</c:v>
                </c:pt>
                <c:pt idx="15">
                  <c:v>6.0999999999999791E-2</c:v>
                </c:pt>
                <c:pt idx="16">
                  <c:v>6.0999999999999166E-2</c:v>
                </c:pt>
                <c:pt idx="17">
                  <c:v>6.0999999999999582E-2</c:v>
                </c:pt>
                <c:pt idx="18">
                  <c:v>6.0999999999999582E-2</c:v>
                </c:pt>
                <c:pt idx="19">
                  <c:v>6.0999999999999166E-2</c:v>
                </c:pt>
                <c:pt idx="20">
                  <c:v>6.0999999999999999E-2</c:v>
                </c:pt>
                <c:pt idx="21">
                  <c:v>6.0999999999999999E-2</c:v>
                </c:pt>
                <c:pt idx="22">
                  <c:v>6.1000000000000311E-2</c:v>
                </c:pt>
                <c:pt idx="23">
                  <c:v>6.1000000000000207E-2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3.5678509997193283E-2</c:v>
                </c:pt>
                <c:pt idx="2">
                  <c:v>8.8519212267934438E-3</c:v>
                </c:pt>
                <c:pt idx="3">
                  <c:v>-1.9779960210378214E-2</c:v>
                </c:pt>
                <c:pt idx="4">
                  <c:v>-5.0605360401537208E-2</c:v>
                </c:pt>
                <c:pt idx="5">
                  <c:v>-8.4142528868647287E-2</c:v>
                </c:pt>
                <c:pt idx="6">
                  <c:v>-0.12110895235948343</c:v>
                </c:pt>
                <c:pt idx="7">
                  <c:v>-0.16254107865509662</c:v>
                </c:pt>
                <c:pt idx="8">
                  <c:v>-0.2100122267914627</c:v>
                </c:pt>
                <c:pt idx="9">
                  <c:v>-0.26605755662193165</c:v>
                </c:pt>
                <c:pt idx="10">
                  <c:v>-0.33507283221933837</c:v>
                </c:pt>
                <c:pt idx="11">
                  <c:v>-0.42542901378199055</c:v>
                </c:pt>
                <c:pt idx="12">
                  <c:v>-0.55523016912265222</c:v>
                </c:pt>
                <c:pt idx="13">
                  <c:v>-0.7719265554981849</c:v>
                </c:pt>
                <c:pt idx="14">
                  <c:v>-1.2548695456689252</c:v>
                </c:pt>
                <c:pt idx="15">
                  <c:v>1</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9.7458368008761731E-2</c:v>
                </c:pt>
                <c:pt idx="2">
                  <c:v>0.13520987924873606</c:v>
                </c:pt>
                <c:pt idx="3">
                  <c:v>0.17429434806900745</c:v>
                </c:pt>
                <c:pt idx="4">
                  <c:v>0.21473869451100527</c:v>
                </c:pt>
                <c:pt idx="5">
                  <c:v>0.25654953023118737</c:v>
                </c:pt>
                <c:pt idx="6">
                  <c:v>0.2997029458962357</c:v>
                </c:pt>
                <c:pt idx="7">
                  <c:v>0.34412854548227462</c:v>
                </c:pt>
                <c:pt idx="8">
                  <c:v>0.38968212770769961</c:v>
                </c:pt>
                <c:pt idx="9">
                  <c:v>0.43609113812743239</c:v>
                </c:pt>
                <c:pt idx="10">
                  <c:v>0.48282049295672469</c:v>
                </c:pt>
                <c:pt idx="11">
                  <c:v>0.52864322319030865</c:v>
                </c:pt>
                <c:pt idx="12">
                  <c:v>1</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5.1800074885415839E-2</c:v>
                </c:pt>
                <c:pt idx="2">
                  <c:v>4.3424518850618862E-2</c:v>
                </c:pt>
                <c:pt idx="3">
                  <c:v>3.5946903121624713E-2</c:v>
                </c:pt>
                <c:pt idx="4">
                  <c:v>2.9466937549099299E-2</c:v>
                </c:pt>
                <c:pt idx="5">
                  <c:v>2.4116711535334255E-2</c:v>
                </c:pt>
                <c:pt idx="6">
                  <c:v>2.0069595972165698E-2</c:v>
                </c:pt>
                <c:pt idx="7">
                  <c:v>1.7553073455372548E-2</c:v>
                </c:pt>
                <c:pt idx="8">
                  <c:v>1.6867471944117085E-2</c:v>
                </c:pt>
                <c:pt idx="9">
                  <c:v>1.8414376243822368E-2</c:v>
                </c:pt>
                <c:pt idx="10">
                  <c:v>2.2740485129593174E-2</c:v>
                </c:pt>
                <c:pt idx="11">
                  <c:v>3.0609898048708149E-2</c:v>
                </c:pt>
                <c:pt idx="12">
                  <c:v>4.3127956459543475E-2</c:v>
                </c:pt>
                <c:pt idx="13">
                  <c:v>6.1967386393451916E-2</c:v>
                </c:pt>
                <c:pt idx="14">
                  <c:v>8.9804532174637672E-2</c:v>
                </c:pt>
                <c:pt idx="15">
                  <c:v>0.13119350745004041</c:v>
                </c:pt>
                <c:pt idx="16">
                  <c:v>0.1942675997961609</c:v>
                </c:pt>
                <c:pt idx="17">
                  <c:v>0.29344508566903937</c:v>
                </c:pt>
                <c:pt idx="18">
                  <c:v>0.45133894899852744</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6.4826687094250823E-2</c:v>
                </c:pt>
                <c:pt idx="2">
                  <c:v>6.921312655686955E-2</c:v>
                </c:pt>
                <c:pt idx="3">
                  <c:v>7.4277923817511221E-2</c:v>
                </c:pt>
                <c:pt idx="4">
                  <c:v>8.0173008590160605E-2</c:v>
                </c:pt>
                <c:pt idx="5">
                  <c:v>8.7094119495788311E-2</c:v>
                </c:pt>
                <c:pt idx="6">
                  <c:v>9.5297392981323295E-2</c:v>
                </c:pt>
                <c:pt idx="7">
                  <c:v>0.10512129267005255</c:v>
                </c:pt>
                <c:pt idx="8">
                  <c:v>0.11701835332749645</c:v>
                </c:pt>
                <c:pt idx="9">
                  <c:v>0.13160087843489771</c:v>
                </c:pt>
                <c:pt idx="10">
                  <c:v>0.14970420126569617</c:v>
                </c:pt>
                <c:pt idx="11">
                  <c:v>0.1724750481359002</c:v>
                </c:pt>
                <c:pt idx="12">
                  <c:v>0.20148627325324997</c:v>
                </c:pt>
                <c:pt idx="13">
                  <c:v>0.23886965326107396</c:v>
                </c:pt>
                <c:pt idx="14">
                  <c:v>0.28742828290444999</c:v>
                </c:pt>
                <c:pt idx="15">
                  <c:v>0.35063666477179045</c:v>
                </c:pt>
                <c:pt idx="16">
                  <c:v>0.43238435287298749</c:v>
                </c:pt>
                <c:pt idx="17">
                  <c:v>0.53636220693529812</c:v>
                </c:pt>
                <c:pt idx="18">
                  <c:v>0.66523045341220621</c:v>
                </c:pt>
                <c:pt idx="19">
                  <c:v>0.81999960831440988</c:v>
                </c:pt>
                <c:pt idx="20">
                  <c:v>0.85402766694275734</c:v>
                </c:pt>
                <c:pt idx="21">
                  <c:v>0.8890564854485572</c:v>
                </c:pt>
                <c:pt idx="22">
                  <c:v>0.92507203267126803</c:v>
                </c:pt>
                <c:pt idx="23">
                  <c:v>0.96205879619062817</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87" zoomScaleNormal="100" workbookViewId="0">
      <selection activeCell="D100" sqref="D100"/>
    </sheetView>
  </sheetViews>
  <sheetFormatPr baseColWidth="10" defaultColWidth="12" defaultRowHeight="10" x14ac:dyDescent="0.2"/>
  <cols>
    <col min="3" max="3" width="16.33203125" customWidth="1"/>
  </cols>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999.99999999999886</v>
      </c>
      <c r="O21">
        <v>999.99999999999886</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999.99999999999886</v>
      </c>
      <c r="K24" s="113">
        <f t="array" ref="K24:L24">H24:I24-pD</f>
        <v>0</v>
      </c>
      <c r="L24" s="113">
        <v>-1.1368683772161603E-12</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27857.010134</v>
      </c>
      <c r="I37" s="27">
        <v>1236.7674480000014</v>
      </c>
      <c r="K37" s="113">
        <f t="array" ref="K37:L37">H37:I37-Y</f>
        <v>0</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379.90788307663428</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3195.0476039999967</v>
      </c>
      <c r="I44" s="27">
        <v>91.012690000004056</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1.1294162045759844</v>
      </c>
      <c r="D97" s="174">
        <v>1.0793522802523947</v>
      </c>
      <c r="E97" s="59" t="s">
        <v>19</v>
      </c>
      <c r="F97" s="60">
        <f t="array" ref="F97:G97">(aX*D^rhoX+bX*X^rhoX)^(1/rhoX)</f>
        <v>27857.010134</v>
      </c>
      <c r="G97" s="61">
        <v>1236.7674480000014</v>
      </c>
    </row>
    <row r="98" spans="2:9" x14ac:dyDescent="0.2">
      <c r="B98" t="s">
        <v>105</v>
      </c>
      <c r="C98" s="175">
        <f t="array" ref="C98:D98">(Y/X)^rhoX*pX*X/(pD*D+pX*X)</f>
        <v>8.6999679216673211</v>
      </c>
      <c r="D98" s="176">
        <v>13.553580552678321</v>
      </c>
      <c r="F98" s="120">
        <f t="array" ref="F98:G98">F97:G97-Y</f>
        <v>0</v>
      </c>
      <c r="G98" s="121">
        <v>0</v>
      </c>
    </row>
    <row r="99" spans="2:9" x14ac:dyDescent="0.2">
      <c r="B99" t="s">
        <v>66</v>
      </c>
      <c r="C99" s="170">
        <v>-1.0009999999999999</v>
      </c>
      <c r="D99" s="171">
        <v>-1.0009999999999999</v>
      </c>
    </row>
    <row r="100" spans="2:9" x14ac:dyDescent="0.2">
      <c r="B100" t="s">
        <v>106</v>
      </c>
      <c r="C100" s="179">
        <f t="array" ref="C100:D100">(sigmaX - 1)/sigmaX</f>
        <v>1.9990009990009991</v>
      </c>
      <c r="D100" s="180">
        <v>1.9990009990009991</v>
      </c>
    </row>
    <row r="102" spans="2:9" x14ac:dyDescent="0.2">
      <c r="B102" t="s">
        <v>97</v>
      </c>
      <c r="C102" s="28">
        <v>-0.1</v>
      </c>
    </row>
    <row r="104" spans="2:9" x14ac:dyDescent="0.2">
      <c r="B104" t="s">
        <v>43</v>
      </c>
      <c r="C104" s="63">
        <f>(U/CQ)^rhoU*pCQ*CQ/(pCQ*CQ+pCE*CE)</f>
        <v>330.46661434562492</v>
      </c>
      <c r="E104" s="59" t="s">
        <v>47</v>
      </c>
      <c r="F104" s="62">
        <f>(aU*CQ^rhoU+bU*CE^rhoU)^(1/rhoU)</f>
        <v>1</v>
      </c>
    </row>
    <row r="105" spans="2:9" x14ac:dyDescent="0.2">
      <c r="B105" t="s">
        <v>44</v>
      </c>
      <c r="C105" s="64">
        <f>(U/CE)^rhoU*pCE*CE/(pCQ*CQ+pCE*CE)</f>
        <v>2.8552675295613739</v>
      </c>
      <c r="F105" s="114">
        <f t="array" ref="F105">F104-U</f>
        <v>0</v>
      </c>
    </row>
    <row r="106" spans="2:9" x14ac:dyDescent="0.2">
      <c r="B106" t="s">
        <v>45</v>
      </c>
      <c r="C106" s="197">
        <v>0.6</v>
      </c>
    </row>
    <row r="107" spans="2:9" x14ac:dyDescent="0.2">
      <c r="B107" t="s">
        <v>46</v>
      </c>
      <c r="C107" s="65">
        <f>(sigmaU-1)/sigmaU</f>
        <v>-0.66666666666666674</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59" priority="28" stopIfTrue="1" operator="notEqual">
      <formula>0</formula>
    </cfRule>
  </conditionalFormatting>
  <conditionalFormatting sqref="K21:L21">
    <cfRule type="cellIs" dxfId="158" priority="27" stopIfTrue="1" operator="notEqual">
      <formula>0</formula>
    </cfRule>
  </conditionalFormatting>
  <conditionalFormatting sqref="K23:L23 K25:L30">
    <cfRule type="cellIs" dxfId="157" priority="26" stopIfTrue="1" operator="notEqual">
      <formula>0</formula>
    </cfRule>
  </conditionalFormatting>
  <conditionalFormatting sqref="K32:L32">
    <cfRule type="cellIs" dxfId="156" priority="25" stopIfTrue="1" operator="notEqual">
      <formula>0</formula>
    </cfRule>
  </conditionalFormatting>
  <conditionalFormatting sqref="K37:L39 K41:L43">
    <cfRule type="cellIs" dxfId="155" priority="24" stopIfTrue="1" operator="notEqual">
      <formula>0</formula>
    </cfRule>
  </conditionalFormatting>
  <conditionalFormatting sqref="K45:L48">
    <cfRule type="cellIs" dxfId="154" priority="23" stopIfTrue="1" operator="notEqual">
      <formula>0</formula>
    </cfRule>
  </conditionalFormatting>
  <conditionalFormatting sqref="K34:L35">
    <cfRule type="cellIs" dxfId="153" priority="22" stopIfTrue="1" operator="notEqual">
      <formula>0</formula>
    </cfRule>
  </conditionalFormatting>
  <conditionalFormatting sqref="K70:L73">
    <cfRule type="cellIs" dxfId="152" priority="21" stopIfTrue="1" operator="notEqual">
      <formula>0</formula>
    </cfRule>
  </conditionalFormatting>
  <conditionalFormatting sqref="K57">
    <cfRule type="cellIs" dxfId="151" priority="20" stopIfTrue="1" operator="notEqual">
      <formula>0</formula>
    </cfRule>
  </conditionalFormatting>
  <conditionalFormatting sqref="K55">
    <cfRule type="cellIs" dxfId="150" priority="19" stopIfTrue="1" operator="notEqual">
      <formula>0</formula>
    </cfRule>
  </conditionalFormatting>
  <conditionalFormatting sqref="F78:G78">
    <cfRule type="cellIs" dxfId="149" priority="18" stopIfTrue="1" operator="notEqual">
      <formula>0</formula>
    </cfRule>
  </conditionalFormatting>
  <conditionalFormatting sqref="F83:G83">
    <cfRule type="cellIs" dxfId="148" priority="17" stopIfTrue="1" operator="notEqual">
      <formula>0</formula>
    </cfRule>
  </conditionalFormatting>
  <conditionalFormatting sqref="F88:G88">
    <cfRule type="cellIs" dxfId="147" priority="16" stopIfTrue="1" operator="notEqual">
      <formula>0</formula>
    </cfRule>
  </conditionalFormatting>
  <conditionalFormatting sqref="F93:G93">
    <cfRule type="cellIs" dxfId="146" priority="15" stopIfTrue="1" operator="notEqual">
      <formula>0</formula>
    </cfRule>
  </conditionalFormatting>
  <conditionalFormatting sqref="F105">
    <cfRule type="cellIs" dxfId="145" priority="14" stopIfTrue="1" operator="notEqual">
      <formula>0</formula>
    </cfRule>
  </conditionalFormatting>
  <conditionalFormatting sqref="K44:L44">
    <cfRule type="cellIs" dxfId="144" priority="11" stopIfTrue="1" operator="notEqual">
      <formula>0</formula>
    </cfRule>
  </conditionalFormatting>
  <conditionalFormatting sqref="L57">
    <cfRule type="cellIs" dxfId="143" priority="8" stopIfTrue="1" operator="notEqual">
      <formula>0</formula>
    </cfRule>
  </conditionalFormatting>
  <conditionalFormatting sqref="K24:L24">
    <cfRule type="cellIs" dxfId="142" priority="6" stopIfTrue="1" operator="notEqual">
      <formula>0</formula>
    </cfRule>
  </conditionalFormatting>
  <conditionalFormatting sqref="K40:L40">
    <cfRule type="cellIs" dxfId="141" priority="5" stopIfTrue="1" operator="notEqual">
      <formula>0</formula>
    </cfRule>
  </conditionalFormatting>
  <conditionalFormatting sqref="F98:G98">
    <cfRule type="cellIs" dxfId="140" priority="3" stopIfTrue="1" operator="notEqual">
      <formula>0</formula>
    </cfRule>
  </conditionalFormatting>
  <conditionalFormatting sqref="K65">
    <cfRule type="cellIs" dxfId="139"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D40"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8560857.4038005453</v>
      </c>
      <c r="M3" s="49">
        <v>2.7691501735823746E-2</v>
      </c>
      <c r="N3" s="50">
        <f t="array" ref="N3:N4">TRANSPOSE(pC*Consumption)</f>
        <v>3382585.1836465839</v>
      </c>
      <c r="O3" s="51">
        <f t="array" ref="O3:O4">TRANSPOSE(pG*G)</f>
        <v>2817515.378766567</v>
      </c>
      <c r="P3" s="51">
        <f t="array" ref="P3:P4">TRANSPOSE(pI*I)</f>
        <v>16829559.360656481</v>
      </c>
      <c r="Q3" s="57">
        <f t="array" ref="Q3:Q4">TRANSPOSE(pX*X)</f>
        <v>43731.234960481743</v>
      </c>
      <c r="R3" s="9">
        <f t="array" ref="R3">SUM(L3:Q3)</f>
        <v>31634248.589522161</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2203195.5875350805</v>
      </c>
      <c r="M4" s="53">
        <v>0.36902213843455173</v>
      </c>
      <c r="N4" s="52">
        <v>866851.97962683812</v>
      </c>
      <c r="O4" s="54">
        <v>0</v>
      </c>
      <c r="P4" s="54">
        <v>0</v>
      </c>
      <c r="Q4" s="46">
        <v>8.4309268578319942E-6</v>
      </c>
      <c r="R4" s="11">
        <f t="array" ref="R4">SUM(L4:Q4)</f>
        <v>3070047.9361924878</v>
      </c>
    </row>
    <row r="5" spans="2:18" x14ac:dyDescent="0.2">
      <c r="B5" s="12" t="s">
        <v>1</v>
      </c>
      <c r="C5" s="48">
        <v>5036295.3101960644</v>
      </c>
      <c r="D5" s="49">
        <v>74905.331803938272</v>
      </c>
      <c r="E5" s="13"/>
      <c r="F5" s="13"/>
      <c r="G5" s="13"/>
      <c r="H5" s="13"/>
      <c r="I5" s="1"/>
      <c r="K5" s="12" t="s">
        <v>1</v>
      </c>
      <c r="L5" s="48">
        <f t="array" ref="L5:M5">w*Labour</f>
        <v>3671136.4186118459</v>
      </c>
      <c r="M5" s="49">
        <v>5.472061070502441E-3</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1677721.9174820834</v>
      </c>
      <c r="M6" s="55">
        <v>2.5007506518250956E-3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97331.83417127248</v>
      </c>
      <c r="M7" s="55">
        <v>7.1321374339414489E-3</v>
      </c>
      <c r="N7" s="13"/>
      <c r="O7" s="13"/>
      <c r="P7" s="13"/>
      <c r="Q7" s="13"/>
      <c r="R7" s="1"/>
    </row>
    <row r="8" spans="2:18" x14ac:dyDescent="0.2">
      <c r="B8" s="14" t="s">
        <v>2</v>
      </c>
      <c r="C8" s="50">
        <v>6425198.1590000018</v>
      </c>
      <c r="D8" s="55">
        <v>273229.1540000001</v>
      </c>
      <c r="E8" s="13"/>
      <c r="F8" s="13"/>
      <c r="G8" s="13"/>
      <c r="H8" s="13"/>
      <c r="I8" s="1"/>
      <c r="K8" s="14" t="s">
        <v>2</v>
      </c>
      <c r="L8" s="50">
        <f t="array" ref="L8:M8">pK*kappa*Y</f>
        <v>3477960.7021602984</v>
      </c>
      <c r="M8" s="55">
        <v>1.3906487971558679E-2</v>
      </c>
      <c r="N8" s="13"/>
      <c r="O8" s="13"/>
      <c r="P8" s="13"/>
      <c r="Q8" s="13"/>
      <c r="R8" s="1"/>
    </row>
    <row r="9" spans="2:18" x14ac:dyDescent="0.2">
      <c r="B9" s="2" t="s">
        <v>3</v>
      </c>
      <c r="C9" s="118">
        <v>1886393.7399999965</v>
      </c>
      <c r="D9" s="119">
        <v>262787.11299999768</v>
      </c>
      <c r="E9" s="13"/>
      <c r="F9" s="13"/>
      <c r="G9" s="13"/>
      <c r="H9" s="13"/>
      <c r="I9" s="1"/>
      <c r="K9" s="2" t="s">
        <v>3</v>
      </c>
      <c r="L9" s="118">
        <f t="array" ref="L9:M9">pW*M</f>
        <v>11451259.310722504</v>
      </c>
      <c r="M9" s="119">
        <v>24649.890455330176</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494785.41505567811</v>
      </c>
      <c r="M10" s="57">
        <v>3045397.6200228706</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31634248.589539308</v>
      </c>
      <c r="M12" s="18">
        <f>SUM(M3:M11)</f>
        <v>3070047.9362032781</v>
      </c>
      <c r="N12" s="19"/>
      <c r="O12" s="20">
        <f t="array" ref="O12:P12">pY*Y</f>
        <v>19688203.863750588</v>
      </c>
      <c r="P12" s="21">
        <v>0.42572507729741649</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-1.714751124382019E-5</v>
      </c>
      <c r="M14" s="200">
        <f t="array" ref="M14">R4-M12</f>
        <v>-1.0790303349494934E-5</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9.6109276159772605E-7</v>
      </c>
    </row>
    <row r="19" spans="2:21" ht="10.5" x14ac:dyDescent="0.25">
      <c r="B19" s="92" t="s">
        <v>79</v>
      </c>
      <c r="C19" s="106" t="s">
        <v>87</v>
      </c>
      <c r="H19" s="92" t="s">
        <v>60</v>
      </c>
      <c r="K19" s="92" t="s">
        <v>59</v>
      </c>
      <c r="Q19" s="92" t="s">
        <v>42</v>
      </c>
    </row>
    <row r="21" spans="2:21" ht="10.5" x14ac:dyDescent="0.25">
      <c r="B21" t="s">
        <v>12</v>
      </c>
      <c r="C21" s="81">
        <f t="array" ref="C21:D21">ABS(C80:D80)</f>
        <v>7178.7787424694216</v>
      </c>
      <c r="D21" s="82">
        <v>60833.364578185334</v>
      </c>
      <c r="H21" s="60">
        <f t="array" ref="H21:I21">(aY^sigmaY*pKLE^(1-sigmaY)+bY^sigmaY*pMY^(1-sigmaY))^(1/(1-sigmaY))*(1+tauY)</f>
        <v>7178.7787424731514</v>
      </c>
      <c r="I21" s="61">
        <v>60833.364578302149</v>
      </c>
      <c r="J21" s="107" t="s">
        <v>69</v>
      </c>
      <c r="K21" s="113">
        <f t="array" ref="K21:L21">H21:I21/pY-1</f>
        <v>5.1958437552457326E-13</v>
      </c>
      <c r="L21" s="113">
        <v>1.9202417433916708E-12</v>
      </c>
      <c r="N21" s="68">
        <f t="array" ref="N21:O35">PRICES/Calibration!PRICES-1</f>
        <v>6.1787787424694214</v>
      </c>
      <c r="O21" s="69">
        <v>59.833364578185332</v>
      </c>
      <c r="Q21" s="113">
        <f t="array" ref="Q21:R21">(pKLE*KLE+pMY*alphaMY*Y)*(1+tauY)/Y-pY</f>
        <v>3.7298377719707787E-9</v>
      </c>
      <c r="R21" s="113">
        <v>1.1682277545332909E-7</v>
      </c>
      <c r="T21" s="113">
        <f t="array" ref="T21:U21">(aX^sigmaX*pD^(1-sigmaX)+bX^sigmaX*pW^(1-sigmaX))^(1/(1-sigmaX))-pY</f>
        <v>-1.8189894035458565E-11</v>
      </c>
      <c r="U21" s="113">
        <v>-1.7462298274040222E-10</v>
      </c>
    </row>
    <row r="22" spans="2:21" x14ac:dyDescent="0.2">
      <c r="B22" t="s">
        <v>103</v>
      </c>
      <c r="C22" s="95">
        <f t="array" ref="C22:D22">Calibration!pW</f>
        <v>1000</v>
      </c>
      <c r="D22" s="96">
        <v>1000</v>
      </c>
      <c r="N22" s="70">
        <v>0</v>
      </c>
      <c r="O22" s="71">
        <v>0</v>
      </c>
    </row>
    <row r="23" spans="2:21" ht="10.5" x14ac:dyDescent="0.25">
      <c r="B23" t="s">
        <v>115</v>
      </c>
      <c r="C23" s="93">
        <f t="array" ref="C23:D23">ABS(C81:D81)</f>
        <v>5182.7201144139535</v>
      </c>
      <c r="D23" s="94">
        <v>1750.0591696535362</v>
      </c>
      <c r="H23" s="60">
        <f t="array" ref="H23:I23">(aS^sigmaS*pD^(1-sigmaS)+bS^sigmaS*pW^(1-sigmaS))^(1/(1-sigmaS))</f>
        <v>5182.7201144153605</v>
      </c>
      <c r="I23" s="61">
        <v>1750.0591696399902</v>
      </c>
      <c r="J23" s="107" t="s">
        <v>108</v>
      </c>
      <c r="K23" s="113">
        <f t="array" ref="K23:L23">(pY*Y+pW*M)/(pS*S+pW*X)-1</f>
        <v>4.454214774796128E-13</v>
      </c>
      <c r="L23" s="113">
        <v>5.3741455730005327E-12</v>
      </c>
      <c r="N23" s="70">
        <v>4.1827201144139536</v>
      </c>
      <c r="O23" s="71">
        <v>0.75005916965353614</v>
      </c>
      <c r="Q23" s="113">
        <f t="array" ref="Q23:R23">pS*S-pD*D-pW*M</f>
        <v>-8.4377825260162354E-6</v>
      </c>
      <c r="R23" s="113">
        <v>1.9079743651673198E-7</v>
      </c>
    </row>
    <row r="24" spans="2:21" x14ac:dyDescent="0.2">
      <c r="B24" t="s">
        <v>77</v>
      </c>
      <c r="C24" s="110">
        <f t="array" ref="C24:D24">aX^(sigmaX/(sigmaX-1))*(pY^(1-sigmaX)-bX^sigmaX*pW^(1-sigmaX))^(1/(1-sigmaX))</f>
        <v>7620.9333237718747</v>
      </c>
      <c r="D24" s="164">
        <v>63201.506763970123</v>
      </c>
      <c r="N24" s="70">
        <v>6.620933323771875</v>
      </c>
      <c r="O24" s="71">
        <v>62.201506763970123</v>
      </c>
    </row>
    <row r="25" spans="2:21" x14ac:dyDescent="0.2">
      <c r="B25" t="s">
        <v>13</v>
      </c>
      <c r="C25" s="31">
        <f t="array" ref="C25:D26">TRANSPOSE(pS*(1+tauTS))</f>
        <v>5265.18591158242</v>
      </c>
      <c r="D25" s="32">
        <v>5265.18591158242</v>
      </c>
      <c r="E25" t="s">
        <v>63</v>
      </c>
      <c r="N25" s="70">
        <v>4.1827201144139536</v>
      </c>
      <c r="O25" s="71">
        <v>4.1827201144139536</v>
      </c>
    </row>
    <row r="26" spans="2:21" x14ac:dyDescent="0.2">
      <c r="C26" s="33">
        <v>217959.29531120259</v>
      </c>
      <c r="D26" s="34">
        <v>217959.29531120259</v>
      </c>
      <c r="E26" t="s">
        <v>41</v>
      </c>
      <c r="N26" s="70">
        <v>215.70852749068885</v>
      </c>
      <c r="O26" s="71">
        <v>215.70852749068882</v>
      </c>
    </row>
    <row r="27" spans="2:21" ht="10.5" x14ac:dyDescent="0.25">
      <c r="B27" t="s">
        <v>14</v>
      </c>
      <c r="C27" s="39">
        <f t="array" ref="C27:D27">pS*(1+tauTS)</f>
        <v>5265.18591158242</v>
      </c>
      <c r="D27" s="40">
        <v>217959.29531120259</v>
      </c>
      <c r="J27" s="92"/>
      <c r="N27" s="70">
        <v>4.1827201144139536</v>
      </c>
      <c r="O27" s="71">
        <v>215.70852749068888</v>
      </c>
    </row>
    <row r="28" spans="2:21" ht="10.5" x14ac:dyDescent="0.25">
      <c r="B28" t="s">
        <v>15</v>
      </c>
      <c r="C28" s="39">
        <f t="array" ref="C28:D28">pS*(1+tauTS)</f>
        <v>5265.18591158242</v>
      </c>
      <c r="D28" s="40">
        <v>217959.29531120259</v>
      </c>
      <c r="J28" s="92"/>
      <c r="N28" s="70">
        <v>4.1827201144139536</v>
      </c>
      <c r="O28" s="71">
        <v>215.70852749068888</v>
      </c>
    </row>
    <row r="29" spans="2:21" ht="10.5" x14ac:dyDescent="0.25">
      <c r="B29" t="s">
        <v>29</v>
      </c>
      <c r="C29" s="39">
        <f t="array" ref="C29:D29">pS*(1+tauTS)</f>
        <v>5265.18591158242</v>
      </c>
      <c r="D29" s="40">
        <v>217959.29531120259</v>
      </c>
      <c r="J29" s="92"/>
      <c r="N29" s="70">
        <v>4.1827201144139536</v>
      </c>
      <c r="O29" s="71">
        <v>215.70852749068888</v>
      </c>
    </row>
    <row r="30" spans="2:21" ht="10.5" x14ac:dyDescent="0.25">
      <c r="B30" t="s">
        <v>16</v>
      </c>
      <c r="C30" s="39">
        <f t="array" ref="C30:D30">pW</f>
        <v>1000</v>
      </c>
      <c r="D30" s="40">
        <v>1000</v>
      </c>
      <c r="J30" s="92"/>
      <c r="N30" s="70">
        <v>0</v>
      </c>
      <c r="O30" s="71">
        <v>0</v>
      </c>
    </row>
    <row r="31" spans="2:21" x14ac:dyDescent="0.2">
      <c r="B31" t="s">
        <v>17</v>
      </c>
      <c r="C31" s="93">
        <f>ABS(C82)</f>
        <v>7928.7060083893994</v>
      </c>
      <c r="D31" s="164">
        <f>wQ</f>
        <v>7928.7060083893994</v>
      </c>
      <c r="N31" s="70">
        <v>6.9287060083893994</v>
      </c>
      <c r="O31" s="71">
        <v>6.9287060083893994</v>
      </c>
    </row>
    <row r="32" spans="2:21" x14ac:dyDescent="0.2">
      <c r="B32" t="s">
        <v>36</v>
      </c>
      <c r="C32" s="39">
        <f t="array" ref="C32:D32">w*(1+tauL)</f>
        <v>11552.151811195245</v>
      </c>
      <c r="D32" s="40">
        <v>11552.151811195246</v>
      </c>
      <c r="N32" s="70">
        <v>6.9287060083893985</v>
      </c>
      <c r="O32" s="71">
        <v>6.9287060083893985</v>
      </c>
      <c r="Q32" s="113">
        <f t="array" ref="Q32:R32">bKL*(Labour/KL)^(rhoKL-1)*pKL/pL-1</f>
        <v>-1.6231460620019789E-13</v>
      </c>
      <c r="R32" s="113">
        <v>9.6109276159772605E-7</v>
      </c>
      <c r="S32" t="s">
        <v>122</v>
      </c>
    </row>
    <row r="33" spans="2:19" x14ac:dyDescent="0.2">
      <c r="B33" t="s">
        <v>18</v>
      </c>
      <c r="C33" s="144">
        <f>ABS(C83)</f>
        <v>5182.7201144139535</v>
      </c>
      <c r="D33" s="165">
        <f>C33</f>
        <v>5182.7201144139535</v>
      </c>
      <c r="E33" t="s">
        <v>56</v>
      </c>
      <c r="N33" s="70">
        <v>4.1827201144139536</v>
      </c>
      <c r="O33" s="71">
        <v>4.1827201144139536</v>
      </c>
      <c r="Q33" s="113">
        <f t="array" ref="Q33:R33">aKL*(K/KL)^(rhoKL-1)*pKL/pK-1</f>
        <v>1.5365486660812167E-13</v>
      </c>
      <c r="R33" s="113">
        <v>-5.5100856988232749E-7</v>
      </c>
      <c r="S33" t="s">
        <v>122</v>
      </c>
    </row>
    <row r="34" spans="2:19" ht="10.5" x14ac:dyDescent="0.25">
      <c r="B34" t="s">
        <v>61</v>
      </c>
      <c r="C34" s="93">
        <f t="array" ref="C34:D34">ABS(C84:D84)</f>
        <v>6603.464992985344</v>
      </c>
      <c r="D34" s="94">
        <v>5948.3543409101503</v>
      </c>
      <c r="J34" s="107" t="s">
        <v>121</v>
      </c>
      <c r="K34" s="113">
        <f t="array" ref="K34:L34">pKL*KL/(pK*K+pL*Labour)-1</f>
        <v>-4.0745185003743245E-14</v>
      </c>
      <c r="L34" s="113">
        <v>7.9514173023653711E-13</v>
      </c>
      <c r="N34" s="70">
        <v>5.6034649929853444</v>
      </c>
      <c r="O34" s="71">
        <v>4.94835434091015</v>
      </c>
      <c r="Q34" s="113">
        <f t="array" ref="Q34:R34">(aKL^sigmaKL*pK^(1-sigmaKL)+bKL^sigmaKL*pL^(1-sigmaKL))^((rhoKL-1)/rhoKL)-pKL</f>
        <v>2.7830537874251604E-10</v>
      </c>
      <c r="R34" s="113">
        <v>-4.9567461246624589E-9</v>
      </c>
      <c r="S34" t="s">
        <v>122</v>
      </c>
    </row>
    <row r="35" spans="2:19" x14ac:dyDescent="0.2">
      <c r="B35" t="s">
        <v>62</v>
      </c>
      <c r="C35" s="33">
        <f t="array" ref="C35:D35">(aKLE^sigmaKLE*pKL^(1-sigmaKLE)+bKLE^sigmaKLE*pEY^(1-sigmaKLE))^(1/(1-sigmaKLE))</f>
        <v>9468.2925858823201</v>
      </c>
      <c r="D35" s="34">
        <v>100909.04863376828</v>
      </c>
      <c r="N35" s="72">
        <v>8.4682925858823204</v>
      </c>
      <c r="O35" s="73">
        <v>99.909048633768279</v>
      </c>
      <c r="Q35" s="113">
        <f t="array" ref="Q35:R35">(pKL*KL+pEY*alphaEY*Y)/KLE-pKLE</f>
        <v>0</v>
      </c>
      <c r="R35" s="113">
        <v>0</v>
      </c>
    </row>
    <row r="37" spans="2:19" ht="10.5" x14ac:dyDescent="0.25">
      <c r="B37" t="s">
        <v>19</v>
      </c>
      <c r="C37" s="81">
        <f t="array" ref="C37:D37">ABS(C89:D89)</f>
        <v>2742.5561603223423</v>
      </c>
      <c r="D37" s="82">
        <v>6.9982168543424644E-6</v>
      </c>
      <c r="H37" s="60">
        <f t="array" ref="H37:I37">(aX*D^rhoX+bX*X^rhoX)^(1/rhoX)</f>
        <v>2742.5561603215892</v>
      </c>
      <c r="I37" s="61">
        <v>6.9982115402513216E-6</v>
      </c>
      <c r="J37" s="107" t="s">
        <v>107</v>
      </c>
      <c r="K37" s="113">
        <f t="array" ref="K37:L37">H37:I37/Y-1</f>
        <v>-2.7455815398980121E-13</v>
      </c>
      <c r="L37" s="113">
        <v>-7.5934931043075693E-7</v>
      </c>
      <c r="N37" s="68">
        <f t="array" ref="N37:O48">VOLUMES/Calibration!VOLUMES-1</f>
        <v>-0.90154879697677959</v>
      </c>
      <c r="O37" s="69">
        <v>-0.99999999434152564</v>
      </c>
      <c r="Q37" s="113">
        <f t="array" ref="Q37:R37">(aY*KLE^rhoY+bY*(alphaMY*Y)^rhoY)^(1/rhoY)-Y</f>
        <v>4.5474735088646412E-12</v>
      </c>
      <c r="R37" s="113">
        <v>0</v>
      </c>
    </row>
    <row r="38" spans="2:19" x14ac:dyDescent="0.2">
      <c r="B38" t="s">
        <v>3</v>
      </c>
      <c r="C38" s="39">
        <f t="array" ref="C38:D38">(bS/pW)^sigmaS*(aS^sigmaS*pD^(1-sigmaS)+bS^sigmaS*pW^(1-sigmaS))^(-1/rhoS)*S</f>
        <v>11451.259310722504</v>
      </c>
      <c r="D38" s="40">
        <v>24.649890455330176</v>
      </c>
      <c r="N38" s="70">
        <v>5.0704502288703122</v>
      </c>
      <c r="O38" s="71">
        <v>-0.90619825236509832</v>
      </c>
      <c r="Q38" s="113">
        <f t="array" ref="Q38:R38">pD*D+pW*M-pS*S</f>
        <v>8.4377825260162354E-6</v>
      </c>
      <c r="R38" s="113">
        <v>-1.9079743651673198E-7</v>
      </c>
    </row>
    <row r="39" spans="2:19" ht="10.5" x14ac:dyDescent="0.25">
      <c r="B39" t="s">
        <v>114</v>
      </c>
      <c r="C39" s="79">
        <f t="array" ref="C39:D39">ABS(C85:D85)</f>
        <v>5999.8864019333514</v>
      </c>
      <c r="D39" s="80">
        <v>14.08541870999948</v>
      </c>
      <c r="E39" t="s">
        <v>109</v>
      </c>
      <c r="H39" s="60">
        <f t="array" ref="H39:I39">MMULT(Y,TRANSPOSE(alpha))+Consumption+G+I</f>
        <v>5999.8864019347302</v>
      </c>
      <c r="I39" s="61">
        <v>14.085418709950583</v>
      </c>
      <c r="J39" s="107" t="s">
        <v>72</v>
      </c>
      <c r="K39" s="113">
        <f t="array" ref="K39:L39">H39:I39/S-1</f>
        <v>2.298161660974074E-13</v>
      </c>
      <c r="L39" s="113">
        <v>-3.471556375700402E-12</v>
      </c>
      <c r="N39" s="70">
        <v>-0.77400158635382987</v>
      </c>
      <c r="O39" s="71">
        <v>-0.99000000000000032</v>
      </c>
    </row>
    <row r="40" spans="2:19" x14ac:dyDescent="0.2">
      <c r="B40" t="s">
        <v>76</v>
      </c>
      <c r="C40" s="39">
        <f t="array" ref="C40:D40">(aS/pD)^sigmaS*(aS^sigmaS*pD^(1-sigmaS)+bS^sigmaS*pW^(1-sigmaS))^(-1/rhoS)*S</f>
        <v>2577.6990552466764</v>
      </c>
      <c r="D40" s="40">
        <v>6.7358571795824232E-6</v>
      </c>
      <c r="F40" s="156"/>
      <c r="N40" s="72">
        <v>-0.8954787538862311</v>
      </c>
      <c r="O40" s="73">
        <v>-0.99999999412103058</v>
      </c>
    </row>
    <row r="41" spans="2:19" ht="10.5" x14ac:dyDescent="0.25">
      <c r="B41" t="s">
        <v>28</v>
      </c>
      <c r="C41" s="39">
        <f>(aU/pCQ)^sigmaU/(aU^sigmaU*pCQ^(1-sigmaU)+bU^sigmaU*pCE^(1-sigmaU))*Revenue</f>
        <v>642.44363645460874</v>
      </c>
      <c r="D41" s="40">
        <f>(bU/pCE)^sigmaU/(aU^sigmaU*pCQ^(1-sigmaU)+bU^sigmaU*pCE^(1-sigmaU))*Revenue</f>
        <v>3.9771278320070986</v>
      </c>
      <c r="E41" t="s">
        <v>57</v>
      </c>
      <c r="H41" s="59" t="s">
        <v>67</v>
      </c>
      <c r="I41" s="91">
        <v>0.99000000000000032</v>
      </c>
      <c r="J41" s="107" t="s">
        <v>73</v>
      </c>
      <c r="K41" s="113">
        <f>Model!SE/(1-I41)/Calibration!SE-1</f>
        <v>0</v>
      </c>
      <c r="N41" s="70">
        <v>-0.90167087103002264</v>
      </c>
      <c r="O41" s="71">
        <v>-0.98953133638660284</v>
      </c>
    </row>
    <row r="42" spans="2:19" x14ac:dyDescent="0.2">
      <c r="B42" t="s">
        <v>7</v>
      </c>
      <c r="C42" s="110">
        <f t="array" ref="C42">omegaG*GDP/pG</f>
        <v>535.12172714900009</v>
      </c>
      <c r="D42" s="8">
        <v>0</v>
      </c>
      <c r="N42" s="70">
        <v>-0.83677857799535948</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43.731234960481743</v>
      </c>
      <c r="D44" s="159">
        <v>8.4309268578319944E-9</v>
      </c>
      <c r="N44" s="70">
        <v>-0.98631280644903918</v>
      </c>
      <c r="O44" s="71">
        <v>-0.99999999990736532</v>
      </c>
    </row>
    <row r="45" spans="2:19" x14ac:dyDescent="0.2">
      <c r="B45" t="s">
        <v>27</v>
      </c>
      <c r="C45" s="81">
        <f t="array" ref="C45:D45">ABS(C88:D88)</f>
        <v>463.0183556720857</v>
      </c>
      <c r="D45" s="82">
        <v>6.9015814998215703E-7</v>
      </c>
      <c r="H45" s="27"/>
      <c r="N45" s="70">
        <v>-0.90806370016970661</v>
      </c>
      <c r="O45" s="71">
        <v>-0.99999999078626134</v>
      </c>
      <c r="Q45" s="113">
        <f t="array" ref="Q45:R45">(bKL/pL)^sigmaKL*(aKL^sigmaKL*pK^(1-sigmaKL)+bKL^sigmaKL*pL^(1-sigmaKL))^(-1/rhoKL)*KL/Labour-1</f>
        <v>-3.5860203695392556E-14</v>
      </c>
      <c r="R45" s="113">
        <v>1.4416373050885056E-7</v>
      </c>
      <c r="S45" t="s">
        <v>122</v>
      </c>
    </row>
    <row r="46" spans="2:19" x14ac:dyDescent="0.2">
      <c r="B46" t="s">
        <v>2</v>
      </c>
      <c r="C46" s="33">
        <f t="array" ref="C46:D46">(KL^rhoKL/aKL-bKL*Labour^rhoKL/aKL)^(1/rhoKL)</f>
        <v>671.06859436371008</v>
      </c>
      <c r="D46" s="34">
        <v>2.6832411676799925E-6</v>
      </c>
      <c r="N46" s="70">
        <v>-0.89555674739405189</v>
      </c>
      <c r="O46" s="71">
        <v>-0.99999999017952101</v>
      </c>
      <c r="Q46" s="113">
        <f t="array" ref="Q46:R46">(aKL/pK)^sigmaKL*(aKL^sigmaKL*pK^(1-sigmaKL)+bKL^sigmaKL*pL^(1-sigmaKL))^(-1/rhoKL)*KL/K-1</f>
        <v>5.8397731095283234E-14</v>
      </c>
      <c r="R46" s="113">
        <v>-8.2651429811342325E-8</v>
      </c>
      <c r="S46" t="s">
        <v>122</v>
      </c>
    </row>
    <row r="47" spans="2:19" x14ac:dyDescent="0.2">
      <c r="B47" t="s">
        <v>35</v>
      </c>
      <c r="C47" s="39">
        <f t="array" ref="C47:D47">(aKLE/pKL)^sigmaKLE*(aKLE^sigmaKLE*pKL^(1-sigmaKLE)+bKLE^sigmaKLE*pEY^(1-sigmaKLE))^(-1/rhoKLE)*KLE</f>
        <v>1336.6950604917758</v>
      </c>
      <c r="D47" s="40">
        <v>3.6782105503412045E-6</v>
      </c>
      <c r="N47" s="70">
        <v>-0.90287832783293431</v>
      </c>
      <c r="O47" s="71">
        <v>-0.99999999038040532</v>
      </c>
      <c r="Q47" s="113">
        <f t="array" ref="Q47:R47">(aKL*K^rhoKL+bKL*Labour^rhoKL)^(1/rhoKL)-KL</f>
        <v>0</v>
      </c>
      <c r="R47" s="113">
        <v>0</v>
      </c>
    </row>
    <row r="48" spans="2:19" x14ac:dyDescent="0.2">
      <c r="B48" t="s">
        <v>53</v>
      </c>
      <c r="C48" s="33">
        <f t="array" ref="C48:D48">(aY/pKLE)^sigmaY*(aY^sigmaY*pKLE^(1-sigmaY)+bY^sigmaY*pMY^(1-sigmaY))^(-1/rhoY)*Y</f>
        <v>1164.9423088419587</v>
      </c>
      <c r="D48" s="34">
        <v>3.873799658414811E-6</v>
      </c>
      <c r="N48" s="72">
        <v>-0.91889152121767703</v>
      </c>
      <c r="O48" s="73">
        <v>-0.99999999526005334</v>
      </c>
      <c r="Q48" s="113">
        <f t="array" ref="Q48:R48">(aKLE*KL^rhoKLE+bKLE*(alphaEY*Y)^rhoKLE)^(1/rhoKLE)-KLE</f>
        <v>0</v>
      </c>
      <c r="R48" s="113">
        <v>6.7762635780344027E-21</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123.54395776478378</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5315236.7963647936</v>
      </c>
      <c r="J55" s="107" t="s">
        <v>71</v>
      </c>
      <c r="K55" s="113">
        <f t="array" ref="K55">pK/pI/Calibration!pK*Calibration!pI-1</f>
        <v>0</v>
      </c>
      <c r="N55" s="74">
        <f t="array" ref="N55:N59">AGGREGATES/Calibration!AGGREGATES-1</f>
        <v>0.8172806176960774</v>
      </c>
      <c r="T55" s="107" t="s">
        <v>124</v>
      </c>
      <c r="U55" s="113">
        <f>SUM(K)/SUM(Calibration!K)-1</f>
        <v>-0.89981699200578436</v>
      </c>
      <c r="W55" s="113">
        <f>SUM(K)/SUM(Calibration!K)-1</f>
        <v>-0.89981699200578436</v>
      </c>
      <c r="Y55" s="113">
        <f>SUM(K)/SUM(Calibration!K)-1</f>
        <v>-0.89981699200578436</v>
      </c>
      <c r="AA55" s="113">
        <f>SUM(K)/SUM(Calibration!K)-1</f>
        <v>-0.89981699200578436</v>
      </c>
      <c r="AC55" s="113">
        <f>SUM(K)/SUM(Calibration!K)-1</f>
        <v>-0.89981699200578436</v>
      </c>
      <c r="AE55" s="113">
        <f>SUM(K)/SUM(Calibration!K)-1</f>
        <v>-0.89981699200578436</v>
      </c>
      <c r="AG55" s="113">
        <f t="array" ref="AG55">pK/pI/Calibration!pK*Calibration!pI*20%^sigmaw*(20%+80%*(SUM(Calibration!K)-SUM(K))/SUM(Calibration!K))^-sigmaw-1</f>
        <v>0.16484696205341898</v>
      </c>
      <c r="AI55" s="113">
        <f t="array" ref="AI55">pK/pI/Calibration!pK*Calibration!pI-1</f>
        <v>0</v>
      </c>
      <c r="AK55" s="113">
        <f>SUM(K)/SUM(Calibration!K)-1</f>
        <v>-0.89981699200578436</v>
      </c>
    </row>
    <row r="56" spans="2:38" ht="10.5" x14ac:dyDescent="0.25">
      <c r="B56" t="s">
        <v>47</v>
      </c>
      <c r="C56" s="77">
        <f>(aU*CQ^rhoU+bU*CE^rhoU)^(1/rhoU)</f>
        <v>7.5948576952393321E-2</v>
      </c>
      <c r="J56" s="107" t="s">
        <v>74</v>
      </c>
      <c r="K56" s="113">
        <f t="array" ref="K56">w/CPI/Calibration!w*6.1%^sigmaw*(6.1%+93.9%*(SUM(Calibration!Labour)-SUM(Labour))/SUM(Calibration!Labour))^-sigmaw-1</f>
        <v>-1.6978640715592519E-12</v>
      </c>
      <c r="N56" s="75">
        <v>-0.92405142304760668</v>
      </c>
      <c r="T56" s="107" t="s">
        <v>125</v>
      </c>
      <c r="U56" s="113">
        <f>SUM(Labour)/SUM(Calibration!Labour)-1</f>
        <v>-0.90941103885503782</v>
      </c>
      <c r="W56" s="113">
        <f>SUM(Labour)/SUM(Calibration!Labour)-1</f>
        <v>-0.90941103885503782</v>
      </c>
      <c r="Y56" s="113">
        <f>SUM(Labour)/SUM(Calibration!Labour)-1</f>
        <v>-0.90941103885503782</v>
      </c>
      <c r="AA56" s="113">
        <f t="array" ref="AA56">omegaI*GDP/SUM(pI*I)-1</f>
        <v>-0.83677857799535948</v>
      </c>
      <c r="AC56" s="113">
        <f t="array" ref="AC56">w/CPI/Calibration!w-1</f>
        <v>-0.23722953931624358</v>
      </c>
      <c r="AE56" s="113">
        <f t="array" ref="AE56">w/CPI/Calibration!w-1</f>
        <v>-0.23722953931624358</v>
      </c>
      <c r="AG56" s="113">
        <f t="array" ref="AG56">w/CPI/Calibration!w*6.1%^sigmaw*(6.1%+93.9%*(SUM(Calibration!Labour)-SUM(Labour))/SUM(Calibration!Labour))^-sigmaw-1</f>
        <v>-1.6978640715592519E-12</v>
      </c>
      <c r="AI56" s="113">
        <f t="array" ref="AI56">w/CPI/Calibration!w*6.1%^sigmaw*(6.1%+93.9%*(SUM(Calibration!Labour)-SUM(Labour))/SUM(Calibration!Labour))^-sigmaw-1</f>
        <v>-1.6978640715592519E-12</v>
      </c>
      <c r="AK56" s="113">
        <f t="array" ref="AK56">w/CPI/Calibration!w-1</f>
        <v>-0.23722953931624358</v>
      </c>
    </row>
    <row r="57" spans="2:38" ht="10.5" x14ac:dyDescent="0.25">
      <c r="B57" t="s">
        <v>64</v>
      </c>
      <c r="C57" s="83">
        <f>ABS(C87)</f>
        <v>12464333.936487548</v>
      </c>
      <c r="J57" s="107" t="s">
        <v>88</v>
      </c>
      <c r="K57" s="113">
        <f t="array" ref="K57">I/SUM(K)/Calibration!I*SUM(K)-1</f>
        <v>0</v>
      </c>
      <c r="N57" s="75">
        <v>-0.1540690530733011</v>
      </c>
      <c r="Q57" s="113">
        <f t="array" ref="Q57">(SUM(pC*Consumption+pG*G+pI*I)+B)/GDP-1</f>
        <v>0</v>
      </c>
      <c r="R57" s="113">
        <f t="array" ref="R57">SUM(w*Labour,pK*K,T)/GDP-1</f>
        <v>2.2415402867181911E-12</v>
      </c>
      <c r="T57" s="107" t="s">
        <v>126</v>
      </c>
      <c r="U57" s="113">
        <f>B/GDP/Calibration!B*Calibration!GDP-1</f>
        <v>-12.887202211495145</v>
      </c>
      <c r="W57" s="113">
        <f>B/GDP/Calibration!B*Calibration!GDP-1</f>
        <v>-12.887202211495145</v>
      </c>
      <c r="Y57" s="113">
        <f>B/GDP/Calibration!B*Calibration!GDP-1</f>
        <v>-12.887202211495145</v>
      </c>
      <c r="AA57" s="113">
        <f>B/GDP/Calibration!B*Calibration!GDP-1</f>
        <v>-12.887202211495145</v>
      </c>
      <c r="AC57" s="113">
        <f>B/GDP/Calibration!B*Calibration!GDP-1</f>
        <v>-12.887202211495145</v>
      </c>
      <c r="AE57" s="113">
        <f>B/GDP/Calibration!B*Calibration!GDP-1</f>
        <v>-12.887202211495145</v>
      </c>
      <c r="AG57" s="113">
        <f>B/GDP/Calibration!B*Calibration!GDP-1</f>
        <v>-12.887202211495145</v>
      </c>
      <c r="AI57" s="113">
        <f t="array" ref="AI57">I/SUM(K)/Calibration!I*SUM(K)-1</f>
        <v>0</v>
      </c>
      <c r="AK57" s="113">
        <f>B/GDP/Calibration!B*Calibration!GDP-1</f>
        <v>-12.887202211495145</v>
      </c>
    </row>
    <row r="58" spans="2:38" ht="10.5" x14ac:dyDescent="0.25">
      <c r="B58" t="s">
        <v>54</v>
      </c>
      <c r="C58" s="111">
        <f t="array" ref="C58">GDP-SUM(pG*G,pI*I,B)</f>
        <v>4249437.163273422</v>
      </c>
      <c r="J58" s="107" t="s">
        <v>123</v>
      </c>
      <c r="K58" s="113">
        <f t="array" ref="K58:L58">bKL*(KL/Labour)^(1/sigmaKL)*pKL/pL-1</f>
        <v>-1.6231460620019789E-13</v>
      </c>
      <c r="L58" s="113">
        <v>9.6109276159772605E-7</v>
      </c>
      <c r="N58" s="75">
        <v>-0.39463824200037334</v>
      </c>
      <c r="Q58" s="113">
        <f t="array" ref="Q58">SUM(pC*Consumption)-Revenue</f>
        <v>0</v>
      </c>
      <c r="T58" s="107" t="s">
        <v>127</v>
      </c>
      <c r="U58" s="113">
        <f t="array" ref="U58:V58">bKL*(KL/Labour)^(1/sigmaKL)*pKL/pL-1</f>
        <v>-1.6231460620019789E-13</v>
      </c>
      <c r="V58" s="113">
        <v>9.6109276159772605E-7</v>
      </c>
      <c r="W58" s="113">
        <f t="array" ref="W58:X58">bKL*(KL/Labour)^(1/sigmaKL)*pKL/pL-1</f>
        <v>-1.6231460620019789E-13</v>
      </c>
      <c r="X58" s="113">
        <v>9.6109276159772605E-7</v>
      </c>
      <c r="Y58" s="113">
        <f t="array" ref="Y58">omegaI*GDP/SUM(pI*I)-1</f>
        <v>-0.83677857799535948</v>
      </c>
      <c r="Z58" s="113">
        <f>Labour_Q/KL_Q/Calibration!Labour_Q*Calibration!KL_Q-Labour_E/KL_E/Calibration!Labour_E*Calibration!KL_E</f>
        <v>-1.1199920322794599E-2</v>
      </c>
      <c r="AA58" s="113">
        <f t="array" ref="AA58:AB58">bKL*(KL/Labour)^(1/sigmaKL)*pKL/pL-1</f>
        <v>-1.6231460620019789E-13</v>
      </c>
      <c r="AB58" s="113">
        <v>9.6109276159772605E-7</v>
      </c>
      <c r="AC58" s="113">
        <f t="array" ref="AC58">omegaI*GDP/SUM(pI*I)-1</f>
        <v>-0.83677857799535948</v>
      </c>
      <c r="AD58" s="113">
        <f>Labour_Q/KL_Q/Calibration!Labour_Q*Calibration!KL_Q-Labour_E/KL_E/Calibration!Labour_E*Calibration!KL_E</f>
        <v>-1.1199920322794599E-2</v>
      </c>
      <c r="AE58" s="113">
        <f t="array" ref="AE58">omegaI*GDP/SUM(pI*I)-1</f>
        <v>-0.83677857799535948</v>
      </c>
      <c r="AF58" s="113">
        <f>Labour_Q/KL_Q/Calibration!Labour_Q*Calibration!KL_Q-Labour_E/KL_E/Calibration!Labour_E*Calibration!KL_E</f>
        <v>-1.1199920322794599E-2</v>
      </c>
      <c r="AG58" s="113">
        <f t="array" ref="AG58:AH58">bKL*(KL/Labour)^(1/sigmaKL)*pKL/pL-1</f>
        <v>-1.6231460620019789E-13</v>
      </c>
      <c r="AH58" s="113">
        <v>9.6109276159772605E-7</v>
      </c>
      <c r="AI58" s="113">
        <f t="array" ref="AI58:AJ58">bKL*(KL/Labour)^(1/sigmaKL)*pKL/pL-1</f>
        <v>-1.6231460620019789E-13</v>
      </c>
      <c r="AJ58" s="113">
        <v>9.6109276159772605E-7</v>
      </c>
      <c r="AK58" s="113">
        <f t="array" ref="AK58">(pI*I)/(Calibration!pI*Calibration!I)-1</f>
        <v>4.1827201144139536</v>
      </c>
      <c r="AL58" s="113">
        <f>Labour_Q/KL_Q/Calibration!Labour_Q*Calibration!KL_Q-Labour_E/KL_E/Calibration!Labour_E*Calibration!KL_E</f>
        <v>-1.1199920322794599E-2</v>
      </c>
    </row>
    <row r="59" spans="2:38" ht="10.5" x14ac:dyDescent="0.25">
      <c r="B59" t="s">
        <v>75</v>
      </c>
      <c r="C59" s="111">
        <f t="array" ref="C59">SUM(pX*X - pW*M)</f>
        <v>-11432177.966208922</v>
      </c>
      <c r="J59" s="107" t="s">
        <v>70</v>
      </c>
      <c r="K59" s="113">
        <f t="array" ref="K59">(sL*(SUM(w*Labour))+sG*(T-SUM(pG*G))+sK*SUM(pK*K)-B)/SUM(pI*I)-1</f>
        <v>2.0008439349794571E-12</v>
      </c>
      <c r="N59" s="76">
        <v>-11.055752223079239</v>
      </c>
      <c r="T59" s="107" t="s">
        <v>128</v>
      </c>
      <c r="U59" s="113">
        <f t="array" ref="U59">(sL*(SUM(w*Labour))+sG*(T-SUM(pG*G))+sK*SUM(pK*K)-B)/SUM(pI*I)-1</f>
        <v>2.0008439349794571E-12</v>
      </c>
      <c r="W59" s="113">
        <f t="array" ref="W59">omegaI*GDP/SUM(pI*I)-1</f>
        <v>-0.83677857799535948</v>
      </c>
      <c r="Y59" s="113">
        <f t="array" ref="Y59">(sL*(SUM(w*Labour))+sG*(T-SUM(pG*G))+sK*SUM(pK*K)-B)/SUM(pI*I)-1</f>
        <v>2.0008439349794571E-12</v>
      </c>
      <c r="AA59" s="113">
        <f t="array" ref="AA59">(sL*(SUM(w*Labour))+sG*(T-SUM(pG*G))+sK*SUM(pK*K)-B)/SUM(pI*I)-1</f>
        <v>2.0008439349794571E-12</v>
      </c>
      <c r="AC59" s="113">
        <f t="array" ref="AC59">(sL*(SUM(w*Labour))+sG*(T-SUM(pG*G))+sK*SUM(pK*K)-B)/SUM(pI*I)-1</f>
        <v>2.0008439349794571E-12</v>
      </c>
      <c r="AE59" s="113">
        <f t="array" ref="AE59">(sL*(SUM(w*Labour))+sG*(T-SUM(pG*G))+sK*SUM(pK*K)-B)/SUM(pI*I)-1</f>
        <v>2.0008439349794571E-12</v>
      </c>
      <c r="AG59" s="113">
        <f t="array" ref="AG59">(sL*(SUM(w*Labour))+sG*(T-SUM(pG*G))+sK*SUM(pK*K)-B)/SUM(pI*I)-1</f>
        <v>2.0008439349794571E-12</v>
      </c>
      <c r="AI59" s="113">
        <f t="array" ref="AI59">(sL*(SUM(w*Labour))+sG*(T-SUM(pG*G))+sK*SUM(pK*K)-B)/SUM(pI*I)-1</f>
        <v>2.0008439349794571E-12</v>
      </c>
      <c r="AK59" s="113">
        <f t="array" ref="AK59">(sL*(SUM(w*Labour))+sG*(T-SUM(pG*G))+sK*SUM(pK*K)-B)/SUM(pI*I)-1</f>
        <v>2.0008439349794571E-12</v>
      </c>
    </row>
    <row r="60" spans="2:38" ht="10.5" x14ac:dyDescent="0.25">
      <c r="B60" t="s">
        <v>145</v>
      </c>
      <c r="C60" s="191">
        <f t="array" ref="C60">SQRT(SUM(pC*Calibration!Consumption)*SUM(pC*Consumption)/SUM(Calibration!pC*Calibration!Consumption)/SUM(Calibration!pC*Consumption))</f>
        <v>10.394615965177801</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0.43302605834777103</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0.59285436675066627</v>
      </c>
      <c r="D70" s="36">
        <v>0.7515284087811186</v>
      </c>
      <c r="E70" t="s">
        <v>24</v>
      </c>
      <c r="N70" s="68">
        <f t="array" ref="N70:O73">FACTORS/Calibration!FACTORS-1</f>
        <v>0.2561600244984259</v>
      </c>
      <c r="O70" s="69">
        <v>1.3678513162848938</v>
      </c>
    </row>
    <row r="71" spans="2:15" x14ac:dyDescent="0.2">
      <c r="C71" s="37">
        <f t="array" ref="C71:D71">(bKLE/pEY)^sigmaKLE*(aKLE^sigmaKLE*pKL^(1-sigmaKLE)+bKLE^sigmaKLE*pEY^(1-sigmaKLE))^(-1/rhoKLE)*KLE/Y</f>
        <v>3.6857182110273316E-3</v>
      </c>
      <c r="D71" s="38">
        <v>0.24192994695805867</v>
      </c>
      <c r="E71" t="s">
        <v>25</v>
      </c>
      <c r="N71" s="70">
        <v>-0.82779606820526519</v>
      </c>
      <c r="O71" s="71">
        <v>-0.30802941798530936</v>
      </c>
    </row>
    <row r="72" spans="2:15" x14ac:dyDescent="0.2">
      <c r="B72" t="s">
        <v>22</v>
      </c>
      <c r="C72" s="35">
        <f t="array" ref="C72:D72">Labour/Y</f>
        <v>0.168827301468155</v>
      </c>
      <c r="D72" s="36">
        <v>9.8619143182724744E-2</v>
      </c>
      <c r="N72" s="70">
        <v>-6.6173931784159867E-2</v>
      </c>
      <c r="O72" s="71">
        <v>0.62830793350323821</v>
      </c>
    </row>
    <row r="73" spans="2:15" x14ac:dyDescent="0.2">
      <c r="B73" t="s">
        <v>23</v>
      </c>
      <c r="C73" s="37">
        <f t="array" ref="C73:D73">K/Y</f>
        <v>0.24468727535002857</v>
      </c>
      <c r="D73" s="38">
        <v>0.38341783679009805</v>
      </c>
      <c r="N73" s="72">
        <v>6.0863142335746412E-2</v>
      </c>
      <c r="O73" s="73">
        <v>0.73553477944220402</v>
      </c>
    </row>
    <row r="79" spans="2:15" ht="10.5" x14ac:dyDescent="0.25">
      <c r="B79" s="92" t="s">
        <v>93</v>
      </c>
    </row>
    <row r="80" spans="2:15" x14ac:dyDescent="0.2">
      <c r="B80" t="s">
        <v>12</v>
      </c>
      <c r="C80" s="81">
        <v>7178.7787424694216</v>
      </c>
      <c r="D80" s="82">
        <v>60833.364578185334</v>
      </c>
    </row>
    <row r="81" spans="2:5" x14ac:dyDescent="0.2">
      <c r="B81" t="s">
        <v>115</v>
      </c>
      <c r="C81" s="93">
        <v>5182.7201144139535</v>
      </c>
      <c r="D81" s="94">
        <v>1750.0591696535362</v>
      </c>
    </row>
    <row r="82" spans="2:5" x14ac:dyDescent="0.2">
      <c r="B82" t="s">
        <v>17</v>
      </c>
      <c r="C82" s="93">
        <v>7928.7060083893994</v>
      </c>
      <c r="D82" s="94">
        <v>1000</v>
      </c>
    </row>
    <row r="83" spans="2:5" x14ac:dyDescent="0.2">
      <c r="B83" t="s">
        <v>18</v>
      </c>
      <c r="C83" s="146">
        <v>5182.7201144139535</v>
      </c>
      <c r="D83" s="147">
        <v>1000</v>
      </c>
    </row>
    <row r="84" spans="2:5" x14ac:dyDescent="0.2">
      <c r="B84" t="s">
        <v>61</v>
      </c>
      <c r="C84" s="146">
        <v>6603.464992985344</v>
      </c>
      <c r="D84" s="147">
        <v>5948.3543409101503</v>
      </c>
    </row>
    <row r="85" spans="2:5" x14ac:dyDescent="0.2">
      <c r="B85" t="s">
        <v>114</v>
      </c>
      <c r="C85" s="79">
        <v>5999.8864019333514</v>
      </c>
      <c r="D85" s="80">
        <v>14.08541870999948</v>
      </c>
    </row>
    <row r="86" spans="2:5" x14ac:dyDescent="0.2">
      <c r="B86" t="s">
        <v>8</v>
      </c>
      <c r="C86" s="93">
        <v>3196.3846373657216</v>
      </c>
      <c r="D86" s="186">
        <v>123.54395776478378</v>
      </c>
      <c r="E86" t="s">
        <v>148</v>
      </c>
    </row>
    <row r="87" spans="2:5" x14ac:dyDescent="0.2">
      <c r="B87" t="s">
        <v>64</v>
      </c>
      <c r="C87" s="149">
        <v>12464333.936487548</v>
      </c>
      <c r="D87" s="150">
        <v>0</v>
      </c>
    </row>
    <row r="88" spans="2:5" x14ac:dyDescent="0.2">
      <c r="B88" t="s">
        <v>27</v>
      </c>
      <c r="C88" s="149">
        <v>463.0183556720857</v>
      </c>
      <c r="D88" s="157">
        <v>6.9015814998215703E-7</v>
      </c>
    </row>
    <row r="89" spans="2:5" x14ac:dyDescent="0.2">
      <c r="B89" t="s">
        <v>19</v>
      </c>
      <c r="C89" s="148">
        <v>2742.5561603223423</v>
      </c>
      <c r="D89" s="151">
        <v>6.9982168543424644E-6</v>
      </c>
    </row>
  </sheetData>
  <conditionalFormatting sqref="K21:L21">
    <cfRule type="cellIs" dxfId="138" priority="1852" stopIfTrue="1" operator="notEqual">
      <formula>0</formula>
    </cfRule>
  </conditionalFormatting>
  <conditionalFormatting sqref="Q48:R48">
    <cfRule type="cellIs" dxfId="137" priority="1841" stopIfTrue="1" operator="notEqual">
      <formula>0</formula>
    </cfRule>
  </conditionalFormatting>
  <conditionalFormatting sqref="K39:L39">
    <cfRule type="cellIs" dxfId="136" priority="1849" stopIfTrue="1" operator="notEqual">
      <formula>0</formula>
    </cfRule>
  </conditionalFormatting>
  <conditionalFormatting sqref="K41">
    <cfRule type="cellIs" dxfId="135" priority="1848" stopIfTrue="1" operator="notEqual">
      <formula>0</formula>
    </cfRule>
  </conditionalFormatting>
  <conditionalFormatting sqref="Q47:R47">
    <cfRule type="cellIs" dxfId="134" priority="1846" stopIfTrue="1" operator="notEqual">
      <formula>0</formula>
    </cfRule>
  </conditionalFormatting>
  <conditionalFormatting sqref="Q37:R37">
    <cfRule type="cellIs" dxfId="133" priority="1843" stopIfTrue="1" operator="notEqual">
      <formula>0</formula>
    </cfRule>
  </conditionalFormatting>
  <conditionalFormatting sqref="R57">
    <cfRule type="cellIs" dxfId="132" priority="1837" stopIfTrue="1" operator="notEqual">
      <formula>0</formula>
    </cfRule>
  </conditionalFormatting>
  <conditionalFormatting sqref="Q57:Q58">
    <cfRule type="cellIs" dxfId="131" priority="1839" stopIfTrue="1" operator="notEqual">
      <formula>0</formula>
    </cfRule>
  </conditionalFormatting>
  <conditionalFormatting sqref="W59">
    <cfRule type="cellIs" dxfId="130" priority="1784" stopIfTrue="1" operator="notEqual">
      <formula>0</formula>
    </cfRule>
  </conditionalFormatting>
  <conditionalFormatting sqref="K37:L37">
    <cfRule type="cellIs" dxfId="129" priority="1418" stopIfTrue="1" operator="notEqual">
      <formula>0</formula>
    </cfRule>
  </conditionalFormatting>
  <conditionalFormatting sqref="Q21:R21">
    <cfRule type="cellIs" dxfId="128" priority="1401" stopIfTrue="1" operator="notEqual">
      <formula>0</formula>
    </cfRule>
  </conditionalFormatting>
  <conditionalFormatting sqref="Q23:R23">
    <cfRule type="cellIs" dxfId="127" priority="1405" stopIfTrue="1" operator="notEqual">
      <formula>0</formula>
    </cfRule>
  </conditionalFormatting>
  <conditionalFormatting sqref="Q38:R38">
    <cfRule type="cellIs" dxfId="126" priority="1404" stopIfTrue="1" operator="notEqual">
      <formula>0</formula>
    </cfRule>
  </conditionalFormatting>
  <conditionalFormatting sqref="Q34:R34">
    <cfRule type="cellIs" dxfId="125" priority="1403" stopIfTrue="1" operator="notEqual">
      <formula>0</formula>
    </cfRule>
  </conditionalFormatting>
  <conditionalFormatting sqref="Q35:R35">
    <cfRule type="cellIs" dxfId="124" priority="1402" stopIfTrue="1" operator="notEqual">
      <formula>0</formula>
    </cfRule>
  </conditionalFormatting>
  <conditionalFormatting sqref="K23:L23">
    <cfRule type="cellIs" dxfId="123" priority="1400" stopIfTrue="1" operator="notEqual">
      <formula>0</formula>
    </cfRule>
  </conditionalFormatting>
  <conditionalFormatting sqref="K34:L34">
    <cfRule type="cellIs" dxfId="122" priority="1171" stopIfTrue="1" operator="notEqual">
      <formula>0</formula>
    </cfRule>
  </conditionalFormatting>
  <conditionalFormatting sqref="Q33:R33">
    <cfRule type="cellIs" dxfId="121" priority="1165" stopIfTrue="1" operator="notEqual">
      <formula>0</formula>
    </cfRule>
  </conditionalFormatting>
  <conditionalFormatting sqref="Q46:R46">
    <cfRule type="cellIs" dxfId="120" priority="1169" stopIfTrue="1" operator="notEqual">
      <formula>0</formula>
    </cfRule>
  </conditionalFormatting>
  <conditionalFormatting sqref="Q45:R45">
    <cfRule type="cellIs" dxfId="119" priority="1170" stopIfTrue="1" operator="notEqual">
      <formula>0</formula>
    </cfRule>
  </conditionalFormatting>
  <conditionalFormatting sqref="W58">
    <cfRule type="cellIs" dxfId="118" priority="1156" stopIfTrue="1" operator="notEqual">
      <formula>0</formula>
    </cfRule>
  </conditionalFormatting>
  <conditionalFormatting sqref="Q32:R32">
    <cfRule type="cellIs" dxfId="117" priority="1166" stopIfTrue="1" operator="notEqual">
      <formula>0</formula>
    </cfRule>
  </conditionalFormatting>
  <conditionalFormatting sqref="X58">
    <cfRule type="cellIs" dxfId="116" priority="1155" stopIfTrue="1" operator="notEqual">
      <formula>0</formula>
    </cfRule>
  </conditionalFormatting>
  <conditionalFormatting sqref="W55">
    <cfRule type="cellIs" dxfId="115" priority="1114" stopIfTrue="1" operator="notEqual">
      <formula>0</formula>
    </cfRule>
  </conditionalFormatting>
  <conditionalFormatting sqref="W56">
    <cfRule type="cellIs" dxfId="114" priority="1113" stopIfTrue="1" operator="notEqual">
      <formula>0</formula>
    </cfRule>
  </conditionalFormatting>
  <conditionalFormatting sqref="Y55">
    <cfRule type="cellIs" dxfId="113" priority="1111" stopIfTrue="1" operator="notEqual">
      <formula>0</formula>
    </cfRule>
  </conditionalFormatting>
  <conditionalFormatting sqref="Y56">
    <cfRule type="cellIs" dxfId="112" priority="1110" stopIfTrue="1" operator="notEqual">
      <formula>0</formula>
    </cfRule>
  </conditionalFormatting>
  <conditionalFormatting sqref="AA59">
    <cfRule type="cellIs" dxfId="111" priority="1107" stopIfTrue="1" operator="notEqual">
      <formula>0</formula>
    </cfRule>
  </conditionalFormatting>
  <conditionalFormatting sqref="AA55">
    <cfRule type="cellIs" dxfId="110" priority="1105" stopIfTrue="1" operator="notEqual">
      <formula>0</formula>
    </cfRule>
  </conditionalFormatting>
  <conditionalFormatting sqref="AA58">
    <cfRule type="cellIs" dxfId="109" priority="1101" stopIfTrue="1" operator="notEqual">
      <formula>0</formula>
    </cfRule>
  </conditionalFormatting>
  <conditionalFormatting sqref="AB58">
    <cfRule type="cellIs" dxfId="108" priority="1100" stopIfTrue="1" operator="notEqual">
      <formula>0</formula>
    </cfRule>
  </conditionalFormatting>
  <conditionalFormatting sqref="U58">
    <cfRule type="cellIs" dxfId="107" priority="1078" stopIfTrue="1" operator="notEqual">
      <formula>0</formula>
    </cfRule>
  </conditionalFormatting>
  <conditionalFormatting sqref="V58">
    <cfRule type="cellIs" dxfId="106" priority="1077" stopIfTrue="1" operator="notEqual">
      <formula>0</formula>
    </cfRule>
  </conditionalFormatting>
  <conditionalFormatting sqref="U57">
    <cfRule type="cellIs" dxfId="105" priority="1075" stopIfTrue="1" operator="notEqual">
      <formula>0</formula>
    </cfRule>
  </conditionalFormatting>
  <conditionalFormatting sqref="U55">
    <cfRule type="cellIs" dxfId="104" priority="1079" stopIfTrue="1" operator="notEqual">
      <formula>0</formula>
    </cfRule>
  </conditionalFormatting>
  <conditionalFormatting sqref="U56">
    <cfRule type="cellIs" dxfId="103" priority="1076" stopIfTrue="1" operator="notEqual">
      <formula>0</formula>
    </cfRule>
  </conditionalFormatting>
  <conditionalFormatting sqref="U59">
    <cfRule type="cellIs" dxfId="102" priority="1074" stopIfTrue="1" operator="notEqual">
      <formula>0</formula>
    </cfRule>
  </conditionalFormatting>
  <conditionalFormatting sqref="Z58">
    <cfRule type="cellIs" dxfId="101" priority="1052" stopIfTrue="1" operator="notEqual">
      <formula>0</formula>
    </cfRule>
  </conditionalFormatting>
  <conditionalFormatting sqref="AC59">
    <cfRule type="cellIs" dxfId="100" priority="1045" stopIfTrue="1" operator="notEqual">
      <formula>0</formula>
    </cfRule>
  </conditionalFormatting>
  <conditionalFormatting sqref="AC55">
    <cfRule type="cellIs" dxfId="99" priority="1044" stopIfTrue="1" operator="notEqual">
      <formula>0</formula>
    </cfRule>
  </conditionalFormatting>
  <conditionalFormatting sqref="AC56">
    <cfRule type="cellIs" dxfId="98" priority="1040" stopIfTrue="1" operator="notEqual">
      <formula>0</formula>
    </cfRule>
  </conditionalFormatting>
  <conditionalFormatting sqref="AD58">
    <cfRule type="cellIs" dxfId="97" priority="1038" stopIfTrue="1" operator="notEqual">
      <formula>0</formula>
    </cfRule>
  </conditionalFormatting>
  <conditionalFormatting sqref="AE59">
    <cfRule type="cellIs" dxfId="96" priority="1031" stopIfTrue="1" operator="notEqual">
      <formula>0</formula>
    </cfRule>
  </conditionalFormatting>
  <conditionalFormatting sqref="AE55">
    <cfRule type="cellIs" dxfId="95" priority="1030" stopIfTrue="1" operator="notEqual">
      <formula>0</formula>
    </cfRule>
  </conditionalFormatting>
  <conditionalFormatting sqref="AE56">
    <cfRule type="cellIs" dxfId="94" priority="1028" stopIfTrue="1" operator="notEqual">
      <formula>0</formula>
    </cfRule>
  </conditionalFormatting>
  <conditionalFormatting sqref="AF58">
    <cfRule type="cellIs" dxfId="93" priority="1026" stopIfTrue="1" operator="notEqual">
      <formula>0</formula>
    </cfRule>
  </conditionalFormatting>
  <conditionalFormatting sqref="AI59">
    <cfRule type="cellIs" dxfId="92" priority="1019" stopIfTrue="1" operator="notEqual">
      <formula>0</formula>
    </cfRule>
  </conditionalFormatting>
  <conditionalFormatting sqref="AI57">
    <cfRule type="cellIs" dxfId="91" priority="1017" stopIfTrue="1" operator="notEqual">
      <formula>0</formula>
    </cfRule>
  </conditionalFormatting>
  <conditionalFormatting sqref="AI55">
    <cfRule type="cellIs" dxfId="90" priority="1018" stopIfTrue="1" operator="notEqual">
      <formula>0</formula>
    </cfRule>
  </conditionalFormatting>
  <conditionalFormatting sqref="AI58">
    <cfRule type="cellIs" dxfId="89" priority="1013" stopIfTrue="1" operator="notEqual">
      <formula>0</formula>
    </cfRule>
  </conditionalFormatting>
  <conditionalFormatting sqref="AJ58">
    <cfRule type="cellIs" dxfId="88" priority="1012" stopIfTrue="1" operator="notEqual">
      <formula>0</formula>
    </cfRule>
  </conditionalFormatting>
  <conditionalFormatting sqref="W57">
    <cfRule type="cellIs" dxfId="87" priority="914" stopIfTrue="1" operator="notEqual">
      <formula>0</formula>
    </cfRule>
  </conditionalFormatting>
  <conditionalFormatting sqref="Y57">
    <cfRule type="cellIs" dxfId="86" priority="913" stopIfTrue="1" operator="notEqual">
      <formula>0</formula>
    </cfRule>
  </conditionalFormatting>
  <conditionalFormatting sqref="AA57">
    <cfRule type="cellIs" dxfId="85" priority="912" stopIfTrue="1" operator="notEqual">
      <formula>0</formula>
    </cfRule>
  </conditionalFormatting>
  <conditionalFormatting sqref="AC57">
    <cfRule type="cellIs" dxfId="84" priority="911" stopIfTrue="1" operator="notEqual">
      <formula>0</formula>
    </cfRule>
  </conditionalFormatting>
  <conditionalFormatting sqref="AE57">
    <cfRule type="cellIs" dxfId="83" priority="910" stopIfTrue="1" operator="notEqual">
      <formula>0</formula>
    </cfRule>
  </conditionalFormatting>
  <conditionalFormatting sqref="AK57">
    <cfRule type="cellIs" dxfId="82" priority="810" stopIfTrue="1" operator="notEqual">
      <formula>0</formula>
    </cfRule>
  </conditionalFormatting>
  <conditionalFormatting sqref="AK58">
    <cfRule type="cellIs" dxfId="81" priority="809" stopIfTrue="1" operator="notEqual">
      <formula>0</formula>
    </cfRule>
  </conditionalFormatting>
  <conditionalFormatting sqref="Y58">
    <cfRule type="cellIs" dxfId="80" priority="848" stopIfTrue="1" operator="notEqual">
      <formula>0</formula>
    </cfRule>
  </conditionalFormatting>
  <conditionalFormatting sqref="AA56">
    <cfRule type="cellIs" dxfId="79" priority="841" stopIfTrue="1" operator="notEqual">
      <formula>0</formula>
    </cfRule>
  </conditionalFormatting>
  <conditionalFormatting sqref="AC58">
    <cfRule type="cellIs" dxfId="78" priority="834" stopIfTrue="1" operator="notEqual">
      <formula>0</formula>
    </cfRule>
  </conditionalFormatting>
  <conditionalFormatting sqref="AE58">
    <cfRule type="cellIs" dxfId="77" priority="827" stopIfTrue="1" operator="notEqual">
      <formula>0</formula>
    </cfRule>
  </conditionalFormatting>
  <conditionalFormatting sqref="AK59">
    <cfRule type="cellIs" dxfId="76" priority="814" stopIfTrue="1" operator="notEqual">
      <formula>0</formula>
    </cfRule>
  </conditionalFormatting>
  <conditionalFormatting sqref="AK56">
    <cfRule type="cellIs" dxfId="75" priority="812" stopIfTrue="1" operator="notEqual">
      <formula>0</formula>
    </cfRule>
  </conditionalFormatting>
  <conditionalFormatting sqref="AK55">
    <cfRule type="cellIs" dxfId="74" priority="813" stopIfTrue="1" operator="notEqual">
      <formula>0</formula>
    </cfRule>
  </conditionalFormatting>
  <conditionalFormatting sqref="AL58">
    <cfRule type="cellIs" dxfId="73" priority="811" stopIfTrue="1" operator="notEqual">
      <formula>0</formula>
    </cfRule>
  </conditionalFormatting>
  <conditionalFormatting sqref="T21:U21">
    <cfRule type="cellIs" dxfId="72" priority="771" stopIfTrue="1" operator="notEqual">
      <formula>0</formula>
    </cfRule>
  </conditionalFormatting>
  <conditionalFormatting sqref="AG58">
    <cfRule type="cellIs" dxfId="71" priority="748" stopIfTrue="1" operator="notEqual">
      <formula>0</formula>
    </cfRule>
  </conditionalFormatting>
  <conditionalFormatting sqref="AH58">
    <cfRule type="cellIs" dxfId="70" priority="747" stopIfTrue="1" operator="notEqual">
      <formula>0</formula>
    </cfRule>
  </conditionalFormatting>
  <conditionalFormatting sqref="AG57">
    <cfRule type="cellIs" dxfId="69" priority="744" stopIfTrue="1" operator="notEqual">
      <formula>0</formula>
    </cfRule>
  </conditionalFormatting>
  <conditionalFormatting sqref="AG59">
    <cfRule type="cellIs" dxfId="68" priority="751" stopIfTrue="1" operator="notEqual">
      <formula>0</formula>
    </cfRule>
  </conditionalFormatting>
  <conditionalFormatting sqref="AG56">
    <cfRule type="cellIs" dxfId="67" priority="623" stopIfTrue="1" operator="notEqual">
      <formula>0</formula>
    </cfRule>
  </conditionalFormatting>
  <conditionalFormatting sqref="AG55">
    <cfRule type="cellIs" dxfId="66" priority="622" stopIfTrue="1" operator="notEqual">
      <formula>0</formula>
    </cfRule>
  </conditionalFormatting>
  <conditionalFormatting sqref="Y59">
    <cfRule type="cellIs" dxfId="65" priority="500" stopIfTrue="1" operator="notEqual">
      <formula>0</formula>
    </cfRule>
  </conditionalFormatting>
  <conditionalFormatting sqref="AI56">
    <cfRule type="cellIs" dxfId="64" priority="217" stopIfTrue="1" operator="notEqual">
      <formula>0</formula>
    </cfRule>
  </conditionalFormatting>
  <conditionalFormatting sqref="K59">
    <cfRule type="cellIs" dxfId="6" priority="6" stopIfTrue="1" operator="notEqual">
      <formula>0</formula>
    </cfRule>
  </conditionalFormatting>
  <conditionalFormatting sqref="K57">
    <cfRule type="cellIs" dxfId="5" priority="4" stopIfTrue="1" operator="notEqual">
      <formula>0</formula>
    </cfRule>
  </conditionalFormatting>
  <conditionalFormatting sqref="K55">
    <cfRule type="cellIs" dxfId="4" priority="5" stopIfTrue="1" operator="notEqual">
      <formula>0</formula>
    </cfRule>
  </conditionalFormatting>
  <conditionalFormatting sqref="K58">
    <cfRule type="cellIs" dxfId="3" priority="3" stopIfTrue="1" operator="notEqual">
      <formula>0</formula>
    </cfRule>
  </conditionalFormatting>
  <conditionalFormatting sqref="L58">
    <cfRule type="cellIs" dxfId="2" priority="2" stopIfTrue="1" operator="notEqual">
      <formula>0</formula>
    </cfRule>
  </conditionalFormatting>
  <conditionalFormatting sqref="K56">
    <cfRule type="cellIs" dxfId="1"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2" activePane="bottomRight" state="frozen"/>
      <selection pane="topRight" activeCell="B1" sqref="B1"/>
      <selection pane="bottomLeft" activeCell="A2" sqref="A2"/>
      <selection pane="bottomRight" activeCell="AK14" sqref="A1:AW39"/>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4.7297706922975379E-2</v>
      </c>
      <c r="E2" s="189"/>
      <c r="F2" s="188">
        <v>9.1852978935893365E-2</v>
      </c>
      <c r="G2" s="189"/>
      <c r="H2" s="188">
        <v>0.13973560805567337</v>
      </c>
      <c r="I2" s="189"/>
      <c r="J2" s="188">
        <v>0.19127117220039824</v>
      </c>
      <c r="K2" s="189"/>
      <c r="L2" s="188">
        <v>0.24681432654652222</v>
      </c>
      <c r="M2" s="189"/>
      <c r="N2" s="188">
        <v>0.30674225424817358</v>
      </c>
      <c r="O2" s="189"/>
      <c r="P2" s="188">
        <v>0.37145074456193977</v>
      </c>
      <c r="Q2" s="189"/>
      <c r="R2" s="188">
        <v>0.44134807549639032</v>
      </c>
      <c r="S2" s="189"/>
      <c r="T2" s="188">
        <v>0.51686768243953551</v>
      </c>
      <c r="U2" s="189"/>
      <c r="V2" s="188">
        <v>0.59854324576196116</v>
      </c>
      <c r="W2" s="189"/>
      <c r="X2" s="188">
        <v>0.68728090730395208</v>
      </c>
      <c r="Y2" s="189"/>
      <c r="Z2" s="188">
        <v>0.78516066108492111</v>
      </c>
      <c r="AA2" s="189"/>
      <c r="AB2" s="188">
        <v>0.89755259383625641</v>
      </c>
      <c r="AC2" s="189"/>
      <c r="AD2" s="188">
        <v>1.0383004761332535</v>
      </c>
      <c r="AE2" s="189"/>
      <c r="AF2" s="188">
        <v>1.2422650733012184</v>
      </c>
      <c r="AG2" s="189"/>
      <c r="AH2" s="188">
        <v>1.5992785084218379</v>
      </c>
      <c r="AI2" s="189"/>
      <c r="AJ2" s="188">
        <v>2.3708065380718661</v>
      </c>
      <c r="AK2" s="189"/>
      <c r="AL2" s="188">
        <v>4.5132420941802227</v>
      </c>
      <c r="AM2" s="189"/>
      <c r="AN2" s="188">
        <v>13.683962883183757</v>
      </c>
      <c r="AO2" s="189"/>
      <c r="AP2" s="188">
        <v>19.150493259920101</v>
      </c>
      <c r="AQ2" s="189"/>
      <c r="AR2" s="188">
        <v>29.063021172417937</v>
      </c>
      <c r="AS2" s="189"/>
      <c r="AT2" s="188">
        <v>50.843486073567533</v>
      </c>
      <c r="AU2" s="189"/>
      <c r="AV2" s="188">
        <v>123.54395776478378</v>
      </c>
      <c r="AW2" s="189"/>
    </row>
    <row r="3" spans="1:49" x14ac:dyDescent="0.2">
      <c r="A3" t="s">
        <v>12</v>
      </c>
      <c r="B3" s="81">
        <v>1000</v>
      </c>
      <c r="C3" s="82">
        <v>1000</v>
      </c>
      <c r="D3" s="81">
        <v>997.37598330646961</v>
      </c>
      <c r="E3" s="82">
        <v>1018.4776453052975</v>
      </c>
      <c r="F3" s="81">
        <v>995.04460621127691</v>
      </c>
      <c r="G3" s="82">
        <v>1039.0195789998465</v>
      </c>
      <c r="H3" s="81">
        <v>993.09287003250654</v>
      </c>
      <c r="I3" s="82">
        <v>1061.9264913290847</v>
      </c>
      <c r="J3" s="81">
        <v>991.64107323133476</v>
      </c>
      <c r="K3" s="82">
        <v>1087.5565834290844</v>
      </c>
      <c r="L3" s="81">
        <v>990.85622451739175</v>
      </c>
      <c r="M3" s="82">
        <v>1116.3399390405259</v>
      </c>
      <c r="N3" s="81">
        <v>990.97577120025517</v>
      </c>
      <c r="O3" s="82">
        <v>1148.7980577821334</v>
      </c>
      <c r="P3" s="81">
        <v>992.34119285679242</v>
      </c>
      <c r="Q3" s="82">
        <v>1185.5725623966803</v>
      </c>
      <c r="R3" s="81">
        <v>995.45239490398058</v>
      </c>
      <c r="S3" s="82">
        <v>1227.4703251438161</v>
      </c>
      <c r="T3" s="81">
        <v>1001.0527378911727</v>
      </c>
      <c r="U3" s="82">
        <v>1275.5441949602077</v>
      </c>
      <c r="V3" s="81">
        <v>1010.2637206183807</v>
      </c>
      <c r="W3" s="82">
        <v>1331.2477901428451</v>
      </c>
      <c r="X3" s="81">
        <v>1024.7976786675465</v>
      </c>
      <c r="Y3" s="82">
        <v>1396.7595298112515</v>
      </c>
      <c r="Z3" s="81">
        <v>1047.2908727666411</v>
      </c>
      <c r="AA3" s="82">
        <v>1475.6831200807055</v>
      </c>
      <c r="AB3" s="81">
        <v>1081.8202400298194</v>
      </c>
      <c r="AC3" s="82">
        <v>1574.5733804497538</v>
      </c>
      <c r="AD3" s="81">
        <v>1134.7390724686556</v>
      </c>
      <c r="AE3" s="82">
        <v>1706.264964666985</v>
      </c>
      <c r="AF3" s="81">
        <v>1216.3012727992966</v>
      </c>
      <c r="AG3" s="82">
        <v>1897.451275677231</v>
      </c>
      <c r="AH3" s="81">
        <v>1344.9096659065549</v>
      </c>
      <c r="AI3" s="82">
        <v>2208.6516841688181</v>
      </c>
      <c r="AJ3" s="81">
        <v>1560.1580600708801</v>
      </c>
      <c r="AK3" s="82">
        <v>2799.966392685124</v>
      </c>
      <c r="AL3" s="81">
        <v>1965.0027198349228</v>
      </c>
      <c r="AM3" s="82">
        <v>4206.1533261292343</v>
      </c>
      <c r="AN3" s="81">
        <v>2946.2490200388493</v>
      </c>
      <c r="AO3" s="82">
        <v>9320.4015811910631</v>
      </c>
      <c r="AP3" s="81">
        <v>3349.9593455028098</v>
      </c>
      <c r="AQ3" s="82">
        <v>12145.891094772931</v>
      </c>
      <c r="AR3" s="81">
        <v>3944.7339763135537</v>
      </c>
      <c r="AS3" s="82">
        <v>17091.813432878505</v>
      </c>
      <c r="AT3" s="81">
        <v>4944.34554301765</v>
      </c>
      <c r="AU3" s="82">
        <v>27543.235030059433</v>
      </c>
      <c r="AV3" s="81">
        <v>7178.7787424694216</v>
      </c>
      <c r="AW3" s="82">
        <v>60833.364578185334</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997.24558777878508</v>
      </c>
      <c r="E5" s="40">
        <v>1016.091428673255</v>
      </c>
      <c r="F5" s="39">
        <v>994.79658973156666</v>
      </c>
      <c r="G5" s="40">
        <v>1033.6682171656071</v>
      </c>
      <c r="H5" s="39">
        <v>992.74510028068653</v>
      </c>
      <c r="I5" s="40">
        <v>1052.8798544608308</v>
      </c>
      <c r="J5" s="39">
        <v>991.21834133259165</v>
      </c>
      <c r="K5" s="40">
        <v>1073.888521577114</v>
      </c>
      <c r="L5" s="39">
        <v>990.39269569774979</v>
      </c>
      <c r="M5" s="40">
        <v>1096.8687243951106</v>
      </c>
      <c r="N5" s="39">
        <v>990.5184686112533</v>
      </c>
      <c r="O5" s="40">
        <v>1122.0055268178623</v>
      </c>
      <c r="P5" s="39">
        <v>991.95469164588644</v>
      </c>
      <c r="Q5" s="40">
        <v>1149.4932954941814</v>
      </c>
      <c r="R5" s="39">
        <v>995.22507077543958</v>
      </c>
      <c r="S5" s="40">
        <v>1179.5360935983451</v>
      </c>
      <c r="T5" s="39">
        <v>1001.1044618951108</v>
      </c>
      <c r="U5" s="40">
        <v>1212.3556208132673</v>
      </c>
      <c r="V5" s="39">
        <v>1010.7537137070676</v>
      </c>
      <c r="W5" s="40">
        <v>1248.2186877832319</v>
      </c>
      <c r="X5" s="39">
        <v>1025.9278144959078</v>
      </c>
      <c r="Y5" s="40">
        <v>1287.5077939177086</v>
      </c>
      <c r="Z5" s="39">
        <v>1049.2909939682147</v>
      </c>
      <c r="AA5" s="40">
        <v>1330.869833477946</v>
      </c>
      <c r="AB5" s="39">
        <v>1084.8816933658827</v>
      </c>
      <c r="AC5" s="40">
        <v>1379.4571202834613</v>
      </c>
      <c r="AD5" s="39">
        <v>1138.8184429888511</v>
      </c>
      <c r="AE5" s="40">
        <v>1435.1601867136999</v>
      </c>
      <c r="AF5" s="39">
        <v>1220.6158371401345</v>
      </c>
      <c r="AG5" s="40">
        <v>1500.3603222135882</v>
      </c>
      <c r="AH5" s="39">
        <v>1346.6331780245807</v>
      </c>
      <c r="AI5" s="40">
        <v>1576.0483141079803</v>
      </c>
      <c r="AJ5" s="39">
        <v>1550.4453900989688</v>
      </c>
      <c r="AK5" s="40">
        <v>1656.3007320072329</v>
      </c>
      <c r="AL5" s="39">
        <v>1913.411372434688</v>
      </c>
      <c r="AM5" s="40">
        <v>1720.4325991616697</v>
      </c>
      <c r="AN5" s="39">
        <v>2704.8514671983121</v>
      </c>
      <c r="AO5" s="40">
        <v>1747.2734240409129</v>
      </c>
      <c r="AP5" s="39">
        <v>3000.1372146724389</v>
      </c>
      <c r="AQ5" s="40">
        <v>1748.8043343747809</v>
      </c>
      <c r="AR5" s="39">
        <v>3407.6731181019995</v>
      </c>
      <c r="AS5" s="40">
        <v>1749.6150666428846</v>
      </c>
      <c r="AT5" s="39">
        <v>4028.1406956273554</v>
      </c>
      <c r="AU5" s="40">
        <v>1749.9606977582118</v>
      </c>
      <c r="AV5" s="39">
        <v>5182.7201144139535</v>
      </c>
      <c r="AW5" s="40">
        <v>1750.0591696535362</v>
      </c>
    </row>
    <row r="6" spans="1:49" x14ac:dyDescent="0.2">
      <c r="A6" t="s">
        <v>77</v>
      </c>
      <c r="B6" s="39">
        <v>999.99999999999943</v>
      </c>
      <c r="C6" s="40">
        <v>999.99999999999886</v>
      </c>
      <c r="D6" s="39">
        <v>997.03552652423548</v>
      </c>
      <c r="E6" s="40">
        <v>1019.9310458806063</v>
      </c>
      <c r="F6" s="39">
        <v>994.40080813375573</v>
      </c>
      <c r="G6" s="40">
        <v>1042.0563880324123</v>
      </c>
      <c r="H6" s="39">
        <v>992.19450427977711</v>
      </c>
      <c r="I6" s="40">
        <v>1066.6913330620719</v>
      </c>
      <c r="J6" s="39">
        <v>990.55297728574578</v>
      </c>
      <c r="K6" s="40">
        <v>1094.2109974185485</v>
      </c>
      <c r="L6" s="39">
        <v>989.66542728133288</v>
      </c>
      <c r="M6" s="40">
        <v>1125.065220729585</v>
      </c>
      <c r="N6" s="39">
        <v>989.80062323552943</v>
      </c>
      <c r="O6" s="40">
        <v>1159.7988567710308</v>
      </c>
      <c r="P6" s="39">
        <v>991.34463263180282</v>
      </c>
      <c r="Q6" s="40">
        <v>1199.0816656216412</v>
      </c>
      <c r="R6" s="39">
        <v>994.86171347874597</v>
      </c>
      <c r="S6" s="40">
        <v>1243.7554161654402</v>
      </c>
      <c r="T6" s="39">
        <v>1001.1890428674598</v>
      </c>
      <c r="U6" s="40">
        <v>1294.918390065159</v>
      </c>
      <c r="V6" s="39">
        <v>1011.5857960479424</v>
      </c>
      <c r="W6" s="40">
        <v>1354.0876385532779</v>
      </c>
      <c r="X6" s="39">
        <v>1027.966497097691</v>
      </c>
      <c r="Y6" s="40">
        <v>1423.5387778659963</v>
      </c>
      <c r="Z6" s="39">
        <v>1053.2620756824158</v>
      </c>
      <c r="AA6" s="40">
        <v>1507.0399323238248</v>
      </c>
      <c r="AB6" s="39">
        <v>1091.9714331550356</v>
      </c>
      <c r="AC6" s="40">
        <v>1611.4476556254601</v>
      </c>
      <c r="AD6" s="39">
        <v>1151.040450165088</v>
      </c>
      <c r="AE6" s="40">
        <v>1750.1804068432166</v>
      </c>
      <c r="AF6" s="39">
        <v>1241.5671680087498</v>
      </c>
      <c r="AG6" s="40">
        <v>1951.1078403145887</v>
      </c>
      <c r="AH6" s="39">
        <v>1383.3102308221178</v>
      </c>
      <c r="AI6" s="40">
        <v>2277.3022453641679</v>
      </c>
      <c r="AJ6" s="39">
        <v>1618.5939802163566</v>
      </c>
      <c r="AK6" s="40">
        <v>2895.3292056693795</v>
      </c>
      <c r="AL6" s="39">
        <v>2057.1370459679765</v>
      </c>
      <c r="AM6" s="40">
        <v>4360.8548737494202</v>
      </c>
      <c r="AN6" s="39">
        <v>3110.4694499541829</v>
      </c>
      <c r="AO6" s="40">
        <v>9679.2340806132579</v>
      </c>
      <c r="AP6" s="39">
        <v>3542.0349640269965</v>
      </c>
      <c r="AQ6" s="40">
        <v>12615.697099877883</v>
      </c>
      <c r="AR6" s="39">
        <v>4176.9040419787161</v>
      </c>
      <c r="AS6" s="40">
        <v>17755.115909243468</v>
      </c>
      <c r="AT6" s="39">
        <v>5242.3980996148039</v>
      </c>
      <c r="AU6" s="40">
        <v>28614.34813590259</v>
      </c>
      <c r="AV6" s="39">
        <v>7620.9333237718747</v>
      </c>
      <c r="AW6" s="40">
        <v>63201.506763970123</v>
      </c>
    </row>
    <row r="7" spans="1:49" x14ac:dyDescent="0.2">
      <c r="A7" t="s">
        <v>13</v>
      </c>
      <c r="B7" s="31">
        <v>1015.9116825427475</v>
      </c>
      <c r="C7" s="32">
        <v>1015.9116825427475</v>
      </c>
      <c r="D7" s="31">
        <v>1013.1134429886766</v>
      </c>
      <c r="E7" s="32">
        <v>1013.1134429886766</v>
      </c>
      <c r="F7" s="31">
        <v>1010.6254772619831</v>
      </c>
      <c r="G7" s="32">
        <v>1010.6254772619831</v>
      </c>
      <c r="H7" s="31">
        <v>1008.5413451622208</v>
      </c>
      <c r="I7" s="32">
        <v>1008.5413451622208</v>
      </c>
      <c r="J7" s="31">
        <v>1006.9902929104245</v>
      </c>
      <c r="K7" s="32">
        <v>1006.9902929104245</v>
      </c>
      <c r="L7" s="31">
        <v>1006.1515098643482</v>
      </c>
      <c r="M7" s="32">
        <v>1006.1515098643482</v>
      </c>
      <c r="N7" s="31">
        <v>1006.2792840365239</v>
      </c>
      <c r="O7" s="32">
        <v>1006.2792840365239</v>
      </c>
      <c r="P7" s="31">
        <v>1007.7383597961447</v>
      </c>
      <c r="Q7" s="32">
        <v>1007.7383597961447</v>
      </c>
      <c r="R7" s="31">
        <v>1011.0607761602017</v>
      </c>
      <c r="S7" s="32">
        <v>1011.0607761602017</v>
      </c>
      <c r="T7" s="31">
        <v>1017.0337182849138</v>
      </c>
      <c r="U7" s="32">
        <v>1017.0337182849138</v>
      </c>
      <c r="V7" s="31">
        <v>1026.8365059284774</v>
      </c>
      <c r="W7" s="32">
        <v>1026.8365059284774</v>
      </c>
      <c r="X7" s="31">
        <v>1042.2520521919414</v>
      </c>
      <c r="Y7" s="32">
        <v>1042.2520521919414</v>
      </c>
      <c r="Z7" s="31">
        <v>1065.9869791592009</v>
      </c>
      <c r="AA7" s="32">
        <v>1065.9869791592009</v>
      </c>
      <c r="AB7" s="31">
        <v>1102.1439864671588</v>
      </c>
      <c r="AC7" s="32">
        <v>1102.1439864671588</v>
      </c>
      <c r="AD7" s="31">
        <v>1156.9389605275155</v>
      </c>
      <c r="AE7" s="32">
        <v>1156.9389605275155</v>
      </c>
      <c r="AF7" s="31">
        <v>1240.0378888473583</v>
      </c>
      <c r="AG7" s="32">
        <v>1240.0378888473583</v>
      </c>
      <c r="AH7" s="31">
        <v>1368.0603776548389</v>
      </c>
      <c r="AI7" s="32">
        <v>1368.0603776548389</v>
      </c>
      <c r="AJ7" s="31">
        <v>1575.1155849460897</v>
      </c>
      <c r="AK7" s="32">
        <v>1575.1155849460897</v>
      </c>
      <c r="AL7" s="31">
        <v>1943.8569667665515</v>
      </c>
      <c r="AM7" s="32">
        <v>1943.8569667665515</v>
      </c>
      <c r="AN7" s="31">
        <v>2747.8902050696561</v>
      </c>
      <c r="AO7" s="32">
        <v>2747.8902050696561</v>
      </c>
      <c r="AP7" s="31">
        <v>3047.8744456169893</v>
      </c>
      <c r="AQ7" s="32">
        <v>3047.8744456169893</v>
      </c>
      <c r="AR7" s="31">
        <v>3461.8949309666928</v>
      </c>
      <c r="AS7" s="32">
        <v>3461.8949309666928</v>
      </c>
      <c r="AT7" s="31">
        <v>4092.2351916136995</v>
      </c>
      <c r="AU7" s="32">
        <v>4092.2351916136995</v>
      </c>
      <c r="AV7" s="31">
        <v>5265.18591158242</v>
      </c>
      <c r="AW7" s="32">
        <v>5265.18591158242</v>
      </c>
    </row>
    <row r="8" spans="1:49" x14ac:dyDescent="0.2">
      <c r="B8" s="33">
        <v>1005.7716594496609</v>
      </c>
      <c r="C8" s="34">
        <v>1005.7716594496609</v>
      </c>
      <c r="D8" s="33">
        <v>1064.15022327359</v>
      </c>
      <c r="E8" s="34">
        <v>1064.15022327359</v>
      </c>
      <c r="F8" s="33">
        <v>1128.613722143622</v>
      </c>
      <c r="G8" s="34">
        <v>1128.613722143622</v>
      </c>
      <c r="H8" s="33">
        <v>1200.0046611334838</v>
      </c>
      <c r="I8" s="34">
        <v>1200.0046611334838</v>
      </c>
      <c r="J8" s="33">
        <v>1279.2924379117214</v>
      </c>
      <c r="K8" s="34">
        <v>1279.2924379117214</v>
      </c>
      <c r="L8" s="33">
        <v>1367.5916399166326</v>
      </c>
      <c r="M8" s="34">
        <v>1367.5916399166326</v>
      </c>
      <c r="N8" s="33">
        <v>1466.1720313928829</v>
      </c>
      <c r="O8" s="34">
        <v>1466.1720313928829</v>
      </c>
      <c r="P8" s="33">
        <v>1576.473435974453</v>
      </c>
      <c r="Q8" s="34">
        <v>1576.473435974453</v>
      </c>
      <c r="R8" s="33">
        <v>1700.122078486505</v>
      </c>
      <c r="S8" s="34">
        <v>1700.122078486505</v>
      </c>
      <c r="T8" s="33">
        <v>1838.9830608355651</v>
      </c>
      <c r="U8" s="34">
        <v>1838.9830608355651</v>
      </c>
      <c r="V8" s="33">
        <v>1995.3315525897435</v>
      </c>
      <c r="W8" s="34">
        <v>1995.3315525897435</v>
      </c>
      <c r="X8" s="33">
        <v>2172.3873186823812</v>
      </c>
      <c r="Y8" s="34">
        <v>2172.3873186823812</v>
      </c>
      <c r="Z8" s="33">
        <v>2375.8164717494692</v>
      </c>
      <c r="AA8" s="34">
        <v>2375.8164717494692</v>
      </c>
      <c r="AB8" s="33">
        <v>2617.5924366797744</v>
      </c>
      <c r="AC8" s="34">
        <v>2617.5924366797744</v>
      </c>
      <c r="AD8" s="33">
        <v>2925.2876919060232</v>
      </c>
      <c r="AE8" s="34">
        <v>2925.2876919060232</v>
      </c>
      <c r="AF8" s="33">
        <v>3364.2055478664906</v>
      </c>
      <c r="AG8" s="34">
        <v>3364.2055478664906</v>
      </c>
      <c r="AH8" s="33">
        <v>4096.5885110953432</v>
      </c>
      <c r="AI8" s="34">
        <v>4096.5885110953432</v>
      </c>
      <c r="AJ8" s="33">
        <v>5583.0693364631989</v>
      </c>
      <c r="AK8" s="34">
        <v>5583.0693364631989</v>
      </c>
      <c r="AL8" s="33">
        <v>9485.161425898008</v>
      </c>
      <c r="AM8" s="34">
        <v>9485.161425898008</v>
      </c>
      <c r="AN8" s="33">
        <v>25656.898105390159</v>
      </c>
      <c r="AO8" s="34">
        <v>25656.898105390159</v>
      </c>
      <c r="AP8" s="33">
        <v>35239.269952738083</v>
      </c>
      <c r="AQ8" s="34">
        <v>35239.269952738083</v>
      </c>
      <c r="AR8" s="33">
        <v>52598.714792066457</v>
      </c>
      <c r="AS8" s="34">
        <v>52598.714792066457</v>
      </c>
      <c r="AT8" s="33">
        <v>90724.063063518377</v>
      </c>
      <c r="AU8" s="34">
        <v>90724.063063518377</v>
      </c>
      <c r="AV8" s="33">
        <v>217959.29531120259</v>
      </c>
      <c r="AW8" s="34">
        <v>217959.29531120259</v>
      </c>
    </row>
    <row r="9" spans="1:49" x14ac:dyDescent="0.2">
      <c r="A9" t="s">
        <v>14</v>
      </c>
      <c r="B9" s="39">
        <v>1015.9116825427475</v>
      </c>
      <c r="C9" s="40">
        <v>1005.7716594496609</v>
      </c>
      <c r="D9" s="39">
        <v>1013.1134429886766</v>
      </c>
      <c r="E9" s="40">
        <v>1064.15022327359</v>
      </c>
      <c r="F9" s="39">
        <v>1010.6254772619831</v>
      </c>
      <c r="G9" s="40">
        <v>1128.613722143622</v>
      </c>
      <c r="H9" s="39">
        <v>1008.5413451622208</v>
      </c>
      <c r="I9" s="40">
        <v>1200.0046611334838</v>
      </c>
      <c r="J9" s="39">
        <v>1006.9902929104245</v>
      </c>
      <c r="K9" s="40">
        <v>1279.2924379117214</v>
      </c>
      <c r="L9" s="39">
        <v>1006.1515098643482</v>
      </c>
      <c r="M9" s="40">
        <v>1367.5916399166326</v>
      </c>
      <c r="N9" s="39">
        <v>1006.2792840365239</v>
      </c>
      <c r="O9" s="40">
        <v>1466.1720313928829</v>
      </c>
      <c r="P9" s="39">
        <v>1007.7383597961447</v>
      </c>
      <c r="Q9" s="40">
        <v>1576.473435974453</v>
      </c>
      <c r="R9" s="39">
        <v>1011.0607761602017</v>
      </c>
      <c r="S9" s="40">
        <v>1700.122078486505</v>
      </c>
      <c r="T9" s="39">
        <v>1017.0337182849138</v>
      </c>
      <c r="U9" s="40">
        <v>1838.9830608355651</v>
      </c>
      <c r="V9" s="39">
        <v>1026.8365059284774</v>
      </c>
      <c r="W9" s="40">
        <v>1995.3315525897435</v>
      </c>
      <c r="X9" s="39">
        <v>1042.2520521919414</v>
      </c>
      <c r="Y9" s="40">
        <v>2172.3873186823812</v>
      </c>
      <c r="Z9" s="39">
        <v>1065.9869791592009</v>
      </c>
      <c r="AA9" s="40">
        <v>2375.8164717494692</v>
      </c>
      <c r="AB9" s="39">
        <v>1102.1439864671588</v>
      </c>
      <c r="AC9" s="40">
        <v>2617.5924366797744</v>
      </c>
      <c r="AD9" s="39">
        <v>1156.9389605275155</v>
      </c>
      <c r="AE9" s="40">
        <v>2925.2876919060232</v>
      </c>
      <c r="AF9" s="39">
        <v>1240.0378888473583</v>
      </c>
      <c r="AG9" s="40">
        <v>3364.2055478664906</v>
      </c>
      <c r="AH9" s="39">
        <v>1368.0603776548389</v>
      </c>
      <c r="AI9" s="40">
        <v>4096.5885110953432</v>
      </c>
      <c r="AJ9" s="39">
        <v>1575.1155849460897</v>
      </c>
      <c r="AK9" s="40">
        <v>5583.0693364631989</v>
      </c>
      <c r="AL9" s="39">
        <v>1943.8569667665515</v>
      </c>
      <c r="AM9" s="40">
        <v>9485.161425898008</v>
      </c>
      <c r="AN9" s="39">
        <v>2747.8902050696561</v>
      </c>
      <c r="AO9" s="40">
        <v>25656.898105390159</v>
      </c>
      <c r="AP9" s="39">
        <v>3047.8744456169893</v>
      </c>
      <c r="AQ9" s="40">
        <v>35239.269952738083</v>
      </c>
      <c r="AR9" s="39">
        <v>3461.8949309666928</v>
      </c>
      <c r="AS9" s="40">
        <v>52598.714792066457</v>
      </c>
      <c r="AT9" s="39">
        <v>4092.2351916136995</v>
      </c>
      <c r="AU9" s="40">
        <v>90724.063063518377</v>
      </c>
      <c r="AV9" s="39">
        <v>5265.18591158242</v>
      </c>
      <c r="AW9" s="40">
        <v>217959.29531120259</v>
      </c>
    </row>
    <row r="10" spans="1:49" x14ac:dyDescent="0.2">
      <c r="A10" t="s">
        <v>15</v>
      </c>
      <c r="B10" s="39">
        <v>1015.9116825427475</v>
      </c>
      <c r="C10" s="40">
        <v>1005.7716594496609</v>
      </c>
      <c r="D10" s="39">
        <v>1013.1134429886766</v>
      </c>
      <c r="E10" s="40">
        <v>1064.15022327359</v>
      </c>
      <c r="F10" s="39">
        <v>1010.6254772619831</v>
      </c>
      <c r="G10" s="40">
        <v>1128.613722143622</v>
      </c>
      <c r="H10" s="39">
        <v>1008.5413451622208</v>
      </c>
      <c r="I10" s="40">
        <v>1200.0046611334838</v>
      </c>
      <c r="J10" s="39">
        <v>1006.9902929104245</v>
      </c>
      <c r="K10" s="40">
        <v>1279.2924379117214</v>
      </c>
      <c r="L10" s="39">
        <v>1006.1515098643482</v>
      </c>
      <c r="M10" s="40">
        <v>1367.5916399166326</v>
      </c>
      <c r="N10" s="39">
        <v>1006.2792840365239</v>
      </c>
      <c r="O10" s="40">
        <v>1466.1720313928829</v>
      </c>
      <c r="P10" s="39">
        <v>1007.7383597961447</v>
      </c>
      <c r="Q10" s="40">
        <v>1576.473435974453</v>
      </c>
      <c r="R10" s="39">
        <v>1011.0607761602017</v>
      </c>
      <c r="S10" s="40">
        <v>1700.122078486505</v>
      </c>
      <c r="T10" s="39">
        <v>1017.0337182849138</v>
      </c>
      <c r="U10" s="40">
        <v>1838.9830608355651</v>
      </c>
      <c r="V10" s="39">
        <v>1026.8365059284774</v>
      </c>
      <c r="W10" s="40">
        <v>1995.3315525897435</v>
      </c>
      <c r="X10" s="39">
        <v>1042.2520521919414</v>
      </c>
      <c r="Y10" s="40">
        <v>2172.3873186823812</v>
      </c>
      <c r="Z10" s="39">
        <v>1065.9869791592009</v>
      </c>
      <c r="AA10" s="40">
        <v>2375.8164717494692</v>
      </c>
      <c r="AB10" s="39">
        <v>1102.1439864671588</v>
      </c>
      <c r="AC10" s="40">
        <v>2617.5924366797744</v>
      </c>
      <c r="AD10" s="39">
        <v>1156.9389605275155</v>
      </c>
      <c r="AE10" s="40">
        <v>2925.2876919060232</v>
      </c>
      <c r="AF10" s="39">
        <v>1240.0378888473583</v>
      </c>
      <c r="AG10" s="40">
        <v>3364.2055478664906</v>
      </c>
      <c r="AH10" s="39">
        <v>1368.0603776548389</v>
      </c>
      <c r="AI10" s="40">
        <v>4096.5885110953432</v>
      </c>
      <c r="AJ10" s="39">
        <v>1575.1155849460897</v>
      </c>
      <c r="AK10" s="40">
        <v>5583.0693364631989</v>
      </c>
      <c r="AL10" s="39">
        <v>1943.8569667665515</v>
      </c>
      <c r="AM10" s="40">
        <v>9485.161425898008</v>
      </c>
      <c r="AN10" s="39">
        <v>2747.8902050696561</v>
      </c>
      <c r="AO10" s="40">
        <v>25656.898105390159</v>
      </c>
      <c r="AP10" s="39">
        <v>3047.8744456169893</v>
      </c>
      <c r="AQ10" s="40">
        <v>35239.269952738083</v>
      </c>
      <c r="AR10" s="39">
        <v>3461.8949309666928</v>
      </c>
      <c r="AS10" s="40">
        <v>52598.714792066457</v>
      </c>
      <c r="AT10" s="39">
        <v>4092.2351916136995</v>
      </c>
      <c r="AU10" s="40">
        <v>90724.063063518377</v>
      </c>
      <c r="AV10" s="39">
        <v>5265.18591158242</v>
      </c>
      <c r="AW10" s="40">
        <v>217959.29531120259</v>
      </c>
    </row>
    <row r="11" spans="1:49" x14ac:dyDescent="0.2">
      <c r="A11" t="s">
        <v>29</v>
      </c>
      <c r="B11" s="39">
        <v>1015.9116825427475</v>
      </c>
      <c r="C11" s="40">
        <v>1005.7716594496609</v>
      </c>
      <c r="D11" s="39">
        <v>1013.1134429886766</v>
      </c>
      <c r="E11" s="40">
        <v>1064.15022327359</v>
      </c>
      <c r="F11" s="39">
        <v>1010.6254772619831</v>
      </c>
      <c r="G11" s="40">
        <v>1128.613722143622</v>
      </c>
      <c r="H11" s="39">
        <v>1008.5413451622208</v>
      </c>
      <c r="I11" s="40">
        <v>1200.0046611334838</v>
      </c>
      <c r="J11" s="39">
        <v>1006.9902929104245</v>
      </c>
      <c r="K11" s="40">
        <v>1279.2924379117214</v>
      </c>
      <c r="L11" s="39">
        <v>1006.1515098643482</v>
      </c>
      <c r="M11" s="40">
        <v>1367.5916399166326</v>
      </c>
      <c r="N11" s="39">
        <v>1006.2792840365239</v>
      </c>
      <c r="O11" s="40">
        <v>1466.1720313928829</v>
      </c>
      <c r="P11" s="39">
        <v>1007.7383597961447</v>
      </c>
      <c r="Q11" s="40">
        <v>1576.473435974453</v>
      </c>
      <c r="R11" s="39">
        <v>1011.0607761602017</v>
      </c>
      <c r="S11" s="40">
        <v>1700.122078486505</v>
      </c>
      <c r="T11" s="39">
        <v>1017.0337182849138</v>
      </c>
      <c r="U11" s="40">
        <v>1838.9830608355651</v>
      </c>
      <c r="V11" s="39">
        <v>1026.8365059284774</v>
      </c>
      <c r="W11" s="40">
        <v>1995.3315525897435</v>
      </c>
      <c r="X11" s="39">
        <v>1042.2520521919414</v>
      </c>
      <c r="Y11" s="40">
        <v>2172.3873186823812</v>
      </c>
      <c r="Z11" s="39">
        <v>1065.9869791592009</v>
      </c>
      <c r="AA11" s="40">
        <v>2375.8164717494692</v>
      </c>
      <c r="AB11" s="39">
        <v>1102.1439864671588</v>
      </c>
      <c r="AC11" s="40">
        <v>2617.5924366797744</v>
      </c>
      <c r="AD11" s="39">
        <v>1156.9389605275155</v>
      </c>
      <c r="AE11" s="40">
        <v>2925.2876919060232</v>
      </c>
      <c r="AF11" s="39">
        <v>1240.0378888473583</v>
      </c>
      <c r="AG11" s="40">
        <v>3364.2055478664906</v>
      </c>
      <c r="AH11" s="39">
        <v>1368.0603776548389</v>
      </c>
      <c r="AI11" s="40">
        <v>4096.5885110953432</v>
      </c>
      <c r="AJ11" s="39">
        <v>1575.1155849460897</v>
      </c>
      <c r="AK11" s="40">
        <v>5583.0693364631989</v>
      </c>
      <c r="AL11" s="39">
        <v>1943.8569667665515</v>
      </c>
      <c r="AM11" s="40">
        <v>9485.161425898008</v>
      </c>
      <c r="AN11" s="39">
        <v>2747.8902050696561</v>
      </c>
      <c r="AO11" s="40">
        <v>25656.898105390159</v>
      </c>
      <c r="AP11" s="39">
        <v>3047.8744456169893</v>
      </c>
      <c r="AQ11" s="40">
        <v>35239.269952738083</v>
      </c>
      <c r="AR11" s="39">
        <v>3461.8949309666928</v>
      </c>
      <c r="AS11" s="40">
        <v>52598.714792066457</v>
      </c>
      <c r="AT11" s="39">
        <v>4092.2351916136995</v>
      </c>
      <c r="AU11" s="40">
        <v>90724.063063518377</v>
      </c>
      <c r="AV11" s="39">
        <v>5265.18591158242</v>
      </c>
      <c r="AW11" s="40">
        <v>217959.29531120259</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992.84705063520585</v>
      </c>
      <c r="E13" s="94">
        <v>992.84705063520585</v>
      </c>
      <c r="F13" s="93">
        <v>985.65728655281828</v>
      </c>
      <c r="G13" s="94">
        <v>985.65728655281828</v>
      </c>
      <c r="H13" s="93">
        <v>978.47782316715745</v>
      </c>
      <c r="I13" s="94">
        <v>978.47782316715745</v>
      </c>
      <c r="J13" s="93">
        <v>971.38281598979643</v>
      </c>
      <c r="K13" s="94">
        <v>971.38281598979643</v>
      </c>
      <c r="L13" s="93">
        <v>964.48544407438021</v>
      </c>
      <c r="M13" s="94">
        <v>964.48544407438021</v>
      </c>
      <c r="N13" s="93">
        <v>957.9600426794583</v>
      </c>
      <c r="O13" s="94">
        <v>957.9600426794583</v>
      </c>
      <c r="P13" s="93">
        <v>952.07332617472844</v>
      </c>
      <c r="Q13" s="94">
        <v>952.07332617472844</v>
      </c>
      <c r="R13" s="93">
        <v>947.23558141797207</v>
      </c>
      <c r="S13" s="94">
        <v>947.23558141797207</v>
      </c>
      <c r="T13" s="93">
        <v>944.08071855030516</v>
      </c>
      <c r="U13" s="94">
        <v>944.08071855030516</v>
      </c>
      <c r="V13" s="93">
        <v>943.59290299700228</v>
      </c>
      <c r="W13" s="94">
        <v>943.59290299700228</v>
      </c>
      <c r="X13" s="93">
        <v>947.30521178501215</v>
      </c>
      <c r="Y13" s="94">
        <v>947.30521178501215</v>
      </c>
      <c r="Z13" s="93">
        <v>957.60769302982737</v>
      </c>
      <c r="AA13" s="94">
        <v>957.60769302982737</v>
      </c>
      <c r="AB13" s="93">
        <v>978.22005898093846</v>
      </c>
      <c r="AC13" s="94">
        <v>978.22005898093846</v>
      </c>
      <c r="AD13" s="93">
        <v>1014.9499329242581</v>
      </c>
      <c r="AE13" s="94">
        <v>1014.9499329242581</v>
      </c>
      <c r="AF13" s="93">
        <v>1077.1720520062233</v>
      </c>
      <c r="AG13" s="94">
        <v>1077.1720520062233</v>
      </c>
      <c r="AH13" s="93">
        <v>1181.7756956082021</v>
      </c>
      <c r="AI13" s="94">
        <v>1181.7756956082021</v>
      </c>
      <c r="AJ13" s="93">
        <v>1365.7401568337382</v>
      </c>
      <c r="AK13" s="94">
        <v>1365.7401568337382</v>
      </c>
      <c r="AL13" s="93">
        <v>1729.6663518395508</v>
      </c>
      <c r="AM13" s="94">
        <v>1729.6663518395508</v>
      </c>
      <c r="AN13" s="93">
        <v>2688.7633628727258</v>
      </c>
      <c r="AO13" s="94">
        <v>2688.7633628727258</v>
      </c>
      <c r="AP13" s="93">
        <v>3113.7740986803765</v>
      </c>
      <c r="AQ13" s="94">
        <v>3113.7740986803765</v>
      </c>
      <c r="AR13" s="93">
        <v>3771.2574369367967</v>
      </c>
      <c r="AS13" s="94">
        <v>3771.2574369367967</v>
      </c>
      <c r="AT13" s="93">
        <v>4956.3649547739624</v>
      </c>
      <c r="AU13" s="94">
        <v>4956.3649547739624</v>
      </c>
      <c r="AV13" s="93">
        <v>7928.7060083893994</v>
      </c>
      <c r="AW13" s="94">
        <v>7928.7060083893994</v>
      </c>
    </row>
    <row r="14" spans="1:49" x14ac:dyDescent="0.2">
      <c r="A14" t="s">
        <v>36</v>
      </c>
      <c r="B14" s="39">
        <v>1457.0034251455234</v>
      </c>
      <c r="C14" s="40">
        <v>1457.0034251455236</v>
      </c>
      <c r="D14" s="39">
        <v>1446.5815534211256</v>
      </c>
      <c r="E14" s="40">
        <v>1446.5815534211258</v>
      </c>
      <c r="F14" s="39">
        <v>1436.1060425270987</v>
      </c>
      <c r="G14" s="40">
        <v>1436.1060425270989</v>
      </c>
      <c r="H14" s="39">
        <v>1425.6455397834841</v>
      </c>
      <c r="I14" s="40">
        <v>1425.6455397834843</v>
      </c>
      <c r="J14" s="39">
        <v>1415.3080900246371</v>
      </c>
      <c r="K14" s="40">
        <v>1415.3080900246373</v>
      </c>
      <c r="L14" s="39">
        <v>1405.2585955193731</v>
      </c>
      <c r="M14" s="40">
        <v>1405.2585955193733</v>
      </c>
      <c r="N14" s="39">
        <v>1395.7510633365223</v>
      </c>
      <c r="O14" s="40">
        <v>1395.7510633365225</v>
      </c>
      <c r="P14" s="39">
        <v>1387.1740972262703</v>
      </c>
      <c r="Q14" s="40">
        <v>1387.1740972262705</v>
      </c>
      <c r="R14" s="39">
        <v>1380.1254865456965</v>
      </c>
      <c r="S14" s="40">
        <v>1380.1254865456967</v>
      </c>
      <c r="T14" s="39">
        <v>1375.5288405416413</v>
      </c>
      <c r="U14" s="40">
        <v>1375.5288405416416</v>
      </c>
      <c r="V14" s="39">
        <v>1374.8180916096399</v>
      </c>
      <c r="W14" s="40">
        <v>1374.8180916096401</v>
      </c>
      <c r="X14" s="39">
        <v>1380.226938228968</v>
      </c>
      <c r="Y14" s="40">
        <v>1380.2269382289683</v>
      </c>
      <c r="Z14" s="39">
        <v>1395.2376886901613</v>
      </c>
      <c r="AA14" s="40">
        <v>1395.2376886901616</v>
      </c>
      <c r="AB14" s="39">
        <v>1425.269976481283</v>
      </c>
      <c r="AC14" s="40">
        <v>1425.2699764812833</v>
      </c>
      <c r="AD14" s="39">
        <v>1478.785528621863</v>
      </c>
      <c r="AE14" s="40">
        <v>1478.7855286218633</v>
      </c>
      <c r="AF14" s="39">
        <v>1569.4433692440991</v>
      </c>
      <c r="AG14" s="40">
        <v>1569.4433692440994</v>
      </c>
      <c r="AH14" s="39">
        <v>1721.8512362548838</v>
      </c>
      <c r="AI14" s="40">
        <v>1721.851236254884</v>
      </c>
      <c r="AJ14" s="39">
        <v>1989.8880863655406</v>
      </c>
      <c r="AK14" s="40">
        <v>1989.8880863655411</v>
      </c>
      <c r="AL14" s="39">
        <v>2520.1297989891873</v>
      </c>
      <c r="AM14" s="40">
        <v>2520.1297989891877</v>
      </c>
      <c r="AN14" s="39">
        <v>3917.5374291113571</v>
      </c>
      <c r="AO14" s="40">
        <v>3917.5374291113576</v>
      </c>
      <c r="AP14" s="39">
        <v>4536.7795269067228</v>
      </c>
      <c r="AQ14" s="40">
        <v>4536.7795269067237</v>
      </c>
      <c r="AR14" s="39">
        <v>5494.7350027224402</v>
      </c>
      <c r="AS14" s="40">
        <v>5494.7350027224411</v>
      </c>
      <c r="AT14" s="39">
        <v>7221.4407153768998</v>
      </c>
      <c r="AU14" s="40">
        <v>7221.4407153769007</v>
      </c>
      <c r="AV14" s="39">
        <v>11552.151811195245</v>
      </c>
      <c r="AW14" s="40">
        <v>11552.151811195246</v>
      </c>
    </row>
    <row r="15" spans="1:49" x14ac:dyDescent="0.2">
      <c r="A15" t="s">
        <v>18</v>
      </c>
      <c r="B15" s="144">
        <v>1000</v>
      </c>
      <c r="C15" s="145">
        <v>1000</v>
      </c>
      <c r="D15" s="144">
        <v>997.24558777878508</v>
      </c>
      <c r="E15" s="145">
        <v>997.24558777878508</v>
      </c>
      <c r="F15" s="144">
        <v>994.79658973156666</v>
      </c>
      <c r="G15" s="145">
        <v>994.79658973156666</v>
      </c>
      <c r="H15" s="144">
        <v>992.74510028068653</v>
      </c>
      <c r="I15" s="145">
        <v>992.74510028068653</v>
      </c>
      <c r="J15" s="144">
        <v>991.21834133259165</v>
      </c>
      <c r="K15" s="145">
        <v>991.21834133259165</v>
      </c>
      <c r="L15" s="144">
        <v>990.39269569774979</v>
      </c>
      <c r="M15" s="145">
        <v>990.39269569774979</v>
      </c>
      <c r="N15" s="144">
        <v>990.5184686112533</v>
      </c>
      <c r="O15" s="145">
        <v>990.5184686112533</v>
      </c>
      <c r="P15" s="144">
        <v>991.95469164588644</v>
      </c>
      <c r="Q15" s="145">
        <v>991.95469164588644</v>
      </c>
      <c r="R15" s="144">
        <v>995.22507077543958</v>
      </c>
      <c r="S15" s="145">
        <v>995.22507077543958</v>
      </c>
      <c r="T15" s="144">
        <v>1001.1044618951108</v>
      </c>
      <c r="U15" s="145">
        <v>1001.1044618951108</v>
      </c>
      <c r="V15" s="144">
        <v>1010.7537137070676</v>
      </c>
      <c r="W15" s="145">
        <v>1010.7537137070676</v>
      </c>
      <c r="X15" s="144">
        <v>1025.9278144959078</v>
      </c>
      <c r="Y15" s="145">
        <v>1025.9278144959078</v>
      </c>
      <c r="Z15" s="144">
        <v>1049.2909939682147</v>
      </c>
      <c r="AA15" s="145">
        <v>1049.2909939682147</v>
      </c>
      <c r="AB15" s="144">
        <v>1084.8816933658827</v>
      </c>
      <c r="AC15" s="145">
        <v>1084.8816933658827</v>
      </c>
      <c r="AD15" s="144">
        <v>1138.8184429888511</v>
      </c>
      <c r="AE15" s="145">
        <v>1138.8184429888511</v>
      </c>
      <c r="AF15" s="144">
        <v>1220.6158371401345</v>
      </c>
      <c r="AG15" s="145">
        <v>1220.6158371401345</v>
      </c>
      <c r="AH15" s="144">
        <v>1346.6331780245807</v>
      </c>
      <c r="AI15" s="145">
        <v>1346.6331780245807</v>
      </c>
      <c r="AJ15" s="144">
        <v>1550.4453900989688</v>
      </c>
      <c r="AK15" s="145">
        <v>1550.4453900989688</v>
      </c>
      <c r="AL15" s="144">
        <v>1913.411372434688</v>
      </c>
      <c r="AM15" s="145">
        <v>1913.411372434688</v>
      </c>
      <c r="AN15" s="144">
        <v>2704.8514671983121</v>
      </c>
      <c r="AO15" s="145">
        <v>2704.8514671983121</v>
      </c>
      <c r="AP15" s="144">
        <v>3000.1372146724389</v>
      </c>
      <c r="AQ15" s="145">
        <v>3000.1372146724389</v>
      </c>
      <c r="AR15" s="144">
        <v>3407.6731181019995</v>
      </c>
      <c r="AS15" s="145">
        <v>3407.6731181019995</v>
      </c>
      <c r="AT15" s="144">
        <v>4028.1406956273554</v>
      </c>
      <c r="AU15" s="145">
        <v>4028.1406956273554</v>
      </c>
      <c r="AV15" s="144">
        <v>5182.7201144139535</v>
      </c>
      <c r="AW15" s="145">
        <v>5182.7201144139535</v>
      </c>
    </row>
    <row r="16" spans="1:49" s="27" customFormat="1" x14ac:dyDescent="0.2">
      <c r="A16" t="s">
        <v>61</v>
      </c>
      <c r="B16" s="39">
        <v>1000</v>
      </c>
      <c r="C16" s="40">
        <v>1000</v>
      </c>
      <c r="D16" s="39">
        <v>994.89974855093703</v>
      </c>
      <c r="E16" s="40">
        <v>995.98983367310586</v>
      </c>
      <c r="F16" s="39">
        <v>989.92075183142845</v>
      </c>
      <c r="G16" s="40">
        <v>992.18670550682509</v>
      </c>
      <c r="H16" s="39">
        <v>985.13068240922405</v>
      </c>
      <c r="I16" s="40">
        <v>988.6696918486366</v>
      </c>
      <c r="J16" s="39">
        <v>980.62791015181381</v>
      </c>
      <c r="K16" s="40">
        <v>985.55064006156692</v>
      </c>
      <c r="L16" s="39">
        <v>976.55440755542884</v>
      </c>
      <c r="M16" s="40">
        <v>982.98760268671924</v>
      </c>
      <c r="N16" s="39">
        <v>973.11906566922175</v>
      </c>
      <c r="O16" s="40">
        <v>981.20883079429632</v>
      </c>
      <c r="P16" s="39">
        <v>970.63053124265048</v>
      </c>
      <c r="Q16" s="40">
        <v>980.54653272852499</v>
      </c>
      <c r="R16" s="39">
        <v>969.55055100205959</v>
      </c>
      <c r="S16" s="40">
        <v>981.49143690733547</v>
      </c>
      <c r="T16" s="39">
        <v>970.5769417032858</v>
      </c>
      <c r="U16" s="40">
        <v>984.77740244722213</v>
      </c>
      <c r="V16" s="39">
        <v>974.77398491324402</v>
      </c>
      <c r="W16" s="40">
        <v>991.5138894870073</v>
      </c>
      <c r="X16" s="39">
        <v>983.77549504032982</v>
      </c>
      <c r="Y16" s="40">
        <v>1003.3913907029528</v>
      </c>
      <c r="Z16" s="39">
        <v>1000.0963211908023</v>
      </c>
      <c r="AA16" s="40">
        <v>1022.9945863565796</v>
      </c>
      <c r="AB16" s="39">
        <v>1027.6020398318349</v>
      </c>
      <c r="AC16" s="40">
        <v>1054.2697638465515</v>
      </c>
      <c r="AD16" s="39">
        <v>1072.2443912870997</v>
      </c>
      <c r="AE16" s="40">
        <v>1103.246303998689</v>
      </c>
      <c r="AF16" s="39">
        <v>1143.4680845262274</v>
      </c>
      <c r="AG16" s="40">
        <v>1179.4007791863089</v>
      </c>
      <c r="AH16" s="39">
        <v>1257.934293162896</v>
      </c>
      <c r="AI16" s="40">
        <v>1299.2515641476696</v>
      </c>
      <c r="AJ16" s="39">
        <v>1451.0935575567721</v>
      </c>
      <c r="AK16" s="40">
        <v>1497.3697693038134</v>
      </c>
      <c r="AL16" s="39">
        <v>1814.753611589915</v>
      </c>
      <c r="AM16" s="40">
        <v>1860.683520381119</v>
      </c>
      <c r="AN16" s="39">
        <v>2696.2703894674992</v>
      </c>
      <c r="AO16" s="40">
        <v>2700.2580366536158</v>
      </c>
      <c r="AP16" s="39">
        <v>3060.5658788636961</v>
      </c>
      <c r="AQ16" s="40">
        <v>3032.5073902389076</v>
      </c>
      <c r="AR16" s="39">
        <v>3600.1456762007938</v>
      </c>
      <c r="AS16" s="40">
        <v>3510.8829971265291</v>
      </c>
      <c r="AT16" s="39">
        <v>4515.8588675212141</v>
      </c>
      <c r="AU16" s="40">
        <v>4290.1088009279729</v>
      </c>
      <c r="AV16" s="39">
        <v>6603.464992985344</v>
      </c>
      <c r="AW16" s="40">
        <v>5948.3543409101503</v>
      </c>
    </row>
    <row r="17" spans="1:49" x14ac:dyDescent="0.2">
      <c r="A17" t="s">
        <v>62</v>
      </c>
      <c r="B17" s="33">
        <v>1000.0000000000002</v>
      </c>
      <c r="C17" s="34">
        <v>999.99999999999977</v>
      </c>
      <c r="D17" s="33">
        <v>997.49725306501944</v>
      </c>
      <c r="E17" s="34">
        <v>1028.8944194848784</v>
      </c>
      <c r="F17" s="33">
        <v>995.27528364827515</v>
      </c>
      <c r="G17" s="34">
        <v>1060.8412875786405</v>
      </c>
      <c r="H17" s="33">
        <v>993.41635131897942</v>
      </c>
      <c r="I17" s="34">
        <v>1096.2714343811706</v>
      </c>
      <c r="J17" s="33">
        <v>992.03430047302879</v>
      </c>
      <c r="K17" s="34">
        <v>1135.6892991947889</v>
      </c>
      <c r="L17" s="33">
        <v>991.28741397878389</v>
      </c>
      <c r="M17" s="34">
        <v>1179.6882499405119</v>
      </c>
      <c r="N17" s="33">
        <v>991.40116634032938</v>
      </c>
      <c r="O17" s="34">
        <v>1228.9673011261771</v>
      </c>
      <c r="P17" s="33">
        <v>992.70071024127117</v>
      </c>
      <c r="Q17" s="34">
        <v>1284.3562529526616</v>
      </c>
      <c r="R17" s="33">
        <v>995.66382440243058</v>
      </c>
      <c r="S17" s="34">
        <v>1346.8536041160307</v>
      </c>
      <c r="T17" s="33">
        <v>1001.0046391369699</v>
      </c>
      <c r="U17" s="34">
        <v>1417.7002535180438</v>
      </c>
      <c r="V17" s="33">
        <v>1009.8082051353576</v>
      </c>
      <c r="W17" s="34">
        <v>1498.5396167163333</v>
      </c>
      <c r="X17" s="33">
        <v>1023.7475011609208</v>
      </c>
      <c r="Y17" s="34">
        <v>1591.7968429585912</v>
      </c>
      <c r="Z17" s="33">
        <v>1045.4332750012773</v>
      </c>
      <c r="AA17" s="34">
        <v>1701.5858803487006</v>
      </c>
      <c r="AB17" s="33">
        <v>1078.9787005571843</v>
      </c>
      <c r="AC17" s="34">
        <v>1835.8324053795307</v>
      </c>
      <c r="AD17" s="33">
        <v>1130.9546875592371</v>
      </c>
      <c r="AE17" s="34">
        <v>2011.1215980888917</v>
      </c>
      <c r="AF17" s="33">
        <v>1212.2985737972876</v>
      </c>
      <c r="AG17" s="34">
        <v>2263.9751692604582</v>
      </c>
      <c r="AH17" s="33">
        <v>1343.3082883381187</v>
      </c>
      <c r="AI17" s="34">
        <v>2680.7755923848908</v>
      </c>
      <c r="AJ17" s="33">
        <v>1569.2284146424929</v>
      </c>
      <c r="AK17" s="34">
        <v>3497.9310249454161</v>
      </c>
      <c r="AL17" s="33">
        <v>2013.8462199131664</v>
      </c>
      <c r="AM17" s="34">
        <v>5536.0625022954964</v>
      </c>
      <c r="AN17" s="33">
        <v>3183.9072857688807</v>
      </c>
      <c r="AO17" s="34">
        <v>13456.291929421217</v>
      </c>
      <c r="AP17" s="33">
        <v>3700.0147729887622</v>
      </c>
      <c r="AQ17" s="34">
        <v>17999.154205582257</v>
      </c>
      <c r="AR17" s="33">
        <v>4494.9064210511087</v>
      </c>
      <c r="AS17" s="34">
        <v>26103.966915244477</v>
      </c>
      <c r="AT17" s="33">
        <v>5918.8546841583538</v>
      </c>
      <c r="AU17" s="34">
        <v>43609.633704635053</v>
      </c>
      <c r="AV17" s="33">
        <v>9468.2925858823201</v>
      </c>
      <c r="AW17" s="34">
        <v>100909.04863376828</v>
      </c>
    </row>
    <row r="18" spans="1:49" x14ac:dyDescent="0.2">
      <c r="A18" t="s">
        <v>19</v>
      </c>
      <c r="B18" s="31">
        <v>27857.010133999996</v>
      </c>
      <c r="C18" s="32">
        <v>1236.7674480000003</v>
      </c>
      <c r="D18" s="31">
        <v>27684.691055926432</v>
      </c>
      <c r="E18" s="32">
        <v>1155.6857690438292</v>
      </c>
      <c r="F18" s="31">
        <v>27484.643064614786</v>
      </c>
      <c r="G18" s="32">
        <v>1074.5380355802479</v>
      </c>
      <c r="H18" s="31">
        <v>27250.899278653189</v>
      </c>
      <c r="I18" s="32">
        <v>993.39256487851765</v>
      </c>
      <c r="J18" s="31">
        <v>26975.814338765827</v>
      </c>
      <c r="K18" s="32">
        <v>912.34440631246639</v>
      </c>
      <c r="L18" s="31">
        <v>26649.618361493474</v>
      </c>
      <c r="M18" s="32">
        <v>831.51958363612346</v>
      </c>
      <c r="N18" s="31">
        <v>26259.68953894138</v>
      </c>
      <c r="O18" s="32">
        <v>751.09038346281295</v>
      </c>
      <c r="P18" s="31">
        <v>25789.804941337607</v>
      </c>
      <c r="Q18" s="32">
        <v>671.28457468173156</v>
      </c>
      <c r="R18" s="31">
        <v>25219.260760084308</v>
      </c>
      <c r="S18" s="32">
        <v>592.3993333751298</v>
      </c>
      <c r="T18" s="31">
        <v>24522.203493846278</v>
      </c>
      <c r="U18" s="32">
        <v>514.81102840577728</v>
      </c>
      <c r="V18" s="31">
        <v>23667.746829083218</v>
      </c>
      <c r="W18" s="32">
        <v>438.97367848828776</v>
      </c>
      <c r="X18" s="31">
        <v>22622.052383576993</v>
      </c>
      <c r="Y18" s="32">
        <v>365.39861540168931</v>
      </c>
      <c r="Z18" s="31">
        <v>21354.176315532095</v>
      </c>
      <c r="AA18" s="32">
        <v>294.61214965005036</v>
      </c>
      <c r="AB18" s="31">
        <v>19847.162255154348</v>
      </c>
      <c r="AC18" s="32">
        <v>227.12288852221693</v>
      </c>
      <c r="AD18" s="31">
        <v>18112.098083244357</v>
      </c>
      <c r="AE18" s="32">
        <v>163.54308903400292</v>
      </c>
      <c r="AF18" s="31">
        <v>16193.85444423604</v>
      </c>
      <c r="AG18" s="32">
        <v>105.13868075253518</v>
      </c>
      <c r="AH18" s="31">
        <v>14149.929246802898</v>
      </c>
      <c r="AI18" s="32">
        <v>55.030918873888233</v>
      </c>
      <c r="AJ18" s="31">
        <v>11997.545250716614</v>
      </c>
      <c r="AK18" s="32">
        <v>19.21252807685341</v>
      </c>
      <c r="AL18" s="31">
        <v>9648.5673702811964</v>
      </c>
      <c r="AM18" s="32">
        <v>2.8896821914876996</v>
      </c>
      <c r="AN18" s="31">
        <v>6746.1879474796633</v>
      </c>
      <c r="AO18" s="32">
        <v>6.3228798219178858E-2</v>
      </c>
      <c r="AP18" s="31">
        <v>6002.4985093993128</v>
      </c>
      <c r="AQ18" s="32">
        <v>1.7586102818410373E-2</v>
      </c>
      <c r="AR18" s="31">
        <v>5146.3912486731033</v>
      </c>
      <c r="AS18" s="32">
        <v>3.3676988953018293E-3</v>
      </c>
      <c r="AT18" s="31">
        <v>4111.9427449512841</v>
      </c>
      <c r="AU18" s="32">
        <v>3.3305058135355399E-4</v>
      </c>
      <c r="AV18" s="31">
        <v>2742.5561603223423</v>
      </c>
      <c r="AW18" s="32">
        <v>6.9982168543424644E-6</v>
      </c>
    </row>
    <row r="19" spans="1:49" x14ac:dyDescent="0.2">
      <c r="A19" t="s">
        <v>3</v>
      </c>
      <c r="B19" s="39">
        <v>1886.3937399999918</v>
      </c>
      <c r="C19" s="40">
        <v>262.78711299999571</v>
      </c>
      <c r="D19" s="39">
        <v>1862.9893487342877</v>
      </c>
      <c r="E19" s="40">
        <v>266.10857850721004</v>
      </c>
      <c r="F19" s="39">
        <v>1839.2023811459994</v>
      </c>
      <c r="G19" s="40">
        <v>270.00468763999805</v>
      </c>
      <c r="H19" s="39">
        <v>1815.0093952182067</v>
      </c>
      <c r="I19" s="40">
        <v>274.49741914468262</v>
      </c>
      <c r="J19" s="39">
        <v>1790.4019699247663</v>
      </c>
      <c r="K19" s="40">
        <v>279.59595854291905</v>
      </c>
      <c r="L19" s="39">
        <v>1765.398977595501</v>
      </c>
      <c r="M19" s="40">
        <v>285.28830480518258</v>
      </c>
      <c r="N19" s="39">
        <v>1740.0713145688615</v>
      </c>
      <c r="O19" s="40">
        <v>291.52924978204663</v>
      </c>
      <c r="P19" s="39">
        <v>1714.5826432060605</v>
      </c>
      <c r="Q19" s="40">
        <v>298.22449833231332</v>
      </c>
      <c r="R19" s="39">
        <v>1689.2642643498848</v>
      </c>
      <c r="S19" s="40">
        <v>305.21108015397868</v>
      </c>
      <c r="T19" s="39">
        <v>1664.7487648708452</v>
      </c>
      <c r="U19" s="40">
        <v>312.23878178373155</v>
      </c>
      <c r="V19" s="39">
        <v>1642.2101692599995</v>
      </c>
      <c r="W19" s="40">
        <v>318.96035063859057</v>
      </c>
      <c r="X19" s="39">
        <v>1623.790280363487</v>
      </c>
      <c r="Y19" s="40">
        <v>324.94966631840992</v>
      </c>
      <c r="Z19" s="39">
        <v>1613.3372464502306</v>
      </c>
      <c r="AA19" s="40">
        <v>329.76630554451481</v>
      </c>
      <c r="AB19" s="39">
        <v>1617.629460960492</v>
      </c>
      <c r="AC19" s="40">
        <v>333.046542812903</v>
      </c>
      <c r="AD19" s="39">
        <v>1648.3466412190298</v>
      </c>
      <c r="AE19" s="40">
        <v>334.44675167330132</v>
      </c>
      <c r="AF19" s="39">
        <v>1725.5458474844781</v>
      </c>
      <c r="AG19" s="40">
        <v>332.90958409856728</v>
      </c>
      <c r="AH19" s="39">
        <v>1885.949204553978</v>
      </c>
      <c r="AI19" s="40">
        <v>324.27399196547657</v>
      </c>
      <c r="AJ19" s="39">
        <v>2208.2659376215338</v>
      </c>
      <c r="AK19" s="40">
        <v>296.65532819238251</v>
      </c>
      <c r="AL19" s="39">
        <v>2894.7235744478771</v>
      </c>
      <c r="AM19" s="40">
        <v>230.22617485267168</v>
      </c>
      <c r="AN19" s="39">
        <v>4666.467083632645</v>
      </c>
      <c r="AO19" s="40">
        <v>122.46656928599829</v>
      </c>
      <c r="AP19" s="39">
        <v>5392.2884217232422</v>
      </c>
      <c r="AQ19" s="40">
        <v>98.317072570973224</v>
      </c>
      <c r="AR19" s="39">
        <v>6438.3006729641329</v>
      </c>
      <c r="AS19" s="40">
        <v>73.874636755843724</v>
      </c>
      <c r="AT19" s="39">
        <v>8114.308262108354</v>
      </c>
      <c r="AU19" s="40">
        <v>49.288685903333899</v>
      </c>
      <c r="AV19" s="39">
        <v>11451.259310722504</v>
      </c>
      <c r="AW19" s="40">
        <v>24.649890455330176</v>
      </c>
    </row>
    <row r="20" spans="1:49" x14ac:dyDescent="0.2">
      <c r="A20" t="s">
        <v>114</v>
      </c>
      <c r="B20" s="79">
        <v>26548.356269999993</v>
      </c>
      <c r="C20" s="80">
        <v>1408.5418709999938</v>
      </c>
      <c r="D20" s="79">
        <v>26364.00686980084</v>
      </c>
      <c r="E20" s="80">
        <v>1338.1147774499941</v>
      </c>
      <c r="F20" s="79">
        <v>26155.693316458994</v>
      </c>
      <c r="G20" s="80">
        <v>1267.6876838999945</v>
      </c>
      <c r="H20" s="79">
        <v>25918.428378271037</v>
      </c>
      <c r="I20" s="80">
        <v>1197.2605903499943</v>
      </c>
      <c r="J20" s="79">
        <v>25645.854790289901</v>
      </c>
      <c r="K20" s="80">
        <v>1126.8334967999951</v>
      </c>
      <c r="L20" s="79">
        <v>25329.890011503579</v>
      </c>
      <c r="M20" s="80">
        <v>1056.4064032499953</v>
      </c>
      <c r="N20" s="79">
        <v>24960.149548161735</v>
      </c>
      <c r="O20" s="80">
        <v>985.97930969999561</v>
      </c>
      <c r="P20" s="79">
        <v>24523.363843350024</v>
      </c>
      <c r="Q20" s="80">
        <v>915.55221614999607</v>
      </c>
      <c r="R20" s="79">
        <v>24002.709524259473</v>
      </c>
      <c r="S20" s="80">
        <v>845.12512259999642</v>
      </c>
      <c r="T20" s="79">
        <v>23377.345620639724</v>
      </c>
      <c r="U20" s="80">
        <v>774.69802904999653</v>
      </c>
      <c r="V20" s="79">
        <v>22622.64266552528</v>
      </c>
      <c r="W20" s="80">
        <v>704.27093549999688</v>
      </c>
      <c r="X20" s="79">
        <v>21712.089431816497</v>
      </c>
      <c r="Y20" s="80">
        <v>633.84384194999734</v>
      </c>
      <c r="Z20" s="79">
        <v>20622.369286875903</v>
      </c>
      <c r="AA20" s="80">
        <v>563.41674839999757</v>
      </c>
      <c r="AB20" s="79">
        <v>19342.810339324125</v>
      </c>
      <c r="AC20" s="80">
        <v>492.98965484999775</v>
      </c>
      <c r="AD20" s="79">
        <v>17887.302557936269</v>
      </c>
      <c r="AE20" s="80">
        <v>422.56256129999798</v>
      </c>
      <c r="AF20" s="79">
        <v>16299.48161957726</v>
      </c>
      <c r="AG20" s="80">
        <v>352.13546774999827</v>
      </c>
      <c r="AH20" s="79">
        <v>14636.48059825422</v>
      </c>
      <c r="AI20" s="80">
        <v>281.70837419999856</v>
      </c>
      <c r="AJ20" s="79">
        <v>12928.368300513814</v>
      </c>
      <c r="AK20" s="80">
        <v>211.28128064999876</v>
      </c>
      <c r="AL20" s="79">
        <v>11127.450904737259</v>
      </c>
      <c r="AM20" s="80">
        <v>140.85418709999905</v>
      </c>
      <c r="AN20" s="79">
        <v>8976.4921274260378</v>
      </c>
      <c r="AO20" s="80">
        <v>70.42709354999927</v>
      </c>
      <c r="AP20" s="79">
        <v>8431.3315551759279</v>
      </c>
      <c r="AQ20" s="80">
        <v>56.341674839999328</v>
      </c>
      <c r="AR20" s="79">
        <v>7802.9835009985372</v>
      </c>
      <c r="AS20" s="80">
        <v>42.256256129999379</v>
      </c>
      <c r="AT20" s="79">
        <v>7037.9719324170292</v>
      </c>
      <c r="AU20" s="80">
        <v>28.17083741999943</v>
      </c>
      <c r="AV20" s="79">
        <v>5999.8864019333514</v>
      </c>
      <c r="AW20" s="80">
        <v>14.08541870999948</v>
      </c>
    </row>
    <row r="21" spans="1:49" x14ac:dyDescent="0.2">
      <c r="A21" t="s">
        <v>76</v>
      </c>
      <c r="B21" s="79">
        <v>24661.962529999968</v>
      </c>
      <c r="C21" s="80">
        <v>1145.7547579999921</v>
      </c>
      <c r="D21" s="79">
        <v>24501.0328204609</v>
      </c>
      <c r="E21" s="80">
        <v>1072.1689712457251</v>
      </c>
      <c r="F21" s="79">
        <v>24316.54510387154</v>
      </c>
      <c r="G21" s="80">
        <v>998.37576175675997</v>
      </c>
      <c r="H21" s="79">
        <v>24103.523329152282</v>
      </c>
      <c r="I21" s="80">
        <v>924.42313434255823</v>
      </c>
      <c r="J21" s="79">
        <v>23855.604098111915</v>
      </c>
      <c r="K21" s="80">
        <v>850.3822640946554</v>
      </c>
      <c r="L21" s="79">
        <v>23564.669864214291</v>
      </c>
      <c r="M21" s="80">
        <v>776.35575394033765</v>
      </c>
      <c r="N21" s="79">
        <v>23220.249869783886</v>
      </c>
      <c r="O21" s="80">
        <v>702.48820292212929</v>
      </c>
      <c r="P21" s="79">
        <v>22808.902614519888</v>
      </c>
      <c r="Q21" s="80">
        <v>628.97860405379481</v>
      </c>
      <c r="R21" s="79">
        <v>22313.487119867881</v>
      </c>
      <c r="S21" s="80">
        <v>556.0936829504069</v>
      </c>
      <c r="T21" s="79">
        <v>21712.599036999283</v>
      </c>
      <c r="U21" s="80">
        <v>484.1777801749343</v>
      </c>
      <c r="V21" s="79">
        <v>20980.632604539445</v>
      </c>
      <c r="W21" s="80">
        <v>413.65398450528232</v>
      </c>
      <c r="X21" s="79">
        <v>20089.415598574906</v>
      </c>
      <c r="Y21" s="80">
        <v>345.0058768248486</v>
      </c>
      <c r="Z21" s="79">
        <v>19012.864507544629</v>
      </c>
      <c r="AA21" s="80">
        <v>278.73714296982286</v>
      </c>
      <c r="AB21" s="79">
        <v>17735.8407603878</v>
      </c>
      <c r="AC21" s="80">
        <v>215.34149492495425</v>
      </c>
      <c r="AD21" s="79">
        <v>16265.321896496745</v>
      </c>
      <c r="AE21" s="80">
        <v>155.41155910595415</v>
      </c>
      <c r="AF21" s="79">
        <v>14634.616652893297</v>
      </c>
      <c r="AG21" s="80">
        <v>100.15872963538234</v>
      </c>
      <c r="AH21" s="79">
        <v>12885.049774818381</v>
      </c>
      <c r="AI21" s="80">
        <v>52.567464035706571</v>
      </c>
      <c r="AJ21" s="79">
        <v>11019.726576430063</v>
      </c>
      <c r="AK21" s="80">
        <v>18.405514162895606</v>
      </c>
      <c r="AL21" s="79">
        <v>8942.8497573189961</v>
      </c>
      <c r="AM21" s="80">
        <v>2.7755929005984026</v>
      </c>
      <c r="AN21" s="79">
        <v>6305.6754400549617</v>
      </c>
      <c r="AO21" s="80">
        <v>6.0833273385980678E-2</v>
      </c>
      <c r="AP21" s="79">
        <v>5619.0476232950559</v>
      </c>
      <c r="AQ21" s="80">
        <v>1.6922773118207033E-2</v>
      </c>
      <c r="AR21" s="79">
        <v>4824.5581517991159</v>
      </c>
      <c r="AS21" s="80">
        <v>3.2410737757092908E-3</v>
      </c>
      <c r="AT21" s="79">
        <v>3859.9954656307559</v>
      </c>
      <c r="AU21" s="80">
        <v>3.2055268461369114E-4</v>
      </c>
      <c r="AV21" s="79">
        <v>2577.6990552466764</v>
      </c>
      <c r="AW21" s="80">
        <v>6.7358571795824232E-6</v>
      </c>
    </row>
    <row r="22" spans="1:49" x14ac:dyDescent="0.2">
      <c r="A22" t="s">
        <v>28</v>
      </c>
      <c r="B22" s="39">
        <v>6533.6044688320699</v>
      </c>
      <c r="C22" s="40">
        <v>379.90788307663399</v>
      </c>
      <c r="D22" s="39">
        <v>6468.6302356900196</v>
      </c>
      <c r="E22" s="40">
        <v>363.00862023391085</v>
      </c>
      <c r="F22" s="39">
        <v>6396.5505996865913</v>
      </c>
      <c r="G22" s="40">
        <v>346.00654872843415</v>
      </c>
      <c r="H22" s="39">
        <v>6315.9971150050915</v>
      </c>
      <c r="I22" s="40">
        <v>328.89700333123739</v>
      </c>
      <c r="J22" s="39">
        <v>6225.2440945715443</v>
      </c>
      <c r="K22" s="40">
        <v>311.67443801416243</v>
      </c>
      <c r="L22" s="39">
        <v>6122.1208130662235</v>
      </c>
      <c r="M22" s="40">
        <v>294.33207521659756</v>
      </c>
      <c r="N22" s="39">
        <v>6003.8679387519796</v>
      </c>
      <c r="O22" s="40">
        <v>276.86166161129796</v>
      </c>
      <c r="P22" s="39">
        <v>5866.9974021139624</v>
      </c>
      <c r="Q22" s="40">
        <v>259.25318773447253</v>
      </c>
      <c r="R22" s="39">
        <v>5707.1352378208758</v>
      </c>
      <c r="S22" s="40">
        <v>241.49491254385646</v>
      </c>
      <c r="T22" s="39">
        <v>5518.9252845426918</v>
      </c>
      <c r="U22" s="40">
        <v>223.57365021562623</v>
      </c>
      <c r="V22" s="39">
        <v>5296.1181963290737</v>
      </c>
      <c r="W22" s="40">
        <v>205.4759212141627</v>
      </c>
      <c r="X22" s="39">
        <v>5032.0932849729334</v>
      </c>
      <c r="Y22" s="40">
        <v>187.1895122669589</v>
      </c>
      <c r="Z22" s="39">
        <v>4721.1766173490341</v>
      </c>
      <c r="AA22" s="40">
        <v>168.70392362871723</v>
      </c>
      <c r="AB22" s="39">
        <v>4361.0220247055076</v>
      </c>
      <c r="AC22" s="40">
        <v>150.00356968385441</v>
      </c>
      <c r="AD22" s="39">
        <v>3955.5011173333946</v>
      </c>
      <c r="AE22" s="40">
        <v>131.03827226695131</v>
      </c>
      <c r="AF22" s="39">
        <v>3515.6937965031602</v>
      </c>
      <c r="AG22" s="40">
        <v>111.64879272475169</v>
      </c>
      <c r="AH22" s="39">
        <v>3055.2089582070794</v>
      </c>
      <c r="AI22" s="40">
        <v>91.445471039175317</v>
      </c>
      <c r="AJ22" s="39">
        <v>2579.1781831728895</v>
      </c>
      <c r="AK22" s="40">
        <v>69.768039619696154</v>
      </c>
      <c r="AL22" s="39">
        <v>2071.12380185856</v>
      </c>
      <c r="AM22" s="40">
        <v>46.247614506573022</v>
      </c>
      <c r="AN22" s="39">
        <v>1460.5499008607032</v>
      </c>
      <c r="AO22" s="40">
        <v>22.095562635568228</v>
      </c>
      <c r="AP22" s="39">
        <v>1307.0681069309726</v>
      </c>
      <c r="AQ22" s="40">
        <v>17.393694946936371</v>
      </c>
      <c r="AR22" s="39">
        <v>1131.6849977010154</v>
      </c>
      <c r="AS22" s="40">
        <v>12.783222201895887</v>
      </c>
      <c r="AT22" s="39">
        <v>921.11760665263193</v>
      </c>
      <c r="AU22" s="40">
        <v>8.2941038596597494</v>
      </c>
      <c r="AV22" s="39">
        <v>642.44363645460874</v>
      </c>
      <c r="AW22" s="40">
        <v>3.9771278320070986</v>
      </c>
    </row>
    <row r="23" spans="1:49" x14ac:dyDescent="0.2">
      <c r="A23" t="s">
        <v>7</v>
      </c>
      <c r="B23" s="110">
        <v>3278.5018080150408</v>
      </c>
      <c r="C23" s="8">
        <v>0</v>
      </c>
      <c r="D23" s="110">
        <v>3262.2778284551368</v>
      </c>
      <c r="E23" s="8">
        <v>0</v>
      </c>
      <c r="F23" s="110">
        <v>3242.6287263258141</v>
      </c>
      <c r="G23" s="8">
        <v>0</v>
      </c>
      <c r="H23" s="110">
        <v>3218.8083245481639</v>
      </c>
      <c r="I23" s="8">
        <v>0</v>
      </c>
      <c r="J23" s="110">
        <v>3189.8606100487923</v>
      </c>
      <c r="K23" s="8">
        <v>0</v>
      </c>
      <c r="L23" s="110">
        <v>3154.5651454187437</v>
      </c>
      <c r="M23" s="8">
        <v>0</v>
      </c>
      <c r="N23" s="110">
        <v>3111.3472787205937</v>
      </c>
      <c r="O23" s="8">
        <v>0</v>
      </c>
      <c r="P23" s="110">
        <v>3058.1880753968785</v>
      </c>
      <c r="Q23" s="8">
        <v>0</v>
      </c>
      <c r="R23" s="110">
        <v>2992.520457161866</v>
      </c>
      <c r="S23" s="8">
        <v>0</v>
      </c>
      <c r="T23" s="110">
        <v>2911.1577449110255</v>
      </c>
      <c r="U23" s="8">
        <v>0</v>
      </c>
      <c r="V23" s="110">
        <v>2810.3315346112504</v>
      </c>
      <c r="W23" s="8">
        <v>0</v>
      </c>
      <c r="X23" s="110">
        <v>2685.9952465572187</v>
      </c>
      <c r="Y23" s="8">
        <v>0</v>
      </c>
      <c r="Z23" s="110">
        <v>2534.63208765942</v>
      </c>
      <c r="AA23" s="8">
        <v>0</v>
      </c>
      <c r="AB23" s="110">
        <v>2354.769170078785</v>
      </c>
      <c r="AC23" s="8">
        <v>0</v>
      </c>
      <c r="AD23" s="110">
        <v>2148.9217464957605</v>
      </c>
      <c r="AE23" s="8">
        <v>0</v>
      </c>
      <c r="AF23" s="110">
        <v>1924.5687765036043</v>
      </c>
      <c r="AG23" s="8">
        <v>0</v>
      </c>
      <c r="AH23" s="110">
        <v>1691.9349485919454</v>
      </c>
      <c r="AI23" s="8">
        <v>0</v>
      </c>
      <c r="AJ23" s="110">
        <v>1458.1659535049355</v>
      </c>
      <c r="AK23" s="8">
        <v>0</v>
      </c>
      <c r="AL23" s="110">
        <v>1219.4150137087806</v>
      </c>
      <c r="AM23" s="8">
        <v>0</v>
      </c>
      <c r="AN23" s="110">
        <v>939.26971760250672</v>
      </c>
      <c r="AO23" s="8">
        <v>0</v>
      </c>
      <c r="AP23" s="110">
        <v>867.56966238094481</v>
      </c>
      <c r="AQ23" s="8">
        <v>0</v>
      </c>
      <c r="AR23" s="110">
        <v>784.01105407205591</v>
      </c>
      <c r="AS23" s="8">
        <v>0</v>
      </c>
      <c r="AT23" s="110">
        <v>680.44357160873767</v>
      </c>
      <c r="AU23" s="8">
        <v>0</v>
      </c>
      <c r="AV23" s="110">
        <v>535.12172714900009</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3195.0476039999967</v>
      </c>
      <c r="C25" s="40">
        <v>91.012690000004142</v>
      </c>
      <c r="D25" s="39">
        <v>3183.6458253934934</v>
      </c>
      <c r="E25" s="40">
        <v>83.501488561262761</v>
      </c>
      <c r="F25" s="39">
        <v>3168.0537394748758</v>
      </c>
      <c r="G25" s="40">
        <v>76.101872448555298</v>
      </c>
      <c r="H25" s="39">
        <v>3147.2903915109005</v>
      </c>
      <c r="I25" s="40">
        <v>68.83578355873297</v>
      </c>
      <c r="J25" s="39">
        <v>3120.0857770158045</v>
      </c>
      <c r="K25" s="40">
        <v>61.72831253432534</v>
      </c>
      <c r="L25" s="39">
        <v>3084.8011385406603</v>
      </c>
      <c r="M25" s="40">
        <v>54.807769442452283</v>
      </c>
      <c r="N25" s="39">
        <v>3039.2982421654715</v>
      </c>
      <c r="O25" s="40">
        <v>48.106323772904332</v>
      </c>
      <c r="P25" s="39">
        <v>2980.8025412345082</v>
      </c>
      <c r="Q25" s="40">
        <v>41.659926979006535</v>
      </c>
      <c r="R25" s="39">
        <v>2905.7394317175713</v>
      </c>
      <c r="S25" s="40">
        <v>35.508183311203844</v>
      </c>
      <c r="T25" s="39">
        <v>2809.6026791622221</v>
      </c>
      <c r="U25" s="40">
        <v>29.693441827924381</v>
      </c>
      <c r="V25" s="39">
        <v>2686.9559949229001</v>
      </c>
      <c r="W25" s="40">
        <v>24.258795086418427</v>
      </c>
      <c r="X25" s="39">
        <v>2531.7805761401828</v>
      </c>
      <c r="Y25" s="40">
        <v>19.24482814700314</v>
      </c>
      <c r="Z25" s="39">
        <v>2338.5048197656342</v>
      </c>
      <c r="AA25" s="40">
        <v>14.68596385578339</v>
      </c>
      <c r="AB25" s="39">
        <v>2104.0303185990124</v>
      </c>
      <c r="AC25" s="40">
        <v>10.609984260051313</v>
      </c>
      <c r="AD25" s="39">
        <v>1830.4618726113617</v>
      </c>
      <c r="AE25" s="40">
        <v>7.0496504168783583</v>
      </c>
      <c r="AF25" s="39">
        <v>1526.7462433119786</v>
      </c>
      <c r="AG25" s="40">
        <v>4.0750001105851341</v>
      </c>
      <c r="AH25" s="39">
        <v>1206.3554520900409</v>
      </c>
      <c r="AI25" s="40">
        <v>1.8321005756165636</v>
      </c>
      <c r="AJ25" s="39">
        <v>881.60381324041441</v>
      </c>
      <c r="AK25" s="40">
        <v>0.50442714381588882</v>
      </c>
      <c r="AL25" s="39">
        <v>562.79359431228318</v>
      </c>
      <c r="AM25" s="40">
        <v>5.0484144506646123E-2</v>
      </c>
      <c r="AN25" s="39">
        <v>262.33881162930453</v>
      </c>
      <c r="AO25" s="40">
        <v>4.9810944012613763E-4</v>
      </c>
      <c r="AP25" s="39">
        <v>205.26283166695887</v>
      </c>
      <c r="AQ25" s="40">
        <v>1.0628444291638121E-4</v>
      </c>
      <c r="AR25" s="39">
        <v>149.42796860607072</v>
      </c>
      <c r="AS25" s="40">
        <v>1.4458599479953044E-5</v>
      </c>
      <c r="AT25" s="39">
        <v>95.232890598353308</v>
      </c>
      <c r="AU25" s="40">
        <v>8.8688873328617774E-7</v>
      </c>
      <c r="AV25" s="39">
        <v>43.731234960481743</v>
      </c>
      <c r="AW25" s="40">
        <v>8.4309268578319944E-9</v>
      </c>
    </row>
    <row r="26" spans="1:49" x14ac:dyDescent="0.2">
      <c r="A26" t="s">
        <v>27</v>
      </c>
      <c r="B26" s="31">
        <v>5036.2953101960647</v>
      </c>
      <c r="C26" s="32">
        <v>74.905331803938267</v>
      </c>
      <c r="D26" s="31">
        <v>5014.3505024196793</v>
      </c>
      <c r="E26" s="32">
        <v>70.348123935483983</v>
      </c>
      <c r="F26" s="31">
        <v>4988.0414838547167</v>
      </c>
      <c r="G26" s="32">
        <v>65.762976208697395</v>
      </c>
      <c r="H26" s="31">
        <v>4956.328715264377</v>
      </c>
      <c r="I26" s="32">
        <v>61.150368724250562</v>
      </c>
      <c r="J26" s="31">
        <v>4917.859174406417</v>
      </c>
      <c r="K26" s="32">
        <v>56.511808451354682</v>
      </c>
      <c r="L26" s="31">
        <v>4870.8776066506034</v>
      </c>
      <c r="M26" s="32">
        <v>51.850156454567106</v>
      </c>
      <c r="N26" s="31">
        <v>4813.0801785026497</v>
      </c>
      <c r="O26" s="32">
        <v>47.170440146693572</v>
      </c>
      <c r="P26" s="31">
        <v>4741.4576845416323</v>
      </c>
      <c r="Q26" s="32">
        <v>42.480564984899985</v>
      </c>
      <c r="R26" s="31">
        <v>4652.1032550299324</v>
      </c>
      <c r="S26" s="32">
        <v>37.792335603608656</v>
      </c>
      <c r="T26" s="31">
        <v>4540.0443727813672</v>
      </c>
      <c r="U26" s="32">
        <v>33.122440062472243</v>
      </c>
      <c r="V26" s="31">
        <v>4399.2026265074701</v>
      </c>
      <c r="W26" s="32">
        <v>28.49307549770376</v>
      </c>
      <c r="X26" s="31">
        <v>4222.7039350007462</v>
      </c>
      <c r="Y26" s="32">
        <v>23.931773889273515</v>
      </c>
      <c r="Z26" s="31">
        <v>4003.8953312392027</v>
      </c>
      <c r="AA26" s="32">
        <v>19.470271407517497</v>
      </c>
      <c r="AB26" s="31">
        <v>3738.394620863452</v>
      </c>
      <c r="AC26" s="32">
        <v>15.144279604717497</v>
      </c>
      <c r="AD26" s="31">
        <v>3426.8213914042635</v>
      </c>
      <c r="AE26" s="32">
        <v>11.002601738733505</v>
      </c>
      <c r="AF26" s="31">
        <v>3076.1214531210107</v>
      </c>
      <c r="AG26" s="32">
        <v>7.1425097758470377</v>
      </c>
      <c r="AH26" s="31">
        <v>2695.8075658134067</v>
      </c>
      <c r="AI26" s="32">
        <v>3.7861719951621033</v>
      </c>
      <c r="AJ26" s="31">
        <v>2287.7067953418677</v>
      </c>
      <c r="AK26" s="32">
        <v>1.3492532138453379</v>
      </c>
      <c r="AL26" s="31">
        <v>1832.4672953906113</v>
      </c>
      <c r="AM26" s="32">
        <v>0.21108278835491054</v>
      </c>
      <c r="AN26" s="31">
        <v>1256.3573708960257</v>
      </c>
      <c r="AO26" s="32">
        <v>5.0347250501006817E-3</v>
      </c>
      <c r="AP26" s="31">
        <v>1107.259087635161</v>
      </c>
      <c r="AQ26" s="32">
        <v>1.4429328104914522E-3</v>
      </c>
      <c r="AR26" s="31">
        <v>935.70271621183895</v>
      </c>
      <c r="AS26" s="32">
        <v>2.8730857897510712E-4</v>
      </c>
      <c r="AT26" s="31">
        <v>729.71844426912696</v>
      </c>
      <c r="AU26" s="32">
        <v>3.000962537605119E-5</v>
      </c>
      <c r="AV26" s="31">
        <v>463.0183556720857</v>
      </c>
      <c r="AW26" s="32">
        <v>6.9015814998215703E-7</v>
      </c>
    </row>
    <row r="27" spans="1:49" x14ac:dyDescent="0.2">
      <c r="A27" t="s">
        <v>2</v>
      </c>
      <c r="B27" s="33">
        <v>6425.1981590000414</v>
      </c>
      <c r="C27" s="34">
        <v>273.22915400000028</v>
      </c>
      <c r="D27" s="33">
        <v>6388.7236013574566</v>
      </c>
      <c r="E27" s="34">
        <v>256.43594537872332</v>
      </c>
      <c r="F27" s="33">
        <v>6346.041366186234</v>
      </c>
      <c r="G27" s="34">
        <v>239.54912104964762</v>
      </c>
      <c r="H27" s="33">
        <v>6295.778094997685</v>
      </c>
      <c r="I27" s="34">
        <v>222.57191248435564</v>
      </c>
      <c r="J27" s="33">
        <v>6236.1673215068467</v>
      </c>
      <c r="K27" s="34">
        <v>205.51178049874895</v>
      </c>
      <c r="L27" s="33">
        <v>6164.9425323142896</v>
      </c>
      <c r="M27" s="34">
        <v>188.38121058363603</v>
      </c>
      <c r="N27" s="33">
        <v>6079.1643355175302</v>
      </c>
      <c r="O27" s="34">
        <v>171.20124090745372</v>
      </c>
      <c r="P27" s="33">
        <v>5975.0396359972347</v>
      </c>
      <c r="Q27" s="34">
        <v>154.00376984568257</v>
      </c>
      <c r="R27" s="33">
        <v>5847.7082184816272</v>
      </c>
      <c r="S27" s="34">
        <v>136.83541272833534</v>
      </c>
      <c r="T27" s="33">
        <v>5691.0756103686717</v>
      </c>
      <c r="U27" s="34">
        <v>119.76119198930857</v>
      </c>
      <c r="V27" s="33">
        <v>5497.8273875252307</v>
      </c>
      <c r="W27" s="34">
        <v>102.86665113581394</v>
      </c>
      <c r="X27" s="33">
        <v>5259.9051013401386</v>
      </c>
      <c r="Y27" s="34">
        <v>86.257155696681096</v>
      </c>
      <c r="Z27" s="33">
        <v>4969.876049597241</v>
      </c>
      <c r="AA27" s="34">
        <v>70.053548952582801</v>
      </c>
      <c r="AB27" s="33">
        <v>4623.5625237244858</v>
      </c>
      <c r="AC27" s="34">
        <v>54.390253572402948</v>
      </c>
      <c r="AD27" s="33">
        <v>4223.4158661748743</v>
      </c>
      <c r="AE27" s="34">
        <v>39.44647411855091</v>
      </c>
      <c r="AF27" s="33">
        <v>3779.9899022540167</v>
      </c>
      <c r="AG27" s="34">
        <v>25.569432337439178</v>
      </c>
      <c r="AH27" s="33">
        <v>3307.119967666209</v>
      </c>
      <c r="AI27" s="34">
        <v>13.54277068466393</v>
      </c>
      <c r="AJ27" s="33">
        <v>2809.6303286812858</v>
      </c>
      <c r="AK27" s="34">
        <v>4.8288585700027422</v>
      </c>
      <c r="AL27" s="33">
        <v>2268.0768554442693</v>
      </c>
      <c r="AM27" s="34">
        <v>0.758385929728008</v>
      </c>
      <c r="AN27" s="33">
        <v>1599.96793397887</v>
      </c>
      <c r="AO27" s="34">
        <v>1.8348537985827505E-2</v>
      </c>
      <c r="AP27" s="33">
        <v>1428.4609977923637</v>
      </c>
      <c r="AQ27" s="34">
        <v>5.2927614714493188E-3</v>
      </c>
      <c r="AR27" s="33">
        <v>1230.6135825017943</v>
      </c>
      <c r="AS27" s="34">
        <v>1.064062438557483E-3</v>
      </c>
      <c r="AT27" s="33">
        <v>990.71389939686935</v>
      </c>
      <c r="AU27" s="34">
        <v>1.1292331987370626E-4</v>
      </c>
      <c r="AV27" s="33">
        <v>671.06859436371008</v>
      </c>
      <c r="AW27" s="34">
        <v>2.6832411676799925E-6</v>
      </c>
    </row>
    <row r="28" spans="1:49" x14ac:dyDescent="0.2">
      <c r="A28" t="s">
        <v>35</v>
      </c>
      <c r="B28" s="39">
        <v>13763.097676000029</v>
      </c>
      <c r="C28" s="40">
        <v>382.36647899999997</v>
      </c>
      <c r="D28" s="39">
        <v>13694.639467273984</v>
      </c>
      <c r="E28" s="40">
        <v>358.93329569716803</v>
      </c>
      <c r="F28" s="39">
        <v>13613.591593514191</v>
      </c>
      <c r="G28" s="40">
        <v>335.36556613631979</v>
      </c>
      <c r="H28" s="39">
        <v>13517.060244601946</v>
      </c>
      <c r="I28" s="40">
        <v>311.66721155487971</v>
      </c>
      <c r="J28" s="39">
        <v>13401.30050189569</v>
      </c>
      <c r="K28" s="40">
        <v>287.84788355541201</v>
      </c>
      <c r="L28" s="39">
        <v>13261.479931696567</v>
      </c>
      <c r="M28" s="40">
        <v>263.92423698694222</v>
      </c>
      <c r="N28" s="39">
        <v>13091.292499330108</v>
      </c>
      <c r="O28" s="40">
        <v>239.92464761257219</v>
      </c>
      <c r="P28" s="39">
        <v>12882.549517010983</v>
      </c>
      <c r="Q28" s="40">
        <v>215.8925602798785</v>
      </c>
      <c r="R28" s="39">
        <v>12624.6868525017</v>
      </c>
      <c r="S28" s="40">
        <v>191.89184112928862</v>
      </c>
      <c r="T28" s="39">
        <v>12304.354910636803</v>
      </c>
      <c r="U28" s="40">
        <v>168.01191297367743</v>
      </c>
      <c r="V28" s="39">
        <v>11905.378055699135</v>
      </c>
      <c r="W28" s="40">
        <v>144.37079182841597</v>
      </c>
      <c r="X28" s="39">
        <v>11409.689227680085</v>
      </c>
      <c r="Y28" s="40">
        <v>121.1141488313051</v>
      </c>
      <c r="Z28" s="39">
        <v>10800.191560628127</v>
      </c>
      <c r="AA28" s="40">
        <v>98.409332592593032</v>
      </c>
      <c r="AB28" s="39">
        <v>10066.387135272371</v>
      </c>
      <c r="AC28" s="40">
        <v>76.443126987028762</v>
      </c>
      <c r="AD28" s="39">
        <v>9211.7411327891587</v>
      </c>
      <c r="AE28" s="40">
        <v>55.466182160634588</v>
      </c>
      <c r="AF28" s="39">
        <v>8257.0856889644856</v>
      </c>
      <c r="AG28" s="40">
        <v>35.967602713069795</v>
      </c>
      <c r="AH28" s="39">
        <v>7230.3117193842436</v>
      </c>
      <c r="AI28" s="40">
        <v>19.054330924078204</v>
      </c>
      <c r="AJ28" s="39">
        <v>6139.1347523636687</v>
      </c>
      <c r="AK28" s="40">
        <v>6.7930745054040189</v>
      </c>
      <c r="AL28" s="39">
        <v>4936.1078155964296</v>
      </c>
      <c r="AM28" s="40">
        <v>1.0657697915316964</v>
      </c>
      <c r="AN28" s="39">
        <v>3430.4803682328252</v>
      </c>
      <c r="AO28" s="40">
        <v>2.5684135656501798E-2</v>
      </c>
      <c r="AP28" s="39">
        <v>3041.5843760254406</v>
      </c>
      <c r="AQ28" s="40">
        <v>7.3949625858794922E-3</v>
      </c>
      <c r="AR28" s="39">
        <v>2592.9415446888438</v>
      </c>
      <c r="AS28" s="40">
        <v>1.4824366057210009E-3</v>
      </c>
      <c r="AT28" s="39">
        <v>2050.6295107432811</v>
      </c>
      <c r="AU28" s="40">
        <v>1.5654235870828968E-4</v>
      </c>
      <c r="AV28" s="39">
        <v>1336.6950604917758</v>
      </c>
      <c r="AW28" s="40">
        <v>3.6782105503412045E-6</v>
      </c>
    </row>
    <row r="29" spans="1:49" x14ac:dyDescent="0.2">
      <c r="A29" t="s">
        <v>53</v>
      </c>
      <c r="B29" s="33">
        <v>14362.768558000025</v>
      </c>
      <c r="C29" s="34">
        <v>817.26650999999993</v>
      </c>
      <c r="D29" s="33">
        <v>14272.707968811159</v>
      </c>
      <c r="E29" s="34">
        <v>760.97197150144666</v>
      </c>
      <c r="F29" s="33">
        <v>14168.481016983182</v>
      </c>
      <c r="G29" s="34">
        <v>704.91719975823969</v>
      </c>
      <c r="H29" s="33">
        <v>14047.061713741963</v>
      </c>
      <c r="I29" s="34">
        <v>649.16976891870399</v>
      </c>
      <c r="J29" s="33">
        <v>13904.57427996717</v>
      </c>
      <c r="K29" s="34">
        <v>593.81584804745114</v>
      </c>
      <c r="L29" s="33">
        <v>13736.066631281854</v>
      </c>
      <c r="M29" s="34">
        <v>538.96226841700798</v>
      </c>
      <c r="N29" s="33">
        <v>13535.140699254958</v>
      </c>
      <c r="O29" s="34">
        <v>484.74577950492102</v>
      </c>
      <c r="P29" s="33">
        <v>13293.569130540984</v>
      </c>
      <c r="Q29" s="34">
        <v>431.33752645163423</v>
      </c>
      <c r="R29" s="33">
        <v>13000.84107620619</v>
      </c>
      <c r="S29" s="34">
        <v>378.95001723021932</v>
      </c>
      <c r="T29" s="33">
        <v>12643.804130646189</v>
      </c>
      <c r="U29" s="34">
        <v>327.84033276357684</v>
      </c>
      <c r="V29" s="33">
        <v>12206.683346177624</v>
      </c>
      <c r="W29" s="34">
        <v>278.30491270613857</v>
      </c>
      <c r="X29" s="33">
        <v>11672.055893463385</v>
      </c>
      <c r="Y29" s="34">
        <v>230.66115112482382</v>
      </c>
      <c r="Z29" s="33">
        <v>11023.669497721239</v>
      </c>
      <c r="AA29" s="34">
        <v>185.21452529745275</v>
      </c>
      <c r="AB29" s="33">
        <v>10251.835805175535</v>
      </c>
      <c r="AC29" s="34">
        <v>142.23353856302231</v>
      </c>
      <c r="AD29" s="33">
        <v>9360.2615523530985</v>
      </c>
      <c r="AE29" s="34">
        <v>102.02831216167296</v>
      </c>
      <c r="AF29" s="33">
        <v>8368.6612453277703</v>
      </c>
      <c r="AG29" s="34">
        <v>65.311975648369483</v>
      </c>
      <c r="AH29" s="33">
        <v>7301.6350593090183</v>
      </c>
      <c r="AI29" s="34">
        <v>33.980971521280452</v>
      </c>
      <c r="AJ29" s="33">
        <v>6160.7524955269291</v>
      </c>
      <c r="AK29" s="34">
        <v>11.744369961628719</v>
      </c>
      <c r="AL29" s="33">
        <v>4889.9260339798875</v>
      </c>
      <c r="AM29" s="34">
        <v>1.734463555131561</v>
      </c>
      <c r="AN29" s="33">
        <v>3294.4158848231032</v>
      </c>
      <c r="AO29" s="34">
        <v>3.6742509289176654E-2</v>
      </c>
      <c r="AP29" s="33">
        <v>2886.8284451498084</v>
      </c>
      <c r="AQ29" s="34">
        <v>1.0126452139641532E-2</v>
      </c>
      <c r="AR29" s="33">
        <v>2421.6669028442116</v>
      </c>
      <c r="AS29" s="34">
        <v>1.9188343431754552E-3</v>
      </c>
      <c r="AT29" s="33">
        <v>1869.220411591145</v>
      </c>
      <c r="AU29" s="34">
        <v>1.8738603896199571E-4</v>
      </c>
      <c r="AV29" s="33">
        <v>1164.9423088419587</v>
      </c>
      <c r="AW29" s="34">
        <v>3.873799658414811E-6</v>
      </c>
    </row>
    <row r="30" spans="1:49" x14ac:dyDescent="0.2">
      <c r="A30" t="s">
        <v>48</v>
      </c>
      <c r="B30" s="112">
        <v>2924829.9599999995</v>
      </c>
      <c r="D30" s="112">
        <v>2945975.121849535</v>
      </c>
      <c r="F30" s="112">
        <v>2964762.2564651496</v>
      </c>
      <c r="H30" s="112">
        <v>2980676.7828670521</v>
      </c>
      <c r="J30" s="112">
        <v>2993057.4584567528</v>
      </c>
      <c r="L30" s="112">
        <v>3001061.7752480181</v>
      </c>
      <c r="N30" s="112">
        <v>3003610.2412380385</v>
      </c>
      <c r="P30" s="112">
        <v>2999339.0142183099</v>
      </c>
      <c r="R30" s="112">
        <v>2986559.0536533343</v>
      </c>
      <c r="T30" s="112">
        <v>2963273.1693098806</v>
      </c>
      <c r="V30" s="112">
        <v>2927335.4297485165</v>
      </c>
      <c r="X30" s="112">
        <v>2876928.9219065029</v>
      </c>
      <c r="Z30" s="112">
        <v>2811640.3167173835</v>
      </c>
      <c r="AB30" s="112">
        <v>2734445.3080887673</v>
      </c>
      <c r="AD30" s="112">
        <v>2654663.9295752756</v>
      </c>
      <c r="AF30" s="112">
        <v>2591413.3001538119</v>
      </c>
      <c r="AH30" s="112">
        <v>2577776.5973486425</v>
      </c>
      <c r="AJ30" s="112">
        <v>2670744.6762320092</v>
      </c>
      <c r="AL30" s="112">
        <v>2975074.4899716759</v>
      </c>
      <c r="AN30" s="112">
        <v>3712277.6663349634</v>
      </c>
      <c r="AP30" s="112">
        <v>3964446.4569527963</v>
      </c>
      <c r="AR30" s="112">
        <v>4284810.5976143628</v>
      </c>
      <c r="AT30" s="112">
        <v>4710946.9557187567</v>
      </c>
      <c r="AV30" s="112">
        <v>5315236.7963647936</v>
      </c>
    </row>
    <row r="31" spans="1:49" x14ac:dyDescent="0.2">
      <c r="A31" t="s">
        <v>47</v>
      </c>
      <c r="B31" s="77">
        <v>1</v>
      </c>
      <c r="D31" s="77">
        <v>0.98812212735407079</v>
      </c>
      <c r="F31" s="77">
        <v>0.97509074916931782</v>
      </c>
      <c r="H31" s="77">
        <v>0.96070193341948407</v>
      </c>
      <c r="J31" s="77">
        <v>0.94470151994452678</v>
      </c>
      <c r="L31" s="77">
        <v>0.92677347032181268</v>
      </c>
      <c r="N31" s="77">
        <v>0.90652073549800705</v>
      </c>
      <c r="P31" s="77">
        <v>0.88344725270175462</v>
      </c>
      <c r="R31" s="77">
        <v>0.8569383306438042</v>
      </c>
      <c r="T31" s="77">
        <v>0.82625042352331945</v>
      </c>
      <c r="V31" s="77">
        <v>0.7905274328413846</v>
      </c>
      <c r="X31" s="77">
        <v>0.74887661342006406</v>
      </c>
      <c r="Z31" s="77">
        <v>0.70055122039960915</v>
      </c>
      <c r="AB31" s="77">
        <v>0.64527041341966085</v>
      </c>
      <c r="AD31" s="77">
        <v>0.58359068063464847</v>
      </c>
      <c r="AF31" s="77">
        <v>0.51698834120279658</v>
      </c>
      <c r="AH31" s="77">
        <v>0.44712897035204396</v>
      </c>
      <c r="AJ31" s="77">
        <v>0.37423503473877034</v>
      </c>
      <c r="AL31" s="77">
        <v>0.29521699241933191</v>
      </c>
      <c r="AN31" s="77">
        <v>0.19941274059682706</v>
      </c>
      <c r="AP31" s="77">
        <v>0.1755406116196965</v>
      </c>
      <c r="AR31" s="77">
        <v>0.14854301012815282</v>
      </c>
      <c r="AT31" s="77">
        <v>0.11669576496327633</v>
      </c>
      <c r="AV31" s="77">
        <v>7.5948576952393321E-2</v>
      </c>
    </row>
    <row r="32" spans="1:49" x14ac:dyDescent="0.2">
      <c r="A32" t="s">
        <v>64</v>
      </c>
      <c r="B32" s="83">
        <v>14734457.915000005</v>
      </c>
      <c r="D32" s="83">
        <v>14621159.108335488</v>
      </c>
      <c r="F32" s="83">
        <v>14497404.238399629</v>
      </c>
      <c r="H32" s="83">
        <v>14361228.863428844</v>
      </c>
      <c r="J32" s="83">
        <v>14210186.259247584</v>
      </c>
      <c r="L32" s="83">
        <v>14041246.523667736</v>
      </c>
      <c r="N32" s="83">
        <v>13850638.713677764</v>
      </c>
      <c r="P32" s="83">
        <v>13633732.276049906</v>
      </c>
      <c r="R32" s="83">
        <v>13384962.874840191</v>
      </c>
      <c r="T32" s="83">
        <v>13097966.371635983</v>
      </c>
      <c r="V32" s="83">
        <v>12766199.808846479</v>
      </c>
      <c r="X32" s="83">
        <v>12384565.639119975</v>
      </c>
      <c r="Z32" s="83">
        <v>11952798.798857899</v>
      </c>
      <c r="AB32" s="83">
        <v>11481257.494774336</v>
      </c>
      <c r="AD32" s="83">
        <v>10998509.33766597</v>
      </c>
      <c r="AF32" s="83">
        <v>10557745.073206447</v>
      </c>
      <c r="AH32" s="83">
        <v>10239805.482239006</v>
      </c>
      <c r="AJ32" s="83">
        <v>10160665.706505148</v>
      </c>
      <c r="AL32" s="83">
        <v>10486211.765179055</v>
      </c>
      <c r="AN32" s="83">
        <v>11418064.116103588</v>
      </c>
      <c r="AP32" s="83">
        <v>11697800.495516889</v>
      </c>
      <c r="AR32" s="83">
        <v>12007119.956488132</v>
      </c>
      <c r="AT32" s="83">
        <v>12318433.459257573</v>
      </c>
      <c r="AV32" s="83">
        <v>12464333.936487548</v>
      </c>
    </row>
    <row r="33" spans="1:49 16319:16384" x14ac:dyDescent="0.2">
      <c r="A33" t="s">
        <v>54</v>
      </c>
      <c r="B33" s="111">
        <v>7019665.6909999922</v>
      </c>
      <c r="D33" s="111">
        <v>6939751.9537727237</v>
      </c>
      <c r="F33" s="111">
        <v>6855024.7414851505</v>
      </c>
      <c r="H33" s="111">
        <v>6764622.1634382596</v>
      </c>
      <c r="J33" s="111">
        <v>6667483.1258733924</v>
      </c>
      <c r="L33" s="111">
        <v>6562307.1850640625</v>
      </c>
      <c r="N33" s="111">
        <v>6447494.7556766272</v>
      </c>
      <c r="P33" s="111">
        <v>6321104.1025896594</v>
      </c>
      <c r="R33" s="111">
        <v>6180831.4158603903</v>
      </c>
      <c r="T33" s="111">
        <v>6024081.2586707929</v>
      </c>
      <c r="V33" s="111">
        <v>5848240.0925988378</v>
      </c>
      <c r="X33" s="111">
        <v>5651357.6757234074</v>
      </c>
      <c r="Z33" s="111">
        <v>5433522.3610108197</v>
      </c>
      <c r="AB33" s="111">
        <v>5199122.4088594327</v>
      </c>
      <c r="AD33" s="111">
        <v>4959597.9960842654</v>
      </c>
      <c r="AF33" s="111">
        <v>4735203.0011467375</v>
      </c>
      <c r="AH33" s="111">
        <v>4554324.7872300111</v>
      </c>
      <c r="AJ33" s="111">
        <v>4452023.5553344321</v>
      </c>
      <c r="AL33" s="111">
        <v>4464634.5204363354</v>
      </c>
      <c r="AN33" s="111">
        <v>4580334.365712624</v>
      </c>
      <c r="AP33" s="111">
        <v>4596720.5935065523</v>
      </c>
      <c r="AR33" s="111">
        <v>4590155.6157133328</v>
      </c>
      <c r="AT33" s="111">
        <v>4521904.687178026</v>
      </c>
      <c r="AV33" s="111">
        <v>4249437.163273422</v>
      </c>
    </row>
    <row r="34" spans="1:49 16319:16384" x14ac:dyDescent="0.2">
      <c r="A34" t="s">
        <v>75</v>
      </c>
      <c r="B34" s="111">
        <v>1136879.4410000131</v>
      </c>
      <c r="D34" s="111">
        <v>1138049.3867132585</v>
      </c>
      <c r="F34" s="111">
        <v>1134948.5431374335</v>
      </c>
      <c r="H34" s="111">
        <v>1126619.360706744</v>
      </c>
      <c r="J34" s="111">
        <v>1111816.1610824442</v>
      </c>
      <c r="L34" s="111">
        <v>1088921.6255824291</v>
      </c>
      <c r="N34" s="111">
        <v>1055804.0015874677</v>
      </c>
      <c r="P34" s="111">
        <v>1009655.3266751408</v>
      </c>
      <c r="R34" s="111">
        <v>946772.2705249117</v>
      </c>
      <c r="T34" s="111">
        <v>862308.57433556952</v>
      </c>
      <c r="V34" s="111">
        <v>750044.27011072857</v>
      </c>
      <c r="X34" s="111">
        <v>602285.45760528918</v>
      </c>
      <c r="Z34" s="111">
        <v>410087.23162667226</v>
      </c>
      <c r="AB34" s="111">
        <v>163964.29908566852</v>
      </c>
      <c r="AD34" s="111">
        <v>-145281.8698640911</v>
      </c>
      <c r="AF34" s="111">
        <v>-527634.18816048175</v>
      </c>
      <c r="AH34" s="111">
        <v>-1002035.643853797</v>
      </c>
      <c r="AJ34" s="111">
        <v>-1622813.0254296861</v>
      </c>
      <c r="AL34" s="111">
        <v>-2562105.6708437591</v>
      </c>
      <c r="AN34" s="111">
        <v>-4526594.3431798983</v>
      </c>
      <c r="AP34" s="111">
        <v>-5285342.5563428141</v>
      </c>
      <c r="AR34" s="111">
        <v>-6362747.3266553069</v>
      </c>
      <c r="AT34" s="111">
        <v>-8068364.0565264458</v>
      </c>
      <c r="AV34" s="111">
        <v>-11432177.966208922</v>
      </c>
    </row>
    <row r="35" spans="1:49 16319:16384" x14ac:dyDescent="0.2">
      <c r="A35" t="s">
        <v>78</v>
      </c>
      <c r="B35" s="192">
        <v>1</v>
      </c>
      <c r="D35" s="192">
        <v>1.0005003086604178</v>
      </c>
      <c r="F35" s="192">
        <v>1.0014987201713226</v>
      </c>
      <c r="H35" s="192">
        <v>1.0031101903490349</v>
      </c>
      <c r="J35" s="192">
        <v>1.0054872800560621</v>
      </c>
      <c r="L35" s="192">
        <v>1.0088343664017825</v>
      </c>
      <c r="N35" s="192">
        <v>1.013431878670096</v>
      </c>
      <c r="P35" s="192">
        <v>1.0196707186134681</v>
      </c>
      <c r="R35" s="192">
        <v>1.0281074842634514</v>
      </c>
      <c r="T35" s="192">
        <v>1.0395512270722105</v>
      </c>
      <c r="V35" s="192">
        <v>1.055202367561288</v>
      </c>
      <c r="X35" s="192">
        <v>1.0768772399328856</v>
      </c>
      <c r="Z35" s="192">
        <v>1.1073727938464852</v>
      </c>
      <c r="AB35" s="192">
        <v>1.1510621994509307</v>
      </c>
      <c r="AD35" s="192">
        <v>1.2149161641278012</v>
      </c>
      <c r="AF35" s="192">
        <v>1.310560533890474</v>
      </c>
      <c r="AH35" s="192">
        <v>1.459651304845299</v>
      </c>
      <c r="AJ35" s="192">
        <v>1.7105589212766372</v>
      </c>
      <c r="AL35" s="192">
        <v>2.1958419311501078</v>
      </c>
      <c r="AN35" s="192">
        <v>3.4643588552656546</v>
      </c>
      <c r="AP35" s="192">
        <v>4.0260307524600876</v>
      </c>
      <c r="AR35" s="192">
        <v>4.8950978190294379</v>
      </c>
      <c r="AT35" s="192">
        <v>6.4621806257110315</v>
      </c>
      <c r="AV35" s="192">
        <v>10.394615965177801</v>
      </c>
    </row>
    <row r="36" spans="1:49 16319:16384" x14ac:dyDescent="0.2">
      <c r="A36" t="s">
        <v>21</v>
      </c>
      <c r="B36" s="35">
        <v>0.47195767671988198</v>
      </c>
      <c r="C36" s="36">
        <v>0.31738834428178964</v>
      </c>
      <c r="D36" s="35">
        <v>0.47200087349014869</v>
      </c>
      <c r="E36" s="36">
        <v>0.31973726323525609</v>
      </c>
      <c r="F36" s="35">
        <v>0.47204003916445925</v>
      </c>
      <c r="G36" s="36">
        <v>0.32225693756240154</v>
      </c>
      <c r="H36" s="35">
        <v>0.47207340299517425</v>
      </c>
      <c r="I36" s="36">
        <v>0.3249606837239557</v>
      </c>
      <c r="J36" s="35">
        <v>0.47209856281000634</v>
      </c>
      <c r="K36" s="36">
        <v>0.32786107526382763</v>
      </c>
      <c r="L36" s="35">
        <v>0.47211228734656457</v>
      </c>
      <c r="M36" s="36">
        <v>0.33096886147163779</v>
      </c>
      <c r="N36" s="35">
        <v>0.47211019124251197</v>
      </c>
      <c r="O36" s="36">
        <v>0.33429075384510237</v>
      </c>
      <c r="P36" s="35">
        <v>0.47208639328930541</v>
      </c>
      <c r="Q36" s="36">
        <v>0.33782647122806442</v>
      </c>
      <c r="R36" s="35">
        <v>0.47203313542250908</v>
      </c>
      <c r="S36" s="36">
        <v>0.34156421697799305</v>
      </c>
      <c r="T36" s="35">
        <v>0.47194060733297927</v>
      </c>
      <c r="U36" s="36">
        <v>0.3454749908446787</v>
      </c>
      <c r="V36" s="35">
        <v>0.47179750813570426</v>
      </c>
      <c r="W36" s="36">
        <v>0.34950687154940357</v>
      </c>
      <c r="X36" s="35">
        <v>0.47159368896496312</v>
      </c>
      <c r="Y36" s="36">
        <v>0.35358405070857679</v>
      </c>
      <c r="Z36" s="35">
        <v>0.47132775632106677</v>
      </c>
      <c r="AA36" s="36">
        <v>0.35762262090496316</v>
      </c>
      <c r="AB36" s="35">
        <v>0.47102500158614641</v>
      </c>
      <c r="AC36" s="36">
        <v>0.36158812285748299</v>
      </c>
      <c r="AD36" s="35">
        <v>0.47077361743622814</v>
      </c>
      <c r="AE36" s="36">
        <v>0.36563534071059001</v>
      </c>
      <c r="AF36" s="35">
        <v>0.47078928201031378</v>
      </c>
      <c r="AG36" s="36">
        <v>0.37038044178792806</v>
      </c>
      <c r="AH36" s="35">
        <v>0.47153476526074134</v>
      </c>
      <c r="AI36" s="36">
        <v>0.37739682872032665</v>
      </c>
      <c r="AJ36" s="35">
        <v>0.47402532214449666</v>
      </c>
      <c r="AK36" s="36">
        <v>0.39033248276630561</v>
      </c>
      <c r="AL36" s="35">
        <v>0.48082984687973562</v>
      </c>
      <c r="AM36" s="36">
        <v>0.41813626554187378</v>
      </c>
      <c r="AN36" s="35">
        <v>0.50106177818823394</v>
      </c>
      <c r="AO36" s="36">
        <v>0.48937625705225329</v>
      </c>
      <c r="AP36" s="35">
        <v>0.50983770142618023</v>
      </c>
      <c r="AQ36" s="36">
        <v>0.51777594070103328</v>
      </c>
      <c r="AR36" s="35">
        <v>0.52287142629562733</v>
      </c>
      <c r="AS36" s="36">
        <v>0.55809296632368577</v>
      </c>
      <c r="AT36" s="35">
        <v>0.54476096788391004</v>
      </c>
      <c r="AU36" s="36">
        <v>0.62202749889201359</v>
      </c>
      <c r="AV36" s="35">
        <v>0.59285436675066627</v>
      </c>
      <c r="AW36" s="36">
        <v>0.7515284087811186</v>
      </c>
    </row>
    <row r="37" spans="1:49 16319:16384" x14ac:dyDescent="0.2">
      <c r="B37" s="37">
        <v>2.1403217525954466E-2</v>
      </c>
      <c r="C37" s="38">
        <v>0.3496246130199252</v>
      </c>
      <c r="D37" s="37">
        <v>2.0780030688434918E-2</v>
      </c>
      <c r="E37" s="38">
        <v>0.34595694523730969</v>
      </c>
      <c r="F37" s="37">
        <v>2.0153813713220156E-2</v>
      </c>
      <c r="G37" s="38">
        <v>0.34225025218351957</v>
      </c>
      <c r="H37" s="37">
        <v>1.9525579835519967E-2</v>
      </c>
      <c r="I37" s="38">
        <v>0.33851067088261033</v>
      </c>
      <c r="J37" s="37">
        <v>1.8896730211043537E-2</v>
      </c>
      <c r="K37" s="38">
        <v>0.33474691715789384</v>
      </c>
      <c r="L37" s="37">
        <v>1.8269138760068027E-2</v>
      </c>
      <c r="M37" s="38">
        <v>0.33097087243897899</v>
      </c>
      <c r="N37" s="37">
        <v>1.7645360560403202E-2</v>
      </c>
      <c r="O37" s="38">
        <v>0.3271989299417048</v>
      </c>
      <c r="P37" s="37">
        <v>1.7028817098661345E-2</v>
      </c>
      <c r="Q37" s="38">
        <v>0.32345321931835019</v>
      </c>
      <c r="R37" s="37">
        <v>1.6424059507521519E-2</v>
      </c>
      <c r="S37" s="38">
        <v>0.31976331071013903</v>
      </c>
      <c r="T37" s="37">
        <v>1.5836986635828894E-2</v>
      </c>
      <c r="U37" s="38">
        <v>0.31616762903732398</v>
      </c>
      <c r="V37" s="37">
        <v>1.5274878988840656E-2</v>
      </c>
      <c r="W37" s="38">
        <v>0.31271367448016579</v>
      </c>
      <c r="X37" s="37">
        <v>1.474579714018533E-2</v>
      </c>
      <c r="Y37" s="38">
        <v>0.30945417272563808</v>
      </c>
      <c r="Z37" s="37">
        <v>1.4256410011841483E-2</v>
      </c>
      <c r="AA37" s="38">
        <v>0.30643320702475685</v>
      </c>
      <c r="AB37" s="37">
        <v>1.380650473342732E-2</v>
      </c>
      <c r="AC37" s="38">
        <v>0.30365123615898398</v>
      </c>
      <c r="AD37" s="37">
        <v>1.3377736446758944E-2</v>
      </c>
      <c r="AE37" s="38">
        <v>0.30099351084503184</v>
      </c>
      <c r="AF37" s="37">
        <v>1.2914999539860169E-2</v>
      </c>
      <c r="AG37" s="38">
        <v>0.29811152923995171</v>
      </c>
      <c r="AH37" s="37">
        <v>1.2301770838859388E-2</v>
      </c>
      <c r="AI37" s="38">
        <v>0.29426577021210965</v>
      </c>
      <c r="AJ37" s="37">
        <v>1.1333734589739764E-2</v>
      </c>
      <c r="AK37" s="38">
        <v>0.28815818089579992</v>
      </c>
      <c r="AL37" s="37">
        <v>9.7219939702585731E-3</v>
      </c>
      <c r="AM37" s="38">
        <v>0.27797475254851289</v>
      </c>
      <c r="AN37" s="37">
        <v>7.1618170192720675E-3</v>
      </c>
      <c r="AO37" s="38">
        <v>0.26202057086544756</v>
      </c>
      <c r="AP37" s="37">
        <v>6.4878723278120791E-3</v>
      </c>
      <c r="AQ37" s="38">
        <v>0.25792604317155954</v>
      </c>
      <c r="AR37" s="37">
        <v>5.726766418109281E-3</v>
      </c>
      <c r="AS37" s="38">
        <v>0.25338929502791058</v>
      </c>
      <c r="AT37" s="37">
        <v>4.8338831842412834E-3</v>
      </c>
      <c r="AU37" s="38">
        <v>0.24822368128569466</v>
      </c>
      <c r="AV37" s="37">
        <v>3.6857182110273316E-3</v>
      </c>
      <c r="AW37" s="38">
        <v>0.24192994695805867</v>
      </c>
    </row>
    <row r="38" spans="1:49 16319:16384" x14ac:dyDescent="0.2">
      <c r="A38" t="s">
        <v>22</v>
      </c>
      <c r="B38" s="35">
        <v>0.18079094942242827</v>
      </c>
      <c r="C38" s="36">
        <v>6.0565413429233668E-2</v>
      </c>
      <c r="D38" s="35">
        <v>0.18112358531616204</v>
      </c>
      <c r="E38" s="36">
        <v>6.087132490494139E-2</v>
      </c>
      <c r="F38" s="35">
        <v>0.18148467390055326</v>
      </c>
      <c r="G38" s="36">
        <v>6.1201161830614539E-2</v>
      </c>
      <c r="H38" s="35">
        <v>0.18187762042579211</v>
      </c>
      <c r="I38" s="36">
        <v>6.1557103290508987E-2</v>
      </c>
      <c r="J38" s="35">
        <v>0.18230623597298284</v>
      </c>
      <c r="K38" s="36">
        <v>6.1941310825552542E-2</v>
      </c>
      <c r="L38" s="35">
        <v>0.18277476024529585</v>
      </c>
      <c r="M38" s="36">
        <v>6.2355905350819682E-2</v>
      </c>
      <c r="N38" s="35">
        <v>0.18328777921632206</v>
      </c>
      <c r="O38" s="36">
        <v>6.2802614951904812E-2</v>
      </c>
      <c r="P38" s="35">
        <v>0.18385007933664943</v>
      </c>
      <c r="Q38" s="36">
        <v>6.3282498342883575E-2</v>
      </c>
      <c r="R38" s="35">
        <v>0.18446628151738023</v>
      </c>
      <c r="S38" s="36">
        <v>6.3795371592150513E-2</v>
      </c>
      <c r="T38" s="35">
        <v>0.18514014753693192</v>
      </c>
      <c r="U38" s="36">
        <v>6.433902584613034E-2</v>
      </c>
      <c r="V38" s="35">
        <v>0.18587331773811588</v>
      </c>
      <c r="W38" s="36">
        <v>6.4908391764687504E-2</v>
      </c>
      <c r="X38" s="35">
        <v>0.18666316669244021</v>
      </c>
      <c r="Y38" s="36">
        <v>6.5494976938992727E-2</v>
      </c>
      <c r="Z38" s="35">
        <v>0.1874994039609453</v>
      </c>
      <c r="AA38" s="36">
        <v>6.6087808770428857E-2</v>
      </c>
      <c r="AB38" s="35">
        <v>0.18835915043182475</v>
      </c>
      <c r="AC38" s="36">
        <v>6.6678790954334391E-2</v>
      </c>
      <c r="AD38" s="35">
        <v>0.18920068650547131</v>
      </c>
      <c r="AE38" s="36">
        <v>6.7276470095571625E-2</v>
      </c>
      <c r="AF38" s="35">
        <v>0.18995610116873132</v>
      </c>
      <c r="AG38" s="36">
        <v>6.7934177266864862E-2</v>
      </c>
      <c r="AH38" s="35">
        <v>0.19051738837651858</v>
      </c>
      <c r="AI38" s="36">
        <v>6.8800813663291646E-2</v>
      </c>
      <c r="AJ38" s="35">
        <v>0.19068123916475521</v>
      </c>
      <c r="AK38" s="36">
        <v>7.0227780979582363E-2</v>
      </c>
      <c r="AL38" s="35">
        <v>0.18992117949394657</v>
      </c>
      <c r="AM38" s="36">
        <v>7.304705997659848E-2</v>
      </c>
      <c r="AN38" s="35">
        <v>0.18623219226576596</v>
      </c>
      <c r="AO38" s="36">
        <v>7.9627087528187826E-2</v>
      </c>
      <c r="AP38" s="35">
        <v>0.18446636611426123</v>
      </c>
      <c r="AQ38" s="36">
        <v>8.204960617999392E-2</v>
      </c>
      <c r="AR38" s="35">
        <v>0.18181725232279836</v>
      </c>
      <c r="AS38" s="36">
        <v>8.5313024681607452E-2</v>
      </c>
      <c r="AT38" s="35">
        <v>0.17746318213333301</v>
      </c>
      <c r="AU38" s="36">
        <v>9.0105308491247149E-2</v>
      </c>
      <c r="AV38" s="35">
        <v>0.168827301468155</v>
      </c>
      <c r="AW38" s="36">
        <v>9.8619143182724744E-2</v>
      </c>
    </row>
    <row r="39" spans="1:49 16319:16384" x14ac:dyDescent="0.2">
      <c r="A39" t="s">
        <v>23</v>
      </c>
      <c r="B39" s="37">
        <v>0.23064923795098771</v>
      </c>
      <c r="C39" s="38">
        <v>0.22092201281804777</v>
      </c>
      <c r="D39" s="37">
        <v>0.23076737928739968</v>
      </c>
      <c r="E39" s="38">
        <v>0.22189071826236015</v>
      </c>
      <c r="F39" s="37">
        <v>0.23089407969632578</v>
      </c>
      <c r="G39" s="38">
        <v>0.22293219329392253</v>
      </c>
      <c r="H39" s="37">
        <v>0.23103010402043653</v>
      </c>
      <c r="I39" s="38">
        <v>0.22405232367686789</v>
      </c>
      <c r="J39" s="37">
        <v>0.23117623969353573</v>
      </c>
      <c r="K39" s="38">
        <v>0.22525679894217904</v>
      </c>
      <c r="L39" s="37">
        <v>0.23133323894882221</v>
      </c>
      <c r="M39" s="38">
        <v>0.22655053986806936</v>
      </c>
      <c r="N39" s="37">
        <v>0.23150175962676681</v>
      </c>
      <c r="O39" s="38">
        <v>0.22793693632203191</v>
      </c>
      <c r="P39" s="37">
        <v>0.23168223449492034</v>
      </c>
      <c r="Q39" s="38">
        <v>0.22941651820123918</v>
      </c>
      <c r="R39" s="37">
        <v>0.23187468792650204</v>
      </c>
      <c r="S39" s="38">
        <v>0.2309850889749161</v>
      </c>
      <c r="T39" s="37">
        <v>0.23207847581057786</v>
      </c>
      <c r="U39" s="38">
        <v>0.23263136448373062</v>
      </c>
      <c r="V39" s="37">
        <v>0.23229196371026889</v>
      </c>
      <c r="W39" s="38">
        <v>0.2343344400285233</v>
      </c>
      <c r="X39" s="37">
        <v>0.23251228545287472</v>
      </c>
      <c r="Y39" s="38">
        <v>0.23606317063313731</v>
      </c>
      <c r="Z39" s="37">
        <v>0.23273555374656948</v>
      </c>
      <c r="AA39" s="38">
        <v>0.23778228099484228</v>
      </c>
      <c r="AB39" s="37">
        <v>0.23295836776482931</v>
      </c>
      <c r="AC39" s="38">
        <v>0.23947499931114405</v>
      </c>
      <c r="AD39" s="37">
        <v>0.23318203373037105</v>
      </c>
      <c r="AE39" s="38">
        <v>0.24119927262930341</v>
      </c>
      <c r="AF39" s="37">
        <v>0.23342125960626053</v>
      </c>
      <c r="AG39" s="38">
        <v>0.24319719587904978</v>
      </c>
      <c r="AH39" s="37">
        <v>0.2337198942823997</v>
      </c>
      <c r="AI39" s="38">
        <v>0.24609384981739557</v>
      </c>
      <c r="AJ39" s="37">
        <v>0.23418376592607279</v>
      </c>
      <c r="AK39" s="38">
        <v>0.25133905078428403</v>
      </c>
      <c r="AL39" s="37">
        <v>0.23506876911387195</v>
      </c>
      <c r="AM39" s="38">
        <v>0.26244613748945417</v>
      </c>
      <c r="AN39" s="37">
        <v>0.23716622579076066</v>
      </c>
      <c r="AO39" s="38">
        <v>0.29019273657904093</v>
      </c>
      <c r="AP39" s="37">
        <v>0.23797773469756578</v>
      </c>
      <c r="AQ39" s="38">
        <v>0.30096272756397641</v>
      </c>
      <c r="AR39" s="37">
        <v>0.23912165302610525</v>
      </c>
      <c r="AS39" s="38">
        <v>0.31596127552909287</v>
      </c>
      <c r="AT39" s="37">
        <v>0.24093572329363908</v>
      </c>
      <c r="AU39" s="38">
        <v>0.33905756721628749</v>
      </c>
      <c r="AV39" s="37">
        <v>0.24468727535002857</v>
      </c>
      <c r="AW39" s="38">
        <v>0.38341783679009805</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6.5868795892302767E-2</v>
      </c>
      <c r="E42" s="126"/>
      <c r="F42" s="167">
        <f>6.1%+(1-6.1%)*(1-SUM(F26:G26)/SUM($B$26:$C$26))</f>
        <v>7.1544492109268595E-2</v>
      </c>
      <c r="G42" s="126"/>
      <c r="H42" s="167">
        <f>6.1%+(1-6.1%)*(1-SUM(H26:I26)/SUM($B$26:$C$26))</f>
        <v>7.8217978540996227E-2</v>
      </c>
      <c r="I42" s="126"/>
      <c r="J42" s="167">
        <f>6.1%+(1-6.1%)*(1-SUM(J26:K26)/SUM($B$26:$C$26))</f>
        <v>8.6137547698436692E-2</v>
      </c>
      <c r="K42" s="126"/>
      <c r="L42" s="167">
        <f>6.1%+(1-6.1%)*(1-SUM(L26:M26)/SUM($B$26:$C$26))</f>
        <v>9.5625139116628011E-2</v>
      </c>
      <c r="M42" s="126"/>
      <c r="N42" s="167">
        <f>6.1%+(1-6.1%)*(1-SUM(N26:O26)/SUM($B$26:$C$26))</f>
        <v>0.10710307605417423</v>
      </c>
      <c r="O42" s="126"/>
      <c r="P42" s="167">
        <f>6.1%+(1-6.1%)*(1-SUM(P26:Q26)/SUM($B$26:$C$26))</f>
        <v>0.12112273985243974</v>
      </c>
      <c r="Q42" s="126"/>
      <c r="R42" s="167">
        <f>6.1%+(1-6.1%)*(1-SUM(R26:S26)/SUM($B$26:$C$26))</f>
        <v>0.13839970917641534</v>
      </c>
      <c r="S42" s="126"/>
      <c r="T42" s="167">
        <f>6.1%+(1-6.1%)*(1-SUM(T26:U26)/SUM($B$26:$C$26))</f>
        <v>0.15984444007659787</v>
      </c>
      <c r="U42" s="126"/>
      <c r="V42" s="167">
        <f>6.1%+(1-6.1%)*(1-SUM(V26:W26)/SUM($B$26:$C$26))</f>
        <v>0.1865695449286853</v>
      </c>
      <c r="W42" s="126"/>
      <c r="X42" s="167">
        <f>6.1%+(1-6.1%)*(1-SUM(X26:Y26)/SUM($B$26:$C$26))</f>
        <v>0.21983283186327995</v>
      </c>
      <c r="Y42" s="152"/>
      <c r="Z42" s="167">
        <f>6.1%+(1-6.1%)*(1-SUM(Z26:AA26)/SUM($B$26:$C$26))</f>
        <v>0.26085071483185418</v>
      </c>
      <c r="AA42" s="126"/>
      <c r="AB42" s="167">
        <f>6.1%+(1-6.1%)*(1-SUM(AB26:AC26)/SUM($B$26:$C$26))</f>
        <v>0.31042170432964022</v>
      </c>
      <c r="AC42" s="126"/>
      <c r="AD42" s="167">
        <f>6.1%+(1-6.1%)*(1-SUM(AD26:AE26)/SUM($B$26:$C$26))</f>
        <v>0.36842300749553086</v>
      </c>
      <c r="AE42" s="126"/>
      <c r="AF42" s="167">
        <f>6.1%+(1-6.1%)*(1-SUM(AF26:AG26)/SUM($B$26:$C$26))</f>
        <v>0.43356071030166626</v>
      </c>
      <c r="AG42" s="126"/>
      <c r="AH42" s="167">
        <f>6.1%+(1-6.1%)*(1-SUM(AH26:AI26)/SUM($B$26:$C$26))</f>
        <v>0.50404636848489348</v>
      </c>
      <c r="AI42" s="126"/>
      <c r="AJ42" s="167">
        <f>6.1%+(1-6.1%)*(1-SUM(AJ26:AK26)/SUM($B$26:$C$26))</f>
        <v>0.57946796063307171</v>
      </c>
      <c r="AK42" s="126"/>
      <c r="AL42" s="167">
        <f>6.1%+(1-6.1%)*(1-SUM(AL26:AM26)/SUM($B$26:$C$26))</f>
        <v>0.66331100701289047</v>
      </c>
      <c r="AM42" s="126"/>
      <c r="AN42" s="167">
        <f>6.1%+(1-6.1%)*(1-SUM(AN26:AO26)/SUM($B$26:$C$26))</f>
        <v>0.76918841941282778</v>
      </c>
      <c r="AO42" s="126"/>
      <c r="AP42" s="167">
        <f>6.1%+(1-6.1%)*(1-SUM(AP26:AQ26)/SUM($B$26:$C$26))</f>
        <v>0.79658054711065196</v>
      </c>
      <c r="AQ42" s="126"/>
      <c r="AR42" s="167">
        <f>6.1%+(1-6.1%)*(1-SUM(AR26:AS26)/SUM($B$26:$C$26))</f>
        <v>0.82809809634828424</v>
      </c>
      <c r="AS42" s="126"/>
      <c r="AT42" s="167">
        <f>6.1%+(1-6.1%)*(1-SUM(AT26:AU26)/SUM($B$26:$C$26))</f>
        <v>0.8659403738297331</v>
      </c>
      <c r="AU42" s="126"/>
      <c r="AV42" s="167">
        <f>6.1%+(1-6.1%)*(1-SUM(AV26:AW26)/SUM($B$26:$C$26))</f>
        <v>0.91493696548488046</v>
      </c>
      <c r="XFD42" s="167"/>
    </row>
    <row r="43" spans="1:49 16319:16384" x14ac:dyDescent="0.2">
      <c r="A43" t="s">
        <v>95</v>
      </c>
      <c r="B43" s="152">
        <f>SUM(B15:C15*B27:C27)/SUM(B15:C15*B27:C27,B13:C13*B26:C26)</f>
        <v>0.56058995943839207</v>
      </c>
      <c r="C43" s="126"/>
      <c r="D43" s="152">
        <f t="array" ref="D43">SUM(D15:E15*D27:E27)/SUM(D15:E15*D27:E27,D13:E13*D26:E26)</f>
        <v>0.56760184651930945</v>
      </c>
      <c r="E43" s="126"/>
      <c r="F43" s="152">
        <f t="array" ref="F43">SUM(F15:G15*F27:G27)/SUM(F15:G15*F27:G27,F13:G13*F26:G26)</f>
        <v>0.56806782638876108</v>
      </c>
      <c r="G43" s="126"/>
      <c r="H43" s="152">
        <f t="array" ref="H43">SUM(H15:I15*H27:I27)/SUM(H15:I15*H27:I27,H13:I13*H26:I26)</f>
        <v>0.56860686607969624</v>
      </c>
      <c r="I43" s="126"/>
      <c r="J43" s="152">
        <f t="array" ref="J43">SUM(J15:K15*J27:K27)/SUM(J15:K15*J27:K27,J13:K13*J26:K26)</f>
        <v>0.56922858719963343</v>
      </c>
      <c r="K43" s="126"/>
      <c r="L43" s="152">
        <f t="array" ref="L43">SUM(L15:M15*L27:M27)/SUM(L15:M15*L27:M27,L13:M13*L26:M26)</f>
        <v>0.56994385499592426</v>
      </c>
      <c r="M43" s="126"/>
      <c r="N43" s="152">
        <f t="array" ref="N43">SUM(N15:O15*N27:O27)/SUM(N15:O15*N27:O27,N13:O13*N26:O26)</f>
        <v>0.57076484859341536</v>
      </c>
      <c r="O43" s="126"/>
      <c r="P43" s="152">
        <f t="array" ref="P43">SUM(P15:Q15*P27:Q27)/SUM(P15:Q15*P27:Q27,P13:Q13*P26:Q26)</f>
        <v>0.57170476529333258</v>
      </c>
      <c r="Q43" s="126"/>
      <c r="R43" s="152">
        <f t="array" ref="R43">SUM(R15:S15*R27:S27)/SUM(R15:S15*R27:S27,R13:S13*R26:S26)</f>
        <v>0.57277712552272819</v>
      </c>
      <c r="S43" s="126"/>
      <c r="T43" s="152">
        <f t="array" ref="T43">SUM(T15:U15*T27:U27)/SUM(T15:U15*T27:U27,T13:U13*T26:U26)</f>
        <v>0.57399415062962433</v>
      </c>
      <c r="U43" s="126"/>
      <c r="V43" s="152">
        <f t="array" ref="V43">SUM(V15:W15*V27:W27)/SUM(V15:W15*V27:W27,V13:W13*V26:W26)</f>
        <v>0.57536337408899285</v>
      </c>
      <c r="W43" s="126"/>
      <c r="X43" s="152">
        <f t="array" ref="X43">SUM(X15:Y15*X27:Y27)/SUM(X15:Y15*X27:Y27,X13:Y13*X26:Y26)</f>
        <v>0.5768811675742691</v>
      </c>
      <c r="Y43" s="126"/>
      <c r="Z43" s="152">
        <f t="array" ref="Z43">SUM(Z15:AA15*Z27:AA27)/SUM(Z15:AA15*Z27:AA27,Z13:AA13*Z26:AA26)</f>
        <v>0.57852105784741648</v>
      </c>
      <c r="AA43" s="126"/>
      <c r="AB43" s="152">
        <f t="array" ref="AB43">SUM(AB15:AC15*AB27:AC27)/SUM(AB15:AC15*AB27:AC27,AB13:AC13*AB26:AC26)</f>
        <v>0.58021426696583156</v>
      </c>
      <c r="AC43" s="126"/>
      <c r="AD43" s="152">
        <f t="array" ref="AD43">SUM(AD15:AE15*AD27:AE27)/SUM(AD15:AE15*AD27:AE27,AD13:AE13*AD26:AE26)</f>
        <v>0.58182120728223807</v>
      </c>
      <c r="AE43" s="126"/>
      <c r="AF43" s="152">
        <f t="array" ref="AF43">SUM(AF15:AG15*AF27:AG27)/SUM(AF15:AG15*AF27:AG27,AF13:AG13*AF26:AG26)</f>
        <v>0.58309472054476263</v>
      </c>
      <c r="AG43" s="126"/>
      <c r="AH43" s="152">
        <f t="array" ref="AH43">SUM(AH15:AI15*AH27:AI27)/SUM(AH15:AI15*AH27:AI27,AH13:AI13*AH26:AI26)</f>
        <v>0.58362017218674644</v>
      </c>
      <c r="AI43" s="126"/>
      <c r="AJ43" s="152">
        <f t="array" ref="AJ43">SUM(AJ15:AK15*AJ27:AK27)/SUM(AJ15:AK15*AJ27:AK27,AJ13:AK13*AJ26:AK26)</f>
        <v>0.58260497669168165</v>
      </c>
      <c r="AK43" s="126"/>
      <c r="AL43" s="152">
        <f t="array" ref="AL43">SUM(AL15:AM15*AL27:AM27)/SUM(AL15:AM15*AL27:AM27,AL13:AM13*AL26:AM26)</f>
        <v>0.57797041814515615</v>
      </c>
      <c r="AM43" s="126"/>
      <c r="AN43" s="152">
        <f t="array" ref="AN43">SUM(AN15:AO15*AN27:AO27)/SUM(AN15:AO15*AN27:AO27,AN13:AO13*AN26:AO26)</f>
        <v>0.56162018913580336</v>
      </c>
      <c r="AO43" s="126"/>
      <c r="AP43" s="152">
        <f t="array" ref="AP43">SUM(AP15:AQ15*AP27:AQ27)/SUM(AP15:AQ15*AP27:AQ27,AP13:AQ13*AP26:AQ26)</f>
        <v>0.55417026774034439</v>
      </c>
      <c r="AQ43" s="126"/>
      <c r="AR43" s="152">
        <f t="array" ref="AR43">SUM(AR15:AS15*AR27:AS27)/SUM(AR15:AS15*AR27:AS27,AR13:AS13*AR26:AS26)</f>
        <v>0.54304123986783814</v>
      </c>
      <c r="AS43" s="126"/>
      <c r="AT43" s="152">
        <f t="array" ref="AT43">SUM(AT15:AU15*AT27:AU27)/SUM(AT15:AU15*AT27:AU27,AT13:AU13*AT26:AU26)</f>
        <v>0.52458002112890789</v>
      </c>
      <c r="AU43" s="126"/>
      <c r="AV43" s="152">
        <f t="array" ref="AV43">SUM(AV15:AW15*AV27:AW27)/SUM(AV15:AW15*AV27:AW27,AV13:AW13*AV26:AW26)</f>
        <v>0.48648950320368367</v>
      </c>
    </row>
    <row r="44" spans="1:49 16319:16384" x14ac:dyDescent="0.2">
      <c r="A44" t="s">
        <v>129</v>
      </c>
      <c r="B44" s="183">
        <f>(SUM(B11:C11*B24:C24)+B34)/B32</f>
        <v>0.29754226190682442</v>
      </c>
      <c r="D44" s="183">
        <f>(SUM(D11:E11*D24:E24)+D34)/D32</f>
        <v>0.29931618959648765</v>
      </c>
      <c r="F44" s="183">
        <f>(SUM(F11:G11*F24:G24)+F34)/F32</f>
        <v>0.30110882065532596</v>
      </c>
      <c r="H44" s="183">
        <f>(SUM(H11:I11*H24:I24)+H34)/H32</f>
        <v>0.30292013753847802</v>
      </c>
      <c r="J44" s="183">
        <f>(SUM(J11:K11*J24:K24)+J34)/J32</f>
        <v>0.30474931041101155</v>
      </c>
      <c r="L44" s="183">
        <f>(SUM(L11:M11*L24:M24)+L34)/L32</f>
        <v>0.30659449268401917</v>
      </c>
      <c r="N44" s="183">
        <f>(SUM(N11:O11*N24:O24)+N34)/N32</f>
        <v>0.30845217569369238</v>
      </c>
      <c r="P44" s="183">
        <f>(SUM(P11:Q11*P24:Q24)+P34)/P32</f>
        <v>0.31031669485279401</v>
      </c>
      <c r="R44" s="183">
        <f>(SUM(R11:S11*R24:S24)+R34)/R32</f>
        <v>0.31217952877111227</v>
      </c>
      <c r="T44" s="183">
        <f>(SUM(T11:U11*T24:U24)+T34)/T32</f>
        <v>0.31402886604225255</v>
      </c>
      <c r="V44" s="183">
        <f>(SUM(V11:W11*V24:W24)+V34)/V32</f>
        <v>0.31585035195459232</v>
      </c>
      <c r="X44" s="183">
        <f>(SUM(X11:Y11*X24:Y24)+X34)/X32</f>
        <v>0.31763115640235162</v>
      </c>
      <c r="Z44" s="183">
        <f>(SUM(Z11:AA11*Z24:AA24)+Z34)/Z32</f>
        <v>0.31937219890355645</v>
      </c>
      <c r="AB44" s="183">
        <f>(SUM(AB11:AC11*AB24:AC24)+AB34)/AB32</f>
        <v>0.32111817083384503</v>
      </c>
      <c r="AD44" s="183">
        <f>(SUM(AD11:AE11*AD24:AE24)+AD34)/AD32</f>
        <v>0.32302014217227232</v>
      </c>
      <c r="AF44" s="183">
        <f>(SUM(AF11:AG11*AF24:AG24)+AF34)/AF32</f>
        <v>0.3254486488997127</v>
      </c>
      <c r="AH44" s="183">
        <f>(SUM(AH11:AI11*AH24:AI24)+AH34)/AH32</f>
        <v>0.329187066699418</v>
      </c>
      <c r="AJ44" s="183">
        <f>(SUM(AJ11:AK11*AJ24:AK24)+AJ34)/AJ32</f>
        <v>0.33579121003685281</v>
      </c>
      <c r="AL44" s="183">
        <f>(SUM(AL11:AM11*AL24:AM24)+AL34)/AL32</f>
        <v>0.34819141141985427</v>
      </c>
      <c r="AN44" s="183">
        <f>(SUM(AN11:AO11*AN24:AO24)+AN34)/AN32</f>
        <v>0.37280572697686848</v>
      </c>
      <c r="AP44" s="183">
        <f>(SUM(AP11:AQ11*AP24:AQ24)+AP34)/AP32</f>
        <v>0.38099782091128592</v>
      </c>
      <c r="AR44" s="183">
        <f>(SUM(AR11:AS11*AR24:AS24)+AR34)/AR32</f>
        <v>0.39166764918673974</v>
      </c>
      <c r="AT44" s="183">
        <f>(SUM(AT11:AU11*AT24:AU24)+AT34)/AT32</f>
        <v>0.40686940096821567</v>
      </c>
      <c r="AV44" s="183">
        <f>(SUM(AV11:AW11*AV24:AW24)+AV34)/AV32</f>
        <v>0.43302605834777103</v>
      </c>
    </row>
    <row r="45" spans="1:49 16319:16384" x14ac:dyDescent="0.2">
      <c r="A45" t="s">
        <v>82</v>
      </c>
      <c r="B45" s="183">
        <f>SUM(B11:C11*B24:C24)/B32</f>
        <v>0.22038438833194082</v>
      </c>
      <c r="D45" s="183">
        <f>SUM(D11:E11*D24:E24)/D32</f>
        <v>0.22148040528685251</v>
      </c>
      <c r="F45" s="183">
        <f>SUM(F11:G11*F24:G24)/F32</f>
        <v>0.22282249267039836</v>
      </c>
      <c r="H45" s="183">
        <f>SUM(H11:I11*H24:I24)/H32</f>
        <v>0.22447146358302686</v>
      </c>
      <c r="J45" s="183">
        <f>SUM(J11:K11*J24:K24)/J32</f>
        <v>0.22650852307728425</v>
      </c>
      <c r="L45" s="183">
        <f>SUM(L11:M11*L24:M24)/L32</f>
        <v>0.22904285766735896</v>
      </c>
      <c r="N45" s="183">
        <f>SUM(N11:O11*N24:O24)/N32</f>
        <v>0.23222435520012608</v>
      </c>
      <c r="P45" s="183">
        <f>SUM(P11:Q11*P24:Q24)/P32</f>
        <v>0.2362610139701071</v>
      </c>
      <c r="R45" s="183">
        <f>SUM(R11:S11*R24:S24)/R32</f>
        <v>0.24144550586959446</v>
      </c>
      <c r="T45" s="183">
        <f>SUM(T11:U11*T24:U24)/T32</f>
        <v>0.24819356383816973</v>
      </c>
      <c r="V45" s="183">
        <f>SUM(V11:W11*V24:W24)/V32</f>
        <v>0.25709799954420803</v>
      </c>
      <c r="X45" s="183">
        <f>SUM(X11:Y11*X24:Y24)/X32</f>
        <v>0.26899921603757948</v>
      </c>
      <c r="Z45" s="183">
        <f>SUM(Z11:AA11*Z24:AA24)/Z32</f>
        <v>0.28506331120891404</v>
      </c>
      <c r="AB45" s="183">
        <f>SUM(AB11:AC11*AB24:AC24)/AB32</f>
        <v>0.30683713069862495</v>
      </c>
      <c r="AD45" s="183">
        <f>SUM(AD11:AE11*AD24:AE24)/AD32</f>
        <v>0.3362293749331659</v>
      </c>
      <c r="AF45" s="183">
        <f>SUM(AF11:AG11*AF24:AG24)/AF32</f>
        <v>0.37542467924538919</v>
      </c>
      <c r="AH45" s="183">
        <f>SUM(AH11:AI11*AH24:AI24)/AH32</f>
        <v>0.42704396892200736</v>
      </c>
      <c r="AJ45" s="183">
        <f>SUM(AJ11:AK11*AJ24:AK24)/AJ32</f>
        <v>0.49550643660815069</v>
      </c>
      <c r="AL45" s="183">
        <f>SUM(AL11:AM11*AL24:AM24)/AL32</f>
        <v>0.59252232216415113</v>
      </c>
      <c r="AN45" s="183">
        <f>SUM(AN11:AO11*AN24:AO24)/AN32</f>
        <v>0.76924721628290316</v>
      </c>
      <c r="AP45" s="183">
        <f>SUM(AP11:AQ11*AP24:AQ24)/AP32</f>
        <v>0.83282144009237813</v>
      </c>
      <c r="AR45" s="183">
        <f>SUM(AR11:AS11*AR24:AS24)/AR32</f>
        <v>0.92158217904176554</v>
      </c>
      <c r="AT45" s="183">
        <f>SUM(AT11:AU11*AT24:AU24)/AT32</f>
        <v>1.0618523647689329</v>
      </c>
      <c r="AV45" s="183">
        <f>SUM(AV11:AW11*AV24:AW24)/AV32</f>
        <v>1.3502173037413867</v>
      </c>
      <c r="XCQ45" s="183"/>
    </row>
    <row r="46" spans="1:49 16319:16384" x14ac:dyDescent="0.2">
      <c r="A46" t="s">
        <v>126</v>
      </c>
      <c r="B46" s="183">
        <f>B34/B32</f>
        <v>7.7157873574883587E-2</v>
      </c>
      <c r="D46" s="183">
        <f>D34/D32</f>
        <v>7.7835784309635156E-2</v>
      </c>
      <c r="F46" s="183">
        <f>F34/F32</f>
        <v>7.8286327984927642E-2</v>
      </c>
      <c r="H46" s="183">
        <f>H34/H32</f>
        <v>7.8448673955451173E-2</v>
      </c>
      <c r="J46" s="183">
        <f>J34/J32</f>
        <v>7.8240787333727316E-2</v>
      </c>
      <c r="L46" s="183">
        <f>L34/L32</f>
        <v>7.7551635016660195E-2</v>
      </c>
      <c r="N46" s="183">
        <f>N34/N32</f>
        <v>7.6227820493566231E-2</v>
      </c>
      <c r="P46" s="183">
        <f>P34/P32</f>
        <v>7.4055680882686922E-2</v>
      </c>
      <c r="R46" s="183">
        <f>R34/R32</f>
        <v>7.0734022901517812E-2</v>
      </c>
      <c r="T46" s="183">
        <f>T34/T32</f>
        <v>6.583530220408286E-2</v>
      </c>
      <c r="V46" s="183">
        <f>V34/V32</f>
        <v>5.8752352410384262E-2</v>
      </c>
      <c r="X46" s="183">
        <f>X34/X32</f>
        <v>4.8631940364772169E-2</v>
      </c>
      <c r="Z46" s="183">
        <f>Z34/Z32</f>
        <v>3.4308887694642402E-2</v>
      </c>
      <c r="AB46" s="183">
        <f>AB34/AB32</f>
        <v>1.428104013522007E-2</v>
      </c>
      <c r="AD46" s="183">
        <f>AD34/AD32</f>
        <v>-1.3209232760893565E-2</v>
      </c>
      <c r="AF46" s="183">
        <f>AF34/AF32</f>
        <v>-4.9976030345676478E-2</v>
      </c>
      <c r="AH46" s="183">
        <f>AH34/AH32</f>
        <v>-9.7856902222589373E-2</v>
      </c>
      <c r="AJ46" s="183">
        <f>AJ34/AJ32</f>
        <v>-0.15971522657129789</v>
      </c>
      <c r="AL46" s="183">
        <f>AL34/AL32</f>
        <v>-0.24433091074429683</v>
      </c>
      <c r="AN46" s="183">
        <f>AN34/AN32</f>
        <v>-0.39644148930603462</v>
      </c>
      <c r="AP46" s="183">
        <f>AP34/AP32</f>
        <v>-0.45182361918109215</v>
      </c>
      <c r="AR46" s="183">
        <f>AR34/AR32</f>
        <v>-0.52991452985502585</v>
      </c>
      <c r="AT46" s="183">
        <f>AT34/AT32</f>
        <v>-0.65498296380071719</v>
      </c>
      <c r="AV46" s="183">
        <f>AV34/AV32</f>
        <v>-0.91719124539361563</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0.99235056905133889</v>
      </c>
      <c r="E49" s="181"/>
      <c r="F49" s="181">
        <f>F13/F35/$B$13*$B$35</f>
        <v>0.98418227272842207</v>
      </c>
      <c r="G49" s="181"/>
      <c r="H49" s="181">
        <f>H13/H35/$B$13*$B$35</f>
        <v>0.97544400663170761</v>
      </c>
      <c r="I49" s="181"/>
      <c r="J49" s="181">
        <f>J13/J35/$B$13*$B$35</f>
        <v>0.9660816553896493</v>
      </c>
      <c r="K49" s="181"/>
      <c r="L49" s="181">
        <f>L13/L35/$B$13*$B$35</f>
        <v>0.9560394413548956</v>
      </c>
      <c r="M49" s="181"/>
      <c r="N49" s="181">
        <f>N13/N35/$B$13*$B$35</f>
        <v>0.94526337965267859</v>
      </c>
      <c r="O49" s="181"/>
      <c r="P49" s="181">
        <f>P13/P35/$B$13*$B$35</f>
        <v>0.9337066454838896</v>
      </c>
      <c r="Q49" s="181"/>
      <c r="R49" s="181">
        <f>R13/R35/$B$13*$B$35</f>
        <v>0.921339058334531</v>
      </c>
      <c r="S49" s="181"/>
      <c r="T49" s="181">
        <f>T13/T35/$B$13*$B$35</f>
        <v>0.90816180479071895</v>
      </c>
      <c r="U49" s="181"/>
      <c r="V49" s="181">
        <f>V13/V35/$B$13*$B$35</f>
        <v>0.89422932700366287</v>
      </c>
      <c r="W49" s="181"/>
      <c r="X49" s="181">
        <f>X13/X35/$B$13*$B$35</f>
        <v>0.87967799546404313</v>
      </c>
      <c r="Y49" s="181"/>
      <c r="Z49" s="181">
        <f>Z13/Z35/$B$13*$B$35</f>
        <v>0.86475638407509969</v>
      </c>
      <c r="AA49" s="181"/>
      <c r="AB49" s="181">
        <f>AB13/AB35/$B$13*$B$35</f>
        <v>0.84984118099574479</v>
      </c>
      <c r="AC49" s="181"/>
      <c r="AD49" s="181">
        <f>AD13/AD35/$B$13*$B$35</f>
        <v>0.83540738274142512</v>
      </c>
      <c r="AE49" s="181"/>
      <c r="AF49" s="181">
        <f>AF13/AF35/$B$13*$B$35</f>
        <v>0.82191705316241781</v>
      </c>
      <c r="AG49" s="181"/>
      <c r="AH49" s="181">
        <f>AH13/AH35/$B$13*$B$35</f>
        <v>0.8096287734511034</v>
      </c>
      <c r="AI49" s="181"/>
      <c r="AJ49" s="181">
        <f>AJ13/AJ35/$B$13*$B$35</f>
        <v>0.7984174879018191</v>
      </c>
      <c r="AK49" s="181"/>
      <c r="AL49" s="181">
        <f>AL13/AL35/$B$13*$B$35</f>
        <v>0.7877007571913931</v>
      </c>
      <c r="AM49" s="181"/>
      <c r="AN49" s="181">
        <f>AN13/AN35/$B$13*$B$35</f>
        <v>0.77612149179809653</v>
      </c>
      <c r="AO49" s="181"/>
      <c r="AP49" s="181">
        <f>AP13/AP35/$B$13*$B$35</f>
        <v>0.77341041093084528</v>
      </c>
      <c r="AQ49" s="181"/>
      <c r="AR49" s="181">
        <f>AR13/AR35/$B$13*$B$35</f>
        <v>0.77041513292670671</v>
      </c>
      <c r="AS49" s="181"/>
      <c r="AT49" s="181">
        <f>AT13/AT35/$B$13*$B$35</f>
        <v>0.76698025664186931</v>
      </c>
      <c r="AU49" s="181"/>
      <c r="AV49" s="181">
        <f>AV13/AV35/$B$13*$B$35</f>
        <v>0.76277046068375642</v>
      </c>
    </row>
    <row r="51" spans="1:48 16321:16384" x14ac:dyDescent="0.2">
      <c r="A51" t="s">
        <v>150</v>
      </c>
      <c r="B51" s="27">
        <f>B30-B10*B23</f>
        <v>-405838.32800000021</v>
      </c>
      <c r="D51" s="27">
        <f>D30-D10*D23</f>
        <v>-359082.40092227189</v>
      </c>
      <c r="F51" s="27">
        <f>F30-F10*F23</f>
        <v>-312320.94766129274</v>
      </c>
      <c r="H51" s="27">
        <f>H30-H10*H23</f>
        <v>-265624.4945921069</v>
      </c>
      <c r="J51" s="27">
        <f>J30-J10*J23</f>
        <v>-219101.21159970574</v>
      </c>
      <c r="L51" s="27">
        <f>L30-L10*L23</f>
        <v>-172908.70878049824</v>
      </c>
      <c r="N51" s="27">
        <f>N30-N10*N23</f>
        <v>-127274.07078190753</v>
      </c>
      <c r="P51" s="27">
        <f>P30-P10*P23</f>
        <v>-82514.420830268878</v>
      </c>
      <c r="R51" s="27">
        <f>R30-R10*R23</f>
        <v>-39061.002440023702</v>
      </c>
      <c r="T51" s="27">
        <f>T30-T10*T23</f>
        <v>2527.5834890957922</v>
      </c>
      <c r="V51" s="27">
        <f>V30-V10*V23</f>
        <v>41584.416247684043</v>
      </c>
      <c r="X51" s="27">
        <f>X30-X10*X23</f>
        <v>77444.864004442003</v>
      </c>
      <c r="Z51" s="27">
        <f>Z30-Z10*Z23</f>
        <v>109755.51431333926</v>
      </c>
      <c r="AB51" s="27">
        <f>AB30-AB10*AB23</f>
        <v>139150.62776817195</v>
      </c>
      <c r="AD51" s="27">
        <f>AD30-AD10*AD23</f>
        <v>168492.63792949729</v>
      </c>
      <c r="AF51" s="27">
        <f>AF30-AF10*AF23</f>
        <v>204875.09759673895</v>
      </c>
      <c r="AH51" s="27">
        <f>AH30-AH10*AH23</f>
        <v>263107.43261052528</v>
      </c>
      <c r="AJ51" s="27">
        <f>AJ30-AJ10*AJ23</f>
        <v>373964.75742861023</v>
      </c>
      <c r="AL51" s="27">
        <f>AL30-AL10*AL23</f>
        <v>604706.12019413291</v>
      </c>
      <c r="AN51" s="27">
        <f>AN30-AN10*AN23</f>
        <v>1131267.6094164932</v>
      </c>
      <c r="AP51" s="27">
        <f>AP30-AP10*AP23</f>
        <v>1320203.0531893554</v>
      </c>
      <c r="AQ51" s="27"/>
      <c r="AR51" s="27">
        <f>AR30-AR10*AR23</f>
        <v>1570646.7037004586</v>
      </c>
      <c r="AT51" s="27">
        <f>AT30-AT10*AT23</f>
        <v>1926411.8260741639</v>
      </c>
      <c r="AV51" s="27">
        <f>AV30-AV10*AV23</f>
        <v>2497721.4175982266</v>
      </c>
      <c r="XFD51" s="27"/>
    </row>
    <row r="52" spans="1:48 16321:16384" x14ac:dyDescent="0.2">
      <c r="A52" t="s">
        <v>151</v>
      </c>
      <c r="B52" s="27">
        <f t="array" ref="B52">Calibration!sL*SUM(B13:C13*B26:C26)</f>
        <v>2073093.0976150823</v>
      </c>
      <c r="D52" s="27">
        <f t="array" ref="D52">Calibration!sL*SUM(D13:E13*D26:E26)</f>
        <v>2047592.0895991321</v>
      </c>
      <c r="F52" s="27">
        <f t="array" ref="F52">Calibration!sL*SUM(F13:G13*F26:G26)</f>
        <v>2020413.4321713736</v>
      </c>
      <c r="H52" s="27">
        <f t="array" ref="H52">Calibration!sL*SUM(H13:I13*H26:I26)</f>
        <v>1991280.4672560645</v>
      </c>
      <c r="J52" s="27">
        <f t="array" ref="J52">Calibration!sL*SUM(J13:K13*J26:K26)</f>
        <v>1959857.3578374353</v>
      </c>
      <c r="L52" s="27">
        <f t="array" ref="L52">Calibration!sL*SUM(L13:M13*L26:M26)</f>
        <v>1925738.7646717124</v>
      </c>
      <c r="N52" s="27">
        <f t="array" ref="N52">Calibration!sL*SUM(N13:O13*N26:O26)</f>
        <v>1888434.5385320827</v>
      </c>
      <c r="P52" s="27">
        <f t="array" ref="P52">Calibration!sL*SUM(P13:Q13*P26:Q26)</f>
        <v>1847361.2899055739</v>
      </c>
      <c r="R52" s="27">
        <f t="array" ref="R52">Calibration!sL*SUM(R13:S13*R26:S26)</f>
        <v>1801843.4424143757</v>
      </c>
      <c r="T52" s="27">
        <f t="array" ref="T52">Calibration!sL*SUM(T13:U13*T26:U26)</f>
        <v>1751144.7525093108</v>
      </c>
      <c r="V52" s="27">
        <f t="array" ref="V52">Calibration!sL*SUM(V13:W13*V26:W26)</f>
        <v>1694565.2946917727</v>
      </c>
      <c r="X52" s="27">
        <f t="array" ref="X52">Calibration!sL*SUM(X13:Y13*X26:Y26)</f>
        <v>1631664.2941997293</v>
      </c>
      <c r="Z52" s="27">
        <f t="array" ref="Z52">Calibration!sL*SUM(Z13:AA13*Z26:AA26)</f>
        <v>1562690.6043566309</v>
      </c>
      <c r="AB52" s="27">
        <f t="array" ref="AB52">Calibration!sL*SUM(AB13:AC13*AB26:AC26)</f>
        <v>1489269.7256942107</v>
      </c>
      <c r="AD52" s="27">
        <f t="array" ref="AD52">Calibration!sL*SUM(AD13:AE13*AD26:AE26)</f>
        <v>1415220.5736011204</v>
      </c>
      <c r="AF52" s="27">
        <f t="array" ref="AF52">Calibration!sL*SUM(AF13:AG13*AF26:AG26)</f>
        <v>1347074.6384978171</v>
      </c>
      <c r="AH52" s="27">
        <f t="array" ref="AH52">Calibration!sL*SUM(AH13:AI13*AH26:AI26)</f>
        <v>1293985.2981970531</v>
      </c>
      <c r="AJ52" s="27">
        <f t="array" ref="AJ52">Calibration!sL*SUM(AJ13:AK13*AJ26:AK26)</f>
        <v>1268003.2942131914</v>
      </c>
      <c r="AL52" s="27">
        <f t="array" ref="AL52">Calibration!sL*SUM(AL13:AM13*AL26:AM26)</f>
        <v>1285714.2844749431</v>
      </c>
      <c r="AN52" s="27">
        <f t="array" ref="AN52">Calibration!sL*SUM(AN13:AO13*AN26:AO26)</f>
        <v>1370135.0937852741</v>
      </c>
      <c r="AP52" s="27">
        <f t="array" ref="AP52">Calibration!sL*SUM(AP13:AQ13*AP26:AQ26)</f>
        <v>1398404.4491017228</v>
      </c>
      <c r="AQ52" s="27"/>
      <c r="AR52" s="27">
        <f t="array" ref="AR52">Calibration!sL*SUM(AR13:AS13*AR26:AS26)</f>
        <v>1431265.0919375119</v>
      </c>
      <c r="AT52" s="27">
        <f t="array" ref="AT52">Calibration!sL*SUM(AT13:AU13*AT26:AU26)</f>
        <v>1466947.2419321679</v>
      </c>
      <c r="AV52" s="27">
        <f t="array" ref="AV52">Calibration!sL*SUM(AV13:AW13*AV26:AW26)</f>
        <v>1489005.8352695871</v>
      </c>
    </row>
    <row r="53" spans="1:48 16321:16384" x14ac:dyDescent="0.2">
      <c r="A53" t="s">
        <v>152</v>
      </c>
      <c r="B53" s="27">
        <f t="array" ref="B53">Calibration!sK*SUM(B15:C15*B27:C27)</f>
        <v>2716869.1663849424</v>
      </c>
      <c r="D53" s="27">
        <f t="array" ref="D53">Calibration!sK*SUM(D15:E15*D27:E27)</f>
        <v>2687839.9956596936</v>
      </c>
      <c r="F53" s="27">
        <f t="array" ref="F53">Calibration!sK*SUM(F15:G15*F27:G27)</f>
        <v>2657203.9244598304</v>
      </c>
      <c r="H53" s="27">
        <f t="array" ref="H53">Calibration!sK*SUM(H15:I15*H27:I27)</f>
        <v>2624649.4367742045</v>
      </c>
      <c r="J53" s="27">
        <f t="array" ref="J53">Calibration!sK*SUM(J15:K15*J27:K27)</f>
        <v>2589788.4626610968</v>
      </c>
      <c r="L53" s="27">
        <f t="array" ref="L53">Calibration!sK*SUM(L15:M15*L27:M27)</f>
        <v>2552138.8032757514</v>
      </c>
      <c r="N53" s="27">
        <f t="array" ref="N53">Calibration!sK*SUM(N15:O15*N27:O27)</f>
        <v>2511099.2189986454</v>
      </c>
      <c r="P53" s="27">
        <f t="array" ref="P53">Calibration!sK*SUM(P15:Q15*P27:Q27)</f>
        <v>2465928.0960265459</v>
      </c>
      <c r="R53" s="27">
        <f t="array" ref="R53">Calibration!sK*SUM(R15:S15*R27:S27)</f>
        <v>2415729.0473990976</v>
      </c>
      <c r="T53" s="27">
        <f t="array" ref="T53">Calibration!sK*SUM(T15:U15*T27:U27)</f>
        <v>2359467.2381416433</v>
      </c>
      <c r="V53" s="27">
        <f t="array" ref="V53">Calibration!sK*SUM(V15:W15*V27:W27)</f>
        <v>2296059.1387430141</v>
      </c>
      <c r="X53" s="27">
        <f t="array" ref="X53">Calibration!sK*SUM(X15:Y15*X27:Y27)</f>
        <v>2224614.7677494511</v>
      </c>
      <c r="Z53" s="27">
        <f t="array" ref="Z53">Calibration!sK*SUM(Z15:AA15*Z27:AA27)</f>
        <v>2144945.6452164422</v>
      </c>
      <c r="AB53" s="27">
        <f t="array" ref="AB53">Calibration!sK*SUM(AB15:AC15*AB27:AC27)</f>
        <v>2058420.4612254854</v>
      </c>
      <c r="AD53" s="27">
        <f t="array" ref="AD53">Calibration!sK*SUM(AD15:AE15*AD27:AE27)</f>
        <v>1969027.0215567811</v>
      </c>
      <c r="AF53" s="27">
        <f t="array" ref="AF53">Calibration!sK*SUM(AF15:AG15*AF27:AG27)</f>
        <v>1884054.121152374</v>
      </c>
      <c r="AH53" s="27">
        <f t="array" ref="AH53">Calibration!sK*SUM(AH15:AI15*AH27:AI27)</f>
        <v>1813718.8021500122</v>
      </c>
      <c r="AJ53" s="27">
        <f t="array" ref="AJ53">Calibration!sK*SUM(AJ15:AK15*AJ27:AK27)</f>
        <v>1769894.1971436997</v>
      </c>
      <c r="AL53" s="27">
        <f t="array" ref="AL53">Calibration!sK*SUM(AL15:AM15*AL27:AM27)</f>
        <v>1760788.472095239</v>
      </c>
      <c r="AN53" s="27">
        <f t="array" ref="AN53">Calibration!sK*SUM(AN15:AO15*AN27:AO27)</f>
        <v>1755316.9909817434</v>
      </c>
      <c r="AP53" s="27">
        <f t="array" ref="AP53">Calibration!sK*SUM(AP15:AQ15*AP27:AQ27)</f>
        <v>1738228.9961689897</v>
      </c>
      <c r="AQ53" s="27"/>
      <c r="AR53" s="27">
        <f t="array" ref="AR53">Calibration!sK*SUM(AR15:AS15*AR27:AS27)</f>
        <v>1700888.6532353805</v>
      </c>
      <c r="AT53" s="27">
        <f t="array" ref="AT53">Calibration!sK*SUM(AT15:AU15*AT27:AU27)</f>
        <v>1618634.5744136777</v>
      </c>
      <c r="AV53" s="27">
        <f t="array" ref="AV53">Calibration!sK*SUM(AV15:AW15*AV27:AW27)</f>
        <v>1410654.1416134182</v>
      </c>
      <c r="XFD53" s="27"/>
    </row>
    <row r="55" spans="1:48 16321:16384" x14ac:dyDescent="0.2">
      <c r="A55" t="s">
        <v>153</v>
      </c>
      <c r="B55" s="183">
        <f>B30/B32</f>
        <v>0.19850271905982084</v>
      </c>
      <c r="D55" s="183">
        <f>D30/D32</f>
        <v>0.2014871119328728</v>
      </c>
      <c r="F55" s="183">
        <f>F30/F32</f>
        <v>0.20450297223638914</v>
      </c>
      <c r="H55" s="183">
        <f>H30/H32</f>
        <v>0.20755025988461231</v>
      </c>
      <c r="J55" s="183">
        <f>J30/J32</f>
        <v>0.2106276021898697</v>
      </c>
      <c r="L55" s="183">
        <f>L30/L32</f>
        <v>0.21373186277938136</v>
      </c>
      <c r="N55" s="183">
        <f>N30/N32</f>
        <v>0.21685716473651986</v>
      </c>
      <c r="P55" s="183">
        <f>P30/P32</f>
        <v>0.21999397916058439</v>
      </c>
      <c r="R55" s="183">
        <f>R30/R32</f>
        <v>0.22312792957141409</v>
      </c>
      <c r="T55" s="183">
        <f>T30/T32</f>
        <v>0.22623917982618527</v>
      </c>
      <c r="V55" s="183">
        <f>V30/V32</f>
        <v>0.22930358866230396</v>
      </c>
      <c r="X55" s="183">
        <f>X30/X32</f>
        <v>0.23229954168266917</v>
      </c>
      <c r="Z55" s="183">
        <f>Z30/Z32</f>
        <v>0.23522861582728541</v>
      </c>
      <c r="AB55" s="183">
        <f>AB30/AB32</f>
        <v>0.23816601180953767</v>
      </c>
      <c r="AD55" s="183">
        <f>AD30/AD32</f>
        <v>0.24136579313380213</v>
      </c>
      <c r="AF55" s="183">
        <f>AF30/AF32</f>
        <v>0.24545139915627695</v>
      </c>
      <c r="AH55" s="183">
        <f>AH30/AH32</f>
        <v>0.25174077787120164</v>
      </c>
      <c r="AJ55" s="183">
        <f>AJ30/AJ32</f>
        <v>0.2628513478720319</v>
      </c>
      <c r="AL55" s="183">
        <f>AL30/AL32</f>
        <v>0.28371298964711261</v>
      </c>
      <c r="AN55" s="183">
        <f>AN30/AN32</f>
        <v>0.3251232107813542</v>
      </c>
      <c r="AP55" s="183">
        <f>AP30/AP32</f>
        <v>0.33890528894488725</v>
      </c>
      <c r="AR55" s="183">
        <f>AR30/AR32</f>
        <v>0.35685581664394339</v>
      </c>
      <c r="AT55" s="183">
        <f>AT30/AT32</f>
        <v>0.38243068579295503</v>
      </c>
      <c r="AV55" s="183">
        <f>AV30/AV32</f>
        <v>0.42643568629088163</v>
      </c>
      <c r="XCS55" s="183"/>
      <c r="XFD55" s="183"/>
    </row>
    <row r="56" spans="1:48 16321:16384" x14ac:dyDescent="0.2">
      <c r="A56" t="s">
        <v>154</v>
      </c>
      <c r="B56" s="183">
        <f>(Model!$C$52*B5*B20+B2*C5*C20)/B32</f>
        <v>2.9221206744340551E-2</v>
      </c>
      <c r="D56" s="183">
        <f>(Model!$C$52*D5*D20+D2*E5*E20)/D32</f>
        <v>3.3010271171221607E-2</v>
      </c>
      <c r="F56" s="183">
        <f>(Model!$C$52*F5*F20+F2*G5*G20)/F32</f>
        <v>3.6860169331084443E-2</v>
      </c>
      <c r="H56" s="183">
        <f>(Model!$C$52*H5*H20+H2*I5*I20)/H32</f>
        <v>4.0773709552867639E-2</v>
      </c>
      <c r="J56" s="183">
        <f>(Model!$C$52*J5*J20+J2*K5*K20)/J32</f>
        <v>4.4752488223753849E-2</v>
      </c>
      <c r="L56" s="183">
        <f>(Model!$C$52*L5*L20+L2*M5*M20)/L32</f>
        <v>4.8796412046480921E-2</v>
      </c>
      <c r="N56" s="183">
        <f>(Model!$C$52*N5*N20+N2*O5*O20)/N32</f>
        <v>5.2902496250579516E-2</v>
      </c>
      <c r="P56" s="183">
        <f>(Model!$C$52*P5*P20+P2*Q5*Q20)/P32</f>
        <v>5.7063703096686944E-2</v>
      </c>
      <c r="R56" s="183">
        <f>(Model!$C$52*R5*R20+R2*S5*S20)/R32</f>
        <v>6.1267269728937215E-2</v>
      </c>
      <c r="T56" s="183">
        <f>(Model!$C$52*T5*T20+T2*U5*U20)/T32</f>
        <v>6.5493432377089156E-2</v>
      </c>
      <c r="V56" s="183">
        <f>(Model!$C$52*V5*V20+V2*W5*W20)/V32</f>
        <v>6.9715745565369636E-2</v>
      </c>
      <c r="X56" s="183">
        <f>(Model!$C$52*X5*X20+X2*Y5*Y20)/X32</f>
        <v>7.3907214275726538E-2</v>
      </c>
      <c r="Z56" s="183">
        <f>(Model!$C$52*Z5*Z20+Z2*AA5*AA20)/Z32</f>
        <v>7.8061316441830578E-2</v>
      </c>
      <c r="AB56" s="183">
        <f>(Model!$C$52*AB5*AB20+AB2*AC5*AC20)/AB32</f>
        <v>8.2246144570611038E-2</v>
      </c>
      <c r="AD56" s="183">
        <f>(Model!$C$52*AD5*AD20+AD2*AE5*AE20)/AD32</f>
        <v>8.6720776943081404E-2</v>
      </c>
      <c r="AF56" s="183">
        <f>(Model!$C$52*AF5*AF20+AF2*AG5*AG20)/AF32</f>
        <v>9.2149922016424093E-2</v>
      </c>
      <c r="AH56" s="183">
        <f>(Model!$C$52*AH5*AH20+AH2*AI5*AI20)/AH32</f>
        <v>9.997026549359958E-2</v>
      </c>
      <c r="AJ56" s="183">
        <f>(Model!$C$52*AJ5*AJ20+AJ2*AK5*AK20)/AJ32</f>
        <v>0.11304358373480582</v>
      </c>
      <c r="AL56" s="183">
        <f>(Model!$C$52*AL5*AL20+AL2*AM5*AM20)/AL32</f>
        <v>0.13660571188271967</v>
      </c>
      <c r="AN56" s="183">
        <f>(Model!$C$52*AN5*AN20+AN2*AO5*AO20)/AN32</f>
        <v>0.18131114388607</v>
      </c>
      <c r="AP56" s="183">
        <f>(Model!$C$52*AP5*AP20+AP2*AQ5*AQ20)/AP32</f>
        <v>0.19571177903118706</v>
      </c>
      <c r="AR56" s="183">
        <f>(Model!$C$52*AR5*AR20+AR2*AS5*AS20)/AR32</f>
        <v>0.21418829015405413</v>
      </c>
      <c r="AT56" s="183">
        <f>(Model!$C$52*AT5*AT20+AT2*AU5*AU20)/AT32</f>
        <v>0.24009304802371981</v>
      </c>
      <c r="AV56" s="183">
        <f>(Model!$C$52*AV5*AV20+AV2*AW5*AW20)/AV32</f>
        <v>0.28402504723619215</v>
      </c>
      <c r="XFD56" s="183"/>
    </row>
    <row r="57" spans="1:48 16321:16384" x14ac:dyDescent="0.2">
      <c r="A57" t="s">
        <v>155</v>
      </c>
      <c r="B57" s="183">
        <f t="array" ref="B57">SUM(Model!tauL*B13:C13*B26:C26)/B32</f>
        <v>0.15852881819439493</v>
      </c>
      <c r="D57" s="183">
        <f t="array" ref="D57">SUM(Model!tauL*D13:E13*D26:E26)/D32</f>
        <v>0.15779208652002399</v>
      </c>
      <c r="F57" s="183">
        <f t="array" ref="F57">SUM(Model!tauL*F13:G13*F26:G26)/F32</f>
        <v>0.15702672661517345</v>
      </c>
      <c r="H57" s="183">
        <f t="array" ref="H57">SUM(Model!tauL*H13:I13*H26:I26)/H32</f>
        <v>0.15622999163190585</v>
      </c>
      <c r="J57" s="183">
        <f t="array" ref="J57">SUM(Model!tauL*J13:K13*J26:K26)/J32</f>
        <v>0.15539901880448825</v>
      </c>
      <c r="L57" s="183">
        <f t="array" ref="L57">SUM(Model!tauL*L13:M13*L26:M26)/L32</f>
        <v>0.1545308834363267</v>
      </c>
      <c r="N57" s="183">
        <f t="array" ref="N57">SUM(Model!tauL*N13:O13*N26:O26)/N32</f>
        <v>0.15362281285168511</v>
      </c>
      <c r="P57" s="183">
        <f t="array" ref="P57">SUM(Model!tauL*P13:Q13*P26:Q26)/P32</f>
        <v>0.15267244353099679</v>
      </c>
      <c r="R57" s="183">
        <f t="array" ref="R57">SUM(Model!tauL*R13:S13*R26:S26)/R32</f>
        <v>0.15167830320280409</v>
      </c>
      <c r="T57" s="183">
        <f t="array" ref="T57">SUM(Model!tauL*T13:U13*T26:U26)/T32</f>
        <v>0.15064050227120365</v>
      </c>
      <c r="V57" s="183">
        <f t="array" ref="V57">SUM(Model!tauL*V13:W13*V26:W26)/V32</f>
        <v>0.14956165051509313</v>
      </c>
      <c r="X57" s="183">
        <f t="array" ref="X57">SUM(Model!tauL*X13:Y13*X26:Y26)/X32</f>
        <v>0.14844774667461472</v>
      </c>
      <c r="Y57" s="183"/>
      <c r="Z57" s="183">
        <f t="array" ref="Z57">SUM(Model!tauL*Z13:AA13*Z26:AA26)/Z32</f>
        <v>0.14730821633126309</v>
      </c>
      <c r="AB57" s="183">
        <f t="array" ref="AB57">SUM(Model!tauL*AB13:AC13*AB26:AC26)/AB32</f>
        <v>0.14615291544087186</v>
      </c>
      <c r="AD57" s="183">
        <f t="array" ref="AD57">SUM(Model!tauL*AD13:AE13*AD26:AE26)/AD32</f>
        <v>0.14498193262446177</v>
      </c>
      <c r="AF57" s="183">
        <f t="array" ref="AF57">SUM(Model!tauL*AF13:AG13*AF26:AG26)/AF32</f>
        <v>0.14376198723145947</v>
      </c>
      <c r="AH57" s="183">
        <f t="array" ref="AH57">SUM(Model!tauL*AH13:AI13*AH26:AI26)/AH32</f>
        <v>0.14238400817303032</v>
      </c>
      <c r="AJ57" s="183">
        <f t="array" ref="AJ57">SUM(Model!tauL*AJ13:AK13*AJ26:AK26)/AJ32</f>
        <v>0.14061180975313428</v>
      </c>
      <c r="AL57" s="183">
        <f t="array" ref="AL57">SUM(Model!tauL*AL13:AM13*AL26:AM26)/AL32</f>
        <v>0.13814953395681442</v>
      </c>
      <c r="AN57" s="183">
        <f t="array" ref="AN57">SUM(Model!tauL*AN13:AO13*AN26:AO26)/AN32</f>
        <v>0.13520554151093475</v>
      </c>
      <c r="AP57" s="183">
        <f t="array" ref="AP57">SUM(Model!tauL*AP13:AQ13*AP26:AQ26)/AP32</f>
        <v>0.13469521437494697</v>
      </c>
      <c r="AR57" s="183">
        <f t="array" ref="AR57">SUM(Model!tauL*AR13:AS13*AR26:AS26)/AR32</f>
        <v>0.13430890510378149</v>
      </c>
      <c r="AT57" s="183">
        <f t="array" ref="AT57">SUM(Model!tauL*AT13:AU13*AT26:AU26)/AT32</f>
        <v>0.13417839481129754</v>
      </c>
      <c r="AV57" s="183">
        <f t="array" ref="AV57">SUM(Model!tauL*AV13:AW13*AV26:AW26)/AV32</f>
        <v>0.1346018109376502</v>
      </c>
      <c r="XFD57" s="183"/>
    </row>
    <row r="58" spans="1:48 16321:16384" x14ac:dyDescent="0.2">
      <c r="A58" t="s">
        <v>156</v>
      </c>
      <c r="B58" s="183">
        <f t="array" ref="B58">SUM(Model!tauY/(1+Model!tauY)*B3:C3*B18:C18)/B32</f>
        <v>1.075269412108535E-2</v>
      </c>
      <c r="D58" s="183">
        <f t="array" ref="D58">SUM(Model!tauY/(1+Model!tauY)*D3:E3*D18:E18)/D32</f>
        <v>1.0684754241627218E-2</v>
      </c>
      <c r="F58" s="183">
        <f t="array" ref="F58">SUM(Model!tauY/(1+Model!tauY)*F3:G3*F18:G18)/F32</f>
        <v>1.0616076290131242E-2</v>
      </c>
      <c r="H58" s="183">
        <f t="array" ref="H58">SUM(Model!tauY/(1+Model!tauY)*H3:I3*H18:I18)/H32</f>
        <v>1.0546558699838839E-2</v>
      </c>
      <c r="J58" s="183">
        <f t="array" ref="J58">SUM(Model!tauY/(1+Model!tauY)*J3:K3*J18:K18)/J32</f>
        <v>1.0476095161627626E-2</v>
      </c>
      <c r="L58" s="183">
        <f t="array" ref="L58">SUM(Model!tauY/(1+Model!tauY)*L3:M3*L18:M18)/L32</f>
        <v>1.0404567296573733E-2</v>
      </c>
      <c r="N58" s="183">
        <f t="array" ref="N58">SUM(Model!tauY/(1+Model!tauY)*N3:O3*N18:O18)/N32</f>
        <v>1.0331855634255267E-2</v>
      </c>
      <c r="P58" s="183">
        <f t="array" ref="P58">SUM(Model!tauY/(1+Model!tauY)*P3:Q3*P18:Q18)/P32</f>
        <v>1.0257832532900624E-2</v>
      </c>
      <c r="R58" s="183">
        <f t="array" ref="R58">SUM(Model!tauY/(1+Model!tauY)*R3:S3*R18:S18)/R32</f>
        <v>1.0182356639672778E-2</v>
      </c>
      <c r="T58" s="183">
        <f t="array" ref="T58">SUM(Model!tauY/(1+Model!tauY)*T3:U3*T18:U18)/T32</f>
        <v>1.010524517789245E-2</v>
      </c>
      <c r="V58" s="183">
        <f t="array" ref="V58">SUM(Model!tauY/(1+Model!tauY)*V3:W3*V18:W18)/V32</f>
        <v>1.0026192581841212E-2</v>
      </c>
      <c r="X58" s="183">
        <f t="array" ref="X58">SUM(Model!tauY/(1+Model!tauY)*X3:Y3*X18:Y18)/X32</f>
        <v>9.9445807323278838E-3</v>
      </c>
      <c r="Y58" s="183"/>
      <c r="Z58" s="183">
        <f t="array" ref="Z58">SUM(Model!tauY/(1+Model!tauY)*Z3:AA3*Z18:AA18)/Z32</f>
        <v>9.8590830541917564E-3</v>
      </c>
      <c r="AB58" s="183">
        <f t="array" ref="AB58">SUM(Model!tauY/(1+Model!tauY)*AB3:AC3*AB18:AC18)/AB32</f>
        <v>9.7669517980547467E-3</v>
      </c>
      <c r="AD58" s="183">
        <f t="array" ref="AD58">SUM(Model!tauY/(1+Model!tauY)*AD3:AE3*AD18:AE18)/AD32</f>
        <v>9.6630835662589454E-3</v>
      </c>
      <c r="AF58" s="183">
        <f t="array" ref="AF58">SUM(Model!tauY/(1+Model!tauY)*AF3:AG3*AF18:AG18)/AF32</f>
        <v>9.539489908393383E-3</v>
      </c>
      <c r="AH58" s="183">
        <f t="array" ref="AH58">SUM(Model!tauY/(1+Model!tauY)*AH3:AI3*AH18:AI18)/AH32</f>
        <v>9.386504204571702E-3</v>
      </c>
      <c r="AJ58" s="183">
        <f t="array" ref="AJ58">SUM(Model!tauY/(1+Model!tauY)*AJ3:AK3*AJ18:AK18)/AJ32</f>
        <v>9.1959543840918027E-3</v>
      </c>
      <c r="AL58" s="183">
        <f t="array" ref="AL58">SUM(Model!tauY/(1+Model!tauY)*AL3:AM3*AL18:AM18)/AL32</f>
        <v>8.9577438075785516E-3</v>
      </c>
      <c r="AN58" s="183">
        <f t="array" ref="AN58">SUM(Model!tauY/(1+Model!tauY)*AN3:AO3*AN18:AO18)/AN32</f>
        <v>8.6065253843494987E-3</v>
      </c>
      <c r="AP58" s="183">
        <f t="array" ref="AP58">SUM(Model!tauY/(1+Model!tauY)*AP3:AQ3*AP18:AQ18)/AP32</f>
        <v>8.4982955387532238E-3</v>
      </c>
      <c r="AR58" s="183">
        <f t="array" ref="AR58">SUM(Model!tauY/(1+Model!tauY)*AR3:AS3*AR18:AS18)/AR32</f>
        <v>8.3586213861078056E-3</v>
      </c>
      <c r="AT58" s="183">
        <f t="array" ref="AT58">SUM(Model!tauY/(1+Model!tauY)*AT3:AU3*AT18:AU18)/AT32</f>
        <v>8.1592429579376759E-3</v>
      </c>
      <c r="AV58" s="183">
        <f t="array" ref="AV58">SUM(Model!tauY/(1+Model!tauY)*AV3:AW3*AV18:AW18)/AV32</f>
        <v>7.8088281170392041E-3</v>
      </c>
      <c r="XFD58" s="183"/>
    </row>
    <row r="59" spans="1:48 16321:16384" x14ac:dyDescent="0.2">
      <c r="A59" t="s">
        <v>157</v>
      </c>
      <c r="B59" s="183">
        <f>(B2*C5*C20)/B32</f>
        <v>5.5174232040962052E-4</v>
      </c>
      <c r="D59" s="183">
        <f>(D2*E5*E20)/D32</f>
        <v>4.3982958371939366E-3</v>
      </c>
      <c r="F59" s="183">
        <f>(F2*G5*G20)/F32</f>
        <v>8.3022619306904206E-3</v>
      </c>
      <c r="H59" s="183">
        <f>(H2*I5*I20)/H32</f>
        <v>1.2265435957266202E-2</v>
      </c>
      <c r="J59" s="183">
        <f>(J2*K5*K20)/J32</f>
        <v>1.6288035151482562E-2</v>
      </c>
      <c r="L59" s="183">
        <f>(L2*M5*M20)/L32</f>
        <v>2.0368093458182423E-2</v>
      </c>
      <c r="N59" s="183">
        <f>(N2*O5*O20)/N32</f>
        <v>2.450002917682299E-2</v>
      </c>
      <c r="P59" s="183">
        <f>(P2*Q5*Q20)/P32</f>
        <v>2.8673191313538907E-2</v>
      </c>
      <c r="R59" s="183">
        <f>(R2*S5*S20)/R32</f>
        <v>3.2869743339329113E-2</v>
      </c>
      <c r="T59" s="183">
        <f>(T2*U5*U20)/T32</f>
        <v>3.7062779744584495E-2</v>
      </c>
      <c r="V59" s="183">
        <f>(V2*W5*W20)/V32</f>
        <v>4.1215857819861902E-2</v>
      </c>
      <c r="X59" s="183">
        <f>(X2*Y5*Y20)/X32</f>
        <v>4.5288260725757888E-2</v>
      </c>
      <c r="Z59" s="183">
        <f>(Z2*AA5*AA20)/Z32</f>
        <v>4.9255446117164169E-2</v>
      </c>
      <c r="AB59" s="183">
        <f>(AB2*AC5*AC20)/AB32</f>
        <v>5.3163854444134524E-2</v>
      </c>
      <c r="AD59" s="183">
        <f>(AD2*AE5*AE20)/AD32</f>
        <v>5.725067606218618E-2</v>
      </c>
      <c r="AF59" s="183">
        <f>(AF2*AG5*AG20)/AF32</f>
        <v>6.2165358776706668E-2</v>
      </c>
      <c r="AH59" s="183">
        <f>(AH2*AI5*AI20)/AH32</f>
        <v>6.9342848575654301E-2</v>
      </c>
      <c r="AJ59" s="183">
        <f>(AJ2*AK5*AK20)/AJ32</f>
        <v>8.1653380155445682E-2</v>
      </c>
      <c r="AL59" s="183">
        <f>(AL2*AM5*AM20)/AL32</f>
        <v>0.10429834829138616</v>
      </c>
      <c r="AN59" s="183">
        <f>(AN2*AO5*AO20)/AN32</f>
        <v>0.14747555777024138</v>
      </c>
      <c r="AP59" s="183">
        <f>(AP2*AQ5*AQ20)/AP32</f>
        <v>0.16130459096418581</v>
      </c>
      <c r="AR59" s="183">
        <f>(AR2*AS5*AS20)/AR32</f>
        <v>0.17895153790116994</v>
      </c>
      <c r="AT59" s="183">
        <f>(AT2*AU5*AU20)/AT32</f>
        <v>0.20347351638714625</v>
      </c>
      <c r="AV59" s="183">
        <f>(AV2*AW5*AW20)/AV32</f>
        <v>0.24432894974900393</v>
      </c>
      <c r="XFD59" s="183"/>
    </row>
    <row r="60" spans="1:48 16321:16384" x14ac:dyDescent="0.2">
      <c r="A60" t="s">
        <v>158</v>
      </c>
      <c r="B60" s="183">
        <f>Model!$C$52*B5*B20/B32</f>
        <v>2.8669464423930927E-2</v>
      </c>
      <c r="D60" s="183">
        <f>Model!$C$52*D5*D20/D32</f>
        <v>2.8611975334027668E-2</v>
      </c>
      <c r="F60" s="183">
        <f>Model!$C$52*F5*F20/F32</f>
        <v>2.8557907400394024E-2</v>
      </c>
      <c r="H60" s="183">
        <f>Model!$C$52*H5*H20/H32</f>
        <v>2.8508273595601433E-2</v>
      </c>
      <c r="J60" s="183">
        <f>Model!$C$52*J5*J20/J32</f>
        <v>2.8464453072271287E-2</v>
      </c>
      <c r="L60" s="183">
        <f>Model!$C$52*L5*L20/L32</f>
        <v>2.8428318588298494E-2</v>
      </c>
      <c r="N60" s="183">
        <f>Model!$C$52*N5*N20/N32</f>
        <v>2.8402467073756533E-2</v>
      </c>
      <c r="P60" s="183">
        <f>Model!$C$52*P5*P20/P32</f>
        <v>2.839051178314804E-2</v>
      </c>
      <c r="R60" s="183">
        <f>Model!$C$52*R5*R20/R32</f>
        <v>2.8397526389608095E-2</v>
      </c>
      <c r="T60" s="183">
        <f>Model!$C$52*T5*T20/T32</f>
        <v>2.8430652632504664E-2</v>
      </c>
      <c r="V60" s="183">
        <f>Model!$C$52*V5*V20/V32</f>
        <v>2.8499887745507737E-2</v>
      </c>
      <c r="X60" s="183">
        <f>Model!$C$52*X5*X20/X32</f>
        <v>2.8618953549968646E-2</v>
      </c>
      <c r="Z60" s="183">
        <f>Model!$C$52*Z5*Z20/Z32</f>
        <v>2.8805870324666409E-2</v>
      </c>
      <c r="AB60" s="183">
        <f>Model!$C$52*AB5*AB20/AB32</f>
        <v>2.908229012647651E-2</v>
      </c>
      <c r="AD60" s="183">
        <f>Model!$C$52*AD5*AD20/AD32</f>
        <v>2.947010088089522E-2</v>
      </c>
      <c r="AF60" s="183">
        <f>Model!$C$52*AF5*AF20/AF32</f>
        <v>2.9984563239717411E-2</v>
      </c>
      <c r="AH60" s="183">
        <f>Model!$C$52*AH5*AH20/AH32</f>
        <v>3.062741691794528E-2</v>
      </c>
      <c r="AJ60" s="183">
        <f>Model!$C$52*AJ5*AJ20/AJ32</f>
        <v>3.1390203579360142E-2</v>
      </c>
      <c r="AL60" s="183">
        <f>Model!$C$52*AL5*AL20/AL32</f>
        <v>3.2307363591333502E-2</v>
      </c>
      <c r="AN60" s="183">
        <f>Model!$C$52*AN5*AN20/AN32</f>
        <v>3.3835586115828611E-2</v>
      </c>
      <c r="AP60" s="183">
        <f>Model!$C$52*AP5*AP20/AP32</f>
        <v>3.4407188067001243E-2</v>
      </c>
      <c r="AR60" s="183">
        <f>Model!$C$52*AR5*AR20/AR32</f>
        <v>3.5236752252884189E-2</v>
      </c>
      <c r="AT60" s="183">
        <f>Model!$C$52*AT5*AT20/AT32</f>
        <v>3.6619531636573562E-2</v>
      </c>
      <c r="AV60" s="183">
        <f>Model!$C$52*AV5*AV20/AV32</f>
        <v>3.9696097487188213E-2</v>
      </c>
      <c r="XFD60" s="183"/>
    </row>
    <row r="62" spans="1:48 16321:16384" x14ac:dyDescent="0.2">
      <c r="A62" t="s">
        <v>159</v>
      </c>
      <c r="B62">
        <f>B13/B15</f>
        <v>1</v>
      </c>
      <c r="D62">
        <f>D13/D15</f>
        <v>0.99558931400902329</v>
      </c>
      <c r="F62">
        <f>F13/F15</f>
        <v>0.99081289253191496</v>
      </c>
      <c r="H62">
        <f>H13/H15</f>
        <v>0.98562845879622552</v>
      </c>
      <c r="J62">
        <f>J13/J15</f>
        <v>0.97998874262543567</v>
      </c>
      <c r="L62">
        <f>L13/L15</f>
        <v>0.97384143508336618</v>
      </c>
      <c r="N62">
        <f>N13/N15</f>
        <v>0.96712991532864279</v>
      </c>
      <c r="P62">
        <f>P13/P15</f>
        <v>0.95979517430883321</v>
      </c>
      <c r="R62">
        <f>R13/R15</f>
        <v>0.95178026481982014</v>
      </c>
      <c r="T62">
        <f>T13/T15</f>
        <v>0.94303916772395702</v>
      </c>
      <c r="V62">
        <f>V13/V15</f>
        <v>0.93355373341766457</v>
      </c>
      <c r="X62">
        <f>X13/X15</f>
        <v>0.92336439113942237</v>
      </c>
      <c r="Z62">
        <f>Z13/Z15</f>
        <v>0.91262357013886219</v>
      </c>
      <c r="AB62">
        <f>AB13/AB15</f>
        <v>0.90168362593157703</v>
      </c>
      <c r="AD62">
        <f>AD13/AD15</f>
        <v>0.89123067787741683</v>
      </c>
      <c r="AF62">
        <f>AF13/AF15</f>
        <v>0.88248244798298248</v>
      </c>
      <c r="AH62">
        <f>AH13/AH15</f>
        <v>0.8775780330481584</v>
      </c>
      <c r="AJ62">
        <f>AJ13/AJ15</f>
        <v>0.88086956532313565</v>
      </c>
      <c r="AL62">
        <f>AL13/AL15</f>
        <v>0.90396993388759161</v>
      </c>
      <c r="AN62">
        <f>AN13/AN15</f>
        <v>0.99405213021096117</v>
      </c>
      <c r="AP62">
        <f>AP13/AP15</f>
        <v>1.0378772288987939</v>
      </c>
      <c r="AR62">
        <f>AR13/AR15</f>
        <v>1.106695773401325</v>
      </c>
      <c r="AT62">
        <f>AT13/AT15</f>
        <v>1.2304349150848224</v>
      </c>
      <c r="AV62">
        <f>AV13/AV15</f>
        <v>1.5298348807874904</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0.997495514749833</v>
      </c>
      <c r="E65" s="181"/>
      <c r="F65" s="181">
        <f t="array" ref="F65">SQRT((F9:G9*$B$22:$C$22+F10:G10*$B$23:$C$23+F11:G11*$B$24:$C$24+F4:G4*($B$25:$C$25-$B$19:$C$19))/($B$9:$C$9*$B$22:$C$22+$B$10:$C$10*$B$23:$C$23+$B$11:$C$11*$B$24:$C$24+$B$4:$C$4*($B$25:$C$25-$B$19:$C$19))*(F9:G9*F22:G22+F10:G10*F23:G23+F11:G11*F24:G24+F4:G4*(F25:G25-F19:G19))/($B$9:$C$9*F22:G22+$B$10:$C$10*F23:G23+$B$11:$C$11*F24:G24+$B$4:$C$4*(F25:G25-F19:G19)))</f>
        <v>0.99527162131462288</v>
      </c>
      <c r="G65" s="181"/>
      <c r="H65" s="181">
        <f t="array" ref="H65">SQRT((H9:I9*$B$22:$C$22+H10:I10*$B$23:$C$23+H11:I11*$B$24:$C$24+H4:I4*($B$25:$C$25-$B$19:$C$19))/($B$9:$C$9*$B$22:$C$22+$B$10:$C$10*$B$23:$C$23+$B$11:$C$11*$B$24:$C$24+$B$4:$C$4*($B$25:$C$25-$B$19:$C$19))*(H9:I9*H22:I22+H10:I10*H23:I23+H11:I11*H24:I24+H4:I4*(H25:I25-H19:I19))/($B$9:$C$9*H22:I22+$B$10:$C$10*H23:I23+$B$11:$C$11*H24:I24+$B$4:$C$4*(H25:I25-H19:I19)))</f>
        <v>0.99341070201439541</v>
      </c>
      <c r="I65" s="181"/>
      <c r="J65" s="181">
        <f t="array" ref="J65">SQRT((J9:K9*$B$22:$C$22+J10:K10*$B$23:$C$23+J11:K11*$B$24:$C$24+J4:K4*($B$25:$C$25-$B$19:$C$19))/($B$9:$C$9*$B$22:$C$22+$B$10:$C$10*$B$23:$C$23+$B$11:$C$11*$B$24:$C$24+$B$4:$C$4*($B$25:$C$25-$B$19:$C$19))*(J9:K9*J22:K22+J10:K10*J23:K23+J11:K11*J24:K24+J4:K4*(J25:K25-J19:K19))/($B$9:$C$9*J22:K22+$B$10:$C$10*J23:K23+$B$11:$C$11*J24:K24+$B$4:$C$4*(J25:K25-J19:K19)))</f>
        <v>0.9920268106500717</v>
      </c>
      <c r="K65" s="181"/>
      <c r="L65" s="181">
        <f t="array" ref="L65">SQRT((L9:M9*$B$22:$C$22+L10:M10*$B$23:$C$23+L11:M11*$B$24:$C$24+L4:M4*($B$25:$C$25-$B$19:$C$19))/($B$9:$C$9*$B$22:$C$22+$B$10:$C$10*$B$23:$C$23+$B$11:$C$11*$B$24:$C$24+$B$4:$C$4*($B$25:$C$25-$B$19:$C$19))*(L9:M9*L22:M22+L10:M10*L23:M23+L11:M11*L24:M24+L4:M4*(L25:M25-L19:M19))/($B$9:$C$9*L22:M22+$B$10:$C$10*L23:M23+$B$11:$C$11*L24:M24+$B$4:$C$4*(L25:M25-L19:M19)))</f>
        <v>0.99127851813193324</v>
      </c>
      <c r="M65" s="181"/>
      <c r="N65" s="181">
        <f t="array" ref="N65">SQRT((N9:O9*$B$22:$C$22+N10:O10*$B$23:$C$23+N11:O11*$B$24:$C$24+N4:O4*($B$25:$C$25-$B$19:$C$19))/($B$9:$C$9*$B$22:$C$22+$B$10:$C$10*$B$23:$C$23+$B$11:$C$11*$B$24:$C$24+$B$4:$C$4*($B$25:$C$25-$B$19:$C$19))*(N9:O9*N22:O22+N10:O10*N23:O23+N11:O11*N24:O24+N4:O4*(N25:O25-N19:O19))/($B$9:$C$9*N22:O22+$B$10:$C$10*N23:O23+$B$11:$C$11*N24:O24+$B$4:$C$4*(N25:O25-N19:O19)))</f>
        <v>0.99139173197172659</v>
      </c>
      <c r="O65" s="181"/>
      <c r="P65" s="181">
        <f t="array" ref="P65">SQRT((P9:Q9*$B$22:$C$22+P10:Q10*$B$23:$C$23+P11:Q11*$B$24:$C$24+P4:Q4*($B$25:$C$25-$B$19:$C$19))/($B$9:$C$9*$B$22:$C$22+$B$10:$C$10*$B$23:$C$23+$B$11:$C$11*$B$24:$C$24+$B$4:$C$4*($B$25:$C$25-$B$19:$C$19))*(P9:Q9*P22:Q22+P10:Q10*P23:Q23+P11:Q11*P24:Q24+P4:Q4*(P25:Q25-P19:Q19))/($B$9:$C$9*P22:Q22+$B$10:$C$10*P23:Q23+$B$11:$C$11*P24:Q24+$B$4:$C$4*(P25:Q25-P19:Q19)))</f>
        <v>0.99269220095490041</v>
      </c>
      <c r="Q65" s="181"/>
      <c r="R65" s="181">
        <f t="array" ref="R65">SQRT((R9:S9*$B$22:$C$22+R10:S10*$B$23:$C$23+R11:S11*$B$24:$C$24+R4:S4*($B$25:$C$25-$B$19:$C$19))/($B$9:$C$9*$B$22:$C$22+$B$10:$C$10*$B$23:$C$23+$B$11:$C$11*$B$24:$C$24+$B$4:$C$4*($B$25:$C$25-$B$19:$C$19))*(R9:S9*R22:S22+R10:S10*R23:S23+R11:S11*R24:S24+R4:S4*(R25:S25-R19:S19))/($B$9:$C$9*R22:S22+$B$10:$C$10*R23:S23+$B$11:$C$11*R24:S24+$B$4:$C$4*(R25:S25-R19:S19)))</f>
        <v>0.99565852439726699</v>
      </c>
      <c r="S65" s="181"/>
      <c r="T65" s="181">
        <f t="array" ref="T65">SQRT((T9:U9*$B$22:$C$22+T10:U10*$B$23:$C$23+T11:U11*$B$24:$C$24+T4:U4*($B$25:$C$25-$B$19:$C$19))/($B$9:$C$9*$B$22:$C$22+$B$10:$C$10*$B$23:$C$23+$B$11:$C$11*$B$24:$C$24+$B$4:$C$4*($B$25:$C$25-$B$19:$C$19))*(T9:U9*T22:U22+T10:U10*T23:U23+T11:U11*T24:U24+T4:U4*(T25:U25-T19:U19))/($B$9:$C$9*T22:U22+$B$10:$C$10*T23:U23+$B$11:$C$11*T24:U24+$B$4:$C$4*(T25:U25-T19:U19)))</f>
        <v>1.0010059082010061</v>
      </c>
      <c r="U65" s="181"/>
      <c r="V65" s="181">
        <f t="array" ref="V65">SQRT((V9:W9*$B$22:$C$22+V10:W10*$B$23:$C$23+V11:W11*$B$24:$C$24+V4:W4*($B$25:$C$25-$B$19:$C$19))/($B$9:$C$9*$B$22:$C$22+$B$10:$C$10*$B$23:$C$23+$B$11:$C$11*$B$24:$C$24+$B$4:$C$4*($B$25:$C$25-$B$19:$C$19))*(V9:W9*V22:W22+V10:W10*V23:W23+V11:W11*V24:W24+V4:W4*(V25:W25-V19:W19))/($B$9:$C$9*V22:W22+$B$10:$C$10*V23:W23+$B$11:$C$11*V24:W24+$B$4:$C$4*(V25:W25-V19:W19)))</f>
        <v>1.009820835304083</v>
      </c>
      <c r="W65" s="181"/>
      <c r="X65" s="181">
        <f t="array" ref="X65">SQRT((X9:Y9*$B$22:$C$22+X10:Y10*$B$23:$C$23+X11:Y11*$B$24:$C$24+X4:Y4*($B$25:$C$25-$B$19:$C$19))/($B$9:$C$9*$B$22:$C$22+$B$10:$C$10*$B$23:$C$23+$B$11:$C$11*$B$24:$C$24+$B$4:$C$4*($B$25:$C$25-$B$19:$C$19))*(X9:Y9*X22:Y22+X10:Y10*X23:Y23+X11:Y11*X24:Y24+X4:Y4*(X25:Y25-X19:Y19))/($B$9:$C$9*X22:Y22+$B$10:$C$10*X23:Y23+$B$11:$C$11*X24:Y24+$B$4:$C$4*(X25:Y25-X19:Y19)))</f>
        <v>1.0237784814657176</v>
      </c>
      <c r="Y65" s="181"/>
      <c r="Z65" s="181">
        <f t="array" ref="Z65">SQRT((Z9:AA9*$B$22:$C$22+Z10:AA10*$B$23:$C$23+Z11:AA11*$B$24:$C$24+Z4:AA4*($B$25:$C$25-$B$19:$C$19))/($B$9:$C$9*$B$22:$C$22+$B$10:$C$10*$B$23:$C$23+$B$11:$C$11*$B$24:$C$24+$B$4:$C$4*($B$25:$C$25-$B$19:$C$19))*(Z9:AA9*Z22:AA22+Z10:AA10*Z23:AA23+Z11:AA11*Z24:AA24+Z4:AA4*(Z25:AA25-Z19:AA19))/($B$9:$C$9*Z22:AA22+$B$10:$C$10*Z23:AA23+$B$11:$C$11*Z24:AA24+$B$4:$C$4*(Z25:AA25-Z19:AA19)))</f>
        <v>1.0454946714747171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1.0791005285085045</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1.1312412485719197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1.2131697689022209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1.346585059345786</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1.5839758035791851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2.1022877850313222</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4.6747215217722173</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10.818195824039686</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0.99724558777878491</v>
      </c>
      <c r="E66" s="181"/>
      <c r="F66" s="181">
        <f t="array" ref="F66">SQRT((F9:G9*$B$22:$C$22)/($B$9:$C$9*$B$22:$C$22)*(F9:G9*F22:G22)/($B$9:$C$9*F22:G22))</f>
        <v>0.99479658973156659</v>
      </c>
      <c r="G66" s="181"/>
      <c r="H66" s="181">
        <f t="array" ref="H66">SQRT((H9:I9*$B$22:$C$22)/($B$9:$C$9*$B$22:$C$22)*(H9:I9*H22:I22)/($B$9:$C$9*H22:I22))</f>
        <v>0.99274510028068652</v>
      </c>
      <c r="I66" s="181"/>
      <c r="J66" s="181">
        <f t="array" ref="J66">SQRT((J9:K9*$B$22:$C$22)/($B$9:$C$9*$B$22:$C$22)*(J9:K9*J22:K22)/($B$9:$C$9*J22:K22))</f>
        <v>0.99121834133259157</v>
      </c>
      <c r="K66" s="181"/>
      <c r="L66" s="181">
        <f t="array" ref="L66">SQRT((L9:M9*$B$22:$C$22)/($B$9:$C$9*$B$22:$C$22)*(L9:M9*L22:M22)/($B$9:$C$9*L22:M22))</f>
        <v>0.99039269569774968</v>
      </c>
      <c r="M66" s="181"/>
      <c r="N66" s="181">
        <f t="array" ref="N66">SQRT((N9:O9*$B$22:$C$22)/($B$9:$C$9*$B$22:$C$22)*(N9:O9*N22:O22)/($B$9:$C$9*N22:O22))</f>
        <v>0.99051846861125314</v>
      </c>
      <c r="O66" s="181"/>
      <c r="P66" s="181">
        <f t="array" ref="P66">SQRT((P9:Q9*$B$22:$C$22)/($B$9:$C$9*$B$22:$C$22)*(P9:Q9*P22:Q22)/($B$9:$C$9*P22:Q22))</f>
        <v>0.99195469164588634</v>
      </c>
      <c r="Q66" s="181"/>
      <c r="R66" s="181">
        <f t="array" ref="R66">SQRT((R9:S9*$B$22:$C$22)/($B$9:$C$9*$B$22:$C$22)*(R9:S9*R22:S22)/($B$9:$C$9*R22:S22))</f>
        <v>0.99522507077543954</v>
      </c>
      <c r="S66" s="181"/>
      <c r="T66" s="181">
        <f t="array" ref="T66">SQRT((T9:U9*$B$22:$C$22)/($B$9:$C$9*$B$22:$C$22)*(T9:U9*T22:U22)/($B$9:$C$9*T22:U22))</f>
        <v>1.0011044618951108</v>
      </c>
      <c r="U66" s="181"/>
      <c r="V66" s="181">
        <f t="array" ref="V66">SQRT((V9:W9*$B$22:$C$22)/($B$9:$C$9*$B$22:$C$22)*(V9:W9*V22:W22)/($B$9:$C$9*V22:W22))</f>
        <v>1.0107537137070675</v>
      </c>
      <c r="W66" s="181"/>
      <c r="X66" s="181">
        <f t="array" ref="X66">SQRT((X9:Y9*$B$22:$C$22)/($B$9:$C$9*$B$22:$C$22)*(X9:Y9*X22:Y22)/($B$9:$C$9*X22:Y22))</f>
        <v>1.0259278144959079</v>
      </c>
      <c r="Y66" s="181"/>
      <c r="Z66" s="181">
        <f t="array" ref="Z66">SQRT((Z9:AA9*$B$22:$C$22)/($B$9:$C$9*$B$22:$C$22)*(Z9:AA9*Z22:AA22)/($B$9:$C$9*Z22:AA22))</f>
        <v>1.0492909939682147</v>
      </c>
      <c r="AA66" s="181"/>
      <c r="AB66" s="181">
        <f t="array" ref="AB66">SQRT((AB9:AC9*$B$22:$C$22)/($B$9:$C$9*$B$22:$C$22)*(AB9:AC9*AB22:AC22)/($B$9:$C$9*AB22:AC22))</f>
        <v>1.0848816933658827</v>
      </c>
      <c r="AC66" s="181"/>
      <c r="AD66" s="181">
        <f t="array" ref="AD66">SQRT((AD9:AE9*$B$22:$C$22)/($B$9:$C$9*$B$22:$C$22)*(AD9:AE9*AD22:AE22)/($B$9:$C$9*AD22:AE22))</f>
        <v>1.138818442988851</v>
      </c>
      <c r="AE66" s="181"/>
      <c r="AF66" s="181">
        <f t="array" ref="AF66">SQRT((AF9:AG9*$B$22:$C$22)/($B$9:$C$9*$B$22:$C$22)*(AF9:AG9*AF22:AG22)/($B$9:$C$9*AF22:AG22))</f>
        <v>1.2206158371401346</v>
      </c>
      <c r="AG66" s="181"/>
      <c r="AH66" s="181">
        <f t="array" ref="AH66">SQRT((AH9:AI9*$B$22:$C$22)/($B$9:$C$9*$B$22:$C$22)*(AH9:AI9*AH22:AI22)/($B$9:$C$9*AH22:AI22))</f>
        <v>1.3466331780245806</v>
      </c>
      <c r="AI66" s="181"/>
      <c r="AJ66" s="181">
        <f t="array" ref="AJ66">SQRT((AJ9:AK9*$B$22:$C$22)/($B$9:$C$9*$B$22:$C$22)*(AJ9:AK9*AJ22:AK22)/($B$9:$C$9*AJ22:AK22))</f>
        <v>1.5504453900989685</v>
      </c>
      <c r="AK66" s="181"/>
      <c r="AL66" s="181">
        <f t="array" ref="AL66">SQRT((AL9:AM9*$B$22:$C$22)/($B$9:$C$9*$B$22:$C$22)*(AL9:AM9*AL22:AM22)/($B$9:$C$9*AL22:AM22))</f>
        <v>1.913411372434688</v>
      </c>
      <c r="AM66" s="181"/>
      <c r="AN66" s="181">
        <f t="array" ref="AN66">SQRT((AN9:AO9*$B$22:$C$22)/($B$9:$C$9*$B$22:$C$22)*(AN9:AO9*AN22:AO22)/($B$9:$C$9*AN22:AO22))</f>
        <v>2.7048514671983117</v>
      </c>
      <c r="AO66" s="181"/>
      <c r="AP66" s="181">
        <f t="array" ref="AP66">SQRT((AP9:AQ9*$B$22:$C$22)/($B$9:$C$9*$B$22:$C$22)*(AP9:AQ9*AP22:AQ22)/($B$9:$C$9*AP22:AQ22))</f>
        <v>3.0001372146724385</v>
      </c>
      <c r="AQ66" s="181"/>
      <c r="AR66" s="181">
        <f t="array" ref="AR66">SQRT((AR9:AS9*$B$22:$C$22)/($B$9:$C$9*$B$22:$C$22)*(AR9:AS9*AR22:AS22)/($B$9:$C$9*AR22:AS22))</f>
        <v>3.4076731181019992</v>
      </c>
      <c r="AS66" s="181"/>
      <c r="AT66" s="181">
        <f t="array" ref="AT66">SQRT((AT9:AU9*$B$22:$C$22)/($B$9:$C$9*$B$22:$C$22)*(AT9:AU9*AT22:AU22)/($B$9:$C$9*AT22:AU22))</f>
        <v>4.0281406956273544</v>
      </c>
      <c r="AU66" s="181"/>
      <c r="AV66" s="181">
        <f t="array" ref="AV66">SQRT((AV9:AW9*$B$22:$C$22)/($B$9:$C$9*$B$22:$C$22)*(AV9:AW9*AV22:AW22)/($B$9:$C$9*AV22:AW22))</f>
        <v>5.1827201144139536</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0.99724558777878491</v>
      </c>
      <c r="E68" s="181"/>
      <c r="F68" s="181">
        <f>F66/F67</f>
        <v>0.99479658973156659</v>
      </c>
      <c r="G68" s="181"/>
      <c r="H68" s="181">
        <f>H66/H67</f>
        <v>0.99274510028068652</v>
      </c>
      <c r="I68" s="181"/>
      <c r="J68" s="181">
        <f>J66/J67</f>
        <v>0.99121834133259157</v>
      </c>
      <c r="K68" s="181"/>
      <c r="L68" s="181">
        <f>L66/L67</f>
        <v>0.99039269569774968</v>
      </c>
      <c r="M68" s="181"/>
      <c r="N68" s="181">
        <f>N66/N67</f>
        <v>0.99051846861125314</v>
      </c>
      <c r="O68" s="181"/>
      <c r="P68" s="181">
        <f>P66/P67</f>
        <v>0.99195469164588634</v>
      </c>
      <c r="Q68" s="181"/>
      <c r="R68" s="181">
        <f>R66/R67</f>
        <v>0.99522507077543954</v>
      </c>
      <c r="S68" s="181"/>
      <c r="T68" s="181">
        <f>T66/T67</f>
        <v>1.0011044618951108</v>
      </c>
      <c r="U68" s="181"/>
      <c r="V68" s="181">
        <f>V66/V67</f>
        <v>1.0107537137070675</v>
      </c>
      <c r="W68" s="181"/>
      <c r="X68" s="181">
        <f>X66/X67</f>
        <v>1.0259278144959079</v>
      </c>
      <c r="Y68" s="181"/>
      <c r="Z68" s="181">
        <f>Z66/Z67</f>
        <v>1.0492909939682147</v>
      </c>
      <c r="AA68" s="181"/>
      <c r="AB68" s="181">
        <f>AB66/AB67</f>
        <v>1.0848816933658827</v>
      </c>
      <c r="AC68" s="181"/>
      <c r="AD68" s="181">
        <f>AD66/AD67</f>
        <v>1.138818442988851</v>
      </c>
      <c r="AE68" s="181"/>
      <c r="AF68" s="181">
        <f>AF66/AF67</f>
        <v>1.2206158371401346</v>
      </c>
      <c r="AG68" s="181"/>
      <c r="AH68" s="181">
        <f>AH66/AH67</f>
        <v>1.3466331780245806</v>
      </c>
      <c r="AI68" s="181"/>
      <c r="AJ68" s="181">
        <f>AJ66/AJ67</f>
        <v>1.5504453900989685</v>
      </c>
      <c r="AK68" s="181"/>
      <c r="AL68" s="181">
        <f>AL66/AL67</f>
        <v>1.913411372434688</v>
      </c>
      <c r="AM68" s="181"/>
      <c r="AN68" s="181">
        <f>AN66/AN67</f>
        <v>2.7048514671983117</v>
      </c>
      <c r="AO68" s="181"/>
      <c r="AP68" s="181">
        <f>AP66/AP67</f>
        <v>3.0001372146724385</v>
      </c>
      <c r="AQ68" s="181"/>
      <c r="AR68" s="181">
        <f>AR66/AR67</f>
        <v>3.4076731181019992</v>
      </c>
      <c r="AS68" s="181"/>
      <c r="AT68" s="181">
        <f>AT66/AT67</f>
        <v>4.0281406956273544</v>
      </c>
      <c r="AU68" s="181"/>
      <c r="AV68" s="181">
        <f>AV66/AV67</f>
        <v>5.1827201144139536</v>
      </c>
      <c r="XFD68" s="181"/>
    </row>
    <row r="69" spans="1:48 16384:16384" x14ac:dyDescent="0.2">
      <c r="A69" t="s">
        <v>161</v>
      </c>
      <c r="B69" s="181">
        <f>B32/B65/($B$32)</f>
        <v>1</v>
      </c>
      <c r="C69" s="181"/>
      <c r="D69" s="181">
        <f>D32/D65/($B$32)</f>
        <v>0.99480208983060725</v>
      </c>
      <c r="E69" s="181"/>
      <c r="F69" s="181">
        <f>F32/F65/($B$32)</f>
        <v>0.98858602102335558</v>
      </c>
      <c r="G69" s="181"/>
      <c r="H69" s="181">
        <f>H32/H65/($B$32)</f>
        <v>0.98113463333738893</v>
      </c>
      <c r="I69" s="181"/>
      <c r="J69" s="181">
        <f>J32/J65/($B$32)</f>
        <v>0.97216996204488015</v>
      </c>
      <c r="K69" s="181"/>
      <c r="L69" s="181">
        <f>L32/L65/($B$32)</f>
        <v>0.9613373302221242</v>
      </c>
      <c r="M69" s="181"/>
      <c r="N69" s="181">
        <f>N32/N65/($B$32)</f>
        <v>0.94817902908281038</v>
      </c>
      <c r="O69" s="181"/>
      <c r="P69" s="181">
        <f>P32/P65/($B$32)</f>
        <v>0.93210747119228088</v>
      </c>
      <c r="Q69" s="181"/>
      <c r="R69" s="181">
        <f>R32/R65/($B$32)</f>
        <v>0.91237335146609222</v>
      </c>
      <c r="S69" s="181"/>
      <c r="T69" s="181">
        <f>T32/T65/($B$32)</f>
        <v>0.88804110305286132</v>
      </c>
      <c r="U69" s="181"/>
      <c r="V69" s="181">
        <f>V32/V65/($B$32)</f>
        <v>0.85799182067505675</v>
      </c>
      <c r="W69" s="181"/>
      <c r="X69" s="181">
        <f>X32/X65/($B$32)</f>
        <v>0.8209952031005292</v>
      </c>
      <c r="Y69" s="181"/>
      <c r="Z69" s="181">
        <f>Z32/Z65/($B$32)</f>
        <v>0.77591406201654767</v>
      </c>
      <c r="AA69" s="181"/>
      <c r="AB69" s="181">
        <f>AB32/AB65/($B$32)</f>
        <v>0.72209342282513589</v>
      </c>
      <c r="AC69" s="181"/>
      <c r="AD69" s="181">
        <f>AD32/AD65/($B$32)</f>
        <v>0.65984880228689391</v>
      </c>
      <c r="AE69" s="181"/>
      <c r="AF69" s="181">
        <f>AF32/AF65/($B$32)</f>
        <v>0.59062990035184726</v>
      </c>
      <c r="AG69" s="181"/>
      <c r="AH69" s="181">
        <f>AH32/AH65/($B$32)</f>
        <v>0.51608798989161697</v>
      </c>
      <c r="AI69" s="181"/>
      <c r="AJ69" s="181">
        <f>AJ32/AJ65/($B$32)</f>
        <v>0.43535091061069425</v>
      </c>
      <c r="AK69" s="181"/>
      <c r="AL69" s="181">
        <f>AL32/AL65/($B$32)</f>
        <v>0.33852620628171987</v>
      </c>
      <c r="AM69" s="181"/>
      <c r="AN69" s="181">
        <f>AN32/AN65/($B$32)</f>
        <v>0.16576871469383134</v>
      </c>
      <c r="AO69" s="181"/>
      <c r="AP69" s="181">
        <f>AP32/AP65/($B$32)</f>
        <v>7.3386336695538248E-2</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0.99381415746899393</v>
      </c>
      <c r="E70" s="129"/>
      <c r="F70" s="129">
        <f>F18/$B$18</f>
        <v>0.98663291331000635</v>
      </c>
      <c r="G70" s="129"/>
      <c r="H70" s="129">
        <f>H18/$B$18</f>
        <v>0.97824207075952352</v>
      </c>
      <c r="I70" s="129"/>
      <c r="J70" s="129">
        <f>J18/$B$18</f>
        <v>0.96836717971543351</v>
      </c>
      <c r="K70" s="129"/>
      <c r="L70" s="129">
        <f>L18/$B$18</f>
        <v>0.95665752474157739</v>
      </c>
      <c r="M70" s="129"/>
      <c r="N70" s="129">
        <f>N18/$B$18</f>
        <v>0.94266001313941961</v>
      </c>
      <c r="O70" s="129"/>
      <c r="P70" s="129">
        <f>P18/$B$18</f>
        <v>0.92579228055277452</v>
      </c>
      <c r="Q70" s="129"/>
      <c r="R70" s="129">
        <f>R18/$B$18</f>
        <v>0.90531110979866902</v>
      </c>
      <c r="S70" s="129"/>
      <c r="T70" s="129">
        <f>T18/$B$18</f>
        <v>0.88028842204844071</v>
      </c>
      <c r="U70" s="129"/>
      <c r="V70" s="129">
        <f>V18/$B$18</f>
        <v>0.84961547255914216</v>
      </c>
      <c r="W70" s="129"/>
      <c r="X70" s="129">
        <f>X18/$B$18</f>
        <v>0.81207754438680257</v>
      </c>
      <c r="Y70" s="129"/>
      <c r="Z70" s="129">
        <f>Z18/$B$18</f>
        <v>0.76656382766178222</v>
      </c>
      <c r="AA70" s="129"/>
      <c r="AB70" s="129">
        <f>AB18/$B$18</f>
        <v>0.71246562928627144</v>
      </c>
      <c r="AC70" s="129"/>
      <c r="AD70" s="129">
        <f>AD18/$B$18</f>
        <v>0.65018097764692295</v>
      </c>
      <c r="AE70" s="129"/>
      <c r="AF70" s="129">
        <f>AF18/$B$18</f>
        <v>0.58132062150026431</v>
      </c>
      <c r="AG70" s="129"/>
      <c r="AH70" s="129">
        <f>AH18/$B$18</f>
        <v>0.50794859817108107</v>
      </c>
      <c r="AI70" s="129"/>
      <c r="AJ70" s="129">
        <f>AJ18/$B$18</f>
        <v>0.430683163519885</v>
      </c>
      <c r="AK70" s="129"/>
      <c r="AL70" s="129">
        <f>AL18/$B$18</f>
        <v>0.34636047888373134</v>
      </c>
      <c r="AM70" s="129"/>
      <c r="AN70" s="129">
        <f>AN18/$B$18</f>
        <v>0.2421720032059656</v>
      </c>
      <c r="AO70" s="129"/>
      <c r="AP70" s="129">
        <f>AP18/$B$18</f>
        <v>0.21547533208070854</v>
      </c>
      <c r="AQ70" s="129"/>
      <c r="AR70" s="129">
        <f>AR18/$B$18</f>
        <v>0.18474313014632671</v>
      </c>
      <c r="AS70" s="129"/>
      <c r="AT70" s="129">
        <f>AT18/$B$18</f>
        <v>0.14760890437170721</v>
      </c>
      <c r="AU70" s="129"/>
      <c r="AV70" s="129">
        <f>AV18/$B$18</f>
        <v>9.8451203023220413E-2</v>
      </c>
    </row>
    <row r="71" spans="1:48 16384:16384" x14ac:dyDescent="0.2">
      <c r="A71" t="s">
        <v>163</v>
      </c>
      <c r="B71" s="129">
        <f>C18/$C$18</f>
        <v>1</v>
      </c>
      <c r="D71" s="129">
        <f>E18/$C$18</f>
        <v>0.93444064275196614</v>
      </c>
      <c r="E71" s="129"/>
      <c r="F71" s="129">
        <f>G18/$C$18</f>
        <v>0.86882787650815307</v>
      </c>
      <c r="G71" s="129"/>
      <c r="H71" s="129">
        <f>I18/$C$18</f>
        <v>0.80321693984180398</v>
      </c>
      <c r="I71" s="129"/>
      <c r="J71" s="129">
        <f>K18/$C$18</f>
        <v>0.73768468582176505</v>
      </c>
      <c r="K71" s="129"/>
      <c r="L71" s="129">
        <f>M18/$C$18</f>
        <v>0.67233301214451369</v>
      </c>
      <c r="M71" s="129"/>
      <c r="N71" s="129">
        <f>O18/$C$18</f>
        <v>0.60730122277831233</v>
      </c>
      <c r="O71" s="129"/>
      <c r="P71" s="129">
        <f>Q18/$C$18</f>
        <v>0.54277348240954948</v>
      </c>
      <c r="Q71" s="129"/>
      <c r="R71" s="129">
        <f>S18/$C$18</f>
        <v>0.4789900755660329</v>
      </c>
      <c r="S71" s="129"/>
      <c r="T71" s="129">
        <f>U18/$C$18</f>
        <v>0.4162553188461483</v>
      </c>
      <c r="U71" s="129"/>
      <c r="V71" s="129">
        <f>W18/$C$18</f>
        <v>0.35493631336930825</v>
      </c>
      <c r="W71" s="129"/>
      <c r="X71" s="129">
        <f>Y18/$C$18</f>
        <v>0.2954465012744168</v>
      </c>
      <c r="Y71" s="129"/>
      <c r="Z71" s="129">
        <f>AA18/$C$18</f>
        <v>0.23821143588996715</v>
      </c>
      <c r="AA71" s="129"/>
      <c r="AB71" s="129">
        <f>AC18/$C$18</f>
        <v>0.18364235644259685</v>
      </c>
      <c r="AC71" s="129"/>
      <c r="AD71" s="129">
        <f>AE18/$C$18</f>
        <v>0.13223430912454195</v>
      </c>
      <c r="AE71" s="129"/>
      <c r="AF71" s="129">
        <f>AG18/$C$18</f>
        <v>8.5010873242626905E-2</v>
      </c>
      <c r="AG71" s="129"/>
      <c r="AH71" s="129">
        <f>AI18/$C$18</f>
        <v>4.449576916248868E-2</v>
      </c>
      <c r="AI71" s="129"/>
      <c r="AJ71" s="129">
        <f>AK18/$C$18</f>
        <v>1.5534471017912339E-2</v>
      </c>
      <c r="AK71" s="129"/>
      <c r="AL71" s="129">
        <f>AM18/$C$18</f>
        <v>2.3364798258238917E-3</v>
      </c>
      <c r="AM71" s="129"/>
      <c r="AN71" s="129">
        <f>AO18/$C$18</f>
        <v>5.1124241927152377E-5</v>
      </c>
      <c r="AO71" s="129"/>
      <c r="AP71" s="129">
        <f>AQ18/$C$18</f>
        <v>1.4219409515385604E-5</v>
      </c>
      <c r="AQ71" s="129"/>
      <c r="AR71" s="129">
        <f>AS18/$C$18</f>
        <v>2.7229847460391994E-6</v>
      </c>
      <c r="AS71" s="129"/>
      <c r="AT71" s="129">
        <f>AU18/$C$18</f>
        <v>2.6929119285289752E-7</v>
      </c>
      <c r="AU71" s="129"/>
      <c r="AV71" s="129">
        <f>AW18/$C$18</f>
        <v>5.6584743281038095E-9</v>
      </c>
      <c r="XFD71" s="129"/>
    </row>
    <row r="72" spans="1:48 16384:16384" x14ac:dyDescent="0.2">
      <c r="A72" t="s">
        <v>164</v>
      </c>
      <c r="B72" s="129">
        <f>C19/$C$19</f>
        <v>1</v>
      </c>
      <c r="D72" s="129">
        <f>E19/$C$19</f>
        <v>1.012639377438628</v>
      </c>
      <c r="E72" s="129"/>
      <c r="F72" s="129">
        <f>G19/$C$19</f>
        <v>1.0274654816882229</v>
      </c>
      <c r="G72" s="129"/>
      <c r="H72" s="129">
        <f>I19/$C$19</f>
        <v>1.0445619498269958</v>
      </c>
      <c r="I72" s="129"/>
      <c r="J72" s="129">
        <f>K19/$C$19</f>
        <v>1.063963736086722</v>
      </c>
      <c r="K72" s="129"/>
      <c r="L72" s="129">
        <f>M19/$C$19</f>
        <v>1.0856251722099752</v>
      </c>
      <c r="M72" s="129"/>
      <c r="N72" s="129">
        <f>O19/$C$19</f>
        <v>1.1093742248389913</v>
      </c>
      <c r="O72" s="129"/>
      <c r="P72" s="129">
        <f>Q19/$C$19</f>
        <v>1.1348520668603646</v>
      </c>
      <c r="Q72" s="129"/>
      <c r="R72" s="129">
        <f>S19/$C$19</f>
        <v>1.1614385373379541</v>
      </c>
      <c r="S72" s="129"/>
      <c r="T72" s="129">
        <f>U19/$C$19</f>
        <v>1.1881814835559941</v>
      </c>
      <c r="U72" s="129"/>
      <c r="V72" s="129">
        <f>W19/$C$19</f>
        <v>1.2137594838548866</v>
      </c>
      <c r="W72" s="129"/>
      <c r="X72" s="129">
        <f>Y19/$C$19</f>
        <v>1.2365509960087548</v>
      </c>
      <c r="Y72" s="129"/>
      <c r="Z72" s="129">
        <f>AA19/$C$19</f>
        <v>1.2548800501663877</v>
      </c>
      <c r="AA72" s="129"/>
      <c r="AB72" s="129">
        <f>AC19/$C$19</f>
        <v>1.2673625392463916</v>
      </c>
      <c r="AC72" s="129"/>
      <c r="AD72" s="129">
        <f>AE19/$C$19</f>
        <v>1.2726908403354877</v>
      </c>
      <c r="AE72" s="129"/>
      <c r="AF72" s="129">
        <f>AG19/$C$19</f>
        <v>1.2668413618082282</v>
      </c>
      <c r="AG72" s="129"/>
      <c r="AH72" s="129">
        <f>AI19/$C$19</f>
        <v>1.2339798107431617</v>
      </c>
      <c r="AI72" s="129"/>
      <c r="AJ72" s="129">
        <f>AK19/$C$19</f>
        <v>1.1288808069990379</v>
      </c>
      <c r="AK72" s="129"/>
      <c r="AL72" s="129">
        <f>AM19/$C$19</f>
        <v>0.87609385492459602</v>
      </c>
      <c r="AM72" s="129"/>
      <c r="AN72" s="129">
        <f>AO19/$C$19</f>
        <v>0.46602958527117838</v>
      </c>
      <c r="AO72" s="129"/>
      <c r="AP72" s="129">
        <f>AQ19/$C$19</f>
        <v>0.37413201678186869</v>
      </c>
      <c r="AQ72" s="129"/>
      <c r="AR72" s="129">
        <f>AS19/$C$19</f>
        <v>0.28111970907738132</v>
      </c>
      <c r="AS72" s="129"/>
      <c r="AT72" s="129">
        <f>AU19/$C$19</f>
        <v>0.18756127475449949</v>
      </c>
      <c r="AU72" s="129"/>
      <c r="AV72" s="129">
        <f>AW19/$C$19</f>
        <v>9.3801747634902399E-2</v>
      </c>
      <c r="XFD72" s="129"/>
    </row>
    <row r="73" spans="1:48 16384:16384" x14ac:dyDescent="0.2">
      <c r="A73" t="s">
        <v>168</v>
      </c>
      <c r="B73" s="183">
        <f t="array" ref="B73">SUM(B9:C9*B22:C22)/B32</f>
        <v>0.47641153352875104</v>
      </c>
      <c r="D73" s="183">
        <f t="array" ref="D73">SUM(D9:E9*D22:E22)/D32</f>
        <v>0.4746376058390876</v>
      </c>
      <c r="E73" s="129"/>
      <c r="F73" s="183">
        <f t="array" ref="F73">SUM(F9:G9*F22:G22)/F32</f>
        <v>0.47284497478024934</v>
      </c>
      <c r="G73" s="129"/>
      <c r="H73" s="183">
        <f t="array" ref="H73">SUM(H9:I9*H22:I22)/H32</f>
        <v>0.47103365789709722</v>
      </c>
      <c r="I73" s="129"/>
      <c r="J73" s="183">
        <f t="array" ref="J73">SUM(J9:K9*J22:K22)/J32</f>
        <v>0.46920448502456358</v>
      </c>
      <c r="K73" s="129"/>
      <c r="L73" s="183">
        <f t="array" ref="L73">SUM(L9:M9*L22:M22)/L32</f>
        <v>0.46735930275155613</v>
      </c>
      <c r="M73" s="129"/>
      <c r="N73" s="183">
        <f t="array" ref="N73">SUM(N9:O9*N22:O22)/N32</f>
        <v>0.46550161974188287</v>
      </c>
      <c r="O73" s="129"/>
      <c r="P73" s="183">
        <f t="array" ref="P73">SUM(P9:Q9*P22:Q22)/P32</f>
        <v>0.46363710058278107</v>
      </c>
      <c r="Q73" s="129"/>
      <c r="R73" s="183">
        <f t="array" ref="R73">SUM(R9:S9*R22:S22)/R32</f>
        <v>0.46177426666446292</v>
      </c>
      <c r="S73" s="129"/>
      <c r="T73" s="183">
        <f t="array" ref="T73">SUM(T9:U9*T22:U22)/T32</f>
        <v>0.45992492939332252</v>
      </c>
      <c r="U73" s="129"/>
      <c r="V73" s="183">
        <f t="array" ref="V73">SUM(V9:W9*V22:W22)/V32</f>
        <v>0.45810344348098303</v>
      </c>
      <c r="W73" s="129"/>
      <c r="X73" s="183">
        <f t="array" ref="X73">SUM(X9:Y9*X22:Y22)/X32</f>
        <v>0.45632263903322368</v>
      </c>
      <c r="Y73" s="129"/>
      <c r="Z73" s="183">
        <f t="array" ref="Z73">SUM(Z9:AA9*Z22:AA22)/Z32</f>
        <v>0.45458159653201896</v>
      </c>
      <c r="AA73" s="129"/>
      <c r="AB73" s="183">
        <f t="array" ref="AB73">SUM(AB9:AC9*AB22:AC22)/AB32</f>
        <v>0.45283562460173027</v>
      </c>
      <c r="AC73" s="129"/>
      <c r="AD73" s="183">
        <f t="array" ref="AD73">SUM(AD9:AE9*AD22:AE22)/AD32</f>
        <v>0.45093365326330298</v>
      </c>
      <c r="AE73" s="129"/>
      <c r="AF73" s="183">
        <f t="array" ref="AF73">SUM(AF9:AG9*AF22:AG22)/AF32</f>
        <v>0.44850514653586254</v>
      </c>
      <c r="AG73" s="129"/>
      <c r="AH73" s="183">
        <f t="array" ref="AH73">SUM(AH9:AI9*AH22:AI22)/AH32</f>
        <v>0.44476672873615725</v>
      </c>
      <c r="AI73" s="129"/>
      <c r="AJ73" s="183">
        <f t="array" ref="AJ73">SUM(AJ9:AK9*AJ22:AK22)/AJ32</f>
        <v>0.4381625853987226</v>
      </c>
      <c r="AK73" s="129"/>
      <c r="AL73" s="183">
        <f t="array" ref="AL73">SUM(AL9:AM9*AL22:AM22)/AL32</f>
        <v>0.42576238401572097</v>
      </c>
      <c r="AM73" s="129"/>
      <c r="AN73" s="183">
        <f t="array" ref="AN73">SUM(AN9:AO9*AN22:AO22)/AN32</f>
        <v>0.40114806845870665</v>
      </c>
      <c r="AO73" s="129"/>
      <c r="AP73" s="183">
        <f t="array" ref="AP73">SUM(AP9:AQ9*AP22:AQ22)/AP32</f>
        <v>0.39295597452428921</v>
      </c>
      <c r="AQ73" s="129"/>
      <c r="AR73" s="183">
        <f t="array" ref="AR73">SUM(AR9:AS9*AR22:AS22)/AR32</f>
        <v>0.38228614624883533</v>
      </c>
      <c r="AS73" s="129"/>
      <c r="AT73" s="183">
        <f t="array" ref="AT73">SUM(AT9:AU9*AT22:AU22)/AT32</f>
        <v>0.36708439446735958</v>
      </c>
      <c r="AU73" s="129"/>
      <c r="AV73" s="183">
        <f t="array" ref="AV73">SUM(AV9:AW9*AV22:AW22)/AV32</f>
        <v>0.34092773708780416</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0.22604620456442487</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0.22604620456442481</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0.22148040528685251</v>
      </c>
      <c r="E75" s="129"/>
      <c r="F75" s="183">
        <f t="array" ref="F75">SUM(F11:G11*F24:G24)/F32</f>
        <v>0.22282249267039836</v>
      </c>
      <c r="G75" s="129"/>
      <c r="H75" s="183">
        <f t="array" ref="H75">SUM(H11:I11*H24:I24)/H32</f>
        <v>0.22447146358302686</v>
      </c>
      <c r="I75" s="129"/>
      <c r="J75" s="183">
        <f t="array" ref="J75">SUM(J11:K11*J24:K24)/J32</f>
        <v>0.22650852307728425</v>
      </c>
      <c r="K75" s="129"/>
      <c r="L75" s="183">
        <f t="array" ref="L75">SUM(L11:M11*L24:M24)/L32</f>
        <v>0.22904285766735896</v>
      </c>
      <c r="M75" s="129"/>
      <c r="N75" s="183">
        <f t="array" ref="N75">SUM(N11:O11*N24:O24)/N32</f>
        <v>0.23222435520012608</v>
      </c>
      <c r="O75" s="129"/>
      <c r="P75" s="183">
        <f t="array" ref="P75">SUM(P11:Q11*P24:Q24)/P32</f>
        <v>0.2362610139701071</v>
      </c>
      <c r="Q75" s="129"/>
      <c r="R75" s="183">
        <f t="array" ref="R75">SUM(R11:S11*R24:S24)/R32</f>
        <v>0.24144550586959446</v>
      </c>
      <c r="S75" s="129"/>
      <c r="T75" s="183">
        <f t="array" ref="T75">SUM(T11:U11*T24:U24)/T32</f>
        <v>0.24819356383816973</v>
      </c>
      <c r="U75" s="129"/>
      <c r="V75" s="183">
        <f t="array" ref="V75">SUM(V11:W11*V24:W24)/V32</f>
        <v>0.25709799954420803</v>
      </c>
      <c r="W75" s="129"/>
      <c r="X75" s="183">
        <f t="array" ref="X75">SUM(X11:Y11*X24:Y24)/X32</f>
        <v>0.26899921603757948</v>
      </c>
      <c r="Y75" s="129"/>
      <c r="Z75" s="183">
        <f t="array" ref="Z75">SUM(Z11:AA11*Z24:AA24)/Z32</f>
        <v>0.28506331120891404</v>
      </c>
      <c r="AA75" s="129"/>
      <c r="AB75" s="183">
        <f t="array" ref="AB75">SUM(AB11:AC11*AB24:AC24)/AB32</f>
        <v>0.30683713069862495</v>
      </c>
      <c r="AC75" s="129"/>
      <c r="AD75" s="183">
        <f t="array" ref="AD75">SUM(AD11:AE11*AD24:AE24)/AD32</f>
        <v>0.3362293749331659</v>
      </c>
      <c r="AE75" s="129"/>
      <c r="AF75" s="183">
        <f t="array" ref="AF75">SUM(AF11:AG11*AF24:AG24)/AF32</f>
        <v>0.37542467924538919</v>
      </c>
      <c r="AG75" s="129"/>
      <c r="AH75" s="183">
        <f t="array" ref="AH75">SUM(AH11:AI11*AH24:AI24)/AH32</f>
        <v>0.42704396892200736</v>
      </c>
      <c r="AI75" s="129"/>
      <c r="AJ75" s="183">
        <f t="array" ref="AJ75">SUM(AJ11:AK11*AJ24:AK24)/AJ32</f>
        <v>0.49550643660815069</v>
      </c>
      <c r="AK75" s="129"/>
      <c r="AL75" s="183">
        <f t="array" ref="AL75">SUM(AL11:AM11*AL24:AM24)/AL32</f>
        <v>0.59252232216415113</v>
      </c>
      <c r="AM75" s="129"/>
      <c r="AN75" s="183">
        <f t="array" ref="AN75">SUM(AN11:AO11*AN24:AO24)/AN32</f>
        <v>0.76924721628290316</v>
      </c>
      <c r="AO75" s="129"/>
      <c r="AP75" s="183">
        <f t="array" ref="AP75">SUM(AP11:AQ11*AP24:AQ24)/AP32</f>
        <v>0.83282144009237813</v>
      </c>
      <c r="AQ75" s="129"/>
      <c r="AR75" s="183">
        <f t="array" ref="AR75">SUM(AR11:AS11*AR24:AS24)/AR32</f>
        <v>0.92158217904176554</v>
      </c>
      <c r="AS75" s="129"/>
      <c r="AT75" s="183">
        <f t="array" ref="AT75">SUM(AT11:AU11*AT24:AU24)/AT32</f>
        <v>1.0618523647689329</v>
      </c>
      <c r="AU75" s="129"/>
      <c r="AV75" s="183">
        <f t="array" ref="AV75">SUM(AV11:AW11*AV24:AW24)/AV32</f>
        <v>1.3502173037413867</v>
      </c>
      <c r="XFD75" s="183"/>
    </row>
    <row r="76" spans="1:48 16384:16384" x14ac:dyDescent="0.2">
      <c r="A76" t="s">
        <v>171</v>
      </c>
      <c r="B76" s="183">
        <f t="array" ref="B76">SUM(B12:C12*B25:C25)/B32</f>
        <v>0.22301874374724831</v>
      </c>
      <c r="D76" s="183">
        <f t="array" ref="D76">SUM(D12:E12*D25:E25)/D32</f>
        <v>0.22345337259151796</v>
      </c>
      <c r="E76" s="129"/>
      <c r="F76" s="183">
        <f t="array" ref="F76">SUM(F12:G12*F25:G25)/F32</f>
        <v>0.22377492953742414</v>
      </c>
      <c r="G76" s="129"/>
      <c r="H76" s="183">
        <f t="array" ref="H76">SUM(H12:I12*H25:I25)/H32</f>
        <v>0.22394505412134771</v>
      </c>
      <c r="I76" s="129"/>
      <c r="J76" s="183">
        <f t="array" ref="J76">SUM(J12:K12*J25:K25)/J32</f>
        <v>0.22391079409529172</v>
      </c>
      <c r="K76" s="129"/>
      <c r="L76" s="183">
        <f t="array" ref="L76">SUM(L12:M12*L25:M25)/L32</f>
        <v>0.22359901613371932</v>
      </c>
      <c r="M76" s="129"/>
      <c r="N76" s="183">
        <f t="array" ref="N76">SUM(N12:O12*N25:O25)/N32</f>
        <v>0.2229070174857356</v>
      </c>
      <c r="O76" s="129"/>
      <c r="P76" s="183">
        <f t="array" ref="P76">SUM(P12:Q12*P25:Q25)/P32</f>
        <v>0.22169002640040186</v>
      </c>
      <c r="Q76" s="129"/>
      <c r="R76" s="183">
        <f t="array" ref="R76">SUM(R12:S12*R25:S25)/R32</f>
        <v>0.21974268009046624</v>
      </c>
      <c r="S76" s="129"/>
      <c r="T76" s="183">
        <f t="array" ref="T76">SUM(T12:U12*T25:U25)/T32</f>
        <v>0.21677381361573217</v>
      </c>
      <c r="U76" s="129"/>
      <c r="V76" s="183">
        <f t="array" ref="V76">SUM(V12:W12*V25:W25)/V32</f>
        <v>0.21237445994935408</v>
      </c>
      <c r="W76" s="129"/>
      <c r="X76" s="183">
        <f t="array" ref="X76">SUM(X12:Y12*X25:Y25)/X32</f>
        <v>0.20598424511789798</v>
      </c>
      <c r="Y76" s="129"/>
      <c r="Z76" s="183">
        <f t="array" ref="Z76">SUM(Z12:AA12*Z25:AA25)/Z32</f>
        <v>0.19687362125147354</v>
      </c>
      <c r="AA76" s="129"/>
      <c r="AB76" s="183">
        <f t="array" ref="AB76">SUM(AB12:AC12*AB25:AC25)/AB32</f>
        <v>0.18418194207572966</v>
      </c>
      <c r="AC76" s="129"/>
      <c r="AD76" s="183">
        <f t="array" ref="AD76">SUM(AD12:AE12*AD25:AE25)/AD32</f>
        <v>0.16706914242782145</v>
      </c>
      <c r="AE76" s="129"/>
      <c r="AF76" s="183">
        <f t="array" ref="AF76">SUM(AF12:AG12*AF25:AG25)/AF32</f>
        <v>0.14499509438881014</v>
      </c>
      <c r="AG76" s="129"/>
      <c r="AH76" s="183">
        <f t="array" ref="AH76">SUM(AH12:AI12*AH25:AI25)/AH32</f>
        <v>0.11798930700014419</v>
      </c>
      <c r="AI76" s="129"/>
      <c r="AJ76" s="183">
        <f t="array" ref="AJ76">SUM(AJ12:AK12*AJ25:AK25)/AJ32</f>
        <v>8.6815988820445042E-2</v>
      </c>
      <c r="AK76" s="129"/>
      <c r="AL76" s="183">
        <f t="array" ref="AL76">SUM(AL12:AM12*AL25:AM25)/AL32</f>
        <v>5.3674681673489849E-2</v>
      </c>
      <c r="AM76" s="129"/>
      <c r="AN76" s="183">
        <f t="array" ref="AN76">SUM(AN12:AO12*AN25:AO25)/AN32</f>
        <v>2.2975813331504388E-2</v>
      </c>
      <c r="AO76" s="129"/>
      <c r="AP76" s="183">
        <f t="array" ref="AP76">SUM(AP12:AQ12*AP25:AQ25)/AP32</f>
        <v>1.7547139569534253E-2</v>
      </c>
      <c r="AQ76" s="129"/>
      <c r="AR76" s="183">
        <f t="array" ref="AR76">SUM(AR12:AS12*AR25:AS25)/AR32</f>
        <v>1.2444947964722026E-2</v>
      </c>
      <c r="AS76" s="129"/>
      <c r="AT76" s="183">
        <f t="array" ref="AT76">SUM(AT12:AU12*AT25:AU25)/AT32</f>
        <v>7.7309255109603596E-3</v>
      </c>
      <c r="AU76" s="129"/>
      <c r="AV76" s="183">
        <f t="array" ref="AV76">SUM(AV12:AW12*AV25:AW25)/AV32</f>
        <v>3.5085095755414382E-3</v>
      </c>
      <c r="XFD76" s="183"/>
    </row>
    <row r="77" spans="1:48 16384:16384" x14ac:dyDescent="0.2">
      <c r="A77" t="s">
        <v>172</v>
      </c>
      <c r="B77" s="183">
        <f t="array" ref="B77">SUM(B4:C4*B19:C19)/B32</f>
        <v>0.14586087017236474</v>
      </c>
      <c r="D77" s="183">
        <f t="array" ref="D77">SUM(D4:E4*D19:E19)/D32</f>
        <v>0.14561758828188279</v>
      </c>
      <c r="E77" s="129"/>
      <c r="F77" s="183">
        <f t="array" ref="F77">SUM(F4:G4*F19:G19)/F32</f>
        <v>0.14548860155249652</v>
      </c>
      <c r="G77" s="129"/>
      <c r="H77" s="183">
        <f t="array" ref="H77">SUM(H4:I4*H19:I19)/H32</f>
        <v>0.14549638016589653</v>
      </c>
      <c r="I77" s="129"/>
      <c r="J77" s="183">
        <f t="array" ref="J77">SUM(J4:K4*J19:K19)/J32</f>
        <v>0.14567000676156441</v>
      </c>
      <c r="K77" s="129"/>
      <c r="L77" s="183">
        <f t="array" ref="L77">SUM(L4:M4*L19:M19)/L32</f>
        <v>0.14604738111705914</v>
      </c>
      <c r="M77" s="129"/>
      <c r="N77" s="183">
        <f t="array" ref="N77">SUM(N4:O4*N19:O19)/N32</f>
        <v>0.14667919699216939</v>
      </c>
      <c r="O77" s="129"/>
      <c r="P77" s="183">
        <f t="array" ref="P77">SUM(P4:Q4*P19:Q19)/P32</f>
        <v>0.14763434551771493</v>
      </c>
      <c r="Q77" s="129"/>
      <c r="R77" s="183">
        <f t="array" ref="R77">SUM(R4:S4*R19:S19)/R32</f>
        <v>0.14900865718894843</v>
      </c>
      <c r="S77" s="129"/>
      <c r="T77" s="183">
        <f t="array" ref="T77">SUM(T4:U4*T19:U19)/T32</f>
        <v>0.15093851141164932</v>
      </c>
      <c r="U77" s="129"/>
      <c r="V77" s="183">
        <f t="array" ref="V77">SUM(V4:W4*V19:W19)/V32</f>
        <v>0.15362210753896982</v>
      </c>
      <c r="W77" s="129"/>
      <c r="X77" s="183">
        <f t="array" ref="X77">SUM(X4:Y4*X19:Y19)/X32</f>
        <v>0.15735230475312584</v>
      </c>
      <c r="Y77" s="129"/>
      <c r="Z77" s="183">
        <f t="array" ref="Z77">SUM(Z4:AA4*Z19:AA19)/Z32</f>
        <v>0.16256473355683113</v>
      </c>
      <c r="AA77" s="129"/>
      <c r="AB77" s="183">
        <f t="array" ref="AB77">SUM(AB4:AC4*AB19:AC19)/AB32</f>
        <v>0.16990090194050955</v>
      </c>
      <c r="AC77" s="129"/>
      <c r="AD77" s="183">
        <f t="array" ref="AD77">SUM(AD4:AE4*AD19:AE19)/AD32</f>
        <v>0.18027837518871503</v>
      </c>
      <c r="AE77" s="129"/>
      <c r="AF77" s="183">
        <f t="array" ref="AF77">SUM(AF4:AG4*AF19:AG19)/AF32</f>
        <v>0.19497112473448661</v>
      </c>
      <c r="AG77" s="129"/>
      <c r="AH77" s="183">
        <f t="array" ref="AH77">SUM(AH4:AI4*AH19:AI19)/AH32</f>
        <v>0.21584620922273354</v>
      </c>
      <c r="AI77" s="129"/>
      <c r="AJ77" s="183">
        <f t="array" ref="AJ77">SUM(AJ4:AK4*AJ19:AK19)/AJ32</f>
        <v>0.24653121539174294</v>
      </c>
      <c r="AK77" s="129"/>
      <c r="AL77" s="183">
        <f t="array" ref="AL77">SUM(AL4:AM4*AL19:AM19)/AL32</f>
        <v>0.29800559241778668</v>
      </c>
      <c r="AM77" s="129"/>
      <c r="AN77" s="183">
        <f t="array" ref="AN77">SUM(AN4:AO4*AN19:AO19)/AN32</f>
        <v>0.41941730263753907</v>
      </c>
      <c r="AO77" s="129"/>
      <c r="AP77" s="183">
        <f t="array" ref="AP77">SUM(AP4:AQ4*AP19:AQ19)/AP32</f>
        <v>0.46937075875062634</v>
      </c>
      <c r="AQ77" s="129"/>
      <c r="AR77" s="183">
        <f t="array" ref="AR77">SUM(AR4:AS4*AR19:AS19)/AR32</f>
        <v>0.5423594778197478</v>
      </c>
      <c r="AS77" s="129"/>
      <c r="AT77" s="183">
        <f t="array" ref="AT77">SUM(AT4:AU4*AT19:AU19)/AT32</f>
        <v>0.66271388931167752</v>
      </c>
      <c r="AU77" s="129"/>
      <c r="AV77" s="183">
        <f t="array" ref="AV77">SUM(AV4:AW4*AV19:AW19)/AV32</f>
        <v>0.92069975496915701</v>
      </c>
      <c r="XFD77" s="183"/>
    </row>
    <row r="78" spans="1:48 16384:16384" x14ac:dyDescent="0.2">
      <c r="A78" t="s">
        <v>173</v>
      </c>
      <c r="B78" s="183">
        <f t="array" ref="B78">SUM(B13:C13*B26:C26)/B32</f>
        <v>0.346887593115773</v>
      </c>
      <c r="D78" s="183">
        <f t="array" ref="D78">SUM(D13:E13*D26:E26)/D32</f>
        <v>0.34527550087787268</v>
      </c>
      <c r="E78" s="129"/>
      <c r="F78" s="183">
        <f t="array" ref="F78">SUM(F13:G13*F26:G26)/F32</f>
        <v>0.34360076527910377</v>
      </c>
      <c r="G78" s="129"/>
      <c r="H78" s="183">
        <f t="array" ref="H78">SUM(H13:I13*H26:I26)/H32</f>
        <v>0.34185737575633618</v>
      </c>
      <c r="I78" s="129"/>
      <c r="J78" s="183">
        <f t="array" ref="J78">SUM(J13:K13*J26:K26)/J32</f>
        <v>0.34003906809889795</v>
      </c>
      <c r="K78" s="129"/>
      <c r="L78" s="183">
        <f t="array" ref="L78">SUM(L13:M13*L26:M26)/L32</f>
        <v>0.33813944258102557</v>
      </c>
      <c r="M78" s="129"/>
      <c r="N78" s="183">
        <f t="array" ref="N78">SUM(N13:O13*N26:O26)/N32</f>
        <v>0.33615243212404172</v>
      </c>
      <c r="O78" s="129"/>
      <c r="P78" s="183">
        <f t="array" ref="P78">SUM(P13:Q13*P26:Q26)/P32</f>
        <v>0.33407286495146382</v>
      </c>
      <c r="Q78" s="129"/>
      <c r="R78" s="183">
        <f t="array" ref="R78">SUM(R13:S13*R26:S26)/R32</f>
        <v>0.33189751948687313</v>
      </c>
      <c r="S78" s="129"/>
      <c r="T78" s="183">
        <f t="array" ref="T78">SUM(T13:U13*T26:U26)/T32</f>
        <v>0.32962663731291569</v>
      </c>
      <c r="U78" s="129"/>
      <c r="V78" s="183">
        <f t="array" ref="V78">SUM(V13:W13*V26:W26)/V32</f>
        <v>0.32726592906271612</v>
      </c>
      <c r="W78" s="129"/>
      <c r="X78" s="183">
        <f t="array" ref="X78">SUM(X13:Y13*X26:Y26)/X32</f>
        <v>0.32482852098393922</v>
      </c>
      <c r="Y78" s="129"/>
      <c r="Z78" s="183">
        <f t="array" ref="Z78">SUM(Z13:AA13*Z26:AA26)/Z32</f>
        <v>0.32233503782680806</v>
      </c>
      <c r="AA78" s="129"/>
      <c r="AB78" s="183">
        <f t="array" ref="AB78">SUM(AB13:AC13*AB26:AC26)/AB32</f>
        <v>0.31980704607264698</v>
      </c>
      <c r="AC78" s="129"/>
      <c r="AD78" s="183">
        <f t="array" ref="AD78">SUM(AD13:AE13*AD26:AE26)/AD32</f>
        <v>0.31724473963908539</v>
      </c>
      <c r="AE78" s="129"/>
      <c r="AF78" s="183">
        <f t="array" ref="AF78">SUM(AF13:AG13*AF26:AG26)/AF32</f>
        <v>0.31457529489123942</v>
      </c>
      <c r="AG78" s="129"/>
      <c r="AH78" s="183">
        <f t="array" ref="AH78">SUM(AH13:AI13*AH26:AI26)/AH32</f>
        <v>0.31156004602742537</v>
      </c>
      <c r="AI78" s="129"/>
      <c r="AJ78" s="183">
        <f t="array" ref="AJ78">SUM(AJ13:AK13*AJ26:AK26)/AJ32</f>
        <v>0.30768217920546082</v>
      </c>
      <c r="AK78" s="129"/>
      <c r="AL78" s="183">
        <f t="array" ref="AL78">SUM(AL13:AM13*AL26:AM26)/AL32</f>
        <v>0.30229430755978154</v>
      </c>
      <c r="AM78" s="129"/>
      <c r="AN78" s="183">
        <f t="array" ref="AN78">SUM(AN13:AO13*AN26:AO26)/AN32</f>
        <v>0.29585235924190573</v>
      </c>
      <c r="AO78" s="129"/>
      <c r="AP78" s="183">
        <f t="array" ref="AP78">SUM(AP13:AQ13*AP26:AQ26)/AP32</f>
        <v>0.29473567803579603</v>
      </c>
      <c r="AQ78" s="129"/>
      <c r="AR78" s="183">
        <f t="array" ref="AR78">SUM(AR13:AS13*AR26:AS26)/AR32</f>
        <v>0.29389036867943291</v>
      </c>
      <c r="AS78" s="129"/>
      <c r="AT78" s="183">
        <f t="array" ref="AT78">SUM(AT13:AU13*AT26:AU26)/AT32</f>
        <v>0.29360479031108178</v>
      </c>
      <c r="AU78" s="129"/>
      <c r="AV78" s="183">
        <f t="array" ref="AV78">SUM(AV13:AW13*AV26:AW26)/AV32</f>
        <v>0.29453129567855868</v>
      </c>
      <c r="XFD78" s="183"/>
    </row>
    <row r="79" spans="1:48 16384:16384" x14ac:dyDescent="0.2">
      <c r="A79" t="s">
        <v>174</v>
      </c>
      <c r="B79" s="183">
        <f t="array" ref="B79">SUM(B15:C15*B27:C27)/B32</f>
        <v>0.45460968782440875</v>
      </c>
      <c r="D79" s="183">
        <f t="array" ref="D79">SUM(D15:E15*D27:E27)/D32</f>
        <v>0.45323739307992156</v>
      </c>
      <c r="F79" s="183">
        <f t="array" ref="F79">SUM(F15:G15*F27:G27)/F32</f>
        <v>0.45189627400457333</v>
      </c>
      <c r="H79" s="183">
        <f t="array" ref="H79">SUM(H15:I15*H27:I27)/H32</f>
        <v>0.45059236179440437</v>
      </c>
      <c r="J79" s="183">
        <f t="array" ref="J79">SUM(J15:K15*J27:K27)/J32</f>
        <v>0.44933334147760073</v>
      </c>
      <c r="L79" s="183">
        <f t="array" ref="L79">SUM(L15:M15*L27:M27)/L32</f>
        <v>0.44812869126419813</v>
      </c>
      <c r="N79" s="183">
        <f t="array" ref="N79">SUM(N15:O15*N27:O27)/N32</f>
        <v>0.44699040001001106</v>
      </c>
      <c r="P79" s="183">
        <f t="array" ref="P79">SUM(P15:Q15*P27:Q27)/P32</f>
        <v>0.4459331633207515</v>
      </c>
      <c r="R79" s="183">
        <f t="array" ref="R79">SUM(R15:S15*R27:S27)/R32</f>
        <v>0.44497455201202812</v>
      </c>
      <c r="T79" s="183">
        <f t="array" ref="T79">SUM(T15:U15*T27:U27)/T32</f>
        <v>0.44413418733325821</v>
      </c>
      <c r="V79" s="183">
        <f t="array" ref="V79">SUM(V15:W15*V27:W27)/V32</f>
        <v>0.44343049487529462</v>
      </c>
      <c r="X79" s="183">
        <f t="array" ref="X79">SUM(X15:Y15*X27:Y27)/X32</f>
        <v>0.44287193593428537</v>
      </c>
      <c r="Z79" s="183">
        <f t="array" ref="Z79">SUM(Z15:AA15*Z27:AA27)/Z32</f>
        <v>0.44243635544986137</v>
      </c>
      <c r="AB79" s="183">
        <f t="array" ref="AB79">SUM(AB15:AC15*AB27:AC27)/AB32</f>
        <v>0.44202695853040197</v>
      </c>
      <c r="AD79" s="183">
        <f t="array" ref="AD79">SUM(AD15:AE15*AD27:AE27)/AD32</f>
        <v>0.44138947415568452</v>
      </c>
      <c r="AF79" s="183">
        <f t="array" ref="AF79">SUM(AF15:AG15*AF27:AG27)/AF32</f>
        <v>0.43997330497847043</v>
      </c>
      <c r="AH79" s="183">
        <f t="array" ref="AH79">SUM(AH15:AI15*AH27:AI27)/AH32</f>
        <v>0.43669917599992053</v>
      </c>
      <c r="AJ79" s="183">
        <f t="array" ref="AJ79">SUM(AJ15:AK15*AJ27:AK27)/AJ32</f>
        <v>0.42946647380611169</v>
      </c>
      <c r="AL79" s="183">
        <f t="array" ref="AL79">SUM(AL15:AM15*AL27:AM27)/AL32</f>
        <v>0.41399270301227598</v>
      </c>
      <c r="AN79" s="183">
        <f t="array" ref="AN79">SUM(AN15:AO15*AN27:AO27)/AN32</f>
        <v>0.37902443003969805</v>
      </c>
      <c r="AP79" s="183">
        <f t="array" ref="AP79">SUM(AP15:AQ15*AP27:AQ27)/AP32</f>
        <v>0.36635903303685868</v>
      </c>
      <c r="AR79" s="183">
        <f t="array" ref="AR79">SUM(AR15:AS15*AR27:AS27)/AR32</f>
        <v>0.3492538148228897</v>
      </c>
      <c r="AT79" s="183">
        <f t="array" ref="AT79">SUM(AT15:AU15*AT27:AU27)/AT32</f>
        <v>0.32396452389456143</v>
      </c>
      <c r="AV79" s="183">
        <f t="array" ref="AV79">SUM(AV15:AW15*AV27:AW27)/AV32</f>
        <v>0.27903301803280123</v>
      </c>
      <c r="XFD79" s="183"/>
    </row>
    <row r="80" spans="1:48 16384:16384" x14ac:dyDescent="0.2">
      <c r="A80" t="s">
        <v>153</v>
      </c>
      <c r="B80" s="195">
        <f>B55</f>
        <v>0.19850271905982084</v>
      </c>
      <c r="D80" s="195">
        <f>D55</f>
        <v>0.2014871119328728</v>
      </c>
      <c r="F80" s="195">
        <f>F55</f>
        <v>0.20450297223638914</v>
      </c>
      <c r="H80" s="195">
        <f>H55</f>
        <v>0.20755025988461231</v>
      </c>
      <c r="J80" s="195">
        <f>J55</f>
        <v>0.2106276021898697</v>
      </c>
      <c r="L80" s="195">
        <f>L55</f>
        <v>0.21373186277938136</v>
      </c>
      <c r="N80" s="195">
        <f>N55</f>
        <v>0.21685716473651986</v>
      </c>
      <c r="P80" s="195">
        <f>P55</f>
        <v>0.21999397916058439</v>
      </c>
      <c r="R80" s="195">
        <f>R55</f>
        <v>0.22312792957141409</v>
      </c>
      <c r="T80" s="195">
        <f>T55</f>
        <v>0.22623917982618527</v>
      </c>
      <c r="V80" s="195">
        <f>V55</f>
        <v>0.22930358866230396</v>
      </c>
      <c r="X80" s="195">
        <f>X55</f>
        <v>0.23229954168266917</v>
      </c>
      <c r="Z80" s="195">
        <f>Z55</f>
        <v>0.23522861582728541</v>
      </c>
      <c r="AB80" s="195">
        <f>AB55</f>
        <v>0.23816601180953767</v>
      </c>
      <c r="AD80" s="195">
        <f>AD55</f>
        <v>0.24136579313380213</v>
      </c>
      <c r="AF80" s="195">
        <f>AF55</f>
        <v>0.24545139915627695</v>
      </c>
      <c r="AH80" s="195">
        <f>AH55</f>
        <v>0.25174077787120164</v>
      </c>
      <c r="AJ80" s="195">
        <f>AJ55</f>
        <v>0.2628513478720319</v>
      </c>
      <c r="AL80" s="195">
        <f>AL55</f>
        <v>0.28371298964711261</v>
      </c>
      <c r="AN80" s="195">
        <f>AN55</f>
        <v>0.3251232107813542</v>
      </c>
      <c r="AP80" s="195">
        <f>AP55</f>
        <v>0.33890528894488725</v>
      </c>
      <c r="AR80" s="195">
        <f>AR55</f>
        <v>0.35685581664394339</v>
      </c>
      <c r="AT80" s="195">
        <f>AT55</f>
        <v>0.38243068579295503</v>
      </c>
      <c r="AV80" s="195">
        <f>AV55</f>
        <v>0.42643568629088163</v>
      </c>
      <c r="XFD80" s="195"/>
    </row>
    <row r="81" spans="1:48 16384:16384" x14ac:dyDescent="0.2">
      <c r="A81" t="s">
        <v>175</v>
      </c>
      <c r="B81" s="195">
        <f>B51/B$32</f>
        <v>-2.7543485504603994E-2</v>
      </c>
      <c r="D81" s="195">
        <f>D51/D$32</f>
        <v>-2.4559092631552027E-2</v>
      </c>
      <c r="F81" s="195">
        <f>F51/F$32</f>
        <v>-2.1543232328035705E-2</v>
      </c>
      <c r="H81" s="195">
        <f>H51/H$32</f>
        <v>-1.8495944679812533E-2</v>
      </c>
      <c r="J81" s="195">
        <f>J51/J$32</f>
        <v>-1.5418602374555147E-2</v>
      </c>
      <c r="L81" s="195">
        <f>L51/L$32</f>
        <v>-1.231434178504349E-2</v>
      </c>
      <c r="N81" s="195">
        <f>N51/N$32</f>
        <v>-9.1890398279049768E-3</v>
      </c>
      <c r="P81" s="195">
        <f>P51/P$32</f>
        <v>-6.0522254038404616E-3</v>
      </c>
      <c r="R81" s="195">
        <f>R51/R$32</f>
        <v>-2.9182749930107719E-3</v>
      </c>
      <c r="T81" s="195">
        <f>T51/T$32</f>
        <v>1.9297526176043219E-4</v>
      </c>
      <c r="V81" s="195">
        <f>V51/V$32</f>
        <v>3.2573840978791248E-3</v>
      </c>
      <c r="X81" s="195">
        <f>X51/X$32</f>
        <v>6.2533371182443096E-3</v>
      </c>
      <c r="Z81" s="195">
        <f>Z51/Z$32</f>
        <v>9.1824112628605854E-3</v>
      </c>
      <c r="AB81" s="195">
        <f>AB51/AB$32</f>
        <v>1.2119807245112827E-2</v>
      </c>
      <c r="AD81" s="195">
        <f>AD51/AD$32</f>
        <v>1.5319588569377318E-2</v>
      </c>
      <c r="AF81" s="195">
        <f>AF51/AF$32</f>
        <v>1.9405194591852106E-2</v>
      </c>
      <c r="AH81" s="195">
        <f>AH51/AH$32</f>
        <v>2.5694573306776818E-2</v>
      </c>
      <c r="AJ81" s="195">
        <f>AJ51/AJ$32</f>
        <v>3.6805143307607036E-2</v>
      </c>
      <c r="AL81" s="195">
        <f>AL51/AL$32</f>
        <v>5.7666785082687806E-2</v>
      </c>
      <c r="AN81" s="195">
        <f>AN51/AN$32</f>
        <v>9.9077006216929359E-2</v>
      </c>
      <c r="AP81" s="195">
        <f>AP51/AP$32</f>
        <v>0.1128590843804624</v>
      </c>
      <c r="AR81" s="195">
        <f>AR51/AR$32</f>
        <v>0.13080961207951858</v>
      </c>
      <c r="AT81" s="195">
        <f>AT51/AT$32</f>
        <v>0.15638448122853016</v>
      </c>
      <c r="AV81" s="195">
        <f>AV51/AV$32</f>
        <v>0.20038948172645676</v>
      </c>
      <c r="XFD81" s="195"/>
    </row>
    <row r="82" spans="1:48 16384:16384" x14ac:dyDescent="0.2">
      <c r="A82" t="s">
        <v>176</v>
      </c>
      <c r="B82" s="195">
        <f>B52/B$32</f>
        <v>0.14069693704202227</v>
      </c>
      <c r="D82" s="195">
        <f>D52/D$32</f>
        <v>0.14004307554739656</v>
      </c>
      <c r="F82" s="195">
        <f>F52/F$32</f>
        <v>0.13936380602672685</v>
      </c>
      <c r="H82" s="195">
        <f>H52/H$32</f>
        <v>0.13865669060722929</v>
      </c>
      <c r="J82" s="195">
        <f>J52/J$32</f>
        <v>0.13791918853716756</v>
      </c>
      <c r="L82" s="195">
        <f>L52/L$32</f>
        <v>0.13714870410014618</v>
      </c>
      <c r="N82" s="195">
        <f>N52/N$32</f>
        <v>0.13634277650078463</v>
      </c>
      <c r="P82" s="195">
        <f>P52/P$32</f>
        <v>0.13549930807654154</v>
      </c>
      <c r="R82" s="195">
        <f>R52/R$32</f>
        <v>0.13461699216225048</v>
      </c>
      <c r="T82" s="195">
        <f>T52/T$32</f>
        <v>0.13369592674336564</v>
      </c>
      <c r="V82" s="195">
        <f>V52/V$32</f>
        <v>0.13273842804164046</v>
      </c>
      <c r="X82" s="195">
        <f>X52/X$32</f>
        <v>0.1317498200377476</v>
      </c>
      <c r="Z82" s="195">
        <f>Z52/Z$32</f>
        <v>0.13073846809049838</v>
      </c>
      <c r="AB82" s="195">
        <f>AB52/AB$32</f>
        <v>0.12971311952301809</v>
      </c>
      <c r="AD82" s="195">
        <f>AD52/AD$32</f>
        <v>0.12867385298792219</v>
      </c>
      <c r="AF82" s="195">
        <f>AF52/AF$32</f>
        <v>0.1275911313597102</v>
      </c>
      <c r="AH82" s="195">
        <f>AH52/AH$32</f>
        <v>0.12636815225069237</v>
      </c>
      <c r="AJ82" s="195">
        <f>AJ52/AJ$32</f>
        <v>0.12479529696576667</v>
      </c>
      <c r="AL82" s="195">
        <f>AL52/AL$32</f>
        <v>0.1226099866440175</v>
      </c>
      <c r="AN82" s="195">
        <f>AN52/AN$32</f>
        <v>0.11999714486213907</v>
      </c>
      <c r="AP82" s="195">
        <f>AP52/AP$32</f>
        <v>0.11954422112410387</v>
      </c>
      <c r="AR82" s="195">
        <f>AR52/AR$32</f>
        <v>0.11920136528361389</v>
      </c>
      <c r="AT82" s="195">
        <f>AT52/AT$32</f>
        <v>0.11908553524959173</v>
      </c>
      <c r="AV82" s="195">
        <f>AV52/AV$32</f>
        <v>0.11946132403519263</v>
      </c>
    </row>
    <row r="83" spans="1:48 16384:16384" x14ac:dyDescent="0.2">
      <c r="A83" t="s">
        <v>177</v>
      </c>
      <c r="B83" s="195">
        <f>B53/B$32</f>
        <v>0.18438881036940691</v>
      </c>
      <c r="D83" s="195">
        <f>D53/D$32</f>
        <v>0.18383221027444824</v>
      </c>
      <c r="F83" s="195">
        <f>F53/F$32</f>
        <v>0.18328825497061257</v>
      </c>
      <c r="H83" s="195">
        <f>H53/H$32</f>
        <v>0.1827593906993521</v>
      </c>
      <c r="J83" s="195">
        <f>J53/J$32</f>
        <v>0.18224873449323975</v>
      </c>
      <c r="L83" s="195">
        <f>L53/L$32</f>
        <v>0.18176013069593933</v>
      </c>
      <c r="N83" s="195">
        <f>N53/N$32</f>
        <v>0.18129844196418812</v>
      </c>
      <c r="P83" s="195">
        <f>P53/P$32</f>
        <v>0.18086962880724822</v>
      </c>
      <c r="R83" s="195">
        <f>R53/R$32</f>
        <v>0.18048081791395632</v>
      </c>
      <c r="T83" s="195">
        <f>T53/T$32</f>
        <v>0.18013996762513731</v>
      </c>
      <c r="V83" s="195">
        <f>V53/V$32</f>
        <v>0.17985455132481434</v>
      </c>
      <c r="X83" s="195">
        <f>X53/X$32</f>
        <v>0.17962800089834463</v>
      </c>
      <c r="Z83" s="195">
        <f>Z53/Z$32</f>
        <v>0.17945133029608043</v>
      </c>
      <c r="AB83" s="195">
        <f>AB53/AB$32</f>
        <v>0.17928527969713859</v>
      </c>
      <c r="AD83" s="195">
        <f>AD53/AD$32</f>
        <v>0.17902671726736333</v>
      </c>
      <c r="AF83" s="195">
        <f>AF53/AF$32</f>
        <v>0.17845232178732423</v>
      </c>
      <c r="AH83" s="195">
        <f>AH53/AH$32</f>
        <v>0.17712434140432809</v>
      </c>
      <c r="AJ83" s="195">
        <f>AJ53/AJ$32</f>
        <v>0.1741907713793362</v>
      </c>
      <c r="AL83" s="195">
        <f>AL53/AL$32</f>
        <v>0.16791463986472077</v>
      </c>
      <c r="AN83" s="195">
        <f>AN53/AN$32</f>
        <v>0.15373157596007134</v>
      </c>
      <c r="AP83" s="195">
        <f>AP53/AP$32</f>
        <v>0.14859451542494295</v>
      </c>
      <c r="AR83" s="195">
        <f>AR53/AR$32</f>
        <v>0.14165667199121246</v>
      </c>
      <c r="AT83" s="195">
        <f>AT53/AT$32</f>
        <v>0.13139938448888064</v>
      </c>
      <c r="AV83" s="195">
        <f>AV53/AV$32</f>
        <v>0.11317525258882312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5.3826806255889689E-2</v>
      </c>
      <c r="E2" s="189"/>
      <c r="F2" s="188">
        <v>0.10643729405667772</v>
      </c>
      <c r="G2" s="189"/>
      <c r="H2" s="188">
        <v>0.16432981763103588</v>
      </c>
      <c r="I2" s="189"/>
      <c r="J2" s="188">
        <v>0.22841385697015329</v>
      </c>
      <c r="K2" s="189"/>
      <c r="L2" s="188">
        <v>0.29985141605384441</v>
      </c>
      <c r="M2" s="189"/>
      <c r="N2" s="188">
        <v>0.380161009186406</v>
      </c>
      <c r="O2" s="189"/>
      <c r="P2" s="188">
        <v>0.47137902607793886</v>
      </c>
      <c r="Q2" s="189"/>
      <c r="R2" s="188">
        <v>0.57632190333126854</v>
      </c>
      <c r="S2" s="189"/>
      <c r="T2" s="188">
        <v>0.69902529991275597</v>
      </c>
      <c r="U2" s="189"/>
      <c r="V2" s="188">
        <v>0.84552044741147214</v>
      </c>
      <c r="W2" s="189"/>
      <c r="X2" s="188">
        <v>1.0252769651161187</v>
      </c>
      <c r="Y2" s="189"/>
      <c r="Z2" s="188">
        <v>1.254061413060811</v>
      </c>
      <c r="AA2" s="189"/>
      <c r="AB2" s="188">
        <v>1.5600266144421695</v>
      </c>
      <c r="AC2" s="189"/>
      <c r="AD2" s="188">
        <v>1.9977427031002679</v>
      </c>
      <c r="AE2" s="189"/>
      <c r="AF2" s="188">
        <v>2.6832905951016759</v>
      </c>
      <c r="AG2" s="189"/>
      <c r="AH2" s="188">
        <v>3.8884238726982976</v>
      </c>
      <c r="AI2" s="189"/>
      <c r="AJ2" s="188">
        <v>6.3171649316262384</v>
      </c>
      <c r="AK2" s="189"/>
      <c r="AL2" s="188">
        <v>12.166820328183054</v>
      </c>
      <c r="AM2" s="189"/>
      <c r="AN2" s="188">
        <v>32.335691511161919</v>
      </c>
      <c r="AO2" s="189"/>
      <c r="AP2" s="188">
        <v>42.531624712359729</v>
      </c>
      <c r="AQ2" s="189"/>
      <c r="AR2" s="188">
        <v>58.794677975776672</v>
      </c>
      <c r="AS2" s="189"/>
      <c r="AT2" s="188">
        <v>87.63150708207435</v>
      </c>
      <c r="AU2" s="189"/>
      <c r="AV2" s="188">
        <v>148.55324279396211</v>
      </c>
      <c r="AW2" s="189"/>
    </row>
    <row r="3" spans="1:49" x14ac:dyDescent="0.2">
      <c r="A3" t="s">
        <v>12</v>
      </c>
      <c r="B3" s="81">
        <v>1000</v>
      </c>
      <c r="C3" s="82">
        <v>1000</v>
      </c>
      <c r="D3" s="81">
        <v>998.2657864621458</v>
      </c>
      <c r="E3" s="82">
        <v>1021.4286685893957</v>
      </c>
      <c r="F3" s="81">
        <v>996.44696121387688</v>
      </c>
      <c r="G3" s="82">
        <v>1045.3736097779074</v>
      </c>
      <c r="H3" s="81">
        <v>994.53256218525075</v>
      </c>
      <c r="I3" s="82">
        <v>1072.2786020107981</v>
      </c>
      <c r="J3" s="81">
        <v>992.51033666564638</v>
      </c>
      <c r="K3" s="82">
        <v>1102.6993731745001</v>
      </c>
      <c r="L3" s="81">
        <v>990.36687082385617</v>
      </c>
      <c r="M3" s="82">
        <v>1137.3438488559204</v>
      </c>
      <c r="N3" s="81">
        <v>988.08801070744414</v>
      </c>
      <c r="O3" s="82">
        <v>1177.1307657992481</v>
      </c>
      <c r="P3" s="81">
        <v>985.65980999292947</v>
      </c>
      <c r="Q3" s="82">
        <v>1223.2782026891396</v>
      </c>
      <c r="R3" s="81">
        <v>983.07046585464593</v>
      </c>
      <c r="S3" s="82">
        <v>1277.4434835068923</v>
      </c>
      <c r="T3" s="81">
        <v>980.31409080474111</v>
      </c>
      <c r="U3" s="82">
        <v>1341.9522323698986</v>
      </c>
      <c r="V3" s="81">
        <v>977.3979522518365</v>
      </c>
      <c r="W3" s="82">
        <v>1420.1914205402406</v>
      </c>
      <c r="X3" s="81">
        <v>974.35636614581711</v>
      </c>
      <c r="Y3" s="82">
        <v>1517.3200807554842</v>
      </c>
      <c r="Z3" s="81">
        <v>971.27753497159574</v>
      </c>
      <c r="AA3" s="82">
        <v>1641.6361410610757</v>
      </c>
      <c r="AB3" s="81">
        <v>968.35553897605905</v>
      </c>
      <c r="AC3" s="82">
        <v>1807.3947579028152</v>
      </c>
      <c r="AD3" s="81">
        <v>965.98750559212431</v>
      </c>
      <c r="AE3" s="82">
        <v>2041.0808930749063</v>
      </c>
      <c r="AF3" s="81">
        <v>964.92813404746164</v>
      </c>
      <c r="AG3" s="82">
        <v>2396.5065588218777</v>
      </c>
      <c r="AH3" s="81">
        <v>966.38699662640306</v>
      </c>
      <c r="AI3" s="82">
        <v>2993.9089099228186</v>
      </c>
      <c r="AJ3" s="81">
        <v>971.54338423951538</v>
      </c>
      <c r="AK3" s="82">
        <v>4132.8510988529151</v>
      </c>
      <c r="AL3" s="81">
        <v>980.18613805407904</v>
      </c>
      <c r="AM3" s="82">
        <v>6729.8597187715868</v>
      </c>
      <c r="AN3" s="81">
        <v>990.77466938373141</v>
      </c>
      <c r="AO3" s="82">
        <v>15294.429640777364</v>
      </c>
      <c r="AP3" s="81">
        <v>993.13595724140737</v>
      </c>
      <c r="AQ3" s="82">
        <v>19552.386493843027</v>
      </c>
      <c r="AR3" s="81">
        <v>995.73499238951081</v>
      </c>
      <c r="AS3" s="82">
        <v>26304.149847697594</v>
      </c>
      <c r="AT3" s="81">
        <v>998.86717484997735</v>
      </c>
      <c r="AU3" s="82">
        <v>38211.884333891787</v>
      </c>
      <c r="AV3" s="81">
        <v>1003.417325509422</v>
      </c>
      <c r="AW3" s="82">
        <v>63251.289888906322</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998.17984299076727</v>
      </c>
      <c r="E5" s="40">
        <v>1018.6366701000336</v>
      </c>
      <c r="F5" s="39">
        <v>996.26989417160837</v>
      </c>
      <c r="G5" s="40">
        <v>1039.0383816897879</v>
      </c>
      <c r="H5" s="39">
        <v>994.2584877143355</v>
      </c>
      <c r="I5" s="40">
        <v>1061.4272630234952</v>
      </c>
      <c r="J5" s="39">
        <v>992.13256626471332</v>
      </c>
      <c r="K5" s="40">
        <v>1086.0591454927053</v>
      </c>
      <c r="L5" s="39">
        <v>989.87780867007007</v>
      </c>
      <c r="M5" s="40">
        <v>1113.2288656314647</v>
      </c>
      <c r="N5" s="39">
        <v>987.47906424455527</v>
      </c>
      <c r="O5" s="40">
        <v>1143.2761364574878</v>
      </c>
      <c r="P5" s="39">
        <v>984.9213427745392</v>
      </c>
      <c r="Q5" s="40">
        <v>1176.5908380114738</v>
      </c>
      <c r="R5" s="39">
        <v>982.19184955309117</v>
      </c>
      <c r="S5" s="40">
        <v>1213.6162586394396</v>
      </c>
      <c r="T5" s="39">
        <v>979.28396763728563</v>
      </c>
      <c r="U5" s="40">
        <v>1254.848911179462</v>
      </c>
      <c r="V5" s="39">
        <v>976.20492526147075</v>
      </c>
      <c r="W5" s="40">
        <v>1300.8248456618928</v>
      </c>
      <c r="X5" s="39">
        <v>972.99054598926318</v>
      </c>
      <c r="Y5" s="40">
        <v>1352.0785087338782</v>
      </c>
      <c r="Z5" s="39">
        <v>969.73379140089003</v>
      </c>
      <c r="AA5" s="40">
        <v>1409.0354085427443</v>
      </c>
      <c r="AB5" s="39">
        <v>966.6401135074708</v>
      </c>
      <c r="AC5" s="40">
        <v>1471.7486428317698</v>
      </c>
      <c r="AD5" s="39">
        <v>964.13091896504955</v>
      </c>
      <c r="AE5" s="40">
        <v>1539.2942209870982</v>
      </c>
      <c r="AF5" s="39">
        <v>963.00780694399123</v>
      </c>
      <c r="AG5" s="40">
        <v>1608.4893761276114</v>
      </c>
      <c r="AH5" s="39">
        <v>964.5543518047258</v>
      </c>
      <c r="AI5" s="40">
        <v>1672.0199055492758</v>
      </c>
      <c r="AJ5" s="39">
        <v>970.01512398349075</v>
      </c>
      <c r="AK5" s="40">
        <v>1718.8773192697436</v>
      </c>
      <c r="AL5" s="39">
        <v>979.14892360276224</v>
      </c>
      <c r="AM5" s="40">
        <v>1742.6730281491284</v>
      </c>
      <c r="AN5" s="39">
        <v>990.30689027197297</v>
      </c>
      <c r="AO5" s="40">
        <v>1749.4354595901475</v>
      </c>
      <c r="AP5" s="39">
        <v>992.79040219593458</v>
      </c>
      <c r="AQ5" s="40">
        <v>1749.7658363712701</v>
      </c>
      <c r="AR5" s="39">
        <v>995.521979521292</v>
      </c>
      <c r="AS5" s="40">
        <v>1749.9446248844149</v>
      </c>
      <c r="AT5" s="39">
        <v>998.81113873028733</v>
      </c>
      <c r="AU5" s="40">
        <v>1750.0285935685911</v>
      </c>
      <c r="AV5" s="39">
        <v>1003.5840021874916</v>
      </c>
      <c r="AW5" s="40">
        <v>1750.0602814351655</v>
      </c>
    </row>
    <row r="6" spans="1:49" x14ac:dyDescent="0.2">
      <c r="A6" t="s">
        <v>77</v>
      </c>
      <c r="B6" s="39">
        <v>999.99999999999943</v>
      </c>
      <c r="C6" s="40">
        <v>999.99999999999886</v>
      </c>
      <c r="D6" s="39">
        <v>998.04089203655928</v>
      </c>
      <c r="E6" s="40">
        <v>1023.111587904532</v>
      </c>
      <c r="F6" s="39">
        <v>995.98572367951385</v>
      </c>
      <c r="G6" s="40">
        <v>1048.893620124687</v>
      </c>
      <c r="H6" s="39">
        <v>993.8220325551622</v>
      </c>
      <c r="I6" s="40">
        <v>1077.8120454714833</v>
      </c>
      <c r="J6" s="39">
        <v>991.5358797447584</v>
      </c>
      <c r="K6" s="40">
        <v>1110.4497446908913</v>
      </c>
      <c r="L6" s="39">
        <v>989.11199216569901</v>
      </c>
      <c r="M6" s="40">
        <v>1147.5485302044713</v>
      </c>
      <c r="N6" s="39">
        <v>986.53423427716564</v>
      </c>
      <c r="O6" s="40">
        <v>1190.0702743135148</v>
      </c>
      <c r="P6" s="39">
        <v>983.78667606236786</v>
      </c>
      <c r="Q6" s="40">
        <v>1239.2892088696196</v>
      </c>
      <c r="R6" s="39">
        <v>980.85578119361469</v>
      </c>
      <c r="S6" s="40">
        <v>1296.9377725550537</v>
      </c>
      <c r="T6" s="39">
        <v>977.73467909120598</v>
      </c>
      <c r="U6" s="40">
        <v>1365.4453304721628</v>
      </c>
      <c r="V6" s="39">
        <v>974.43137686115392</v>
      </c>
      <c r="W6" s="40">
        <v>1448.3476683854778</v>
      </c>
      <c r="X6" s="39">
        <v>970.9845371990375</v>
      </c>
      <c r="Y6" s="40">
        <v>1551.0271237414611</v>
      </c>
      <c r="Z6" s="39">
        <v>967.49398227555002</v>
      </c>
      <c r="AA6" s="40">
        <v>1682.1352513954782</v>
      </c>
      <c r="AB6" s="39">
        <v>964.17981776538386</v>
      </c>
      <c r="AC6" s="40">
        <v>1856.5244665669152</v>
      </c>
      <c r="AD6" s="39">
        <v>961.49294160795455</v>
      </c>
      <c r="AE6" s="40">
        <v>2101.7682079509291</v>
      </c>
      <c r="AF6" s="39">
        <v>960.29063273041572</v>
      </c>
      <c r="AG6" s="40">
        <v>2473.8425306954832</v>
      </c>
      <c r="AH6" s="39">
        <v>961.94628652168217</v>
      </c>
      <c r="AI6" s="40">
        <v>3097.7133601448613</v>
      </c>
      <c r="AJ6" s="39">
        <v>967.79544309243852</v>
      </c>
      <c r="AK6" s="40">
        <v>4284.536798700251</v>
      </c>
      <c r="AL6" s="39">
        <v>977.58976663732642</v>
      </c>
      <c r="AM6" s="40">
        <v>6986.2423141025256</v>
      </c>
      <c r="AN6" s="39">
        <v>989.57319492493968</v>
      </c>
      <c r="AO6" s="40">
        <v>15887.482162753819</v>
      </c>
      <c r="AP6" s="39">
        <v>992.24321756614881</v>
      </c>
      <c r="AQ6" s="40">
        <v>20311.781140940217</v>
      </c>
      <c r="AR6" s="39">
        <v>995.18110627974488</v>
      </c>
      <c r="AS6" s="40">
        <v>27326.949476545196</v>
      </c>
      <c r="AT6" s="39">
        <v>998.72031908976203</v>
      </c>
      <c r="AU6" s="40">
        <v>39698.806365549579</v>
      </c>
      <c r="AV6" s="39">
        <v>1003.8592005102878</v>
      </c>
      <c r="AW6" s="40">
        <v>65713.606701679688</v>
      </c>
    </row>
    <row r="7" spans="1:49" x14ac:dyDescent="0.2">
      <c r="A7" t="s">
        <v>13</v>
      </c>
      <c r="B7" s="31">
        <v>1015.9116825427475</v>
      </c>
      <c r="C7" s="32">
        <v>1015.9116825427475</v>
      </c>
      <c r="D7" s="31">
        <v>1014.0625637730059</v>
      </c>
      <c r="E7" s="32">
        <v>1014.0625637730059</v>
      </c>
      <c r="F7" s="31">
        <v>1012.1222244545636</v>
      </c>
      <c r="G7" s="32">
        <v>1012.1222244545636</v>
      </c>
      <c r="H7" s="31">
        <v>1010.0788131362782</v>
      </c>
      <c r="I7" s="32">
        <v>1010.0788131362782</v>
      </c>
      <c r="J7" s="31">
        <v>1007.9190646994388</v>
      </c>
      <c r="K7" s="32">
        <v>1007.9190646994388</v>
      </c>
      <c r="L7" s="31">
        <v>1005.6284301177387</v>
      </c>
      <c r="M7" s="32">
        <v>1005.6284301177387</v>
      </c>
      <c r="N7" s="31">
        <v>1003.1915176324239</v>
      </c>
      <c r="O7" s="32">
        <v>1003.1915176324239</v>
      </c>
      <c r="P7" s="31">
        <v>1000.5930985103442</v>
      </c>
      <c r="Q7" s="32">
        <v>1000.5930985103442</v>
      </c>
      <c r="R7" s="31">
        <v>997.82017445925396</v>
      </c>
      <c r="S7" s="32">
        <v>997.82017445925396</v>
      </c>
      <c r="T7" s="31">
        <v>994.8660232495323</v>
      </c>
      <c r="U7" s="32">
        <v>994.8660232495323</v>
      </c>
      <c r="V7" s="31">
        <v>991.73798812889777</v>
      </c>
      <c r="W7" s="32">
        <v>991.73798812889777</v>
      </c>
      <c r="X7" s="31">
        <v>988.4724626741388</v>
      </c>
      <c r="Y7" s="32">
        <v>988.4724626741388</v>
      </c>
      <c r="Z7" s="31">
        <v>985.16388764063583</v>
      </c>
      <c r="AA7" s="32">
        <v>985.16388764063583</v>
      </c>
      <c r="AB7" s="31">
        <v>982.02098412668704</v>
      </c>
      <c r="AC7" s="32">
        <v>982.02098412668704</v>
      </c>
      <c r="AD7" s="31">
        <v>979.47186407726872</v>
      </c>
      <c r="AE7" s="32">
        <v>979.47186407726872</v>
      </c>
      <c r="AF7" s="31">
        <v>978.33088145427143</v>
      </c>
      <c r="AG7" s="32">
        <v>978.33088145427143</v>
      </c>
      <c r="AH7" s="31">
        <v>979.90203444586814</v>
      </c>
      <c r="AI7" s="32">
        <v>979.90203444586814</v>
      </c>
      <c r="AJ7" s="31">
        <v>985.4496966979799</v>
      </c>
      <c r="AK7" s="32">
        <v>985.4496966979799</v>
      </c>
      <c r="AL7" s="31">
        <v>994.7288304372023</v>
      </c>
      <c r="AM7" s="32">
        <v>994.7288304372023</v>
      </c>
      <c r="AN7" s="31">
        <v>1006.0643391298761</v>
      </c>
      <c r="AO7" s="32">
        <v>1006.0643391298761</v>
      </c>
      <c r="AP7" s="31">
        <v>1008.5873679071628</v>
      </c>
      <c r="AQ7" s="32">
        <v>1008.5873679071628</v>
      </c>
      <c r="AR7" s="31">
        <v>1011.3624092237624</v>
      </c>
      <c r="AS7" s="32">
        <v>1011.3624092237624</v>
      </c>
      <c r="AT7" s="31">
        <v>1014.7039044899237</v>
      </c>
      <c r="AU7" s="32">
        <v>1014.7039044899237</v>
      </c>
      <c r="AV7" s="31">
        <v>1019.5527122352789</v>
      </c>
      <c r="AW7" s="32">
        <v>1019.5527122352789</v>
      </c>
    </row>
    <row r="8" spans="1:49" x14ac:dyDescent="0.2">
      <c r="B8" s="33">
        <v>1005.7716594496609</v>
      </c>
      <c r="C8" s="34">
        <v>1005.7716594496609</v>
      </c>
      <c r="D8" s="33">
        <v>1073.4666287866528</v>
      </c>
      <c r="E8" s="34">
        <v>1073.4666287866528</v>
      </c>
      <c r="F8" s="33">
        <v>1149.6308154578785</v>
      </c>
      <c r="G8" s="34">
        <v>1149.6308154578785</v>
      </c>
      <c r="H8" s="33">
        <v>1235.8514115847559</v>
      </c>
      <c r="I8" s="34">
        <v>1235.8514115847559</v>
      </c>
      <c r="J8" s="33">
        <v>1334.1301038124029</v>
      </c>
      <c r="K8" s="34">
        <v>1334.1301038124029</v>
      </c>
      <c r="L8" s="33">
        <v>1447.0321173830741</v>
      </c>
      <c r="M8" s="34">
        <v>1447.0321173830741</v>
      </c>
      <c r="N8" s="33">
        <v>1577.9051462719017</v>
      </c>
      <c r="O8" s="34">
        <v>1577.9051462719017</v>
      </c>
      <c r="P8" s="33">
        <v>1731.2110813255483</v>
      </c>
      <c r="Q8" s="34">
        <v>1731.2110813255483</v>
      </c>
      <c r="R8" s="33">
        <v>1913.0498907322944</v>
      </c>
      <c r="S8" s="34">
        <v>1913.0498907322944</v>
      </c>
      <c r="T8" s="33">
        <v>2132.0200476618807</v>
      </c>
      <c r="U8" s="34">
        <v>2132.0200476618807</v>
      </c>
      <c r="V8" s="33">
        <v>2400.6988511698955</v>
      </c>
      <c r="W8" s="34">
        <v>2400.6988511698955</v>
      </c>
      <c r="X8" s="33">
        <v>2738.3334587672762</v>
      </c>
      <c r="Y8" s="34">
        <v>2738.3334587672762</v>
      </c>
      <c r="Z8" s="33">
        <v>3176.0523440325755</v>
      </c>
      <c r="AA8" s="34">
        <v>3176.0523440325755</v>
      </c>
      <c r="AB8" s="33">
        <v>3767.7156954184734</v>
      </c>
      <c r="AC8" s="34">
        <v>3767.7156954184734</v>
      </c>
      <c r="AD8" s="33">
        <v>4614.4080188884855</v>
      </c>
      <c r="AE8" s="34">
        <v>4614.4080188884855</v>
      </c>
      <c r="AF8" s="33">
        <v>5924.5337914117936</v>
      </c>
      <c r="AG8" s="34">
        <v>5924.5337914117936</v>
      </c>
      <c r="AH8" s="33">
        <v>8173.5420219138314</v>
      </c>
      <c r="AI8" s="34">
        <v>8173.5420219138314</v>
      </c>
      <c r="AJ8" s="33">
        <v>12577.308842328284</v>
      </c>
      <c r="AK8" s="34">
        <v>12577.308842328284</v>
      </c>
      <c r="AL8" s="33">
        <v>22945.462652410264</v>
      </c>
      <c r="AM8" s="34">
        <v>22945.462652410264</v>
      </c>
      <c r="AN8" s="33">
        <v>58318.640799584929</v>
      </c>
      <c r="AO8" s="34">
        <v>58318.640799584929</v>
      </c>
      <c r="AP8" s="33">
        <v>76170.149723422379</v>
      </c>
      <c r="AQ8" s="34">
        <v>76170.149723422379</v>
      </c>
      <c r="AR8" s="33">
        <v>104637.3753204049</v>
      </c>
      <c r="AS8" s="34">
        <v>104637.3753204049</v>
      </c>
      <c r="AT8" s="33">
        <v>155107.67168470719</v>
      </c>
      <c r="AU8" s="34">
        <v>155107.67168470719</v>
      </c>
      <c r="AV8" s="33">
        <v>261727.19017354297</v>
      </c>
      <c r="AW8" s="34">
        <v>261727.19017354297</v>
      </c>
    </row>
    <row r="9" spans="1:49" x14ac:dyDescent="0.2">
      <c r="A9" t="s">
        <v>14</v>
      </c>
      <c r="B9" s="39">
        <v>1015.9116825427475</v>
      </c>
      <c r="C9" s="40">
        <v>1005.7716594496609</v>
      </c>
      <c r="D9" s="39">
        <v>1014.0625637730059</v>
      </c>
      <c r="E9" s="40">
        <v>1073.4666287866528</v>
      </c>
      <c r="F9" s="39">
        <v>1012.1222244545636</v>
      </c>
      <c r="G9" s="40">
        <v>1149.6308154578785</v>
      </c>
      <c r="H9" s="39">
        <v>1010.0788131362782</v>
      </c>
      <c r="I9" s="40">
        <v>1235.8514115847559</v>
      </c>
      <c r="J9" s="39">
        <v>1007.9190646994388</v>
      </c>
      <c r="K9" s="40">
        <v>1334.1301038124029</v>
      </c>
      <c r="L9" s="39">
        <v>1005.6284301177387</v>
      </c>
      <c r="M9" s="40">
        <v>1447.0321173830741</v>
      </c>
      <c r="N9" s="39">
        <v>1003.1915176324239</v>
      </c>
      <c r="O9" s="40">
        <v>1577.9051462719017</v>
      </c>
      <c r="P9" s="39">
        <v>1000.5930985103442</v>
      </c>
      <c r="Q9" s="40">
        <v>1731.2110813255483</v>
      </c>
      <c r="R9" s="39">
        <v>997.82017445925396</v>
      </c>
      <c r="S9" s="40">
        <v>1913.0498907322944</v>
      </c>
      <c r="T9" s="39">
        <v>994.8660232495323</v>
      </c>
      <c r="U9" s="40">
        <v>2132.0200476618807</v>
      </c>
      <c r="V9" s="39">
        <v>991.73798812889777</v>
      </c>
      <c r="W9" s="40">
        <v>2400.6988511698955</v>
      </c>
      <c r="X9" s="39">
        <v>988.4724626741388</v>
      </c>
      <c r="Y9" s="40">
        <v>2738.3334587672762</v>
      </c>
      <c r="Z9" s="39">
        <v>985.16388764063583</v>
      </c>
      <c r="AA9" s="40">
        <v>3176.0523440325755</v>
      </c>
      <c r="AB9" s="39">
        <v>982.02098412668704</v>
      </c>
      <c r="AC9" s="40">
        <v>3767.7156954184734</v>
      </c>
      <c r="AD9" s="39">
        <v>979.47186407726872</v>
      </c>
      <c r="AE9" s="40">
        <v>4614.4080188884855</v>
      </c>
      <c r="AF9" s="39">
        <v>978.33088145427143</v>
      </c>
      <c r="AG9" s="40">
        <v>5924.5337914117936</v>
      </c>
      <c r="AH9" s="39">
        <v>979.90203444586814</v>
      </c>
      <c r="AI9" s="40">
        <v>8173.5420219138314</v>
      </c>
      <c r="AJ9" s="39">
        <v>985.4496966979799</v>
      </c>
      <c r="AK9" s="40">
        <v>12577.308842328284</v>
      </c>
      <c r="AL9" s="39">
        <v>994.7288304372023</v>
      </c>
      <c r="AM9" s="40">
        <v>22945.462652410264</v>
      </c>
      <c r="AN9" s="39">
        <v>1006.0643391298761</v>
      </c>
      <c r="AO9" s="40">
        <v>58318.640799584929</v>
      </c>
      <c r="AP9" s="39">
        <v>1008.5873679071628</v>
      </c>
      <c r="AQ9" s="40">
        <v>76170.149723422379</v>
      </c>
      <c r="AR9" s="39">
        <v>1011.3624092237624</v>
      </c>
      <c r="AS9" s="40">
        <v>104637.3753204049</v>
      </c>
      <c r="AT9" s="39">
        <v>1014.7039044899237</v>
      </c>
      <c r="AU9" s="40">
        <v>155107.67168470719</v>
      </c>
      <c r="AV9" s="39">
        <v>1019.5527122352789</v>
      </c>
      <c r="AW9" s="40">
        <v>261727.19017354297</v>
      </c>
    </row>
    <row r="10" spans="1:49" x14ac:dyDescent="0.2">
      <c r="A10" t="s">
        <v>15</v>
      </c>
      <c r="B10" s="39">
        <v>1015.9116825427475</v>
      </c>
      <c r="C10" s="40">
        <v>1005.7716594496609</v>
      </c>
      <c r="D10" s="39">
        <v>1014.0625637730059</v>
      </c>
      <c r="E10" s="40">
        <v>1073.4666287866528</v>
      </c>
      <c r="F10" s="39">
        <v>1012.1222244545636</v>
      </c>
      <c r="G10" s="40">
        <v>1149.6308154578785</v>
      </c>
      <c r="H10" s="39">
        <v>1010.0788131362782</v>
      </c>
      <c r="I10" s="40">
        <v>1235.8514115847559</v>
      </c>
      <c r="J10" s="39">
        <v>1007.9190646994388</v>
      </c>
      <c r="K10" s="40">
        <v>1334.1301038124029</v>
      </c>
      <c r="L10" s="39">
        <v>1005.6284301177387</v>
      </c>
      <c r="M10" s="40">
        <v>1447.0321173830741</v>
      </c>
      <c r="N10" s="39">
        <v>1003.1915176324239</v>
      </c>
      <c r="O10" s="40">
        <v>1577.9051462719017</v>
      </c>
      <c r="P10" s="39">
        <v>1000.5930985103442</v>
      </c>
      <c r="Q10" s="40">
        <v>1731.2110813255483</v>
      </c>
      <c r="R10" s="39">
        <v>997.82017445925396</v>
      </c>
      <c r="S10" s="40">
        <v>1913.0498907322944</v>
      </c>
      <c r="T10" s="39">
        <v>994.8660232495323</v>
      </c>
      <c r="U10" s="40">
        <v>2132.0200476618807</v>
      </c>
      <c r="V10" s="39">
        <v>991.73798812889777</v>
      </c>
      <c r="W10" s="40">
        <v>2400.6988511698955</v>
      </c>
      <c r="X10" s="39">
        <v>988.4724626741388</v>
      </c>
      <c r="Y10" s="40">
        <v>2738.3334587672762</v>
      </c>
      <c r="Z10" s="39">
        <v>985.16388764063583</v>
      </c>
      <c r="AA10" s="40">
        <v>3176.0523440325755</v>
      </c>
      <c r="AB10" s="39">
        <v>982.02098412668704</v>
      </c>
      <c r="AC10" s="40">
        <v>3767.7156954184734</v>
      </c>
      <c r="AD10" s="39">
        <v>979.47186407726872</v>
      </c>
      <c r="AE10" s="40">
        <v>4614.4080188884855</v>
      </c>
      <c r="AF10" s="39">
        <v>978.33088145427143</v>
      </c>
      <c r="AG10" s="40">
        <v>5924.5337914117936</v>
      </c>
      <c r="AH10" s="39">
        <v>979.90203444586814</v>
      </c>
      <c r="AI10" s="40">
        <v>8173.5420219138314</v>
      </c>
      <c r="AJ10" s="39">
        <v>985.4496966979799</v>
      </c>
      <c r="AK10" s="40">
        <v>12577.308842328284</v>
      </c>
      <c r="AL10" s="39">
        <v>994.7288304372023</v>
      </c>
      <c r="AM10" s="40">
        <v>22945.462652410264</v>
      </c>
      <c r="AN10" s="39">
        <v>1006.0643391298761</v>
      </c>
      <c r="AO10" s="40">
        <v>58318.640799584929</v>
      </c>
      <c r="AP10" s="39">
        <v>1008.5873679071628</v>
      </c>
      <c r="AQ10" s="40">
        <v>76170.149723422379</v>
      </c>
      <c r="AR10" s="39">
        <v>1011.3624092237624</v>
      </c>
      <c r="AS10" s="40">
        <v>104637.3753204049</v>
      </c>
      <c r="AT10" s="39">
        <v>1014.7039044899237</v>
      </c>
      <c r="AU10" s="40">
        <v>155107.67168470719</v>
      </c>
      <c r="AV10" s="39">
        <v>1019.5527122352789</v>
      </c>
      <c r="AW10" s="40">
        <v>261727.19017354297</v>
      </c>
    </row>
    <row r="11" spans="1:49" x14ac:dyDescent="0.2">
      <c r="A11" t="s">
        <v>29</v>
      </c>
      <c r="B11" s="39">
        <v>1015.9116825427475</v>
      </c>
      <c r="C11" s="40">
        <v>1005.7716594496609</v>
      </c>
      <c r="D11" s="39">
        <v>1014.0625637730059</v>
      </c>
      <c r="E11" s="40">
        <v>1073.4666287866528</v>
      </c>
      <c r="F11" s="39">
        <v>1012.1222244545636</v>
      </c>
      <c r="G11" s="40">
        <v>1149.6308154578785</v>
      </c>
      <c r="H11" s="39">
        <v>1010.0788131362782</v>
      </c>
      <c r="I11" s="40">
        <v>1235.8514115847559</v>
      </c>
      <c r="J11" s="39">
        <v>1007.9190646994388</v>
      </c>
      <c r="K11" s="40">
        <v>1334.1301038124029</v>
      </c>
      <c r="L11" s="39">
        <v>1005.6284301177387</v>
      </c>
      <c r="M11" s="40">
        <v>1447.0321173830741</v>
      </c>
      <c r="N11" s="39">
        <v>1003.1915176324239</v>
      </c>
      <c r="O11" s="40">
        <v>1577.9051462719017</v>
      </c>
      <c r="P11" s="39">
        <v>1000.5930985103442</v>
      </c>
      <c r="Q11" s="40">
        <v>1731.2110813255483</v>
      </c>
      <c r="R11" s="39">
        <v>997.82017445925396</v>
      </c>
      <c r="S11" s="40">
        <v>1913.0498907322944</v>
      </c>
      <c r="T11" s="39">
        <v>994.8660232495323</v>
      </c>
      <c r="U11" s="40">
        <v>2132.0200476618807</v>
      </c>
      <c r="V11" s="39">
        <v>991.73798812889777</v>
      </c>
      <c r="W11" s="40">
        <v>2400.6988511698955</v>
      </c>
      <c r="X11" s="39">
        <v>988.4724626741388</v>
      </c>
      <c r="Y11" s="40">
        <v>2738.3334587672762</v>
      </c>
      <c r="Z11" s="39">
        <v>985.16388764063583</v>
      </c>
      <c r="AA11" s="40">
        <v>3176.0523440325755</v>
      </c>
      <c r="AB11" s="39">
        <v>982.02098412668704</v>
      </c>
      <c r="AC11" s="40">
        <v>3767.7156954184734</v>
      </c>
      <c r="AD11" s="39">
        <v>979.47186407726872</v>
      </c>
      <c r="AE11" s="40">
        <v>4614.4080188884855</v>
      </c>
      <c r="AF11" s="39">
        <v>978.33088145427143</v>
      </c>
      <c r="AG11" s="40">
        <v>5924.5337914117936</v>
      </c>
      <c r="AH11" s="39">
        <v>979.90203444586814</v>
      </c>
      <c r="AI11" s="40">
        <v>8173.5420219138314</v>
      </c>
      <c r="AJ11" s="39">
        <v>985.4496966979799</v>
      </c>
      <c r="AK11" s="40">
        <v>12577.308842328284</v>
      </c>
      <c r="AL11" s="39">
        <v>994.7288304372023</v>
      </c>
      <c r="AM11" s="40">
        <v>22945.462652410264</v>
      </c>
      <c r="AN11" s="39">
        <v>1006.0643391298761</v>
      </c>
      <c r="AO11" s="40">
        <v>58318.640799584929</v>
      </c>
      <c r="AP11" s="39">
        <v>1008.5873679071628</v>
      </c>
      <c r="AQ11" s="40">
        <v>76170.149723422379</v>
      </c>
      <c r="AR11" s="39">
        <v>1011.3624092237624</v>
      </c>
      <c r="AS11" s="40">
        <v>104637.3753204049</v>
      </c>
      <c r="AT11" s="39">
        <v>1014.7039044899237</v>
      </c>
      <c r="AU11" s="40">
        <v>155107.67168470719</v>
      </c>
      <c r="AV11" s="39">
        <v>1019.5527122352789</v>
      </c>
      <c r="AW11" s="40">
        <v>261727.19017354297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998.04751890214879</v>
      </c>
      <c r="E13" s="94">
        <v>998.04751890214879</v>
      </c>
      <c r="F13" s="93">
        <v>995.75745231518658</v>
      </c>
      <c r="G13" s="94">
        <v>995.75745231518658</v>
      </c>
      <c r="H13" s="93">
        <v>993.08244874520983</v>
      </c>
      <c r="I13" s="94">
        <v>993.08244874520983</v>
      </c>
      <c r="J13" s="93">
        <v>989.96575932457949</v>
      </c>
      <c r="K13" s="94">
        <v>989.96575932457949</v>
      </c>
      <c r="L13" s="93">
        <v>986.33861299099317</v>
      </c>
      <c r="M13" s="94">
        <v>986.33861299099317</v>
      </c>
      <c r="N13" s="93">
        <v>982.11666121673875</v>
      </c>
      <c r="O13" s="94">
        <v>982.11666121673875</v>
      </c>
      <c r="P13" s="93">
        <v>977.19517361719261</v>
      </c>
      <c r="Q13" s="94">
        <v>977.19517361719261</v>
      </c>
      <c r="R13" s="93">
        <v>971.44206408837022</v>
      </c>
      <c r="S13" s="94">
        <v>971.44206408837022</v>
      </c>
      <c r="T13" s="93">
        <v>964.6873283871754</v>
      </c>
      <c r="U13" s="94">
        <v>964.6873283871754</v>
      </c>
      <c r="V13" s="93">
        <v>956.70680102871779</v>
      </c>
      <c r="W13" s="94">
        <v>956.70680102871779</v>
      </c>
      <c r="X13" s="93">
        <v>947.19533692802781</v>
      </c>
      <c r="Y13" s="94">
        <v>947.19533692802781</v>
      </c>
      <c r="Z13" s="93">
        <v>935.71991642403805</v>
      </c>
      <c r="AA13" s="94">
        <v>935.71991642403805</v>
      </c>
      <c r="AB13" s="93">
        <v>921.63131482150629</v>
      </c>
      <c r="AC13" s="94">
        <v>921.63131482150629</v>
      </c>
      <c r="AD13" s="93">
        <v>903.88169442532626</v>
      </c>
      <c r="AE13" s="94">
        <v>903.88169442532626</v>
      </c>
      <c r="AF13" s="93">
        <v>880.61033618909448</v>
      </c>
      <c r="AG13" s="94">
        <v>880.61033618909448</v>
      </c>
      <c r="AH13" s="93">
        <v>848.11176033925585</v>
      </c>
      <c r="AI13" s="94">
        <v>848.11176033925585</v>
      </c>
      <c r="AJ13" s="93">
        <v>798.12863790278129</v>
      </c>
      <c r="AK13" s="94">
        <v>798.12863790278129</v>
      </c>
      <c r="AL13" s="93">
        <v>710.18131367083026</v>
      </c>
      <c r="AM13" s="94">
        <v>710.18131367083026</v>
      </c>
      <c r="AN13" s="93">
        <v>521.12340928853291</v>
      </c>
      <c r="AO13" s="94">
        <v>521.12340928853291</v>
      </c>
      <c r="AP13" s="93">
        <v>455.23554509001548</v>
      </c>
      <c r="AQ13" s="94">
        <v>455.23554509001548</v>
      </c>
      <c r="AR13" s="93">
        <v>371.41216816141514</v>
      </c>
      <c r="AS13" s="94">
        <v>371.41216816141514</v>
      </c>
      <c r="AT13" s="93">
        <v>262.50651007726088</v>
      </c>
      <c r="AU13" s="94">
        <v>262.50651007726088</v>
      </c>
      <c r="AV13" s="93">
        <v>122.16602694963039</v>
      </c>
      <c r="AW13" s="94">
        <v>122.16602694963039</v>
      </c>
    </row>
    <row r="14" spans="1:49" x14ac:dyDescent="0.2">
      <c r="A14" t="s">
        <v>36</v>
      </c>
      <c r="B14" s="39">
        <v>1457.0034251455234</v>
      </c>
      <c r="C14" s="40">
        <v>1457.0034251455236</v>
      </c>
      <c r="D14" s="39">
        <v>1454.1586534984222</v>
      </c>
      <c r="E14" s="40">
        <v>1454.1586534984224</v>
      </c>
      <c r="F14" s="39">
        <v>1450.8220186374069</v>
      </c>
      <c r="G14" s="40">
        <v>1450.8220186374072</v>
      </c>
      <c r="H14" s="39">
        <v>1446.9245292736744</v>
      </c>
      <c r="I14" s="40">
        <v>1446.9245292736746</v>
      </c>
      <c r="J14" s="39">
        <v>1442.3835021127011</v>
      </c>
      <c r="K14" s="40">
        <v>1442.3835021127013</v>
      </c>
      <c r="L14" s="39">
        <v>1437.0987374811618</v>
      </c>
      <c r="M14" s="40">
        <v>1437.0987374811621</v>
      </c>
      <c r="N14" s="39">
        <v>1430.9473392852738</v>
      </c>
      <c r="O14" s="40">
        <v>1430.947339285274</v>
      </c>
      <c r="P14" s="39">
        <v>1423.7767149959238</v>
      </c>
      <c r="Q14" s="40">
        <v>1423.7767149959241</v>
      </c>
      <c r="R14" s="39">
        <v>1415.3944147071923</v>
      </c>
      <c r="S14" s="40">
        <v>1415.3944147071925</v>
      </c>
      <c r="T14" s="39">
        <v>1405.5527416545988</v>
      </c>
      <c r="U14" s="40">
        <v>1405.552741654599</v>
      </c>
      <c r="V14" s="39">
        <v>1393.9250859588585</v>
      </c>
      <c r="W14" s="40">
        <v>1393.9250859588587</v>
      </c>
      <c r="X14" s="39">
        <v>1380.0668501860046</v>
      </c>
      <c r="Y14" s="40">
        <v>1380.0668501860048</v>
      </c>
      <c r="Z14" s="39">
        <v>1363.3471232067063</v>
      </c>
      <c r="AA14" s="40">
        <v>1363.3471232067063</v>
      </c>
      <c r="AB14" s="39">
        <v>1342.8199824163069</v>
      </c>
      <c r="AC14" s="40">
        <v>1342.8199824163069</v>
      </c>
      <c r="AD14" s="39">
        <v>1316.9587247040397</v>
      </c>
      <c r="AE14" s="40">
        <v>1316.9587247040397</v>
      </c>
      <c r="AF14" s="39">
        <v>1283.0522760460615</v>
      </c>
      <c r="AG14" s="40">
        <v>1283.0522760460617</v>
      </c>
      <c r="AH14" s="39">
        <v>1235.701739720495</v>
      </c>
      <c r="AI14" s="40">
        <v>1235.7017397204952</v>
      </c>
      <c r="AJ14" s="39">
        <v>1162.8761591310836</v>
      </c>
      <c r="AK14" s="40">
        <v>1162.8761591310836</v>
      </c>
      <c r="AL14" s="39">
        <v>1034.7366064927469</v>
      </c>
      <c r="AM14" s="40">
        <v>1034.7366064927471</v>
      </c>
      <c r="AN14" s="39">
        <v>759.27859225690486</v>
      </c>
      <c r="AO14" s="40">
        <v>759.27859225690497</v>
      </c>
      <c r="AP14" s="39">
        <v>663.27974844414189</v>
      </c>
      <c r="AQ14" s="40">
        <v>663.279748444142</v>
      </c>
      <c r="AR14" s="39">
        <v>541.14880115190692</v>
      </c>
      <c r="AS14" s="40">
        <v>541.14880115190704</v>
      </c>
      <c r="AT14" s="39">
        <v>382.47288430556694</v>
      </c>
      <c r="AU14" s="40">
        <v>382.47288430556699</v>
      </c>
      <c r="AV14" s="39">
        <v>177.9963197020318</v>
      </c>
      <c r="AW14" s="40">
        <v>177.99631970203183</v>
      </c>
    </row>
    <row r="15" spans="1:49" x14ac:dyDescent="0.2">
      <c r="A15" t="s">
        <v>18</v>
      </c>
      <c r="B15" s="144">
        <v>1000</v>
      </c>
      <c r="C15" s="145">
        <v>1000</v>
      </c>
      <c r="D15" s="144">
        <v>992.36483256198608</v>
      </c>
      <c r="E15" s="145">
        <v>992.36483256198608</v>
      </c>
      <c r="F15" s="144">
        <v>984.4203660154144</v>
      </c>
      <c r="G15" s="145">
        <v>984.4203660154144</v>
      </c>
      <c r="H15" s="144">
        <v>976.12349850742089</v>
      </c>
      <c r="I15" s="145">
        <v>976.12349850742089</v>
      </c>
      <c r="J15" s="144">
        <v>967.42329241065636</v>
      </c>
      <c r="K15" s="145">
        <v>967.42329241065636</v>
      </c>
      <c r="L15" s="144">
        <v>958.259181125905</v>
      </c>
      <c r="M15" s="145">
        <v>958.259181125905</v>
      </c>
      <c r="N15" s="144">
        <v>948.55864394068362</v>
      </c>
      <c r="O15" s="145">
        <v>948.55864394068362</v>
      </c>
      <c r="P15" s="144">
        <v>938.23392731005811</v>
      </c>
      <c r="Q15" s="145">
        <v>938.23392731005811</v>
      </c>
      <c r="R15" s="144">
        <v>927.17748524521005</v>
      </c>
      <c r="S15" s="145">
        <v>927.17748524521005</v>
      </c>
      <c r="T15" s="144">
        <v>915.2553928668018</v>
      </c>
      <c r="U15" s="145">
        <v>915.2553928668018</v>
      </c>
      <c r="V15" s="144">
        <v>902.2969046556799</v>
      </c>
      <c r="W15" s="145">
        <v>902.2969046556799</v>
      </c>
      <c r="X15" s="144">
        <v>888.07709784900214</v>
      </c>
      <c r="Y15" s="145">
        <v>888.07709784900214</v>
      </c>
      <c r="Z15" s="144">
        <v>872.28516415261913</v>
      </c>
      <c r="AA15" s="145">
        <v>872.28516415261913</v>
      </c>
      <c r="AB15" s="144">
        <v>854.46043815549672</v>
      </c>
      <c r="AC15" s="145">
        <v>854.46043815549672</v>
      </c>
      <c r="AD15" s="144">
        <v>833.84780027577688</v>
      </c>
      <c r="AE15" s="145">
        <v>833.84780027577688</v>
      </c>
      <c r="AF15" s="144">
        <v>809.03136518193992</v>
      </c>
      <c r="AG15" s="145">
        <v>809.03136518193992</v>
      </c>
      <c r="AH15" s="144">
        <v>776.9305677119487</v>
      </c>
      <c r="AI15" s="145">
        <v>776.9305677119487</v>
      </c>
      <c r="AJ15" s="144">
        <v>730.07721321879694</v>
      </c>
      <c r="AK15" s="145">
        <v>730.07721321879694</v>
      </c>
      <c r="AL15" s="144">
        <v>649.3491362384791</v>
      </c>
      <c r="AM15" s="145">
        <v>649.3491362384791</v>
      </c>
      <c r="AN15" s="144">
        <v>476.45942347035253</v>
      </c>
      <c r="AO15" s="145">
        <v>476.45942347035253</v>
      </c>
      <c r="AP15" s="144">
        <v>416.21822757404908</v>
      </c>
      <c r="AQ15" s="145">
        <v>416.21822757404908</v>
      </c>
      <c r="AR15" s="144">
        <v>339.5790668260525</v>
      </c>
      <c r="AS15" s="145">
        <v>339.5790668260525</v>
      </c>
      <c r="AT15" s="144">
        <v>240.00750280836152</v>
      </c>
      <c r="AU15" s="145">
        <v>240.00750280836152</v>
      </c>
      <c r="AV15" s="144">
        <v>111.69537272881153</v>
      </c>
      <c r="AW15" s="145">
        <v>111.69537272881153</v>
      </c>
    </row>
    <row r="16" spans="1:49" s="27" customFormat="1" x14ac:dyDescent="0.2">
      <c r="A16" t="s">
        <v>61</v>
      </c>
      <c r="B16" s="39">
        <v>1000</v>
      </c>
      <c r="C16" s="40">
        <v>1000</v>
      </c>
      <c r="D16" s="39">
        <v>995.39338788481496</v>
      </c>
      <c r="E16" s="40">
        <v>993.98632216969338</v>
      </c>
      <c r="F16" s="39">
        <v>990.4599727708063</v>
      </c>
      <c r="G16" s="40">
        <v>987.65427800264263</v>
      </c>
      <c r="H16" s="39">
        <v>985.15438593385022</v>
      </c>
      <c r="I16" s="40">
        <v>980.95955123571798</v>
      </c>
      <c r="J16" s="39">
        <v>979.42259497438238</v>
      </c>
      <c r="K16" s="40">
        <v>973.84954607620978</v>
      </c>
      <c r="L16" s="39">
        <v>973.19966918614102</v>
      </c>
      <c r="M16" s="40">
        <v>966.26135737407924</v>
      </c>
      <c r="N16" s="39">
        <v>966.40680396795847</v>
      </c>
      <c r="O16" s="40">
        <v>958.11909659402488</v>
      </c>
      <c r="P16" s="39">
        <v>958.94723909861966</v>
      </c>
      <c r="Q16" s="40">
        <v>949.33018192619261</v>
      </c>
      <c r="R16" s="39">
        <v>950.70042756706903</v>
      </c>
      <c r="S16" s="40">
        <v>939.78009605367527</v>
      </c>
      <c r="T16" s="39">
        <v>941.51335517041457</v>
      </c>
      <c r="U16" s="40">
        <v>929.32467544678639</v>
      </c>
      <c r="V16" s="39">
        <v>931.18704850831875</v>
      </c>
      <c r="W16" s="40">
        <v>917.77803047990699</v>
      </c>
      <c r="X16" s="39">
        <v>919.45424401415562</v>
      </c>
      <c r="Y16" s="40">
        <v>904.89251760750324</v>
      </c>
      <c r="Z16" s="39">
        <v>905.93969787103504</v>
      </c>
      <c r="AA16" s="40">
        <v>890.32274205106546</v>
      </c>
      <c r="AB16" s="39">
        <v>890.08341075785688</v>
      </c>
      <c r="AC16" s="40">
        <v>873.5547132106251</v>
      </c>
      <c r="AD16" s="39">
        <v>870.97614078537015</v>
      </c>
      <c r="AE16" s="40">
        <v>853.75056279953958</v>
      </c>
      <c r="AF16" s="39">
        <v>846.96780253119437</v>
      </c>
      <c r="AG16" s="40">
        <v>829.3686626041806</v>
      </c>
      <c r="AH16" s="39">
        <v>814.64853113183301</v>
      </c>
      <c r="AI16" s="40">
        <v>797.15168161784186</v>
      </c>
      <c r="AJ16" s="39">
        <v>766.13305512379236</v>
      </c>
      <c r="AK16" s="40">
        <v>749.40769419582944</v>
      </c>
      <c r="AL16" s="39">
        <v>681.57901199555101</v>
      </c>
      <c r="AM16" s="40">
        <v>666.62853606682302</v>
      </c>
      <c r="AN16" s="39">
        <v>500.12303785295825</v>
      </c>
      <c r="AO16" s="40">
        <v>489.14620562762599</v>
      </c>
      <c r="AP16" s="39">
        <v>436.89015548296948</v>
      </c>
      <c r="AQ16" s="40">
        <v>427.30107609799671</v>
      </c>
      <c r="AR16" s="39">
        <v>356.44469475788424</v>
      </c>
      <c r="AS16" s="40">
        <v>348.6212422287615</v>
      </c>
      <c r="AT16" s="39">
        <v>251.92779542621895</v>
      </c>
      <c r="AU16" s="40">
        <v>246.39833410934662</v>
      </c>
      <c r="AV16" s="39">
        <v>117.24287358236998</v>
      </c>
      <c r="AW16" s="40">
        <v>114.66955643597269</v>
      </c>
    </row>
    <row r="17" spans="1:49" x14ac:dyDescent="0.2">
      <c r="A17" t="s">
        <v>62</v>
      </c>
      <c r="B17" s="33">
        <v>1000.0000000000002</v>
      </c>
      <c r="C17" s="34">
        <v>999.99999999999977</v>
      </c>
      <c r="D17" s="33">
        <v>998.34571798266506</v>
      </c>
      <c r="E17" s="34">
        <v>1032.8405964166811</v>
      </c>
      <c r="F17" s="33">
        <v>996.61164301600002</v>
      </c>
      <c r="G17" s="34">
        <v>1069.6322761617153</v>
      </c>
      <c r="H17" s="33">
        <v>994.7874829269432</v>
      </c>
      <c r="I17" s="34">
        <v>1111.0914215209023</v>
      </c>
      <c r="J17" s="33">
        <v>992.8617323121224</v>
      </c>
      <c r="K17" s="34">
        <v>1158.1187287985747</v>
      </c>
      <c r="L17" s="33">
        <v>990.82182187367096</v>
      </c>
      <c r="M17" s="34">
        <v>1211.8653447618017</v>
      </c>
      <c r="N17" s="33">
        <v>988.65453151157669</v>
      </c>
      <c r="O17" s="34">
        <v>1273.8299365428152</v>
      </c>
      <c r="P17" s="33">
        <v>986.34688927679554</v>
      </c>
      <c r="Q17" s="34">
        <v>1346.0056495534216</v>
      </c>
      <c r="R17" s="33">
        <v>983.888022177415</v>
      </c>
      <c r="S17" s="34">
        <v>1431.112204624302</v>
      </c>
      <c r="T17" s="33">
        <v>981.27272621980376</v>
      </c>
      <c r="U17" s="34">
        <v>1532.9768771746139</v>
      </c>
      <c r="V17" s="33">
        <v>978.5083134252925</v>
      </c>
      <c r="W17" s="34">
        <v>1657.1891047443335</v>
      </c>
      <c r="X17" s="33">
        <v>975.62770355566363</v>
      </c>
      <c r="Y17" s="34">
        <v>1812.288279188549</v>
      </c>
      <c r="Z17" s="33">
        <v>972.71467102780241</v>
      </c>
      <c r="AA17" s="34">
        <v>2012.057657084863</v>
      </c>
      <c r="AB17" s="33">
        <v>969.95269823395972</v>
      </c>
      <c r="AC17" s="34">
        <v>2280.2816816509676</v>
      </c>
      <c r="AD17" s="33">
        <v>967.71626555737805</v>
      </c>
      <c r="AE17" s="34">
        <v>2661.4266998916009</v>
      </c>
      <c r="AF17" s="33">
        <v>966.71632971709789</v>
      </c>
      <c r="AG17" s="34">
        <v>3246.6555244678011</v>
      </c>
      <c r="AH17" s="33">
        <v>968.09343376330571</v>
      </c>
      <c r="AI17" s="34">
        <v>4242.3351163011894</v>
      </c>
      <c r="AJ17" s="33">
        <v>972.96608803518745</v>
      </c>
      <c r="AK17" s="34">
        <v>6171.4394435777949</v>
      </c>
      <c r="AL17" s="33">
        <v>981.15137605441566</v>
      </c>
      <c r="AM17" s="34">
        <v>10661.202095791541</v>
      </c>
      <c r="AN17" s="33">
        <v>991.20981508326452</v>
      </c>
      <c r="AO17" s="34">
        <v>25823.179125900995</v>
      </c>
      <c r="AP17" s="33">
        <v>993.45737905976125</v>
      </c>
      <c r="AQ17" s="34">
        <v>33448.265698014497</v>
      </c>
      <c r="AR17" s="33">
        <v>995.93311040493097</v>
      </c>
      <c r="AS17" s="34">
        <v>45596.976723068816</v>
      </c>
      <c r="AT17" s="33">
        <v>998.91928892997669</v>
      </c>
      <c r="AU17" s="34">
        <v>67125.758332828787</v>
      </c>
      <c r="AV17" s="33">
        <v>1003.2623434447817</v>
      </c>
      <c r="AW17" s="34">
        <v>112615.13936988726</v>
      </c>
    </row>
    <row r="18" spans="1:49" x14ac:dyDescent="0.2">
      <c r="A18" t="s">
        <v>19</v>
      </c>
      <c r="B18" s="31">
        <v>27857.010133999996</v>
      </c>
      <c r="C18" s="32">
        <v>1236.7674480000003</v>
      </c>
      <c r="D18" s="31">
        <v>27865.788566604424</v>
      </c>
      <c r="E18" s="32">
        <v>1152.6077504401771</v>
      </c>
      <c r="F18" s="31">
        <v>27871.138160587649</v>
      </c>
      <c r="G18" s="32">
        <v>1068.2423097354338</v>
      </c>
      <c r="H18" s="31">
        <v>27872.53002900611</v>
      </c>
      <c r="I18" s="32">
        <v>983.68980768950178</v>
      </c>
      <c r="J18" s="31">
        <v>27869.310831879324</v>
      </c>
      <c r="K18" s="32">
        <v>898.9832019524531</v>
      </c>
      <c r="L18" s="31">
        <v>27860.658995168891</v>
      </c>
      <c r="M18" s="32">
        <v>814.17873594317041</v>
      </c>
      <c r="N18" s="31">
        <v>27845.521112412676</v>
      </c>
      <c r="O18" s="32">
        <v>729.36948368472383</v>
      </c>
      <c r="P18" s="31">
        <v>27822.51901521306</v>
      </c>
      <c r="Q18" s="32">
        <v>644.70280596476357</v>
      </c>
      <c r="R18" s="31">
        <v>27789.805620260089</v>
      </c>
      <c r="S18" s="32">
        <v>560.40809933154014</v>
      </c>
      <c r="T18" s="31">
        <v>27744.8332816888</v>
      </c>
      <c r="U18" s="32">
        <v>476.84205708113939</v>
      </c>
      <c r="V18" s="31">
        <v>27683.973900097408</v>
      </c>
      <c r="W18" s="32">
        <v>394.55512533912696</v>
      </c>
      <c r="X18" s="31">
        <v>27601.862774190264</v>
      </c>
      <c r="Y18" s="32">
        <v>314.39747980421475</v>
      </c>
      <c r="Z18" s="31">
        <v>27490.216181677006</v>
      </c>
      <c r="AA18" s="32">
        <v>237.68267962425423</v>
      </c>
      <c r="AB18" s="31">
        <v>27335.596818642749</v>
      </c>
      <c r="AC18" s="32">
        <v>166.42900356060611</v>
      </c>
      <c r="AD18" s="31">
        <v>27114.998681849458</v>
      </c>
      <c r="AE18" s="32">
        <v>103.66191845384137</v>
      </c>
      <c r="AF18" s="31">
        <v>26786.911570937835</v>
      </c>
      <c r="AG18" s="32">
        <v>53.53101561159702</v>
      </c>
      <c r="AH18" s="31">
        <v>26273.311583732786</v>
      </c>
      <c r="AI18" s="32">
        <v>20.290903735128847</v>
      </c>
      <c r="AJ18" s="31">
        <v>25420.855677252875</v>
      </c>
      <c r="AK18" s="32">
        <v>4.6352553954447719</v>
      </c>
      <c r="AL18" s="31">
        <v>23871.926556631013</v>
      </c>
      <c r="AM18" s="32">
        <v>0.46123592733614421</v>
      </c>
      <c r="AN18" s="31">
        <v>20337.350967385089</v>
      </c>
      <c r="AO18" s="32">
        <v>8.7516729566796195E-3</v>
      </c>
      <c r="AP18" s="31">
        <v>18985.203910845215</v>
      </c>
      <c r="AQ18" s="32">
        <v>2.6224723493940903E-3</v>
      </c>
      <c r="AR18" s="31">
        <v>17125.643557325235</v>
      </c>
      <c r="AS18" s="32">
        <v>6.0056303455232566E-4</v>
      </c>
      <c r="AT18" s="31">
        <v>14374.546234963023</v>
      </c>
      <c r="AU18" s="32">
        <v>8.9906926334302697E-5</v>
      </c>
      <c r="AV18" s="31">
        <v>9783.5046428525602</v>
      </c>
      <c r="AW18" s="32">
        <v>5.9879251516721996E-6</v>
      </c>
    </row>
    <row r="19" spans="1:49" x14ac:dyDescent="0.2">
      <c r="A19" t="s">
        <v>3</v>
      </c>
      <c r="B19" s="39">
        <v>1886.3937399999918</v>
      </c>
      <c r="C19" s="40">
        <v>262.78711299999571</v>
      </c>
      <c r="D19" s="39">
        <v>1879.1779344744787</v>
      </c>
      <c r="E19" s="40">
        <v>268.78502025732485</v>
      </c>
      <c r="F19" s="39">
        <v>1871.3606815467413</v>
      </c>
      <c r="G19" s="40">
        <v>275.65949459501689</v>
      </c>
      <c r="H19" s="39">
        <v>1862.8624164993507</v>
      </c>
      <c r="I19" s="40">
        <v>283.52018075035818</v>
      </c>
      <c r="J19" s="39">
        <v>1853.5909964842742</v>
      </c>
      <c r="K19" s="40">
        <v>292.48796295263134</v>
      </c>
      <c r="L19" s="39">
        <v>1843.4398706067957</v>
      </c>
      <c r="M19" s="40">
        <v>302.69359893388156</v>
      </c>
      <c r="N19" s="39">
        <v>1832.2864196055543</v>
      </c>
      <c r="O19" s="40">
        <v>314.27281906889556</v>
      </c>
      <c r="P19" s="39">
        <v>1819.9909424587213</v>
      </c>
      <c r="Q19" s="40">
        <v>327.35527472311242</v>
      </c>
      <c r="R19" s="39">
        <v>1806.3969593827608</v>
      </c>
      <c r="S19" s="40">
        <v>342.04325923389285</v>
      </c>
      <c r="T19" s="39">
        <v>1791.3342623763479</v>
      </c>
      <c r="U19" s="40">
        <v>358.37084422407975</v>
      </c>
      <c r="V19" s="39">
        <v>1774.6279208660619</v>
      </c>
      <c r="W19" s="40">
        <v>376.22660605831544</v>
      </c>
      <c r="X19" s="39">
        <v>1756.1186124938336</v>
      </c>
      <c r="Y19" s="40">
        <v>395.20681813561418</v>
      </c>
      <c r="Z19" s="39">
        <v>1735.7044535531579</v>
      </c>
      <c r="AA19" s="40">
        <v>414.33503415389487</v>
      </c>
      <c r="AB19" s="39">
        <v>1713.419860461956</v>
      </c>
      <c r="AC19" s="40">
        <v>431.52629000076774</v>
      </c>
      <c r="AD19" s="39">
        <v>1689.5544738727278</v>
      </c>
      <c r="AE19" s="40">
        <v>442.60050090754976</v>
      </c>
      <c r="AF19" s="39">
        <v>1664.6828465903768</v>
      </c>
      <c r="AG19" s="40">
        <v>439.76108012107295</v>
      </c>
      <c r="AH19" s="39">
        <v>1638.7475299909752</v>
      </c>
      <c r="AI19" s="40">
        <v>410.77108359244164</v>
      </c>
      <c r="AJ19" s="39">
        <v>1606.1083894276412</v>
      </c>
      <c r="AK19" s="40">
        <v>344.09220124411235</v>
      </c>
      <c r="AL19" s="39">
        <v>1540.7974321703841</v>
      </c>
      <c r="AM19" s="40">
        <v>242.36377324081133</v>
      </c>
      <c r="AN19" s="39">
        <v>1346.9782236590831</v>
      </c>
      <c r="AO19" s="40">
        <v>123.07384491306117</v>
      </c>
      <c r="AP19" s="39">
        <v>1264.6152966092902</v>
      </c>
      <c r="AQ19" s="40">
        <v>98.533472046821672</v>
      </c>
      <c r="AR19" s="39">
        <v>1147.9080477050043</v>
      </c>
      <c r="AS19" s="40">
        <v>73.930312659120318</v>
      </c>
      <c r="AT19" s="39">
        <v>970.76886822596214</v>
      </c>
      <c r="AU19" s="40">
        <v>49.296335649123534</v>
      </c>
      <c r="AV19" s="39">
        <v>667.92747231078613</v>
      </c>
      <c r="AW19" s="40">
        <v>24.649953094703694</v>
      </c>
    </row>
    <row r="20" spans="1:49" x14ac:dyDescent="0.2">
      <c r="A20" t="s">
        <v>114</v>
      </c>
      <c r="B20" s="79">
        <v>26548.356269999993</v>
      </c>
      <c r="C20" s="80">
        <v>1408.5418709999938</v>
      </c>
      <c r="D20" s="79">
        <v>26543.342045985242</v>
      </c>
      <c r="E20" s="80">
        <v>1338.1147774499941</v>
      </c>
      <c r="F20" s="79">
        <v>26534.369799958789</v>
      </c>
      <c r="G20" s="80">
        <v>1267.6876838999945</v>
      </c>
      <c r="H20" s="79">
        <v>26520.851094949081</v>
      </c>
      <c r="I20" s="80">
        <v>1197.2605903499946</v>
      </c>
      <c r="J20" s="79">
        <v>26502.069653175371</v>
      </c>
      <c r="K20" s="80">
        <v>1126.8334967999949</v>
      </c>
      <c r="L20" s="79">
        <v>26477.141134147081</v>
      </c>
      <c r="M20" s="80">
        <v>1056.4064032499953</v>
      </c>
      <c r="N20" s="79">
        <v>26444.956662311371</v>
      </c>
      <c r="O20" s="80">
        <v>985.97930969999561</v>
      </c>
      <c r="P20" s="79">
        <v>26404.103118131359</v>
      </c>
      <c r="Q20" s="80">
        <v>915.55221614999596</v>
      </c>
      <c r="R20" s="79">
        <v>26352.743336046868</v>
      </c>
      <c r="S20" s="80">
        <v>845.12512259999642</v>
      </c>
      <c r="T20" s="79">
        <v>26288.429045940447</v>
      </c>
      <c r="U20" s="80">
        <v>774.69802904999653</v>
      </c>
      <c r="V20" s="79">
        <v>26207.802768791491</v>
      </c>
      <c r="W20" s="80">
        <v>704.27093549999688</v>
      </c>
      <c r="X20" s="79">
        <v>26106.093879021897</v>
      </c>
      <c r="Y20" s="80">
        <v>633.84384194999734</v>
      </c>
      <c r="Z20" s="79">
        <v>25976.223344447717</v>
      </c>
      <c r="AA20" s="80">
        <v>563.41674839999746</v>
      </c>
      <c r="AB20" s="79">
        <v>25807.115182140853</v>
      </c>
      <c r="AC20" s="80">
        <v>492.98965484999781</v>
      </c>
      <c r="AD20" s="79">
        <v>25580.290255547061</v>
      </c>
      <c r="AE20" s="80">
        <v>422.56256129999809</v>
      </c>
      <c r="AF20" s="79">
        <v>25262.549600374954</v>
      </c>
      <c r="AG20" s="80">
        <v>352.13546774999827</v>
      </c>
      <c r="AH20" s="79">
        <v>24789.281034779891</v>
      </c>
      <c r="AI20" s="80">
        <v>281.70837419999856</v>
      </c>
      <c r="AJ20" s="79">
        <v>24022.772581360667</v>
      </c>
      <c r="AK20" s="80">
        <v>211.28128064999879</v>
      </c>
      <c r="AL20" s="79">
        <v>22617.954959977036</v>
      </c>
      <c r="AM20" s="80">
        <v>140.85418709999905</v>
      </c>
      <c r="AN20" s="79">
        <v>19329.751179928386</v>
      </c>
      <c r="AO20" s="80">
        <v>70.427093549999285</v>
      </c>
      <c r="AP20" s="79">
        <v>18057.124037010875</v>
      </c>
      <c r="AQ20" s="80">
        <v>56.341674839999335</v>
      </c>
      <c r="AR20" s="79">
        <v>16300.866294363346</v>
      </c>
      <c r="AS20" s="80">
        <v>42.256256129999379</v>
      </c>
      <c r="AT20" s="79">
        <v>13694.758466981848</v>
      </c>
      <c r="AU20" s="80">
        <v>28.170837419999433</v>
      </c>
      <c r="AV20" s="79">
        <v>9333.1261877796369</v>
      </c>
      <c r="AW20" s="80">
        <v>14.08541870999948</v>
      </c>
    </row>
    <row r="21" spans="1:49" x14ac:dyDescent="0.2">
      <c r="A21" t="s">
        <v>76</v>
      </c>
      <c r="B21" s="79">
        <v>24661.962529999968</v>
      </c>
      <c r="C21" s="80">
        <v>1145.7547579999921</v>
      </c>
      <c r="D21" s="79">
        <v>24664.170837837624</v>
      </c>
      <c r="E21" s="80">
        <v>1069.5489178460314</v>
      </c>
      <c r="F21" s="79">
        <v>24663.037357833648</v>
      </c>
      <c r="G21" s="80">
        <v>992.96693235231101</v>
      </c>
      <c r="H21" s="79">
        <v>24658.055550519734</v>
      </c>
      <c r="I21" s="80">
        <v>916.00838924851632</v>
      </c>
      <c r="J21" s="79">
        <v>24648.604129808809</v>
      </c>
      <c r="K21" s="80">
        <v>838.68711171013445</v>
      </c>
      <c r="L21" s="79">
        <v>24633.908766782766</v>
      </c>
      <c r="M21" s="80">
        <v>761.0384487263367</v>
      </c>
      <c r="N21" s="79">
        <v>24612.987360890565</v>
      </c>
      <c r="O21" s="80">
        <v>683.13100509523042</v>
      </c>
      <c r="P21" s="79">
        <v>24584.571375239837</v>
      </c>
      <c r="Q21" s="80">
        <v>605.08484612128098</v>
      </c>
      <c r="R21" s="79">
        <v>24546.985622895514</v>
      </c>
      <c r="S21" s="80">
        <v>527.09887063346309</v>
      </c>
      <c r="T21" s="79">
        <v>24497.957727355133</v>
      </c>
      <c r="U21" s="80">
        <v>449.49307893241985</v>
      </c>
      <c r="V21" s="79">
        <v>24434.30988349341</v>
      </c>
      <c r="W21" s="80">
        <v>372.7741704224843</v>
      </c>
      <c r="X21" s="79">
        <v>24351.431993691716</v>
      </c>
      <c r="Y21" s="80">
        <v>297.73813491990785</v>
      </c>
      <c r="Z21" s="79">
        <v>24242.338997245581</v>
      </c>
      <c r="AA21" s="80">
        <v>225.62936119552</v>
      </c>
      <c r="AB21" s="79">
        <v>24095.892135750939</v>
      </c>
      <c r="AC21" s="80">
        <v>158.37701634310142</v>
      </c>
      <c r="AD21" s="79">
        <v>23893.253172710291</v>
      </c>
      <c r="AE21" s="80">
        <v>98.891788853005338</v>
      </c>
      <c r="AF21" s="79">
        <v>23600.511000965569</v>
      </c>
      <c r="AG21" s="80">
        <v>51.19366114642073</v>
      </c>
      <c r="AH21" s="79">
        <v>23152.91579403049</v>
      </c>
      <c r="AI21" s="80">
        <v>19.450132043219384</v>
      </c>
      <c r="AJ21" s="79">
        <v>22418.316276817703</v>
      </c>
      <c r="AK21" s="80">
        <v>4.4519156415127652</v>
      </c>
      <c r="AL21" s="79">
        <v>21077.90969607322</v>
      </c>
      <c r="AM21" s="80">
        <v>0.44358896265421649</v>
      </c>
      <c r="AN21" s="79">
        <v>17982.911873857491</v>
      </c>
      <c r="AO21" s="80">
        <v>8.4223458350084403E-3</v>
      </c>
      <c r="AP21" s="79">
        <v>16792.580532288772</v>
      </c>
      <c r="AQ21" s="80">
        <v>2.5239419299277286E-3</v>
      </c>
      <c r="AR21" s="79">
        <v>15152.983249395122</v>
      </c>
      <c r="AS21" s="80">
        <v>5.7802355031000361E-4</v>
      </c>
      <c r="AT21" s="79">
        <v>12723.991079300322</v>
      </c>
      <c r="AU21" s="80">
        <v>8.6535129520700599E-5</v>
      </c>
      <c r="AV21" s="79">
        <v>8665.2078854487281</v>
      </c>
      <c r="AW21" s="80">
        <v>5.7634494211661203E-6</v>
      </c>
    </row>
    <row r="22" spans="1:49" x14ac:dyDescent="0.2">
      <c r="A22" t="s">
        <v>28</v>
      </c>
      <c r="B22" s="39">
        <v>6533.6044688320699</v>
      </c>
      <c r="C22" s="40">
        <v>379.90788307663399</v>
      </c>
      <c r="D22" s="39">
        <v>6502.0331513569236</v>
      </c>
      <c r="E22" s="40">
        <v>363.18376796109226</v>
      </c>
      <c r="F22" s="39">
        <v>6468.1774432125867</v>
      </c>
      <c r="G22" s="40">
        <v>346.33644415203804</v>
      </c>
      <c r="H22" s="39">
        <v>6431.7186432019007</v>
      </c>
      <c r="I22" s="40">
        <v>329.36084586034377</v>
      </c>
      <c r="J22" s="39">
        <v>6392.2709082784486</v>
      </c>
      <c r="K22" s="40">
        <v>312.25053219012182</v>
      </c>
      <c r="L22" s="39">
        <v>6349.3608834372662</v>
      </c>
      <c r="M22" s="40">
        <v>294.99670472709585</v>
      </c>
      <c r="N22" s="39">
        <v>6302.3974775568458</v>
      </c>
      <c r="O22" s="40">
        <v>277.58698136905826</v>
      </c>
      <c r="P22" s="39">
        <v>6250.6283213255292</v>
      </c>
      <c r="Q22" s="40">
        <v>260.00379831110303</v>
      </c>
      <c r="R22" s="39">
        <v>6193.0739123146141</v>
      </c>
      <c r="S22" s="40">
        <v>242.22188694335424</v>
      </c>
      <c r="T22" s="39">
        <v>6128.4214018479333</v>
      </c>
      <c r="U22" s="40">
        <v>224.20440383957558</v>
      </c>
      <c r="V22" s="39">
        <v>6054.8535875225389</v>
      </c>
      <c r="W22" s="40">
        <v>205.89733897385304</v>
      </c>
      <c r="X22" s="39">
        <v>5969.754588175796</v>
      </c>
      <c r="Y22" s="40">
        <v>187.22116894801883</v>
      </c>
      <c r="Z22" s="39">
        <v>5869.1836161844813</v>
      </c>
      <c r="AA22" s="40">
        <v>168.05898075500056</v>
      </c>
      <c r="AB22" s="39">
        <v>5746.8905188419321</v>
      </c>
      <c r="AC22" s="40">
        <v>148.24158136061121</v>
      </c>
      <c r="AD22" s="39">
        <v>5592.3983921875606</v>
      </c>
      <c r="AE22" s="40">
        <v>127.53671145210751</v>
      </c>
      <c r="AF22" s="39">
        <v>5387.2485915664511</v>
      </c>
      <c r="AG22" s="40">
        <v>105.67627454121724</v>
      </c>
      <c r="AH22" s="39">
        <v>5098.00319296612</v>
      </c>
      <c r="AI22" s="40">
        <v>82.523007681069345</v>
      </c>
      <c r="AJ22" s="39">
        <v>4663.8542652789511</v>
      </c>
      <c r="AK22" s="40">
        <v>58.490393265172223</v>
      </c>
      <c r="AL22" s="39">
        <v>3964.1565592729671</v>
      </c>
      <c r="AM22" s="40">
        <v>34.855158278061154</v>
      </c>
      <c r="AN22" s="39">
        <v>2674.9651786888853</v>
      </c>
      <c r="AO22" s="40">
        <v>13.53071290506618</v>
      </c>
      <c r="AP22" s="39">
        <v>2273.3774400046391</v>
      </c>
      <c r="AQ22" s="40">
        <v>9.8116106135736576</v>
      </c>
      <c r="AR22" s="39">
        <v>1790.6229261866497</v>
      </c>
      <c r="AS22" s="40">
        <v>6.3980503278070522</v>
      </c>
      <c r="AT22" s="39">
        <v>1206.38834018749</v>
      </c>
      <c r="AU22" s="40">
        <v>3.4105332820049288</v>
      </c>
      <c r="AV22" s="39">
        <v>522.43610273416607</v>
      </c>
      <c r="AW22" s="40">
        <v>1.0821344303534737</v>
      </c>
    </row>
    <row r="23" spans="1:49" x14ac:dyDescent="0.2">
      <c r="A23" t="s">
        <v>7</v>
      </c>
      <c r="B23" s="110">
        <v>3278.5018080150408</v>
      </c>
      <c r="C23" s="8">
        <v>0</v>
      </c>
      <c r="D23" s="110">
        <v>3283.9260723811958</v>
      </c>
      <c r="E23" s="8">
        <v>0</v>
      </c>
      <c r="F23" s="110">
        <v>3288.9644015334557</v>
      </c>
      <c r="G23" s="8">
        <v>0</v>
      </c>
      <c r="H23" s="110">
        <v>3293.5547576079375</v>
      </c>
      <c r="I23" s="8">
        <v>0</v>
      </c>
      <c r="J23" s="110">
        <v>3297.6212557968461</v>
      </c>
      <c r="K23" s="8">
        <v>0</v>
      </c>
      <c r="L23" s="110">
        <v>3301.069828520685</v>
      </c>
      <c r="M23" s="8">
        <v>0</v>
      </c>
      <c r="N23" s="110">
        <v>3303.7822261761753</v>
      </c>
      <c r="O23" s="8">
        <v>0</v>
      </c>
      <c r="P23" s="110">
        <v>3305.6079967837727</v>
      </c>
      <c r="Q23" s="8">
        <v>0</v>
      </c>
      <c r="R23" s="110">
        <v>3306.3527056999624</v>
      </c>
      <c r="S23" s="8">
        <v>0</v>
      </c>
      <c r="T23" s="110">
        <v>3305.759832107643</v>
      </c>
      <c r="U23" s="8">
        <v>0</v>
      </c>
      <c r="V23" s="110">
        <v>3303.4832391409468</v>
      </c>
      <c r="W23" s="8">
        <v>0</v>
      </c>
      <c r="X23" s="110">
        <v>3299.0417447390778</v>
      </c>
      <c r="Y23" s="8">
        <v>0</v>
      </c>
      <c r="Z23" s="110">
        <v>3291.7401406225567</v>
      </c>
      <c r="AA23" s="8">
        <v>0</v>
      </c>
      <c r="AB23" s="110">
        <v>3280.5205569135933</v>
      </c>
      <c r="AC23" s="8">
        <v>0</v>
      </c>
      <c r="AD23" s="110">
        <v>3263.6506994894798</v>
      </c>
      <c r="AE23" s="8">
        <v>0</v>
      </c>
      <c r="AF23" s="110">
        <v>3237.9843347079204</v>
      </c>
      <c r="AG23" s="8">
        <v>0</v>
      </c>
      <c r="AH23" s="110">
        <v>3196.9501267362684</v>
      </c>
      <c r="AI23" s="8">
        <v>0</v>
      </c>
      <c r="AJ23" s="110">
        <v>3124.538683493387</v>
      </c>
      <c r="AK23" s="8">
        <v>0</v>
      </c>
      <c r="AL23" s="110">
        <v>2975.3017890142582</v>
      </c>
      <c r="AM23" s="8">
        <v>0</v>
      </c>
      <c r="AN23" s="110">
        <v>2575.0008734274334</v>
      </c>
      <c r="AO23" s="8">
        <v>0</v>
      </c>
      <c r="AP23" s="110">
        <v>2409.2159458603592</v>
      </c>
      <c r="AQ23" s="8">
        <v>0</v>
      </c>
      <c r="AR23" s="110">
        <v>2174.8801564794312</v>
      </c>
      <c r="AS23" s="8">
        <v>0</v>
      </c>
      <c r="AT23" s="110">
        <v>1820.3503491081192</v>
      </c>
      <c r="AU23" s="8">
        <v>0</v>
      </c>
      <c r="AV23" s="110">
        <v>1223.2723348484501</v>
      </c>
      <c r="AW23" s="8">
        <v>0</v>
      </c>
    </row>
    <row r="24" spans="1:49" x14ac:dyDescent="0.2">
      <c r="A24" t="s">
        <v>8</v>
      </c>
      <c r="B24" s="93">
        <v>3196.3846373657216</v>
      </c>
      <c r="C24" s="8">
        <v>0</v>
      </c>
      <c r="D24" s="93">
        <v>3236.3333378338766</v>
      </c>
      <c r="E24" s="8">
        <v>0</v>
      </c>
      <c r="F24" s="93">
        <v>3276.7886652856519</v>
      </c>
      <c r="G24" s="8">
        <v>0</v>
      </c>
      <c r="H24" s="93">
        <v>3317.8081843176883</v>
      </c>
      <c r="I24" s="8">
        <v>0</v>
      </c>
      <c r="J24" s="93">
        <v>3359.4607743840238</v>
      </c>
      <c r="K24" s="8">
        <v>0</v>
      </c>
      <c r="L24" s="93">
        <v>3401.8304002015529</v>
      </c>
      <c r="M24" s="8">
        <v>0</v>
      </c>
      <c r="N24" s="93">
        <v>3445.0229597447428</v>
      </c>
      <c r="O24" s="8">
        <v>0</v>
      </c>
      <c r="P24" s="93">
        <v>3489.1779497311563</v>
      </c>
      <c r="Q24" s="8">
        <v>0</v>
      </c>
      <c r="R24" s="93">
        <v>3534.4877772299315</v>
      </c>
      <c r="S24" s="8">
        <v>0</v>
      </c>
      <c r="T24" s="93">
        <v>3581.2325503722554</v>
      </c>
      <c r="U24" s="8">
        <v>0</v>
      </c>
      <c r="V24" s="93">
        <v>3629.8422868712364</v>
      </c>
      <c r="W24" s="8">
        <v>0</v>
      </c>
      <c r="X24" s="93">
        <v>3681.0128712234737</v>
      </c>
      <c r="Y24" s="8">
        <v>0</v>
      </c>
      <c r="Z24" s="93">
        <v>3735.9267511931162</v>
      </c>
      <c r="AA24" s="8">
        <v>0</v>
      </c>
      <c r="AB24" s="93">
        <v>3796.6797206318229</v>
      </c>
      <c r="AC24" s="8">
        <v>0</v>
      </c>
      <c r="AD24" s="93">
        <v>3867.0869990413971</v>
      </c>
      <c r="AE24" s="8">
        <v>0</v>
      </c>
      <c r="AF24" s="93">
        <v>3954.0100150349954</v>
      </c>
      <c r="AG24" s="8">
        <v>0</v>
      </c>
      <c r="AH24" s="93">
        <v>4068.3762414970274</v>
      </c>
      <c r="AI24" s="8">
        <v>0</v>
      </c>
      <c r="AJ24" s="93">
        <v>4221.1399253056343</v>
      </c>
      <c r="AK24" s="8">
        <v>0</v>
      </c>
      <c r="AL24" s="93">
        <v>4403.3172532884992</v>
      </c>
      <c r="AM24" s="8">
        <v>0</v>
      </c>
      <c r="AN24" s="93">
        <v>4478.2354946490641</v>
      </c>
      <c r="AO24" s="8">
        <v>0</v>
      </c>
      <c r="AP24" s="93">
        <v>4412.1325603530331</v>
      </c>
      <c r="AQ24" s="8">
        <v>0</v>
      </c>
      <c r="AR24" s="93">
        <v>4251.5730988768564</v>
      </c>
      <c r="AS24" s="8">
        <v>0</v>
      </c>
      <c r="AT24" s="93">
        <v>3883.5758037406754</v>
      </c>
      <c r="AU24" s="8">
        <v>0</v>
      </c>
      <c r="AV24" s="93">
        <v>2970.5544391740991</v>
      </c>
      <c r="AW24" s="8">
        <v>0</v>
      </c>
    </row>
    <row r="25" spans="1:49" x14ac:dyDescent="0.2">
      <c r="A25" t="s">
        <v>0</v>
      </c>
      <c r="B25" s="39">
        <v>3195.0476039999967</v>
      </c>
      <c r="C25" s="40">
        <v>91.012690000004142</v>
      </c>
      <c r="D25" s="39">
        <v>3201.6122692891322</v>
      </c>
      <c r="E25" s="40">
        <v>83.038250215203831</v>
      </c>
      <c r="F25" s="39">
        <v>3208.077814871865</v>
      </c>
      <c r="G25" s="40">
        <v>75.195677388664777</v>
      </c>
      <c r="H25" s="39">
        <v>3214.4198185043037</v>
      </c>
      <c r="I25" s="40">
        <v>67.504718282779578</v>
      </c>
      <c r="J25" s="39">
        <v>3220.6036951688825</v>
      </c>
      <c r="K25" s="40">
        <v>59.988209102027824</v>
      </c>
      <c r="L25" s="39">
        <v>3226.5790934532483</v>
      </c>
      <c r="M25" s="40">
        <v>52.672749068913667</v>
      </c>
      <c r="N25" s="39">
        <v>3232.2709246436257</v>
      </c>
      <c r="O25" s="40">
        <v>45.589618510995933</v>
      </c>
      <c r="P25" s="39">
        <v>3237.5650506641168</v>
      </c>
      <c r="Q25" s="40">
        <v>38.775794283985967</v>
      </c>
      <c r="R25" s="39">
        <v>3242.284398722858</v>
      </c>
      <c r="S25" s="40">
        <v>32.275298764049687</v>
      </c>
      <c r="T25" s="39">
        <v>3246.1481767695432</v>
      </c>
      <c r="U25" s="40">
        <v>26.141088257560565</v>
      </c>
      <c r="V25" s="39">
        <v>3248.7011782610884</v>
      </c>
      <c r="W25" s="40">
        <v>20.437245525418529</v>
      </c>
      <c r="X25" s="39">
        <v>3249.1867876825781</v>
      </c>
      <c r="Y25" s="40">
        <v>15.241744532702453</v>
      </c>
      <c r="Z25" s="39">
        <v>3246.3123124644599</v>
      </c>
      <c r="AA25" s="40">
        <v>10.649255777525175</v>
      </c>
      <c r="AB25" s="39">
        <v>3237.8037031708568</v>
      </c>
      <c r="AC25" s="40">
        <v>6.7722478867308995</v>
      </c>
      <c r="AD25" s="39">
        <v>3219.5556632472094</v>
      </c>
      <c r="AE25" s="40">
        <v>3.7347631859999129</v>
      </c>
      <c r="AF25" s="39">
        <v>3184.094957064036</v>
      </c>
      <c r="AG25" s="40">
        <v>1.6423328783324938</v>
      </c>
      <c r="AH25" s="39">
        <v>3118.3253026052435</v>
      </c>
      <c r="AI25" s="40">
        <v>0.49819627253939042</v>
      </c>
      <c r="AJ25" s="39">
        <v>3001.1198204308062</v>
      </c>
      <c r="AK25" s="40">
        <v>8.2417903793424827E-2</v>
      </c>
      <c r="AL25" s="39">
        <v>2793.3826784674916</v>
      </c>
      <c r="AM25" s="40">
        <v>5.0338818239752583E-3</v>
      </c>
      <c r="AN25" s="39">
        <v>2354.3246237850581</v>
      </c>
      <c r="AO25" s="40">
        <v>4.1993992422372176E-5</v>
      </c>
      <c r="AP25" s="39">
        <v>2192.5645208094616</v>
      </c>
      <c r="AQ25" s="40">
        <v>9.8408780358889629E-6</v>
      </c>
      <c r="AR25" s="39">
        <v>1972.6399236470802</v>
      </c>
      <c r="AS25" s="40">
        <v>1.6746660180333526E-6</v>
      </c>
      <c r="AT25" s="39">
        <v>1650.5539566046534</v>
      </c>
      <c r="AU25" s="40">
        <v>1.7251481722481909E-7</v>
      </c>
      <c r="AV25" s="39">
        <v>1118.289402698163</v>
      </c>
      <c r="AW25" s="40">
        <v>6.9377686226927651E-9</v>
      </c>
    </row>
    <row r="26" spans="1:49" x14ac:dyDescent="0.2">
      <c r="A26" t="s">
        <v>27</v>
      </c>
      <c r="B26" s="31">
        <v>5036.2953101960647</v>
      </c>
      <c r="C26" s="32">
        <v>74.905331803938267</v>
      </c>
      <c r="D26" s="31">
        <v>5041.0365490822223</v>
      </c>
      <c r="E26" s="32">
        <v>70.164092917777552</v>
      </c>
      <c r="F26" s="31">
        <v>5045.8074520596747</v>
      </c>
      <c r="G26" s="32">
        <v>65.393189940329947</v>
      </c>
      <c r="H26" s="31">
        <v>5050.610404414535</v>
      </c>
      <c r="I26" s="32">
        <v>60.590237585469218</v>
      </c>
      <c r="J26" s="31">
        <v>5055.4475808712332</v>
      </c>
      <c r="K26" s="32">
        <v>55.753061128771883</v>
      </c>
      <c r="L26" s="31">
        <v>5060.3205620858316</v>
      </c>
      <c r="M26" s="32">
        <v>50.88007991417394</v>
      </c>
      <c r="N26" s="31">
        <v>5065.2296985377443</v>
      </c>
      <c r="O26" s="32">
        <v>45.970943462259555</v>
      </c>
      <c r="P26" s="31">
        <v>5070.1731973511387</v>
      </c>
      <c r="Q26" s="32">
        <v>41.02744464887062</v>
      </c>
      <c r="R26" s="31">
        <v>5075.1455869549691</v>
      </c>
      <c r="S26" s="32">
        <v>36.055055045035957</v>
      </c>
      <c r="T26" s="31">
        <v>5080.1351007575859</v>
      </c>
      <c r="U26" s="32">
        <v>31.065541242418682</v>
      </c>
      <c r="V26" s="31">
        <v>5085.1195367139098</v>
      </c>
      <c r="W26" s="32">
        <v>26.081105286093781</v>
      </c>
      <c r="X26" s="31">
        <v>5090.0593064680497</v>
      </c>
      <c r="Y26" s="32">
        <v>21.141335531955033</v>
      </c>
      <c r="Z26" s="31">
        <v>5094.8859669976155</v>
      </c>
      <c r="AA26" s="32">
        <v>16.314675002385602</v>
      </c>
      <c r="AB26" s="31">
        <v>5099.4837921407534</v>
      </c>
      <c r="AC26" s="32">
        <v>11.716849859254831</v>
      </c>
      <c r="AD26" s="31">
        <v>5103.6630306468323</v>
      </c>
      <c r="AE26" s="32">
        <v>7.5376113531686846</v>
      </c>
      <c r="AF26" s="31">
        <v>5107.1367076794031</v>
      </c>
      <c r="AG26" s="32">
        <v>4.0639343206014553</v>
      </c>
      <c r="AH26" s="31">
        <v>5109.5637235152208</v>
      </c>
      <c r="AI26" s="32">
        <v>1.6369184847865654</v>
      </c>
      <c r="AJ26" s="31">
        <v>5110.7912264582656</v>
      </c>
      <c r="AK26" s="32">
        <v>0.40941554173927125</v>
      </c>
      <c r="AL26" s="31">
        <v>5111.1535360703883</v>
      </c>
      <c r="AM26" s="32">
        <v>4.7105929616396473E-2</v>
      </c>
      <c r="AN26" s="31">
        <v>5111.1994638067981</v>
      </c>
      <c r="AO26" s="32">
        <v>1.1781932059727832E-3</v>
      </c>
      <c r="AP26" s="31">
        <v>5111.2002541986276</v>
      </c>
      <c r="AQ26" s="32">
        <v>3.8780137990940337E-4</v>
      </c>
      <c r="AR26" s="31">
        <v>5111.2005414957803</v>
      </c>
      <c r="AS26" s="32">
        <v>1.0050422210666747E-4</v>
      </c>
      <c r="AT26" s="31">
        <v>5111.2006240086575</v>
      </c>
      <c r="AU26" s="32">
        <v>1.7991344520392318E-5</v>
      </c>
      <c r="AV26" s="31">
        <v>5111.2006403566611</v>
      </c>
      <c r="AW26" s="32">
        <v>1.6433432073562067E-6</v>
      </c>
    </row>
    <row r="27" spans="1:49" x14ac:dyDescent="0.2">
      <c r="A27" t="s">
        <v>2</v>
      </c>
      <c r="B27" s="33">
        <v>6425.1981590000414</v>
      </c>
      <c r="C27" s="34">
        <v>273.22915400000028</v>
      </c>
      <c r="D27" s="33">
        <v>6442.2732521589305</v>
      </c>
      <c r="E27" s="34">
        <v>256.1540823253581</v>
      </c>
      <c r="F27" s="33">
        <v>6459.4851633711232</v>
      </c>
      <c r="G27" s="34">
        <v>238.94214970186997</v>
      </c>
      <c r="H27" s="33">
        <v>6476.8429918045249</v>
      </c>
      <c r="I27" s="34">
        <v>221.58432120544359</v>
      </c>
      <c r="J27" s="33">
        <v>6494.355237703473</v>
      </c>
      <c r="K27" s="34">
        <v>204.07208061810314</v>
      </c>
      <c r="L27" s="33">
        <v>6512.0283398967822</v>
      </c>
      <c r="M27" s="34">
        <v>186.3989727291507</v>
      </c>
      <c r="N27" s="33">
        <v>6529.864222157923</v>
      </c>
      <c r="O27" s="34">
        <v>168.56308964104676</v>
      </c>
      <c r="P27" s="33">
        <v>6547.8570219384856</v>
      </c>
      <c r="Q27" s="34">
        <v>150.57029234440213</v>
      </c>
      <c r="R27" s="33">
        <v>6565.9875039314093</v>
      </c>
      <c r="S27" s="34">
        <v>132.43981149233568</v>
      </c>
      <c r="T27" s="33">
        <v>6584.2131801924916</v>
      </c>
      <c r="U27" s="34">
        <v>114.21413471381524</v>
      </c>
      <c r="V27" s="33">
        <v>6602.4530726087878</v>
      </c>
      <c r="W27" s="34">
        <v>95.974241877770027</v>
      </c>
      <c r="X27" s="33">
        <v>6620.5618235530465</v>
      </c>
      <c r="Y27" s="34">
        <v>77.865491659565279</v>
      </c>
      <c r="Z27" s="33">
        <v>6638.2869805118598</v>
      </c>
      <c r="AA27" s="34">
        <v>60.140343149507586</v>
      </c>
      <c r="AB27" s="33">
        <v>6655.2003398346842</v>
      </c>
      <c r="AC27" s="34">
        <v>43.226977994095023</v>
      </c>
      <c r="AD27" s="33">
        <v>6670.5980474054404</v>
      </c>
      <c r="AE27" s="34">
        <v>27.829264471509973</v>
      </c>
      <c r="AF27" s="33">
        <v>6683.4137512529132</v>
      </c>
      <c r="AG27" s="34">
        <v>15.013565078538468</v>
      </c>
      <c r="AH27" s="33">
        <v>6692.3773600634886</v>
      </c>
      <c r="AI27" s="34">
        <v>6.0499522626828615</v>
      </c>
      <c r="AJ27" s="33">
        <v>6696.9138073747799</v>
      </c>
      <c r="AK27" s="34">
        <v>1.5135065871369628</v>
      </c>
      <c r="AL27" s="33">
        <v>6698.2531627909702</v>
      </c>
      <c r="AM27" s="34">
        <v>0.17414998976107143</v>
      </c>
      <c r="AN27" s="33">
        <v>6698.4229571860569</v>
      </c>
      <c r="AO27" s="34">
        <v>4.3558005259491939E-3</v>
      </c>
      <c r="AP27" s="33">
        <v>6698.4258796511513</v>
      </c>
      <c r="AQ27" s="34">
        <v>1.4337086401519797E-3</v>
      </c>
      <c r="AR27" s="33">
        <v>6698.4269414560704</v>
      </c>
      <c r="AS27" s="34">
        <v>3.7156601459484751E-4</v>
      </c>
      <c r="AT27" s="33">
        <v>6698.4272496874401</v>
      </c>
      <c r="AU27" s="34">
        <v>6.6514321717947063E-5</v>
      </c>
      <c r="AV27" s="33">
        <v>6698.4273067391141</v>
      </c>
      <c r="AW27" s="34">
        <v>6.0754698810681497E-6</v>
      </c>
    </row>
    <row r="28" spans="1:49" x14ac:dyDescent="0.2">
      <c r="A28" t="s">
        <v>35</v>
      </c>
      <c r="B28" s="39">
        <v>13763.097676000029</v>
      </c>
      <c r="C28" s="40">
        <v>382.36647899999997</v>
      </c>
      <c r="D28" s="39">
        <v>13787.063988156679</v>
      </c>
      <c r="E28" s="40">
        <v>358.38322710183053</v>
      </c>
      <c r="F28" s="39">
        <v>13811.176300322408</v>
      </c>
      <c r="G28" s="40">
        <v>334.21958032830196</v>
      </c>
      <c r="H28" s="39">
        <v>13835.446420835919</v>
      </c>
      <c r="I28" s="40">
        <v>309.86309623854697</v>
      </c>
      <c r="J28" s="39">
        <v>13859.885182594557</v>
      </c>
      <c r="K28" s="40">
        <v>285.30216068371857</v>
      </c>
      <c r="L28" s="39">
        <v>13884.500441212478</v>
      </c>
      <c r="M28" s="40">
        <v>260.52808969586152</v>
      </c>
      <c r="N28" s="39">
        <v>13909.293744437662</v>
      </c>
      <c r="O28" s="40">
        <v>235.53854189151247</v>
      </c>
      <c r="P28" s="39">
        <v>13934.25582115826</v>
      </c>
      <c r="Q28" s="40">
        <v>210.34207159092142</v>
      </c>
      <c r="R28" s="39">
        <v>13959.358926263034</v>
      </c>
      <c r="S28" s="40">
        <v>184.96596771269196</v>
      </c>
      <c r="T28" s="39">
        <v>13984.543466723497</v>
      </c>
      <c r="U28" s="40">
        <v>159.46994987382305</v>
      </c>
      <c r="V28" s="39">
        <v>14009.697277072099</v>
      </c>
      <c r="W28" s="40">
        <v>133.96743463352848</v>
      </c>
      <c r="X28" s="39">
        <v>14034.620568454442</v>
      </c>
      <c r="Y28" s="40">
        <v>108.66154192059781</v>
      </c>
      <c r="Z28" s="39">
        <v>14058.968167998923</v>
      </c>
      <c r="AA28" s="40">
        <v>83.90451102504565</v>
      </c>
      <c r="AB28" s="39">
        <v>14082.156776641146</v>
      </c>
      <c r="AC28" s="40">
        <v>60.293146934921324</v>
      </c>
      <c r="AD28" s="39">
        <v>14103.230260075106</v>
      </c>
      <c r="AE28" s="40">
        <v>38.807697987598971</v>
      </c>
      <c r="AF28" s="39">
        <v>14120.743070002807</v>
      </c>
      <c r="AG28" s="40">
        <v>20.932410415622233</v>
      </c>
      <c r="AH28" s="39">
        <v>14132.977454782747</v>
      </c>
      <c r="AI28" s="40">
        <v>8.433948043454647</v>
      </c>
      <c r="AJ28" s="39">
        <v>14139.164690458207</v>
      </c>
      <c r="AK28" s="40">
        <v>2.1097678289649786</v>
      </c>
      <c r="AL28" s="39">
        <v>14140.990847888346</v>
      </c>
      <c r="AM28" s="40">
        <v>0.24275344727827708</v>
      </c>
      <c r="AN28" s="39">
        <v>14141.222336660841</v>
      </c>
      <c r="AO28" s="40">
        <v>6.0716796982457563E-3</v>
      </c>
      <c r="AP28" s="39">
        <v>14141.226320807262</v>
      </c>
      <c r="AQ28" s="40">
        <v>1.9984889316883086E-3</v>
      </c>
      <c r="AR28" s="39">
        <v>14141.227768541685</v>
      </c>
      <c r="AS28" s="40">
        <v>5.1793682636658539E-4</v>
      </c>
      <c r="AT28" s="39">
        <v>14141.228187458446</v>
      </c>
      <c r="AU28" s="40">
        <v>9.2716283182274028E-5</v>
      </c>
      <c r="AV28" s="39">
        <v>14141.228266629945</v>
      </c>
      <c r="AW28" s="40">
        <v>8.4687771187065512E-6</v>
      </c>
    </row>
    <row r="29" spans="1:49" x14ac:dyDescent="0.2">
      <c r="A29" t="s">
        <v>53</v>
      </c>
      <c r="B29" s="33">
        <v>14362.768558000025</v>
      </c>
      <c r="C29" s="34">
        <v>817.26650999999993</v>
      </c>
      <c r="D29" s="33">
        <v>14366.489423562849</v>
      </c>
      <c r="E29" s="34">
        <v>758.69695976474361</v>
      </c>
      <c r="F29" s="33">
        <v>14368.390600599774</v>
      </c>
      <c r="G29" s="34">
        <v>700.25850598333102</v>
      </c>
      <c r="H29" s="33">
        <v>14368.192525389852</v>
      </c>
      <c r="I29" s="34">
        <v>641.99119750845216</v>
      </c>
      <c r="J29" s="33">
        <v>14365.550598373862</v>
      </c>
      <c r="K29" s="34">
        <v>583.94728942491554</v>
      </c>
      <c r="L29" s="33">
        <v>14360.032530112665</v>
      </c>
      <c r="M29" s="34">
        <v>526.19716903274048</v>
      </c>
      <c r="N29" s="33">
        <v>14351.085701751796</v>
      </c>
      <c r="O29" s="34">
        <v>468.83808606800085</v>
      </c>
      <c r="P29" s="33">
        <v>14337.989788084524</v>
      </c>
      <c r="Q29" s="34">
        <v>412.0051447340112</v>
      </c>
      <c r="R29" s="33">
        <v>14319.783507688064</v>
      </c>
      <c r="S29" s="34">
        <v>355.88842172457686</v>
      </c>
      <c r="T29" s="33">
        <v>14295.147529101798</v>
      </c>
      <c r="U29" s="34">
        <v>300.76044220500421</v>
      </c>
      <c r="V29" s="33">
        <v>14262.213222218707</v>
      </c>
      <c r="W29" s="34">
        <v>247.01568385039235</v>
      </c>
      <c r="X29" s="33">
        <v>14218.233591888384</v>
      </c>
      <c r="Y29" s="34">
        <v>195.23253037677458</v>
      </c>
      <c r="Z29" s="33">
        <v>14158.991795177852</v>
      </c>
      <c r="AA29" s="34">
        <v>146.26686833007562</v>
      </c>
      <c r="AB29" s="33">
        <v>14077.684274816576</v>
      </c>
      <c r="AC29" s="34">
        <v>101.38582653435533</v>
      </c>
      <c r="AD29" s="33">
        <v>13962.70863585794</v>
      </c>
      <c r="AE29" s="34">
        <v>62.424618378269273</v>
      </c>
      <c r="AF29" s="33">
        <v>13793.149529919123</v>
      </c>
      <c r="AG29" s="34">
        <v>31.807606103880811</v>
      </c>
      <c r="AH29" s="33">
        <v>13529.512198952843</v>
      </c>
      <c r="AI29" s="34">
        <v>11.868581346684708</v>
      </c>
      <c r="AJ29" s="33">
        <v>13093.295570955996</v>
      </c>
      <c r="AK29" s="34">
        <v>2.6619596947537336</v>
      </c>
      <c r="AL29" s="33">
        <v>12299.626035680592</v>
      </c>
      <c r="AM29" s="34">
        <v>0.25945899280496432</v>
      </c>
      <c r="AN29" s="33">
        <v>10482.492350352706</v>
      </c>
      <c r="AO29" s="34">
        <v>4.8144866758375211E-3</v>
      </c>
      <c r="AP29" s="33">
        <v>9786.3456904910527</v>
      </c>
      <c r="AQ29" s="34">
        <v>1.4360704099514313E-3</v>
      </c>
      <c r="AR29" s="33">
        <v>8828.5642044428096</v>
      </c>
      <c r="AS29" s="34">
        <v>3.2735210028935093E-4</v>
      </c>
      <c r="AT29" s="33">
        <v>7411.087552727543</v>
      </c>
      <c r="AU29" s="34">
        <v>4.8778343159831435E-5</v>
      </c>
      <c r="AV29" s="33">
        <v>5044.813019581482</v>
      </c>
      <c r="AW29" s="34">
        <v>3.233459551585974E-6</v>
      </c>
    </row>
    <row r="30" spans="1:49" x14ac:dyDescent="0.2">
      <c r="A30" t="s">
        <v>48</v>
      </c>
      <c r="B30" s="112">
        <v>2924829.9599999995</v>
      </c>
      <c r="D30" s="112">
        <v>2983468.2625458152</v>
      </c>
      <c r="F30" s="112">
        <v>3042758.6958897286</v>
      </c>
      <c r="H30" s="112">
        <v>3102787.398922313</v>
      </c>
      <c r="J30" s="112">
        <v>3163659.2755591888</v>
      </c>
      <c r="L30" s="112">
        <v>3225508.8666108586</v>
      </c>
      <c r="N30" s="112">
        <v>3288516.5163120641</v>
      </c>
      <c r="P30" s="112">
        <v>3352935.2313662181</v>
      </c>
      <c r="R30" s="112">
        <v>3419138.531114148</v>
      </c>
      <c r="T30" s="112">
        <v>3487703.2270540944</v>
      </c>
      <c r="V30" s="112">
        <v>3559561.4163959711</v>
      </c>
      <c r="X30" s="112">
        <v>3636281.6380866715</v>
      </c>
      <c r="Z30" s="112">
        <v>3720606.7108575627</v>
      </c>
      <c r="AB30" s="112">
        <v>3817504.6147864689</v>
      </c>
      <c r="AD30" s="112">
        <v>3936206.110232247</v>
      </c>
      <c r="AF30" s="112">
        <v>4093823.9803711055</v>
      </c>
      <c r="AH30" s="112">
        <v>4319579.6323793028</v>
      </c>
      <c r="AJ30" s="112">
        <v>4651679.1717496142</v>
      </c>
      <c r="AL30" s="112">
        <v>5113482.9698734824</v>
      </c>
      <c r="AN30" s="112">
        <v>5605466.9230579166</v>
      </c>
      <c r="AP30" s="112">
        <v>5634785.5695377029</v>
      </c>
      <c r="AR30" s="112">
        <v>5557710.9137715437</v>
      </c>
      <c r="AT30" s="112">
        <v>5222015.4882425973</v>
      </c>
      <c r="AV30" s="112">
        <v>4144816.1780767739</v>
      </c>
    </row>
    <row r="31" spans="1:49" x14ac:dyDescent="0.2">
      <c r="A31" t="s">
        <v>47</v>
      </c>
      <c r="B31" s="77">
        <v>1</v>
      </c>
      <c r="D31" s="77">
        <v>0.99296618797721159</v>
      </c>
      <c r="F31" s="77">
        <v>0.98543593577150623</v>
      </c>
      <c r="H31" s="77">
        <v>0.97734343283897884</v>
      </c>
      <c r="J31" s="77">
        <v>0.9686095807600773</v>
      </c>
      <c r="L31" s="77">
        <v>0.95913801550647804</v>
      </c>
      <c r="N31" s="77">
        <v>0.94880931839787208</v>
      </c>
      <c r="P31" s="77">
        <v>0.93747272306712592</v>
      </c>
      <c r="R31" s="77">
        <v>0.92493361836966159</v>
      </c>
      <c r="T31" s="77">
        <v>0.91093365050145381</v>
      </c>
      <c r="V31" s="77">
        <v>0.89511891517756226</v>
      </c>
      <c r="X31" s="77">
        <v>0.8769859690404449</v>
      </c>
      <c r="Z31" s="77">
        <v>0.85578686084429412</v>
      </c>
      <c r="AB31" s="77">
        <v>0.83035539263281732</v>
      </c>
      <c r="AD31" s="77">
        <v>0.79877987389764271</v>
      </c>
      <c r="AF31" s="77">
        <v>0.75779707181759326</v>
      </c>
      <c r="AH31" s="77">
        <v>0.70178267971210484</v>
      </c>
      <c r="AJ31" s="77">
        <v>0.62134217313259998</v>
      </c>
      <c r="AL31" s="77">
        <v>0.50021770375087438</v>
      </c>
      <c r="AN31" s="77">
        <v>0.30277591568107937</v>
      </c>
      <c r="AP31" s="77">
        <v>0.24785259629937384</v>
      </c>
      <c r="AR31" s="77">
        <v>0.18594523773702273</v>
      </c>
      <c r="AT31" s="77">
        <v>0.11716973070114529</v>
      </c>
      <c r="AV31" s="77">
        <v>4.5874414528498011E-2</v>
      </c>
    </row>
    <row r="32" spans="1:49" x14ac:dyDescent="0.2">
      <c r="A32" t="s">
        <v>64</v>
      </c>
      <c r="B32" s="83">
        <v>14734457.915000005</v>
      </c>
      <c r="D32" s="83">
        <v>14731972.600985602</v>
      </c>
      <c r="F32" s="83">
        <v>14726343.106031543</v>
      </c>
      <c r="H32" s="83">
        <v>14717123.372959884</v>
      </c>
      <c r="J32" s="83">
        <v>14703787.38842508</v>
      </c>
      <c r="L32" s="83">
        <v>14685712.930951534</v>
      </c>
      <c r="N32" s="83">
        <v>14662163.037823083</v>
      </c>
      <c r="P32" s="83">
        <v>14632267.56819872</v>
      </c>
      <c r="R32" s="83">
        <v>14595004.768970063</v>
      </c>
      <c r="T32" s="83">
        <v>14549185.394748107</v>
      </c>
      <c r="V32" s="83">
        <v>14493452.025510293</v>
      </c>
      <c r="X32" s="83">
        <v>14426306.887880575</v>
      </c>
      <c r="Z32" s="83">
        <v>14346197.585079117</v>
      </c>
      <c r="AB32" s="83">
        <v>14251688.197799187</v>
      </c>
      <c r="AD32" s="83">
        <v>14141595.699364962</v>
      </c>
      <c r="AF32" s="83">
        <v>14014037.857499484</v>
      </c>
      <c r="AH32" s="83">
        <v>13858661.945894355</v>
      </c>
      <c r="AJ32" s="83">
        <v>13621443.916312711</v>
      </c>
      <c r="AL32" s="83">
        <v>13092980.147518273</v>
      </c>
      <c r="AN32" s="83">
        <v>11460562.042948522</v>
      </c>
      <c r="AP32" s="83">
        <v>10749593.315391079</v>
      </c>
      <c r="AR32" s="83">
        <v>9730718.722167667</v>
      </c>
      <c r="AT32" s="83">
        <v>8171411.7268142952</v>
      </c>
      <c r="AV32" s="83">
        <v>5517414.5887579415</v>
      </c>
    </row>
    <row r="33" spans="1:49 16319:16384" x14ac:dyDescent="0.2">
      <c r="A33" t="s">
        <v>54</v>
      </c>
      <c r="B33" s="111">
        <v>7019665.6909999922</v>
      </c>
      <c r="D33" s="111">
        <v>6983334.0622253055</v>
      </c>
      <c r="F33" s="111">
        <v>6944745.1907044426</v>
      </c>
      <c r="H33" s="111">
        <v>6903583.7998291012</v>
      </c>
      <c r="J33" s="111">
        <v>6859474.5501037315</v>
      </c>
      <c r="L33" s="111">
        <v>6811967.5237242728</v>
      </c>
      <c r="N33" s="111">
        <v>6760517.6166733326</v>
      </c>
      <c r="P33" s="111">
        <v>6704457.0164945368</v>
      </c>
      <c r="R33" s="111">
        <v>6642956.6459747758</v>
      </c>
      <c r="T33" s="111">
        <v>6574966.512613832</v>
      </c>
      <c r="V33" s="111">
        <v>6499125.8204381084</v>
      </c>
      <c r="X33" s="111">
        <v>6413612.0104542496</v>
      </c>
      <c r="Z33" s="111">
        <v>6315871.8683596728</v>
      </c>
      <c r="AB33" s="111">
        <v>6202099.2157875113</v>
      </c>
      <c r="AD33" s="111">
        <v>6066103.3018859392</v>
      </c>
      <c r="AF33" s="111">
        <v>5896594.3226704393</v>
      </c>
      <c r="AH33" s="111">
        <v>5670048.9714549715</v>
      </c>
      <c r="AJ33" s="111">
        <v>5331645.5115680303</v>
      </c>
      <c r="AL33" s="111">
        <v>4743028.5503886621</v>
      </c>
      <c r="AN33" s="111">
        <v>3480279.8603659263</v>
      </c>
      <c r="AP33" s="111">
        <v>3040251.6179376282</v>
      </c>
      <c r="AR33" s="111">
        <v>2480443.9101090198</v>
      </c>
      <c r="AT33" s="111">
        <v>1753126.8356943512</v>
      </c>
      <c r="AV33" s="111">
        <v>815875.14935871027</v>
      </c>
    </row>
    <row r="34" spans="1:49 16319:16384" x14ac:dyDescent="0.2">
      <c r="A34" t="s">
        <v>75</v>
      </c>
      <c r="B34" s="111">
        <v>1136879.4410000131</v>
      </c>
      <c r="D34" s="111">
        <v>1136687.5647725326</v>
      </c>
      <c r="F34" s="111">
        <v>1136253.3161187717</v>
      </c>
      <c r="H34" s="111">
        <v>1135541.9395373743</v>
      </c>
      <c r="J34" s="111">
        <v>1134512.9448340049</v>
      </c>
      <c r="L34" s="111">
        <v>1133118.372981485</v>
      </c>
      <c r="N34" s="111">
        <v>1131301.3044801715</v>
      </c>
      <c r="P34" s="111">
        <v>1128994.6277662688</v>
      </c>
      <c r="R34" s="111">
        <v>1126119.4788702542</v>
      </c>
      <c r="T34" s="111">
        <v>1122584.1584266759</v>
      </c>
      <c r="V34" s="111">
        <v>1118283.8968621299</v>
      </c>
      <c r="X34" s="111">
        <v>1113103.1015858327</v>
      </c>
      <c r="Z34" s="111">
        <v>1106922.0805349322</v>
      </c>
      <c r="AB34" s="111">
        <v>1099629.8005948642</v>
      </c>
      <c r="AD34" s="111">
        <v>1091135.4516529317</v>
      </c>
      <c r="AF34" s="111">
        <v>1081293.3632309185</v>
      </c>
      <c r="AH34" s="111">
        <v>1069304.8852943659</v>
      </c>
      <c r="AJ34" s="111">
        <v>1051001.6476628464</v>
      </c>
      <c r="AL34" s="111">
        <v>1010226.5069381201</v>
      </c>
      <c r="AN34" s="111">
        <v>884272.59720690607</v>
      </c>
      <c r="AP34" s="111">
        <v>829415.76199422753</v>
      </c>
      <c r="AR34" s="111">
        <v>750801.56495762151</v>
      </c>
      <c r="AT34" s="111">
        <v>630488.75290208263</v>
      </c>
      <c r="AV34" s="111">
        <v>425711.97729961085</v>
      </c>
    </row>
    <row r="35" spans="1:49 16319:16384" x14ac:dyDescent="0.2">
      <c r="A35" t="s">
        <v>78</v>
      </c>
      <c r="B35" s="192">
        <v>1</v>
      </c>
      <c r="D35" s="192">
        <v>1.0018723973470256</v>
      </c>
      <c r="F35" s="192">
        <v>1.0039583959980798</v>
      </c>
      <c r="H35" s="192">
        <v>1.0062980149760374</v>
      </c>
      <c r="J35" s="192">
        <v>1.0089427390798236</v>
      </c>
      <c r="L35" s="192">
        <v>1.0119601660298656</v>
      </c>
      <c r="N35" s="192">
        <v>1.0154410030330572</v>
      </c>
      <c r="P35" s="192">
        <v>1.0195099005815433</v>
      </c>
      <c r="R35" s="192">
        <v>1.0243429144883676</v>
      </c>
      <c r="T35" s="192">
        <v>1.0301965697777693</v>
      </c>
      <c r="V35" s="192">
        <v>1.0374581551562001</v>
      </c>
      <c r="X35" s="192">
        <v>1.0467368465671338</v>
      </c>
      <c r="Z35" s="192">
        <v>1.0590374887356211</v>
      </c>
      <c r="AB35" s="192">
        <v>1.0761112222096834</v>
      </c>
      <c r="AD35" s="192">
        <v>1.1012038940672582</v>
      </c>
      <c r="AF35" s="192">
        <v>1.1407267874919964</v>
      </c>
      <c r="AH35" s="192">
        <v>1.2080575847737554</v>
      </c>
      <c r="AJ35" s="192">
        <v>1.3326807036145389</v>
      </c>
      <c r="AL35" s="192">
        <v>1.5908863124971084</v>
      </c>
      <c r="AN35" s="192">
        <v>2.2836886671171888</v>
      </c>
      <c r="AP35" s="192">
        <v>2.5756589997480814</v>
      </c>
      <c r="AR35" s="192">
        <v>2.995596199003614</v>
      </c>
      <c r="AT35" s="192">
        <v>3.6498685190330944</v>
      </c>
      <c r="AV35" s="192">
        <v>4.8151384503978383</v>
      </c>
    </row>
    <row r="36" spans="1:49 16319:16384" x14ac:dyDescent="0.2">
      <c r="A36" t="s">
        <v>21</v>
      </c>
      <c r="B36" s="35">
        <v>0.47195767671988198</v>
      </c>
      <c r="C36" s="36">
        <v>0.31738834428178964</v>
      </c>
      <c r="D36" s="35">
        <v>0.47198612207921831</v>
      </c>
      <c r="E36" s="36">
        <v>0.31995632634753424</v>
      </c>
      <c r="F36" s="35">
        <v>0.47201639190500244</v>
      </c>
      <c r="G36" s="36">
        <v>0.32277809733034729</v>
      </c>
      <c r="H36" s="35">
        <v>0.47204874195293162</v>
      </c>
      <c r="I36" s="36">
        <v>0.32589214250664744</v>
      </c>
      <c r="J36" s="35">
        <v>0.47208346355869935</v>
      </c>
      <c r="K36" s="36">
        <v>0.32934537572980688</v>
      </c>
      <c r="L36" s="35">
        <v>0.47212088852343453</v>
      </c>
      <c r="M36" s="36">
        <v>0.33319581727817188</v>
      </c>
      <c r="N36" s="35">
        <v>0.4721613867538601</v>
      </c>
      <c r="O36" s="36">
        <v>0.33751638169544984</v>
      </c>
      <c r="P36" s="35">
        <v>0.4722053517068987</v>
      </c>
      <c r="Q36" s="36">
        <v>0.34240039949067069</v>
      </c>
      <c r="R36" s="35">
        <v>0.47225316901280112</v>
      </c>
      <c r="S36" s="36">
        <v>0.34797003644995295</v>
      </c>
      <c r="T36" s="35">
        <v>0.47230514357868764</v>
      </c>
      <c r="U36" s="36">
        <v>0.35438955614104489</v>
      </c>
      <c r="V36" s="35">
        <v>0.47236135091925213</v>
      </c>
      <c r="W36" s="36">
        <v>0.36188704210899453</v>
      </c>
      <c r="X36" s="35">
        <v>0.47242133161788497</v>
      </c>
      <c r="Y36" s="36">
        <v>0.37079167555810505</v>
      </c>
      <c r="Z36" s="35">
        <v>0.47248347661175832</v>
      </c>
      <c r="AA36" s="36">
        <v>0.38160100273452069</v>
      </c>
      <c r="AB36" s="35">
        <v>0.47254380556157177</v>
      </c>
      <c r="AC36" s="36">
        <v>0.39510892486011018</v>
      </c>
      <c r="AD36" s="35">
        <v>0.47259367348687459</v>
      </c>
      <c r="AE36" s="36">
        <v>0.41266196863436222</v>
      </c>
      <c r="AF36" s="35">
        <v>0.47261626926182315</v>
      </c>
      <c r="AG36" s="36">
        <v>0.43668981192857681</v>
      </c>
      <c r="AH36" s="35">
        <v>0.47258519875495442</v>
      </c>
      <c r="AI36" s="36">
        <v>0.4718023837531225</v>
      </c>
      <c r="AJ36" s="35">
        <v>0.47247805286956412</v>
      </c>
      <c r="AK36" s="36">
        <v>0.52711565243166958</v>
      </c>
      <c r="AL36" s="35">
        <v>0.47230758313398119</v>
      </c>
      <c r="AM36" s="36">
        <v>0.62315490094182358</v>
      </c>
      <c r="AN36" s="35">
        <v>0.4721137186631284</v>
      </c>
      <c r="AO36" s="36">
        <v>0.82729079778411574</v>
      </c>
      <c r="AP36" s="35">
        <v>0.472072660986665</v>
      </c>
      <c r="AQ36" s="36">
        <v>0.90076342786599606</v>
      </c>
      <c r="AR36" s="35">
        <v>0.47202836414347332</v>
      </c>
      <c r="AS36" s="36">
        <v>0.99834735044515155</v>
      </c>
      <c r="AT36" s="35">
        <v>0.47197621158578335</v>
      </c>
      <c r="AU36" s="36">
        <v>1.1364262345305203</v>
      </c>
      <c r="AV36" s="35">
        <v>0.4719028069659062</v>
      </c>
      <c r="AW36" s="36">
        <v>1.35338529567428</v>
      </c>
    </row>
    <row r="37" spans="1:49 16319:16384" x14ac:dyDescent="0.2">
      <c r="B37" s="37">
        <v>2.1403217525954466E-2</v>
      </c>
      <c r="C37" s="38">
        <v>0.3496246130199252</v>
      </c>
      <c r="D37" s="37">
        <v>2.0699060214503236E-2</v>
      </c>
      <c r="E37" s="38">
        <v>0.34542135749180658</v>
      </c>
      <c r="F37" s="37">
        <v>1.9983074328912803E-2</v>
      </c>
      <c r="G37" s="38">
        <v>0.34112129678547659</v>
      </c>
      <c r="H37" s="37">
        <v>1.9254527953585732E-2</v>
      </c>
      <c r="I37" s="38">
        <v>0.33671927403911117</v>
      </c>
      <c r="J37" s="37">
        <v>1.8512558465349657E-2</v>
      </c>
      <c r="K37" s="38">
        <v>0.33220945277198488</v>
      </c>
      <c r="L37" s="37">
        <v>1.7756110433056086E-2</v>
      </c>
      <c r="M37" s="38">
        <v>0.32758498763060834</v>
      </c>
      <c r="N37" s="37">
        <v>1.6983857787040282E-2</v>
      </c>
      <c r="O37" s="38">
        <v>0.32283761157413443</v>
      </c>
      <c r="P37" s="37">
        <v>1.6194097473392156E-2</v>
      </c>
      <c r="Q37" s="38">
        <v>0.31795706833953169</v>
      </c>
      <c r="R37" s="37">
        <v>1.5384583170503162E-2</v>
      </c>
      <c r="S37" s="38">
        <v>0.31293021142612598</v>
      </c>
      <c r="T37" s="37">
        <v>1.4552273434546866E-2</v>
      </c>
      <c r="U37" s="38">
        <v>0.30773963354851702</v>
      </c>
      <c r="V37" s="37">
        <v>1.3692949724052926E-2</v>
      </c>
      <c r="W37" s="38">
        <v>0.3023615940201862</v>
      </c>
      <c r="X37" s="37">
        <v>1.2800627220661973E-2</v>
      </c>
      <c r="Y37" s="38">
        <v>0.29676286464001705</v>
      </c>
      <c r="Z37" s="37">
        <v>1.1866651401666388E-2</v>
      </c>
      <c r="AA37" s="38">
        <v>0.29089604115502377</v>
      </c>
      <c r="AB37" s="37">
        <v>1.0878373813573244E-2</v>
      </c>
      <c r="AC37" s="38">
        <v>0.28469314952983799</v>
      </c>
      <c r="AD37" s="37">
        <v>9.8175068688248195E-3</v>
      </c>
      <c r="AE37" s="38">
        <v>0.27805933098025687</v>
      </c>
      <c r="AF37" s="37">
        <v>8.6594107314943367E-3</v>
      </c>
      <c r="AG37" s="38">
        <v>0.27087704286245062</v>
      </c>
      <c r="AH37" s="37">
        <v>7.378123353263143E-3</v>
      </c>
      <c r="AI37" s="38">
        <v>0.26305543473305526</v>
      </c>
      <c r="AJ37" s="37">
        <v>5.9640173490199391E-3</v>
      </c>
      <c r="AK37" s="38">
        <v>0.25467052547922597</v>
      </c>
      <c r="AL37" s="37">
        <v>4.4355669504398954E-3</v>
      </c>
      <c r="AM37" s="38">
        <v>0.24607875952902908</v>
      </c>
      <c r="AN37" s="37">
        <v>2.7975275557749076E-3</v>
      </c>
      <c r="AO37" s="38">
        <v>0.2377719820645631</v>
      </c>
      <c r="AP37" s="37">
        <v>2.4508267060297222E-3</v>
      </c>
      <c r="AQ37" s="38">
        <v>0.23619092397152264</v>
      </c>
      <c r="AR37" s="37">
        <v>2.0938229129710125E-3</v>
      </c>
      <c r="AS37" s="38">
        <v>0.23464971306247828</v>
      </c>
      <c r="AT37" s="37">
        <v>1.7225088517474924E-3</v>
      </c>
      <c r="AU37" s="38">
        <v>0.2331573260905819</v>
      </c>
      <c r="AV37" s="37">
        <v>1.3291027465600694E-3</v>
      </c>
      <c r="AW37" s="38">
        <v>0.2317283898159799</v>
      </c>
    </row>
    <row r="38" spans="1:49 16319:16384" x14ac:dyDescent="0.2">
      <c r="A38" t="s">
        <v>22</v>
      </c>
      <c r="B38" s="35">
        <v>0.18079094942242827</v>
      </c>
      <c r="C38" s="36">
        <v>6.0565413429233668E-2</v>
      </c>
      <c r="D38" s="35">
        <v>0.1809041411849231</v>
      </c>
      <c r="E38" s="36">
        <v>6.0874215786751486E-2</v>
      </c>
      <c r="F38" s="35">
        <v>0.18104059557908225</v>
      </c>
      <c r="G38" s="36">
        <v>6.1215689871453934E-2</v>
      </c>
      <c r="H38" s="35">
        <v>0.18120387346102115</v>
      </c>
      <c r="I38" s="36">
        <v>6.1594861623893445E-2</v>
      </c>
      <c r="J38" s="35">
        <v>0.18139837082330632</v>
      </c>
      <c r="K38" s="36">
        <v>6.2017912022921916E-2</v>
      </c>
      <c r="L38" s="35">
        <v>0.18162960764723132</v>
      </c>
      <c r="M38" s="36">
        <v>6.249251874065815E-2</v>
      </c>
      <c r="N38" s="35">
        <v>0.1819046473610372</v>
      </c>
      <c r="O38" s="36">
        <v>6.3028334048221418E-2</v>
      </c>
      <c r="P38" s="35">
        <v>0.18223271568540653</v>
      </c>
      <c r="Q38" s="36">
        <v>6.363776343035335E-2</v>
      </c>
      <c r="R38" s="35">
        <v>0.18262616357614775</v>
      </c>
      <c r="S38" s="36">
        <v>6.4337141251246635E-2</v>
      </c>
      <c r="T38" s="35">
        <v>0.18310202296693576</v>
      </c>
      <c r="U38" s="36">
        <v>6.5148492632084623E-2</v>
      </c>
      <c r="V38" s="35">
        <v>0.18368459510417387</v>
      </c>
      <c r="W38" s="36">
        <v>6.6102563649823629E-2</v>
      </c>
      <c r="X38" s="35">
        <v>0.18440999247440731</v>
      </c>
      <c r="Y38" s="36">
        <v>6.7243972646092484E-2</v>
      </c>
      <c r="Z38" s="35">
        <v>0.18533451804549644</v>
      </c>
      <c r="AA38" s="36">
        <v>6.8640571657038726E-2</v>
      </c>
      <c r="AB38" s="35">
        <v>0.18655103182758861</v>
      </c>
      <c r="AC38" s="36">
        <v>7.0401490176488807E-2</v>
      </c>
      <c r="AD38" s="35">
        <v>0.18822287585295661</v>
      </c>
      <c r="AE38" s="36">
        <v>7.2713407831874494E-2</v>
      </c>
      <c r="AF38" s="35">
        <v>0.19065791493560366</v>
      </c>
      <c r="AG38" s="36">
        <v>7.5917377508545533E-2</v>
      </c>
      <c r="AH38" s="35">
        <v>0.1944773389997333</v>
      </c>
      <c r="AI38" s="36">
        <v>8.0672527264156926E-2</v>
      </c>
      <c r="AJ38" s="35">
        <v>0.20104717525427401</v>
      </c>
      <c r="AK38" s="36">
        <v>8.832642579772805E-2</v>
      </c>
      <c r="AL38" s="35">
        <v>0.21410729142221829</v>
      </c>
      <c r="AM38" s="36">
        <v>0.10212979263878144</v>
      </c>
      <c r="AN38" s="35">
        <v>0.25132080731672496</v>
      </c>
      <c r="AO38" s="36">
        <v>0.13462491249442085</v>
      </c>
      <c r="AP38" s="35">
        <v>0.26922019264058977</v>
      </c>
      <c r="AQ38" s="36">
        <v>0.14787625120203957</v>
      </c>
      <c r="AR38" s="35">
        <v>0.29845304933428568</v>
      </c>
      <c r="AS38" s="36">
        <v>0.16734999712658935</v>
      </c>
      <c r="AT38" s="35">
        <v>0.35557300665093344</v>
      </c>
      <c r="AU38" s="36">
        <v>0.20011077292860338</v>
      </c>
      <c r="AV38" s="35">
        <v>0.52243044051608856</v>
      </c>
      <c r="AW38" s="36">
        <v>0.27444284384504763</v>
      </c>
    </row>
    <row r="39" spans="1:49 16319:16384" x14ac:dyDescent="0.2">
      <c r="A39" t="s">
        <v>23</v>
      </c>
      <c r="B39" s="37">
        <v>0.23064923795098771</v>
      </c>
      <c r="C39" s="38">
        <v>0.22092201281804777</v>
      </c>
      <c r="D39" s="37">
        <v>0.23118933945690062</v>
      </c>
      <c r="E39" s="38">
        <v>0.22223872972182748</v>
      </c>
      <c r="F39" s="37">
        <v>0.23176251813445597</v>
      </c>
      <c r="G39" s="38">
        <v>0.2236778561607877</v>
      </c>
      <c r="H39" s="37">
        <v>0.23237370217430092</v>
      </c>
      <c r="I39" s="38">
        <v>0.22525832785225514</v>
      </c>
      <c r="J39" s="37">
        <v>0.23302891402232553</v>
      </c>
      <c r="K39" s="38">
        <v>0.22700321894212261</v>
      </c>
      <c r="L39" s="37">
        <v>0.233735617704735</v>
      </c>
      <c r="M39" s="38">
        <v>0.22894109671535481</v>
      </c>
      <c r="N39" s="37">
        <v>0.23450321492626369</v>
      </c>
      <c r="O39" s="38">
        <v>0.23110795476317128</v>
      </c>
      <c r="P39" s="37">
        <v>0.23534378818676291</v>
      </c>
      <c r="Q39" s="38">
        <v>0.23354992556466644</v>
      </c>
      <c r="R39" s="37">
        <v>0.23627324327682567</v>
      </c>
      <c r="S39" s="38">
        <v>0.23632744003934111</v>
      </c>
      <c r="T39" s="37">
        <v>0.23731312829830481</v>
      </c>
      <c r="U39" s="38">
        <v>0.23952194026874726</v>
      </c>
      <c r="V39" s="37">
        <v>0.2384936893971554</v>
      </c>
      <c r="W39" s="38">
        <v>0.24324672451100085</v>
      </c>
      <c r="X39" s="37">
        <v>0.23985923985332433</v>
      </c>
      <c r="Y39" s="38">
        <v>0.24766576280463373</v>
      </c>
      <c r="Z39" s="37">
        <v>0.24147816578235798</v>
      </c>
      <c r="AA39" s="38">
        <v>0.25302787415802336</v>
      </c>
      <c r="AB39" s="37">
        <v>0.24346277800292507</v>
      </c>
      <c r="AC39" s="38">
        <v>0.25973224059082745</v>
      </c>
      <c r="AD39" s="37">
        <v>0.24601137273411267</v>
      </c>
      <c r="AE39" s="38">
        <v>0.26846179278364218</v>
      </c>
      <c r="AF39" s="37">
        <v>0.24950296093499669</v>
      </c>
      <c r="AG39" s="38">
        <v>0.28046479049588424</v>
      </c>
      <c r="AH39" s="37">
        <v>0.25472150089397555</v>
      </c>
      <c r="AI39" s="38">
        <v>0.29816080849118692</v>
      </c>
      <c r="AJ39" s="37">
        <v>0.26344171464563726</v>
      </c>
      <c r="AK39" s="38">
        <v>0.32652064622465871</v>
      </c>
      <c r="AL39" s="37">
        <v>0.28059122697536809</v>
      </c>
      <c r="AM39" s="38">
        <v>0.37757247308740682</v>
      </c>
      <c r="AN39" s="37">
        <v>0.3293655583722917</v>
      </c>
      <c r="AO39" s="38">
        <v>0.4977106145888</v>
      </c>
      <c r="AP39" s="37">
        <v>0.35282348881302794</v>
      </c>
      <c r="AQ39" s="38">
        <v>0.54670114652809643</v>
      </c>
      <c r="AR39" s="37">
        <v>0.39113431965544559</v>
      </c>
      <c r="AS39" s="38">
        <v>0.61869611217717035</v>
      </c>
      <c r="AT39" s="37">
        <v>0.46599225743870382</v>
      </c>
      <c r="AU39" s="38">
        <v>0.73981309816582486</v>
      </c>
      <c r="AV39" s="37">
        <v>0.68466541911775136</v>
      </c>
      <c r="AW39" s="38">
        <v>1.014620211037792</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6.1000000000000623E-2</v>
      </c>
      <c r="E42" s="126"/>
      <c r="F42" s="167">
        <f>6.1%+(1-6.1%)*(1-SUM(F26:G26)/SUM($B$26:$C$26))</f>
        <v>6.0999999999999791E-2</v>
      </c>
      <c r="G42" s="126"/>
      <c r="H42" s="167">
        <f>6.1%+(1-6.1%)*(1-SUM(H26:I26)/SUM($B$26:$C$26))</f>
        <v>6.0999999999999791E-2</v>
      </c>
      <c r="I42" s="126"/>
      <c r="J42" s="167">
        <f>6.1%+(1-6.1%)*(1-SUM(J26:K26)/SUM($B$26:$C$26))</f>
        <v>6.0999999999999582E-2</v>
      </c>
      <c r="K42" s="126"/>
      <c r="L42" s="167">
        <f>6.1%+(1-6.1%)*(1-SUM(L26:M26)/SUM($B$26:$C$26))</f>
        <v>6.0999999999999582E-2</v>
      </c>
      <c r="M42" s="126"/>
      <c r="N42" s="167">
        <f>6.1%+(1-6.1%)*(1-SUM(N26:O26)/SUM($B$26:$C$26))</f>
        <v>6.0999999999999999E-2</v>
      </c>
      <c r="O42" s="126"/>
      <c r="P42" s="167">
        <f>6.1%+(1-6.1%)*(1-SUM(P26:Q26)/SUM($B$26:$C$26))</f>
        <v>6.0999999999998958E-2</v>
      </c>
      <c r="Q42" s="126"/>
      <c r="R42" s="167">
        <f>6.1%+(1-6.1%)*(1-SUM(R26:S26)/SUM($B$26:$C$26))</f>
        <v>6.0999999999999582E-2</v>
      </c>
      <c r="S42" s="126"/>
      <c r="T42" s="167">
        <f>6.1%+(1-6.1%)*(1-SUM(T26:U26)/SUM($B$26:$C$26))</f>
        <v>6.0999999999999791E-2</v>
      </c>
      <c r="U42" s="126"/>
      <c r="V42" s="167">
        <f>6.1%+(1-6.1%)*(1-SUM(V26:W26)/SUM($B$26:$C$26))</f>
        <v>6.0999999999999999E-2</v>
      </c>
      <c r="W42" s="126"/>
      <c r="X42" s="167">
        <f>6.1%+(1-6.1%)*(1-SUM(X26:Y26)/SUM($B$26:$C$26))</f>
        <v>6.0999999999999791E-2</v>
      </c>
      <c r="Y42" s="152"/>
      <c r="Z42" s="167">
        <f>6.1%+(1-6.1%)*(1-SUM(Z26:AA26)/SUM($B$26:$C$26))</f>
        <v>6.1000000000000519E-2</v>
      </c>
      <c r="AA42" s="126"/>
      <c r="AB42" s="167">
        <f>6.1%+(1-6.1%)*(1-SUM(AB26:AC26)/SUM($B$26:$C$26))</f>
        <v>6.0999999999999166E-2</v>
      </c>
      <c r="AC42" s="126"/>
      <c r="AD42" s="167">
        <f>6.1%+(1-6.1%)*(1-SUM(AD26:AE26)/SUM($B$26:$C$26))</f>
        <v>6.1000000000000519E-2</v>
      </c>
      <c r="AE42" s="126"/>
      <c r="AF42" s="167">
        <f>6.1%+(1-6.1%)*(1-SUM(AF26:AG26)/SUM($B$26:$C$26))</f>
        <v>6.0999999999999791E-2</v>
      </c>
      <c r="AG42" s="126"/>
      <c r="AH42" s="167">
        <f>6.1%+(1-6.1%)*(1-SUM(AH26:AI26)/SUM($B$26:$C$26))</f>
        <v>6.0999999999999374E-2</v>
      </c>
      <c r="AI42" s="126"/>
      <c r="AJ42" s="167">
        <f>6.1%+(1-6.1%)*(1-SUM(AJ26:AK26)/SUM($B$26:$C$26))</f>
        <v>6.0999999999999582E-2</v>
      </c>
      <c r="AK42" s="126"/>
      <c r="AL42" s="167">
        <f>6.1%+(1-6.1%)*(1-SUM(AL26:AM26)/SUM($B$26:$C$26))</f>
        <v>6.0999999999999791E-2</v>
      </c>
      <c r="AM42" s="126"/>
      <c r="AN42" s="167">
        <f>6.1%+(1-6.1%)*(1-SUM(AN26:AO26)/SUM($B$26:$C$26))</f>
        <v>6.0999999999999791E-2</v>
      </c>
      <c r="AO42" s="126"/>
      <c r="AP42" s="167">
        <f>6.1%+(1-6.1%)*(1-SUM(AP26:AQ26)/SUM($B$26:$C$26))</f>
        <v>6.0999999999999374E-2</v>
      </c>
      <c r="AQ42" s="126"/>
      <c r="AR42" s="167">
        <f>6.1%+(1-6.1%)*(1-SUM(AR26:AS26)/SUM($B$26:$C$26))</f>
        <v>6.1000000000000207E-2</v>
      </c>
      <c r="AS42" s="126"/>
      <c r="AT42" s="167">
        <f>6.1%+(1-6.1%)*(1-SUM(AT26:AU26)/SUM($B$26:$C$26))</f>
        <v>6.1000000000000311E-2</v>
      </c>
      <c r="AU42" s="126"/>
      <c r="AV42" s="167">
        <f>6.1%+(1-6.1%)*(1-SUM(AV26:AW26)/SUM($B$26:$C$26))</f>
        <v>6.0999999999999791E-2</v>
      </c>
      <c r="XFD42" s="167"/>
    </row>
    <row r="43" spans="1:49 16319:16384" x14ac:dyDescent="0.2">
      <c r="A43" t="s">
        <v>95</v>
      </c>
      <c r="B43" s="152">
        <f>SUM(B15:C15*B27:C27)/SUM(B15:C15*B27:C27,B13:C13*B26:C26)</f>
        <v>0.56058995943839207</v>
      </c>
      <c r="C43" s="126"/>
      <c r="D43" s="152">
        <f t="array" ref="D43">SUM(D15:E15*D27:E27)/SUM(D15:E15*D27:E27,D13:E13*D26:E26)</f>
        <v>0.56579827058704746</v>
      </c>
      <c r="E43" s="126"/>
      <c r="F43" s="152">
        <f t="array" ref="F43">SUM(F15:G15*F27:G27)/SUM(F15:G15*F27:G27,F13:G13*F26:G26)</f>
        <v>0.56438743824727899</v>
      </c>
      <c r="G43" s="126"/>
      <c r="H43" s="152">
        <f t="array" ref="H43">SUM(H15:I15*H27:I27)/SUM(H15:I15*H27:I27,H13:I13*H26:I26)</f>
        <v>0.56296738184706674</v>
      </c>
      <c r="I43" s="126"/>
      <c r="J43" s="152">
        <f t="array" ref="J43">SUM(J15:K15*J27:K27)/SUM(J15:K15*J27:K27,J13:K13*J26:K26)</f>
        <v>0.56153748713784801</v>
      </c>
      <c r="K43" s="126"/>
      <c r="L43" s="152">
        <f t="array" ref="L43">SUM(L15:M15*L27:M27)/SUM(L15:M15*L27:M27,L13:M13*L26:M26)</f>
        <v>0.56009731225855752</v>
      </c>
      <c r="M43" s="126"/>
      <c r="N43" s="152">
        <f t="array" ref="N43">SUM(N15:O15*N27:O27)/SUM(N15:O15*N27:O27,N13:O13*N26:O26)</f>
        <v>0.55864679482981816</v>
      </c>
      <c r="O43" s="126"/>
      <c r="P43" s="152">
        <f t="array" ref="P43">SUM(P15:Q15*P27:Q27)/SUM(P15:Q15*P27:Q27,P13:Q13*P26:Q26)</f>
        <v>0.55718650383839319</v>
      </c>
      <c r="Q43" s="126"/>
      <c r="R43" s="152">
        <f t="array" ref="R43">SUM(R15:S15*R27:S27)/SUM(R15:S15*R27:S27,R13:S13*R26:S26)</f>
        <v>0.55571808300579351</v>
      </c>
      <c r="S43" s="126"/>
      <c r="T43" s="152">
        <f t="array" ref="T43">SUM(T15:U15*T27:U27)/SUM(T15:U15*T27:U27,T13:U13*T26:U26)</f>
        <v>0.55424504637317462</v>
      </c>
      <c r="U43" s="126"/>
      <c r="V43" s="152">
        <f t="array" ref="V43">SUM(V15:W15*V27:W27)/SUM(V15:W15*V27:W27,V13:W13*V26:W26)</f>
        <v>0.55277397833485464</v>
      </c>
      <c r="W43" s="126"/>
      <c r="X43" s="152">
        <f t="array" ref="X43">SUM(X15:Y15*X27:Y27)/SUM(X15:Y15*X27:Y27,X13:Y13*X26:Y26)</f>
        <v>0.55131658382597037</v>
      </c>
      <c r="Y43" s="126"/>
      <c r="Z43" s="152">
        <f t="array" ref="Z43">SUM(Z15:AA15*Z27:AA27)/SUM(Z15:AA15*Z27:AA27,Z13:AA13*Z26:AA26)</f>
        <v>0.54989306187837206</v>
      </c>
      <c r="AA43" s="126"/>
      <c r="AB43" s="152">
        <f t="array" ref="AB43">SUM(AB15:AC15*AB27:AC27)/SUM(AB15:AC15*AB27:AC27,AB13:AC13*AB26:AC26)</f>
        <v>0.54853750907572818</v>
      </c>
      <c r="AC43" s="126"/>
      <c r="AD43" s="152">
        <f t="array" ref="AD43">SUM(AD15:AE15*AD27:AE27)/SUM(AD15:AE15*AD27:AE27,AD13:AE13*AD26:AE26)</f>
        <v>0.54730579735697005</v>
      </c>
      <c r="AE43" s="126"/>
      <c r="AF43" s="152">
        <f t="array" ref="AF43">SUM(AF15:AG15*AF27:AG27)/SUM(AF15:AG15*AF27:AG27,AF13:AG13*AF26:AG26)</f>
        <v>0.54628235281865689</v>
      </c>
      <c r="AG43" s="126"/>
      <c r="AH43" s="152">
        <f t="array" ref="AH43">SUM(AH15:AI15*AH27:AI27)/SUM(AH15:AI15*AH27:AI27,AH13:AI13*AH26:AI26)</f>
        <v>0.54556746301667425</v>
      </c>
      <c r="AI43" s="126"/>
      <c r="AJ43" s="152">
        <f t="array" ref="AJ43">SUM(AJ15:AK15*AJ27:AK27)/SUM(AJ15:AK15*AJ27:AK27,AJ13:AK13*AJ26:AK26)</f>
        <v>0.5452059536805558</v>
      </c>
      <c r="AK43" s="126"/>
      <c r="AL43" s="152">
        <f t="array" ref="AL43">SUM(AL15:AM15*AL27:AM27)/SUM(AL15:AM15*AL27:AM27,AL13:AM13*AL26:AM26)</f>
        <v>0.54509925797687442</v>
      </c>
      <c r="AM43" s="126"/>
      <c r="AN43" s="152">
        <f t="array" ref="AN43">SUM(AN15:AO15*AN27:AO27)/SUM(AN15:AO15*AN27:AO27,AN13:AO13*AN26:AO26)</f>
        <v>0.54508573309079411</v>
      </c>
      <c r="AO43" s="126"/>
      <c r="AP43" s="152">
        <f t="array" ref="AP43">SUM(AP15:AQ15*AP27:AQ27)/SUM(AP15:AQ15*AP27:AQ27,AP13:AQ13*AP26:AQ26)</f>
        <v>0.54508550034885295</v>
      </c>
      <c r="AQ43" s="126"/>
      <c r="AR43" s="152">
        <f t="array" ref="AR43">SUM(AR15:AS15*AR27:AS27)/SUM(AR15:AS15*AR27:AS27,AR13:AS13*AR26:AS26)</f>
        <v>0.54508541573268354</v>
      </c>
      <c r="AS43" s="126"/>
      <c r="AT43" s="152">
        <f t="array" ref="AT43">SUM(AT15:AU15*AT27:AU27)/SUM(AT15:AU15*AT27:AU27,AT13:AU13*AT26:AU26)</f>
        <v>0.54508539155278912</v>
      </c>
      <c r="AU43" s="126"/>
      <c r="AV43" s="152">
        <f t="array" ref="AV43">SUM(AV15:AW15*AV27:AW27)/SUM(AV15:AW15*AV27:AW27,AV13:AW13*AV26:AW26)</f>
        <v>0.5450853866121167</v>
      </c>
    </row>
    <row r="44" spans="1:49 16319:16384" x14ac:dyDescent="0.2">
      <c r="A44" t="s">
        <v>129</v>
      </c>
      <c r="B44" s="183">
        <f>(SUM(B11:C11*B24:C24)+B34)/B32</f>
        <v>0.29754226190682442</v>
      </c>
      <c r="D44" s="183">
        <f>(SUM(D11:E11*D24:E24)+D34)/D32</f>
        <v>0.29992806572724645</v>
      </c>
      <c r="F44" s="183">
        <f>(SUM(F11:G11*F24:G24)+F34)/F32</f>
        <v>0.30236725553891547</v>
      </c>
      <c r="H44" s="183">
        <f>(SUM(H11:I11*H24:I24)+H34)/H32</f>
        <v>0.30486866073369329</v>
      </c>
      <c r="J44" s="183">
        <f>(SUM(J11:K11*J24:K24)+J34)/J32</f>
        <v>0.30744306803594229</v>
      </c>
      <c r="L44" s="183">
        <f>(SUM(L11:M11*L24:M24)+L34)/L32</f>
        <v>0.31010382398697056</v>
      </c>
      <c r="N44" s="183">
        <f>(SUM(N11:O11*N24:O24)+N34)/N32</f>
        <v>0.31286782884022085</v>
      </c>
      <c r="P44" s="183">
        <f>(SUM(P11:Q11*P24:Q24)+P34)/P32</f>
        <v>0.31575707471227604</v>
      </c>
      <c r="R44" s="183">
        <f>(SUM(R11:S11*R24:S24)+R34)/R32</f>
        <v>0.31880103932972337</v>
      </c>
      <c r="T44" s="183">
        <f>(SUM(T11:U11*T24:U24)+T34)/T32</f>
        <v>0.32204076152872629</v>
      </c>
      <c r="V44" s="183">
        <f>(SUM(V11:W11*V24:W24)+V34)/V32</f>
        <v>0.32553572298473105</v>
      </c>
      <c r="X44" s="183">
        <f>(SUM(X11:Y11*X24:Y24)+X34)/X32</f>
        <v>0.32937625661708009</v>
      </c>
      <c r="Z44" s="183">
        <f>(SUM(Z11:AA11*Z24:AA24)+Z34)/Z32</f>
        <v>0.33370669644618528</v>
      </c>
      <c r="AB44" s="183">
        <f>(SUM(AB11:AC11*AB24:AC24)+AB34)/AB32</f>
        <v>0.33877031894432913</v>
      </c>
      <c r="AD44" s="183">
        <f>(SUM(AD11:AE11*AD24:AE24)+AD34)/AD32</f>
        <v>0.34499914061127257</v>
      </c>
      <c r="AF44" s="183">
        <f>(SUM(AF11:AG11*AF24:AG24)+AF34)/AF32</f>
        <v>0.35319038787028662</v>
      </c>
      <c r="AH44" s="183">
        <f>(SUM(AH11:AI11*AH24:AI24)+AH34)/AH32</f>
        <v>0.36481985497354297</v>
      </c>
      <c r="AJ44" s="183">
        <f>(SUM(AJ11:AK11*AJ24:AK24)+AJ34)/AJ32</f>
        <v>0.3825382051116315</v>
      </c>
      <c r="AL44" s="183">
        <f>(SUM(AL11:AM11*AL24:AM24)+AL34)/AL32</f>
        <v>0.41169642568865122</v>
      </c>
      <c r="AN44" s="183">
        <f>(SUM(AN11:AO11*AN24:AO24)+AN34)/AN32</f>
        <v>0.47027934671974797</v>
      </c>
      <c r="AP44" s="183">
        <f>(SUM(AP11:AQ11*AP24:AQ24)+AP34)/AP32</f>
        <v>0.49112899186048087</v>
      </c>
      <c r="AR44" s="183">
        <f>(SUM(AR11:AS11*AR24:AS24)+AR34)/AR32</f>
        <v>0.51904519300538765</v>
      </c>
      <c r="AT44" s="183">
        <f>(SUM(AT11:AU11*AT24:AU24)+AT34)/AT32</f>
        <v>0.55940985929520093</v>
      </c>
      <c r="AV44" s="183">
        <f>(SUM(AV11:AW11*AV24:AW24)+AV34)/AV32</f>
        <v>0.62608106696215127</v>
      </c>
    </row>
    <row r="45" spans="1:49 16319:16384" x14ac:dyDescent="0.2">
      <c r="A45" t="s">
        <v>82</v>
      </c>
      <c r="B45" s="183">
        <f>SUM(B11:C11*B24:C24)/B32</f>
        <v>0.22038438833194082</v>
      </c>
      <c r="D45" s="183">
        <f>SUM(D11:E11*D24:E24)/D32</f>
        <v>0.22277019993699337</v>
      </c>
      <c r="F45" s="183">
        <f>SUM(F11:G11*F24:G24)/F32</f>
        <v>0.22520938220012368</v>
      </c>
      <c r="H45" s="183">
        <f>SUM(H11:I11*H24:I24)/H32</f>
        <v>0.22771078750258808</v>
      </c>
      <c r="J45" s="183">
        <f>SUM(J11:K11*J24:K24)/J32</f>
        <v>0.23028519606296335</v>
      </c>
      <c r="L45" s="183">
        <f>SUM(L11:M11*L24:M24)/L32</f>
        <v>0.23294595100462928</v>
      </c>
      <c r="N45" s="183">
        <f>SUM(N11:O11*N24:O24)/N32</f>
        <v>0.23570995646069384</v>
      </c>
      <c r="P45" s="183">
        <f>SUM(P11:Q11*P24:Q24)/P32</f>
        <v>0.23859920273486715</v>
      </c>
      <c r="R45" s="183">
        <f>SUM(R11:S11*R24:S24)/R32</f>
        <v>0.24164316944916955</v>
      </c>
      <c r="T45" s="183">
        <f>SUM(T11:U11*T24:U24)/T32</f>
        <v>0.2448828913134013</v>
      </c>
      <c r="V45" s="183">
        <f>SUM(V11:W11*V24:W24)/V32</f>
        <v>0.2483778523205297</v>
      </c>
      <c r="X45" s="183">
        <f>SUM(X11:Y11*X24:Y24)/X32</f>
        <v>0.25221838729981627</v>
      </c>
      <c r="Z45" s="183">
        <f>SUM(Z11:AA11*Z24:AA24)/Z32</f>
        <v>0.25654882419673319</v>
      </c>
      <c r="AB45" s="183">
        <f>SUM(AB11:AC11*AB24:AC24)/AB32</f>
        <v>0.2616124562874213</v>
      </c>
      <c r="AD45" s="183">
        <f>SUM(AD11:AE11*AD24:AE24)/AD32</f>
        <v>0.26784126714003975</v>
      </c>
      <c r="AF45" s="183">
        <f>SUM(AF11:AG11*AF24:AG24)/AF32</f>
        <v>0.2760325141563752</v>
      </c>
      <c r="AH45" s="183">
        <f>SUM(AH11:AI11*AH24:AI24)/AH32</f>
        <v>0.28766198147399141</v>
      </c>
      <c r="AJ45" s="183">
        <f>SUM(AJ11:AK11*AJ24:AK24)/AJ32</f>
        <v>0.30538033153229738</v>
      </c>
      <c r="AL45" s="183">
        <f>SUM(AL11:AM11*AL24:AM24)/AL32</f>
        <v>0.33453855211396283</v>
      </c>
      <c r="AN45" s="183">
        <f>SUM(AN11:AO11*AN24:AO24)/AN32</f>
        <v>0.39312147314486656</v>
      </c>
      <c r="AP45" s="183">
        <f>SUM(AP11:AQ11*AP24:AQ24)/AP32</f>
        <v>0.41397111828709787</v>
      </c>
      <c r="AR45" s="183">
        <f>SUM(AR11:AS11*AR24:AS24)/AR32</f>
        <v>0.4418873194305189</v>
      </c>
      <c r="AT45" s="183">
        <f>SUM(AT11:AU11*AT24:AU24)/AT32</f>
        <v>0.48225198572567457</v>
      </c>
      <c r="AV45" s="183">
        <f>SUM(AV11:AW11*AV24:AW24)/AV32</f>
        <v>0.54892319338726636</v>
      </c>
      <c r="XCQ45" s="183"/>
    </row>
    <row r="46" spans="1:49 16319:16384" x14ac:dyDescent="0.2">
      <c r="A46" t="s">
        <v>126</v>
      </c>
      <c r="B46" s="183">
        <f>B34/B32</f>
        <v>7.7157873574883587E-2</v>
      </c>
      <c r="D46" s="183">
        <f>D34/D32</f>
        <v>7.7157865790253077E-2</v>
      </c>
      <c r="F46" s="183">
        <f>F34/F32</f>
        <v>7.7157873338791802E-2</v>
      </c>
      <c r="H46" s="183">
        <f>H34/H32</f>
        <v>7.715787323110522E-2</v>
      </c>
      <c r="J46" s="183">
        <f>J34/J32</f>
        <v>7.715787197297895E-2</v>
      </c>
      <c r="L46" s="183">
        <f>L34/L32</f>
        <v>7.7157872982341252E-2</v>
      </c>
      <c r="N46" s="183">
        <f>N34/N32</f>
        <v>7.7157872379527009E-2</v>
      </c>
      <c r="P46" s="183">
        <f>P34/P32</f>
        <v>7.7157871977408879E-2</v>
      </c>
      <c r="R46" s="183">
        <f>R34/R32</f>
        <v>7.71578698805538E-2</v>
      </c>
      <c r="T46" s="183">
        <f>T34/T32</f>
        <v>7.715787021532497E-2</v>
      </c>
      <c r="V46" s="183">
        <f>V34/V32</f>
        <v>7.7157870664201322E-2</v>
      </c>
      <c r="X46" s="183">
        <f>X34/X32</f>
        <v>7.7157869317263844E-2</v>
      </c>
      <c r="Z46" s="183">
        <f>Z34/Z32</f>
        <v>7.7157872249452059E-2</v>
      </c>
      <c r="AB46" s="183">
        <f>AB34/AB32</f>
        <v>7.7157862656907841E-2</v>
      </c>
      <c r="AD46" s="183">
        <f>AD34/AD32</f>
        <v>7.7157873471232805E-2</v>
      </c>
      <c r="AF46" s="183">
        <f>AF34/AF32</f>
        <v>7.715787371391139E-2</v>
      </c>
      <c r="AH46" s="183">
        <f>AH34/AH32</f>
        <v>7.7157873499551582E-2</v>
      </c>
      <c r="AJ46" s="183">
        <f>AJ34/AJ32</f>
        <v>7.7157873579334138E-2</v>
      </c>
      <c r="AL46" s="183">
        <f>AL34/AL32</f>
        <v>7.715787357468841E-2</v>
      </c>
      <c r="AN46" s="183">
        <f>AN34/AN32</f>
        <v>7.7157873574881353E-2</v>
      </c>
      <c r="AP46" s="183">
        <f>AP34/AP32</f>
        <v>7.7157873573382968E-2</v>
      </c>
      <c r="AR46" s="183">
        <f>AR34/AR32</f>
        <v>7.7157873574868779E-2</v>
      </c>
      <c r="AT46" s="183">
        <f>AT34/AT32</f>
        <v>7.7157873569526386E-2</v>
      </c>
      <c r="AV46" s="183">
        <f>AV34/AV32</f>
        <v>7.7157873574884905E-2</v>
      </c>
      <c r="XCS46" s="183"/>
    </row>
    <row r="48" spans="1:49 16319:16384" x14ac:dyDescent="0.2">
      <c r="A48" t="s">
        <v>143</v>
      </c>
      <c r="B48" s="181">
        <f>B24/$B$24</f>
        <v>1</v>
      </c>
      <c r="C48" s="181"/>
      <c r="D48" s="181">
        <f>D24/$B$24</f>
        <v>1.0124980892478193</v>
      </c>
      <c r="E48" s="181"/>
      <c r="F48" s="181">
        <f>F24/$B$24</f>
        <v>1.0251546785014567</v>
      </c>
      <c r="G48" s="181"/>
      <c r="H48" s="181">
        <f>H24/$B$24</f>
        <v>1.0379877770442663</v>
      </c>
      <c r="I48" s="181"/>
      <c r="J48" s="181">
        <f>J24/$B$24</f>
        <v>1.0510189340519107</v>
      </c>
      <c r="K48" s="181"/>
      <c r="L48" s="181">
        <f>L24/$B$24</f>
        <v>1.0642744181767649</v>
      </c>
      <c r="M48" s="181"/>
      <c r="N48" s="181">
        <f>N24/$B$24</f>
        <v>1.07778735996677</v>
      </c>
      <c r="O48" s="181"/>
      <c r="P48" s="181">
        <f>P24/$B$24</f>
        <v>1.0916014014529674</v>
      </c>
      <c r="Q48" s="181"/>
      <c r="R48" s="181">
        <f>R24/$B$24</f>
        <v>1.1057767378530687</v>
      </c>
      <c r="S48" s="181"/>
      <c r="T48" s="181">
        <f>T24/$B$24</f>
        <v>1.1204010019656783</v>
      </c>
      <c r="U48" s="181"/>
      <c r="V48" s="181">
        <f>V24/$B$24</f>
        <v>1.1356087263211057</v>
      </c>
      <c r="W48" s="181"/>
      <c r="X48" s="181">
        <f>X24/$B$24</f>
        <v>1.1516176207933333</v>
      </c>
      <c r="Y48" s="181"/>
      <c r="Z48" s="181">
        <f>Z24/$B$24</f>
        <v>1.1687976182591262</v>
      </c>
      <c r="AA48" s="181"/>
      <c r="AB48" s="181">
        <f>AB24/$B$24</f>
        <v>1.1878043950808217</v>
      </c>
      <c r="AC48" s="181"/>
      <c r="AD48" s="181">
        <f>AD24/$B$24</f>
        <v>1.2098315558882269</v>
      </c>
      <c r="AE48" s="181"/>
      <c r="AF48" s="181">
        <f>AF24/$B$24</f>
        <v>1.2370257223779131</v>
      </c>
      <c r="AG48" s="181"/>
      <c r="AH48" s="181">
        <f>AH24/$B$24</f>
        <v>1.2728055922737609</v>
      </c>
      <c r="AI48" s="181"/>
      <c r="AJ48" s="181">
        <f>AJ24/$B$24</f>
        <v>1.3205982396362841</v>
      </c>
      <c r="AK48" s="181"/>
      <c r="AL48" s="181">
        <f>AL24/$B$24</f>
        <v>1.3775930474116729</v>
      </c>
      <c r="AM48" s="181"/>
      <c r="AN48" s="181">
        <f>AN24/$B$24</f>
        <v>1.4010314785956959</v>
      </c>
      <c r="AO48" s="181"/>
      <c r="AP48" s="181">
        <f>AP24/$B$24</f>
        <v>1.3803509467462782</v>
      </c>
      <c r="AQ48" s="181"/>
      <c r="AR48" s="181">
        <f>AR24/$B$24</f>
        <v>1.3301193633507016</v>
      </c>
      <c r="AS48" s="181"/>
      <c r="AT48" s="181">
        <f>AT24/$B$24</f>
        <v>1.2149901355242709</v>
      </c>
      <c r="AU48" s="181"/>
      <c r="AV48" s="181">
        <f>AV24/$B$24</f>
        <v>0.92934824064924215</v>
      </c>
    </row>
    <row r="49" spans="1:48 16321:16384" x14ac:dyDescent="0.2">
      <c r="A49" t="s">
        <v>144</v>
      </c>
      <c r="B49" s="181">
        <f>B13/B35/$B$13*$B$35</f>
        <v>1</v>
      </c>
      <c r="C49" s="181"/>
      <c r="D49" s="181">
        <f>D13/D35/$B$13*$B$35</f>
        <v>0.99618226986290359</v>
      </c>
      <c r="E49" s="181"/>
      <c r="F49" s="181">
        <f>F13/F35/$B$13*$B$35</f>
        <v>0.99183139090665184</v>
      </c>
      <c r="G49" s="181"/>
      <c r="H49" s="181">
        <f>H13/H35/$B$13*$B$35</f>
        <v>0.98686714468860171</v>
      </c>
      <c r="I49" s="181"/>
      <c r="J49" s="181">
        <f>J13/J35/$B$13*$B$35</f>
        <v>0.98119122223670341</v>
      </c>
      <c r="K49" s="181"/>
      <c r="L49" s="181">
        <f>L13/L35/$B$13*$B$35</f>
        <v>0.97468126325624926</v>
      </c>
      <c r="M49" s="181"/>
      <c r="N49" s="181">
        <f>N13/N35/$B$13*$B$35</f>
        <v>0.9671823949232099</v>
      </c>
      <c r="O49" s="181"/>
      <c r="P49" s="181">
        <f>P13/P35/$B$13*$B$35</f>
        <v>0.95849503085726406</v>
      </c>
      <c r="Q49" s="181"/>
      <c r="R49" s="181">
        <f>R13/R35/$B$13*$B$35</f>
        <v>0.94835630758824552</v>
      </c>
      <c r="S49" s="181"/>
      <c r="T49" s="181">
        <f>T13/T35/$B$13*$B$35</f>
        <v>0.93641093038707612</v>
      </c>
      <c r="U49" s="181"/>
      <c r="V49" s="181">
        <f>V13/V35/$B$13*$B$35</f>
        <v>0.92216423021386895</v>
      </c>
      <c r="W49" s="181"/>
      <c r="X49" s="181">
        <f>X13/X35/$B$13*$B$35</f>
        <v>0.90490302317572824</v>
      </c>
      <c r="Y49" s="181"/>
      <c r="Z49" s="181">
        <f>Z13/Z35/$B$13*$B$35</f>
        <v>0.8835569338921031</v>
      </c>
      <c r="AA49" s="181"/>
      <c r="AB49" s="181">
        <f>AB13/AB35/$B$13*$B$35</f>
        <v>0.85644615147589631</v>
      </c>
      <c r="AC49" s="181"/>
      <c r="AD49" s="181">
        <f>AD13/AD35/$B$13*$B$35</f>
        <v>0.82081229397661393</v>
      </c>
      <c r="AE49" s="181"/>
      <c r="AF49" s="181">
        <f>AF13/AF35/$B$13*$B$35</f>
        <v>0.7719730489762634</v>
      </c>
      <c r="AG49" s="181"/>
      <c r="AH49" s="181">
        <f>AH13/AH35/$B$13*$B$35</f>
        <v>0.70204580562116992</v>
      </c>
      <c r="AI49" s="181"/>
      <c r="AJ49" s="181">
        <f>AJ13/AJ35/$B$13*$B$35</f>
        <v>0.59888961829947074</v>
      </c>
      <c r="AK49" s="181"/>
      <c r="AL49" s="181">
        <f>AL13/AL35/$B$13*$B$35</f>
        <v>0.44640607445802077</v>
      </c>
      <c r="AM49" s="181"/>
      <c r="AN49" s="181">
        <f>AN13/AN35/$B$13*$B$35</f>
        <v>0.22819371869387622</v>
      </c>
      <c r="AO49" s="181"/>
      <c r="AP49" s="181">
        <f>AP13/AP35/$B$13*$B$35</f>
        <v>0.1767452699035629</v>
      </c>
      <c r="AQ49" s="181"/>
      <c r="AR49" s="181">
        <f>AR13/AR35/$B$13*$B$35</f>
        <v>0.12398605936439401</v>
      </c>
      <c r="AS49" s="181"/>
      <c r="AT49" s="181">
        <f>AT13/AT35/$B$13*$B$35</f>
        <v>7.1922182595991938E-2</v>
      </c>
      <c r="AU49" s="181"/>
      <c r="AV49" s="181">
        <f>AV13/AV35/$B$13*$B$35</f>
        <v>2.5371238689831804E-2</v>
      </c>
    </row>
    <row r="51" spans="1:48 16321:16384" x14ac:dyDescent="0.2">
      <c r="A51" t="s">
        <v>150</v>
      </c>
      <c r="B51" s="27">
        <f>B30-B10*B23</f>
        <v>-405838.32800000021</v>
      </c>
      <c r="D51" s="27">
        <f>D30-D10*D23</f>
        <v>-346638.22965407791</v>
      </c>
      <c r="F51" s="27">
        <f>F30-F10*F23</f>
        <v>-286075.27034218516</v>
      </c>
      <c r="H51" s="27">
        <f>H30-H10*H23</f>
        <v>-223962.48164165486</v>
      </c>
      <c r="J51" s="27">
        <f>J30-J10*J23</f>
        <v>-160076.05631655687</v>
      </c>
      <c r="L51" s="27">
        <f>L30-L10*L23</f>
        <v>-94140.802753430791</v>
      </c>
      <c r="N51" s="27">
        <f>N30-N10*N23</f>
        <v>-25809.789092641324</v>
      </c>
      <c r="P51" s="27">
        <f>P30-P10*P23</f>
        <v>45366.683403770905</v>
      </c>
      <c r="R51" s="27">
        <f>R30-R10*R23</f>
        <v>119993.09748878516</v>
      </c>
      <c r="T51" s="27">
        <f>T30-T10*T23</f>
        <v>198915.08906712197</v>
      </c>
      <c r="V51" s="27">
        <f>V30-V10*V23</f>
        <v>283371.5949927941</v>
      </c>
      <c r="X51" s="27">
        <f>X30-X10*X23</f>
        <v>375269.72019964783</v>
      </c>
      <c r="Z51" s="27">
        <f>Z30-Z10*Z23</f>
        <v>477703.19681911124</v>
      </c>
      <c r="AB51" s="27">
        <f>AB30-AB10*AB23</f>
        <v>595964.58903835481</v>
      </c>
      <c r="AD51" s="27">
        <f>AD30-AD10*AD23</f>
        <v>739552.07590620406</v>
      </c>
      <c r="AF51" s="27">
        <f>AF30-AF10*AF23</f>
        <v>926003.91206118325</v>
      </c>
      <c r="AH51" s="27">
        <f>AH30-AH10*AH23</f>
        <v>1186881.6991684572</v>
      </c>
      <c r="AJ51" s="27">
        <f>AJ30-AJ10*AJ23</f>
        <v>1572603.4737799508</v>
      </c>
      <c r="AL51" s="27">
        <f>AL30-AL10*AL23</f>
        <v>2153864.5010896134</v>
      </c>
      <c r="AN51" s="27">
        <f>AN30-AN10*AN23</f>
        <v>3014850.3710742923</v>
      </c>
      <c r="AP51" s="27">
        <f>AP30-AP10*AP23</f>
        <v>3204880.7999824374</v>
      </c>
      <c r="AQ51" s="27"/>
      <c r="AR51" s="27">
        <f>AR30-AR10*AR23</f>
        <v>3358118.8789415527</v>
      </c>
      <c r="AT51" s="27">
        <f>AT30-AT10*AT23</f>
        <v>3374898.8814629931</v>
      </c>
      <c r="AV51" s="27">
        <f>AV30-AV10*AV23</f>
        <v>2897625.5512796543</v>
      </c>
      <c r="XFD51" s="27"/>
    </row>
    <row r="52" spans="1:48 16321:16384" x14ac:dyDescent="0.2">
      <c r="A52" t="s">
        <v>151</v>
      </c>
      <c r="B52" s="27">
        <f t="array" ref="B52">Calibration!sL*SUM(B13:C13*B26:C26)</f>
        <v>2073093.0976150823</v>
      </c>
      <c r="D52" s="27">
        <f t="array" ref="D52">Calibration!sL*SUM(D13:E13*D26:E26)</f>
        <v>2069045.4225279021</v>
      </c>
      <c r="F52" s="27">
        <f t="array" ref="F52">Calibration!sL*SUM(F13:G13*F26:G26)</f>
        <v>2064297.9012933937</v>
      </c>
      <c r="H52" s="27">
        <f t="array" ref="H52">Calibration!sL*SUM(H13:I13*H26:I26)</f>
        <v>2058752.369856379</v>
      </c>
      <c r="J52" s="27">
        <f t="array" ref="J52">Calibration!sL*SUM(J13:K13*J26:K26)</f>
        <v>2052291.1825310604</v>
      </c>
      <c r="L52" s="27">
        <f t="array" ref="L52">Calibration!sL*SUM(L13:M13*L26:M26)</f>
        <v>2044771.7705028632</v>
      </c>
      <c r="N52" s="27">
        <f t="array" ref="N52">Calibration!sL*SUM(N13:O13*N26:O26)</f>
        <v>2036019.2714211917</v>
      </c>
      <c r="P52" s="27">
        <f t="array" ref="P52">Calibration!sL*SUM(P13:Q13*P26:Q26)</f>
        <v>2025816.5694485768</v>
      </c>
      <c r="R52" s="27">
        <f t="array" ref="R52">Calibration!sL*SUM(R13:S13*R26:S26)</f>
        <v>2013889.8377945495</v>
      </c>
      <c r="T52" s="27">
        <f t="array" ref="T52">Calibration!sL*SUM(T13:U13*T26:U26)</f>
        <v>1999886.6418361885</v>
      </c>
      <c r="V52" s="27">
        <f t="array" ref="V52">Calibration!sL*SUM(V13:W13*V26:W26)</f>
        <v>1983342.2656540412</v>
      </c>
      <c r="X52" s="27">
        <f t="array" ref="X52">Calibration!sL*SUM(X13:Y13*X26:Y26)</f>
        <v>1963624.1150786877</v>
      </c>
      <c r="Z52" s="27">
        <f t="array" ref="Z52">Calibration!sL*SUM(Z13:AA13*Z26:AA26)</f>
        <v>1939834.5000396345</v>
      </c>
      <c r="AB52" s="27">
        <f t="array" ref="AB52">Calibration!sL*SUM(AB13:AC13*AB26:AC26)</f>
        <v>1910627.5173023799</v>
      </c>
      <c r="AD52" s="27">
        <f t="array" ref="AD52">Calibration!sL*SUM(AD13:AE13*AD26:AE26)</f>
        <v>1873830.901773768</v>
      </c>
      <c r="AF52" s="27">
        <f t="array" ref="AF52">Calibration!sL*SUM(AF13:AG13*AF26:AG26)</f>
        <v>1825587.2096421095</v>
      </c>
      <c r="AH52" s="27">
        <f t="array" ref="AH52">Calibration!sL*SUM(AH13:AI13*AH26:AI26)</f>
        <v>1758214.6363654896</v>
      </c>
      <c r="AJ52" s="27">
        <f t="array" ref="AJ52">Calibration!sL*SUM(AJ13:AK13*AJ26:AK26)</f>
        <v>1654594.9702451839</v>
      </c>
      <c r="AL52" s="27">
        <f t="array" ref="AL52">Calibration!sL*SUM(AL13:AM13*AL26:AM26)</f>
        <v>1472271.9794262105</v>
      </c>
      <c r="AN52" s="27">
        <f t="array" ref="AN52">Calibration!sL*SUM(AN13:AO13*AN26:AO26)</f>
        <v>1080337.3428016973</v>
      </c>
      <c r="AP52" s="27">
        <f t="array" ref="AP52">Calibration!sL*SUM(AP13:AQ13*AP26:AQ26)</f>
        <v>943745.66631515161</v>
      </c>
      <c r="AQ52" s="27"/>
      <c r="AR52" s="27">
        <f t="array" ref="AR52">Calibration!sL*SUM(AR13:AS13*AR26:AS26)</f>
        <v>769972.00218568183</v>
      </c>
      <c r="AT52" s="27">
        <f t="array" ref="AT52">Calibration!sL*SUM(AT13:AU13*AT26:AU26)</f>
        <v>544200.43412019347</v>
      </c>
      <c r="AV52" s="27">
        <f t="array" ref="AV52">Calibration!sL*SUM(AV13:AW13*AV26:AW26)</f>
        <v>253261.54723233698</v>
      </c>
    </row>
    <row r="53" spans="1:48 16321:16384" x14ac:dyDescent="0.2">
      <c r="A53" t="s">
        <v>152</v>
      </c>
      <c r="B53" s="27">
        <f t="array" ref="B53">Calibration!sK*SUM(B15:C15*B27:C27)</f>
        <v>2716869.1663849424</v>
      </c>
      <c r="D53" s="27">
        <f t="array" ref="D53">Calibration!sK*SUM(D15:E15*D27:E27)</f>
        <v>2696125.4240398523</v>
      </c>
      <c r="F53" s="27">
        <f t="array" ref="F53">Calibration!sK*SUM(F15:G15*F27:G27)</f>
        <v>2674541.3392177871</v>
      </c>
      <c r="H53" s="27">
        <f t="array" ref="H53">Calibration!sK*SUM(H15:I15*H27:I27)</f>
        <v>2651999.8356825407</v>
      </c>
      <c r="J53" s="27">
        <f t="array" ref="J53">Calibration!sK*SUM(J15:K15*J27:K27)</f>
        <v>2628362.516081207</v>
      </c>
      <c r="L53" s="27">
        <f t="array" ref="L53">Calibration!sK*SUM(L15:M15*L27:M27)</f>
        <v>2603464.8224608516</v>
      </c>
      <c r="N53" s="27">
        <f t="array" ref="N53">Calibration!sK*SUM(N15:O15*N27:O27)</f>
        <v>2577109.731768264</v>
      </c>
      <c r="P53" s="27">
        <f t="array" ref="P53">Calibration!sK*SUM(P15:Q15*P27:Q27)</f>
        <v>2549058.8284531301</v>
      </c>
      <c r="R53" s="27">
        <f t="array" ref="R53">Calibration!sK*SUM(R15:S15*R27:S27)</f>
        <v>2519019.9223405025</v>
      </c>
      <c r="T53" s="27">
        <f t="array" ref="T53">Calibration!sK*SUM(T15:U15*T27:U27)</f>
        <v>2486629.1569550061</v>
      </c>
      <c r="V53" s="27">
        <f t="array" ref="V53">Calibration!sK*SUM(V15:W15*V27:W27)</f>
        <v>2451422.6397276111</v>
      </c>
      <c r="X53" s="27">
        <f t="array" ref="X53">Calibration!sK*SUM(X15:Y15*X27:Y27)</f>
        <v>2412789.2853155504</v>
      </c>
      <c r="Z53" s="27">
        <f t="array" ref="Z53">Calibration!sK*SUM(Z15:AA15*Z27:AA27)</f>
        <v>2369884.670553226</v>
      </c>
      <c r="AB53" s="27">
        <f t="array" ref="AB53">Calibration!sK*SUM(AB15:AC15*AB27:AC27)</f>
        <v>2321457.219993921</v>
      </c>
      <c r="AD53" s="27">
        <f t="array" ref="AD53">Calibration!sK*SUM(AD15:AE15*AD27:AE27)</f>
        <v>2265455.3776473305</v>
      </c>
      <c r="AF53" s="27">
        <f t="array" ref="AF53">Calibration!sK*SUM(AF15:AG15*AF27:AG27)</f>
        <v>2198032.3717943034</v>
      </c>
      <c r="AH53" s="27">
        <f t="array" ref="AH53">Calibration!sK*SUM(AH15:AI15*AH27:AI27)</f>
        <v>2110818.7036261917</v>
      </c>
      <c r="AJ53" s="27">
        <f t="array" ref="AJ53">Calibration!sK*SUM(AJ15:AK15*AJ27:AK27)</f>
        <v>1983524.2699592235</v>
      </c>
      <c r="AL53" s="27">
        <f t="array" ref="AL53">Calibration!sK*SUM(AL15:AM15*AL27:AM27)</f>
        <v>1764196.6464072585</v>
      </c>
      <c r="AN53" s="27">
        <f t="array" ref="AN53">Calibration!sK*SUM(AN15:AO15*AN27:AO27)</f>
        <v>1294477.9166575461</v>
      </c>
      <c r="AP53" s="27">
        <f t="array" ref="AP53">Calibration!sK*SUM(AP15:AQ15*AP27:AQ27)</f>
        <v>1130810.469044057</v>
      </c>
      <c r="AQ53" s="27"/>
      <c r="AR53" s="27">
        <f t="array" ref="AR53">Calibration!sK*SUM(AR15:AS15*AR27:AS27)</f>
        <v>922591.89621251007</v>
      </c>
      <c r="AT53" s="27">
        <f t="array" ref="AT53">Calibration!sK*SUM(AT15:AU15*AT27:AU27)</f>
        <v>652068.98439276149</v>
      </c>
      <c r="AV53" s="27">
        <f t="array" ref="AV53">Calibration!sK*SUM(AV15:AW15*AV27:AW27)</f>
        <v>303461.7141863798</v>
      </c>
      <c r="XFD53" s="27"/>
    </row>
    <row r="55" spans="1:48 16321:16384" x14ac:dyDescent="0.2">
      <c r="A55" t="s">
        <v>153</v>
      </c>
      <c r="B55" s="183">
        <f>B30/B32</f>
        <v>0.19850271905982084</v>
      </c>
      <c r="D55" s="183">
        <f>D30/D32</f>
        <v>0.202516549775976</v>
      </c>
      <c r="F55" s="183">
        <f>F30/F32</f>
        <v>0.20662011430682276</v>
      </c>
      <c r="H55" s="183">
        <f>H30/H32</f>
        <v>0.21082838814976146</v>
      </c>
      <c r="J55" s="183">
        <f>J30/J32</f>
        <v>0.21515948183864808</v>
      </c>
      <c r="L55" s="183">
        <f>L30/L32</f>
        <v>0.2196358380268208</v>
      </c>
      <c r="N55" s="183">
        <f>N30/N32</f>
        <v>0.22428590568996401</v>
      </c>
      <c r="P55" s="183">
        <f>P30/P32</f>
        <v>0.22914665930886716</v>
      </c>
      <c r="R55" s="183">
        <f>R30/R32</f>
        <v>0.2342677227748127</v>
      </c>
      <c r="T55" s="183">
        <f>T30/T32</f>
        <v>0.23971811015021283</v>
      </c>
      <c r="V55" s="183">
        <f>V30/V32</f>
        <v>0.2455979024272959</v>
      </c>
      <c r="X55" s="183">
        <f>X30/X32</f>
        <v>0.25205907973172831</v>
      </c>
      <c r="Z55" s="183">
        <f>Z30/Z32</f>
        <v>0.25934444920284738</v>
      </c>
      <c r="AB55" s="183">
        <f>AB30/AB32</f>
        <v>0.26786332691280645</v>
      </c>
      <c r="AD55" s="183">
        <f>AD30/AD32</f>
        <v>0.27834242994296643</v>
      </c>
      <c r="AF55" s="183">
        <f>AF30/AF32</f>
        <v>0.2921230855802443</v>
      </c>
      <c r="AH55" s="183">
        <f>AH30/AH32</f>
        <v>0.31168807271895271</v>
      </c>
      <c r="AJ55" s="183">
        <f>AJ30/AJ32</f>
        <v>0.3414967752558799</v>
      </c>
      <c r="AL55" s="183">
        <f>AL30/AL32</f>
        <v>0.39055149494309166</v>
      </c>
      <c r="AN55" s="183">
        <f>AN30/AN32</f>
        <v>0.48910925154031687</v>
      </c>
      <c r="AP55" s="183">
        <f>AP30/AP32</f>
        <v>0.52418593003606151</v>
      </c>
      <c r="AR55" s="183">
        <f>AR30/AR32</f>
        <v>0.5711511217676507</v>
      </c>
      <c r="AT55" s="183">
        <f>AT30/AT32</f>
        <v>0.63905915682925096</v>
      </c>
      <c r="AV55" s="183">
        <f>AV30/AV32</f>
        <v>0.75122434817968586</v>
      </c>
      <c r="XCS55" s="183"/>
      <c r="XFD55" s="183"/>
    </row>
    <row r="56" spans="1:48 16321:16384" x14ac:dyDescent="0.2">
      <c r="A56" t="s">
        <v>154</v>
      </c>
      <c r="B56" s="183">
        <f>(Model!$C$52*B5*B20+B2*C5*C20)/B32</f>
        <v>2.9221206744340551E-2</v>
      </c>
      <c r="D56" s="183">
        <f>(Model!$C$52*D5*D20+D2*E5*E20)/D32</f>
        <v>3.3596944666884794E-2</v>
      </c>
      <c r="F56" s="183">
        <f>(Model!$C$52*F5*F20+F2*G5*G20)/F32</f>
        <v>3.8083335156686229E-2</v>
      </c>
      <c r="H56" s="183">
        <f>(Model!$C$52*H5*H20+H2*I5*I20)/H32</f>
        <v>4.26985381546304E-2</v>
      </c>
      <c r="J56" s="183">
        <f>(Model!$C$52*J5*J20+J2*K5*K20)/J32</f>
        <v>4.7464610856938094E-2</v>
      </c>
      <c r="L56" s="183">
        <f>(Model!$C$52*L5*L20+L2*M5*M20)/L32</f>
        <v>5.2408985741126707E-2</v>
      </c>
      <c r="N56" s="183">
        <f>(Model!$C$52*N5*N20+N2*O5*O20)/N32</f>
        <v>5.756656489194939E-2</v>
      </c>
      <c r="P56" s="183">
        <f>(Model!$C$52*P5*P20+P2*Q5*Q20)/P32</f>
        <v>6.2982886492668477E-2</v>
      </c>
      <c r="R56" s="183">
        <f>(Model!$C$52*R5*R20+R2*S5*S20)/R32</f>
        <v>6.8719276558911899E-2</v>
      </c>
      <c r="T56" s="183">
        <f>(Model!$C$52*T5*T20+T2*U5*U20)/T32</f>
        <v>7.4861271224029108E-2</v>
      </c>
      <c r="V56" s="183">
        <f>(Model!$C$52*V5*V20+V2*W5*W20)/V32</f>
        <v>8.1533146191541048E-2</v>
      </c>
      <c r="X56" s="183">
        <f>(Model!$C$52*X5*X20+X2*Y5*Y20)/X32</f>
        <v>8.8923765716618475E-2</v>
      </c>
      <c r="Z56" s="183">
        <f>(Model!$C$52*Z5*Z20+Z2*AA5*AA20)/Z32</f>
        <v>9.733468077727371E-2</v>
      </c>
      <c r="AB56" s="183">
        <f>(Model!$C$52*AB5*AB20+AB2*AC5*AC20)/AB32</f>
        <v>0.10727317937740841</v>
      </c>
      <c r="AD56" s="183">
        <f>(Model!$C$52*AD5*AD20+AD2*AE5*AE20)/AD32</f>
        <v>0.11963669641404993</v>
      </c>
      <c r="AF56" s="183">
        <f>(Model!$C$52*AF5*AF20+AF2*AG5*AG20)/AF32</f>
        <v>0.13607300538520969</v>
      </c>
      <c r="AH56" s="183">
        <f>(Model!$C$52*AH5*AH20+AH2*AI5*AI20)/AH32</f>
        <v>0.15961073674256046</v>
      </c>
      <c r="AJ56" s="183">
        <f>(Model!$C$52*AJ5*AJ20+AJ2*AK5*AK20)/AJ32</f>
        <v>0.19564479100936402</v>
      </c>
      <c r="AL56" s="183">
        <f>(Model!$C$52*AL5*AL20+AL2*AM5*AM20)/AL32</f>
        <v>0.25501354849854213</v>
      </c>
      <c r="AN56" s="183">
        <f>(Model!$C$52*AN5*AN20+AN2*AO5*AO20)/AN32</f>
        <v>0.37420435979589151</v>
      </c>
      <c r="AP56" s="183">
        <f>(Model!$C$52*AP5*AP20+AP2*AQ5*AQ20)/AP32</f>
        <v>0.41659407089162936</v>
      </c>
      <c r="AR56" s="183">
        <f>(Model!$C$52*AR5*AR20+AR2*AS5*AS20)/AR32</f>
        <v>0.47333095140855957</v>
      </c>
      <c r="AT56" s="183">
        <f>(Model!$C$52*AT5*AT20+AT2*AU5*AU20)/AT32</f>
        <v>0.55533376248738298</v>
      </c>
      <c r="AV56" s="183">
        <f>(Model!$C$52*AV5*AV20+AV2*AW5*AW20)/AV32</f>
        <v>0.69070842043505465</v>
      </c>
      <c r="XFD56" s="183"/>
    </row>
    <row r="57" spans="1:48 16321:16384" x14ac:dyDescent="0.2">
      <c r="A57" t="s">
        <v>155</v>
      </c>
      <c r="B57" s="183">
        <f t="array" ref="B57">SUM(Model!tauL*B13:C13*B26:C26)/B32</f>
        <v>0.15852881819439493</v>
      </c>
      <c r="D57" s="183">
        <f t="array" ref="D57">SUM(Model!tauL*D13:E13*D26:E26)/D32</f>
        <v>0.15824598559298528</v>
      </c>
      <c r="F57" s="183">
        <f t="array" ref="F57">SUM(Model!tauL*F13:G13*F26:G26)/F32</f>
        <v>0.15794323728508983</v>
      </c>
      <c r="H57" s="183">
        <f t="array" ref="H57">SUM(Model!tauL*H13:I13*H26:I26)/H32</f>
        <v>0.15761761823820164</v>
      </c>
      <c r="J57" s="183">
        <f t="array" ref="J57">SUM(Model!tauL*J13:K13*J26:K26)/J32</f>
        <v>0.15726545796025146</v>
      </c>
      <c r="L57" s="183">
        <f t="array" ref="L57">SUM(Model!tauL*L13:M13*L26:M26)/L32</f>
        <v>0.15688209680487566</v>
      </c>
      <c r="N57" s="183">
        <f t="array" ref="N57">SUM(Model!tauL*N13:O13*N26:O26)/N32</f>
        <v>0.15646147461157942</v>
      </c>
      <c r="P57" s="183">
        <f t="array" ref="P57">SUM(Model!tauL*P13:Q13*P26:Q26)/P32</f>
        <v>0.15599549764666565</v>
      </c>
      <c r="R57" s="183">
        <f t="array" ref="R57">SUM(Model!tauL*R13:S13*R26:S26)/R32</f>
        <v>0.15547302487524042</v>
      </c>
      <c r="T57" s="183">
        <f t="array" ref="T57">SUM(Model!tauL*T13:U13*T26:U26)/T32</f>
        <v>0.15487819573331271</v>
      </c>
      <c r="V57" s="183">
        <f t="array" ref="V57">SUM(Model!tauL*V13:W13*V26:W26)/V32</f>
        <v>0.15418758586261611</v>
      </c>
      <c r="X57" s="183">
        <f t="array" ref="X57">SUM(Model!tauL*X13:Y13*X26:Y26)/X32</f>
        <v>0.15336518026844292</v>
      </c>
      <c r="Y57" s="183"/>
      <c r="Z57" s="183">
        <f t="array" ref="Z57">SUM(Model!tauL*Z13:AA13*Z26:AA26)/Z32</f>
        <v>0.15235315426838153</v>
      </c>
      <c r="AB57" s="183">
        <f t="array" ref="AB57">SUM(Model!tauL*AB13:AC13*AB26:AC26)/AB32</f>
        <v>0.15105437042512024</v>
      </c>
      <c r="AD57" s="183">
        <f t="array" ref="AD57">SUM(Model!tauL*AD13:AE13*AD26:AE26)/AD32</f>
        <v>0.14929853937563944</v>
      </c>
      <c r="AF57" s="183">
        <f t="array" ref="AF57">SUM(Model!tauL*AF13:AG13*AF26:AG26)/AF32</f>
        <v>0.14677864597489243</v>
      </c>
      <c r="AH57" s="183">
        <f t="array" ref="AH57">SUM(Model!tauL*AH13:AI13*AH26:AI26)/AH32</f>
        <v>0.14294671153538366</v>
      </c>
      <c r="AJ57" s="183">
        <f t="array" ref="AJ57">SUM(Model!tauL*AJ13:AK13*AJ26:AK26)/AJ32</f>
        <v>0.13686491506508872</v>
      </c>
      <c r="AL57" s="183">
        <f t="array" ref="AL57">SUM(Model!tauL*AL13:AM13*AL26:AM26)/AL32</f>
        <v>0.12669897932674345</v>
      </c>
      <c r="AN57" s="183">
        <f t="array" ref="AN57">SUM(Model!tauL*AN13:AO13*AN26:AO26)/AN32</f>
        <v>0.10621284711185075</v>
      </c>
      <c r="AP57" s="183">
        <f t="array" ref="AP57">SUM(Model!tauL*AP13:AQ13*AP26:AQ26)/AP32</f>
        <v>9.8920548391863081E-2</v>
      </c>
      <c r="AR57" s="183">
        <f t="array" ref="AR57">SUM(Model!tauL*AR13:AS13*AR26:AS26)/AR32</f>
        <v>8.9156619596405168E-2</v>
      </c>
      <c r="AT57" s="183">
        <f t="array" ref="AT57">SUM(Model!tauL*AT13:AU13*AT26:AU26)/AT32</f>
        <v>7.5038711727377569E-2</v>
      </c>
      <c r="AV57" s="183">
        <f t="array" ref="AV57">SUM(Model!tauL*AV13:AW13*AV26:AW26)/AV32</f>
        <v>5.1719845150038156E-2</v>
      </c>
      <c r="XFD57" s="183"/>
    </row>
    <row r="58" spans="1:48 16321:16384" x14ac:dyDescent="0.2">
      <c r="A58" t="s">
        <v>156</v>
      </c>
      <c r="B58" s="183">
        <f t="array" ref="B58">SUM(Model!tauY/(1+Model!tauY)*B3:C3*B18:C18)/B32</f>
        <v>1.075269412108535E-2</v>
      </c>
      <c r="D58" s="183">
        <f t="array" ref="D58">SUM(Model!tauY/(1+Model!tauY)*D3:E3*D18:E18)/D32</f>
        <v>1.0673619516105933E-2</v>
      </c>
      <c r="F58" s="183">
        <f t="array" ref="F58">SUM(Model!tauY/(1+Model!tauY)*F3:G3*F18:G18)/F32</f>
        <v>1.059354186504668E-2</v>
      </c>
      <c r="H58" s="183">
        <f t="array" ref="H58">SUM(Model!tauY/(1+Model!tauY)*H3:I3*H18:I18)/H32</f>
        <v>1.0512231756929424E-2</v>
      </c>
      <c r="J58" s="183">
        <f t="array" ref="J58">SUM(Model!tauY/(1+Model!tauY)*J3:K3*J18:K18)/J32</f>
        <v>1.0429413021458533E-2</v>
      </c>
      <c r="L58" s="183">
        <f t="array" ref="L58">SUM(Model!tauY/(1+Model!tauY)*L3:M3*L18:M18)/L32</f>
        <v>1.0344755480818455E-2</v>
      </c>
      <c r="N58" s="183">
        <f t="array" ref="N58">SUM(Model!tauY/(1+Model!tauY)*N3:O3*N18:O18)/N32</f>
        <v>1.0257866186435182E-2</v>
      </c>
      <c r="P58" s="183">
        <f t="array" ref="P58">SUM(Model!tauY/(1+Model!tauY)*P3:Q3*P18:Q18)/P32</f>
        <v>1.0168275169533052E-2</v>
      </c>
      <c r="R58" s="183">
        <f t="array" ref="R58">SUM(Model!tauY/(1+Model!tauY)*R3:S3*R18:S18)/R32</f>
        <v>1.0075421340660383E-2</v>
      </c>
      <c r="T58" s="183">
        <f t="array" ref="T58">SUM(Model!tauY/(1+Model!tauY)*T3:U3*T18:U18)/T32</f>
        <v>9.9786431928710357E-3</v>
      </c>
      <c r="V58" s="183">
        <f t="array" ref="V58">SUM(Model!tauY/(1+Model!tauY)*V3:W3*V18:W18)/V32</f>
        <v>9.8771703731387762E-3</v>
      </c>
      <c r="X58" s="183">
        <f t="array" ref="X58">SUM(Model!tauY/(1+Model!tauY)*X3:Y3*X18:Y18)/X32</f>
        <v>9.7701337466669595E-3</v>
      </c>
      <c r="Y58" s="183"/>
      <c r="Z58" s="183">
        <f t="array" ref="Z58">SUM(Model!tauY/(1+Model!tauY)*Z3:AA3*Z18:AA18)/Z32</f>
        <v>9.6566141571921317E-3</v>
      </c>
      <c r="AB58" s="183">
        <f t="array" ref="AB58">SUM(Model!tauY/(1+Model!tauY)*AB3:AC3*AB18:AC18)/AB32</f>
        <v>9.5357771102778151E-3</v>
      </c>
      <c r="AD58" s="183">
        <f t="array" ref="AD58">SUM(Model!tauY/(1+Model!tauY)*AD3:AE3*AD18:AE18)/AD32</f>
        <v>9.407194153276989E-3</v>
      </c>
      <c r="AF58" s="183">
        <f t="array" ref="AF58">SUM(Model!tauY/(1+Model!tauY)*AF3:AG3*AF18:AG18)/AF32</f>
        <v>9.2714342201421999E-3</v>
      </c>
      <c r="AH58" s="183">
        <f t="array" ref="AH58">SUM(Model!tauY/(1+Model!tauY)*AH3:AI3*AH18:AI18)/AH32</f>
        <v>9.1306244410086657E-3</v>
      </c>
      <c r="AJ58" s="183">
        <f t="array" ref="AJ58">SUM(Model!tauY/(1+Model!tauY)*AJ3:AK3*AJ18:AK18)/AJ32</f>
        <v>8.9870691814271687E-3</v>
      </c>
      <c r="AL58" s="183">
        <f t="array" ref="AL58">SUM(Model!tauY/(1+Model!tauY)*AL3:AM3*AL18:AM18)/AL32</f>
        <v>8.8389671178060354E-3</v>
      </c>
      <c r="AN58" s="183">
        <f t="array" ref="AN58">SUM(Model!tauY/(1+Model!tauY)*AN3:AO3*AN18:AO18)/AN32</f>
        <v>8.6920446325746553E-3</v>
      </c>
      <c r="AP58" s="183">
        <f t="array" ref="AP58">SUM(Model!tauY/(1+Model!tauY)*AP3:AQ3*AP18:AQ18)/AP32</f>
        <v>8.671310752569085E-3</v>
      </c>
      <c r="AR58" s="183">
        <f t="array" ref="AR58">SUM(Model!tauY/(1+Model!tauY)*AR3:AS3*AR18:AS18)/AR32</f>
        <v>8.6635507626859291E-3</v>
      </c>
      <c r="AT58" s="183">
        <f t="array" ref="AT58">SUM(Model!tauY/(1+Model!tauY)*AT3:AU3*AT18:AU18)/AT32</f>
        <v>8.6866826144905568E-3</v>
      </c>
      <c r="AV58" s="183">
        <f t="array" ref="AV58">SUM(Model!tauY/(1+Model!tauY)*AV3:AW3*AV18:AW18)/AV32</f>
        <v>8.7960825945929549E-3</v>
      </c>
      <c r="XFD58" s="183"/>
    </row>
    <row r="59" spans="1:48 16321:16384" x14ac:dyDescent="0.2">
      <c r="A59" t="s">
        <v>157</v>
      </c>
      <c r="B59" s="183">
        <f>(B2*C5*C20)/B32</f>
        <v>5.5174232040962052E-4</v>
      </c>
      <c r="D59" s="183">
        <f>(D2*E5*E20)/D32</f>
        <v>4.9802412720092344E-3</v>
      </c>
      <c r="F59" s="183">
        <f>(F2*G5*G20)/F32</f>
        <v>9.5201276522555774E-3</v>
      </c>
      <c r="H59" s="183">
        <f>(H2*I5*I20)/H32</f>
        <v>1.4189672382677741E-2</v>
      </c>
      <c r="J59" s="183">
        <f>(J2*K5*K20)/J32</f>
        <v>1.9011065518939853E-2</v>
      </c>
      <c r="L59" s="183">
        <f>(L2*M5*M20)/L32</f>
        <v>2.401190151503407E-2</v>
      </c>
      <c r="N59" s="183">
        <f>(N2*O5*O20)/N32</f>
        <v>2.9227284539596395E-2</v>
      </c>
      <c r="P59" s="183">
        <f>(P2*Q5*Q20)/P32</f>
        <v>3.4703014452213209E-2</v>
      </c>
      <c r="R59" s="183">
        <f>(R2*S5*S20)/R32</f>
        <v>4.050077019020721E-2</v>
      </c>
      <c r="T59" s="183">
        <f>(T2*U5*U20)/T32</f>
        <v>4.6706584055061479E-2</v>
      </c>
      <c r="V59" s="183">
        <f>(V2*W5*W20)/V32</f>
        <v>5.3445465816414219E-2</v>
      </c>
      <c r="X59" s="183">
        <f>(X2*Y5*Y20)/X32</f>
        <v>6.0907422133764079E-2</v>
      </c>
      <c r="Z59" s="183">
        <f>(Z2*AA5*AA20)/Z32</f>
        <v>6.9395875126999254E-2</v>
      </c>
      <c r="AB59" s="183">
        <f>(AB2*AC5*AC20)/AB32</f>
        <v>7.942132813265429E-2</v>
      </c>
      <c r="AD59" s="183">
        <f>(AD2*AE5*AE20)/AD32</f>
        <v>9.1886940509020951E-2</v>
      </c>
      <c r="AF59" s="183">
        <f>(AF2*AG5*AG20)/AF32</f>
        <v>0.10845070738784532</v>
      </c>
      <c r="AH59" s="183">
        <f>(AH2*AI5*AI20)/AH32</f>
        <v>0.13215801297245633</v>
      </c>
      <c r="AJ59" s="183">
        <f>(AJ2*AK5*AK20)/AJ32</f>
        <v>0.16842438526613668</v>
      </c>
      <c r="AL59" s="183">
        <f>(AL2*AM5*AM20)/AL32</f>
        <v>0.22809945964392814</v>
      </c>
      <c r="AN59" s="183">
        <f>(AN2*AO5*AO20)/AN32</f>
        <v>0.34762734162590381</v>
      </c>
      <c r="AP59" s="183">
        <f>(AP2*AQ5*AQ20)/AP32</f>
        <v>0.39005839080709587</v>
      </c>
      <c r="AR59" s="183">
        <f>(AR2*AS5*AS20)/AR32</f>
        <v>0.44679511844516362</v>
      </c>
      <c r="AT59" s="183">
        <f>(AT2*AU5*AU20)/AT32</f>
        <v>0.52869851319057715</v>
      </c>
      <c r="AV59" s="183">
        <f>(AV2*AW5*AW20)/AV32</f>
        <v>0.66369613351434043</v>
      </c>
      <c r="XFD59" s="183"/>
    </row>
    <row r="60" spans="1:48 16321:16384" x14ac:dyDescent="0.2">
      <c r="A60" t="s">
        <v>158</v>
      </c>
      <c r="B60" s="183">
        <f>Model!$C$52*B5*B20/B32</f>
        <v>2.8669464423930927E-2</v>
      </c>
      <c r="D60" s="183">
        <f>Model!$C$52*D5*D20/D32</f>
        <v>2.861670339487556E-2</v>
      </c>
      <c r="F60" s="183">
        <f>Model!$C$52*F5*F20/F32</f>
        <v>2.8563207504430657E-2</v>
      </c>
      <c r="H60" s="183">
        <f>Model!$C$52*H5*H20/H32</f>
        <v>2.8508865771952659E-2</v>
      </c>
      <c r="J60" s="183">
        <f>Model!$C$52*J5*J20/J32</f>
        <v>2.8453545337998234E-2</v>
      </c>
      <c r="L60" s="183">
        <f>Model!$C$52*L5*L20/L32</f>
        <v>2.839708422609263E-2</v>
      </c>
      <c r="N60" s="183">
        <f>Model!$C$52*N5*N20/N32</f>
        <v>2.8339280352352999E-2</v>
      </c>
      <c r="P60" s="183">
        <f>Model!$C$52*P5*P20/P32</f>
        <v>2.8279872040455276E-2</v>
      </c>
      <c r="R60" s="183">
        <f>Model!$C$52*R5*R20/R32</f>
        <v>2.8218506368704693E-2</v>
      </c>
      <c r="T60" s="183">
        <f>Model!$C$52*T5*T20/T32</f>
        <v>2.8154687168967629E-2</v>
      </c>
      <c r="V60" s="183">
        <f>Model!$C$52*V5*V20/V32</f>
        <v>2.8087680375126829E-2</v>
      </c>
      <c r="X60" s="183">
        <f>Model!$C$52*X5*X20/X32</f>
        <v>2.8016343582854389E-2</v>
      </c>
      <c r="Z60" s="183">
        <f>Model!$C$52*Z5*Z20/Z32</f>
        <v>2.7938805650274453E-2</v>
      </c>
      <c r="AB60" s="183">
        <f>Model!$C$52*AB5*AB20/AB32</f>
        <v>2.7851851244754117E-2</v>
      </c>
      <c r="AD60" s="183">
        <f>Model!$C$52*AD5*AD20/AD32</f>
        <v>2.7749755905028983E-2</v>
      </c>
      <c r="AF60" s="183">
        <f>Model!$C$52*AF5*AF20/AF32</f>
        <v>2.7622297997364358E-2</v>
      </c>
      <c r="AH60" s="183">
        <f>Model!$C$52*AH5*AH20/AH32</f>
        <v>2.7452723770104139E-2</v>
      </c>
      <c r="AJ60" s="183">
        <f>Model!$C$52*AJ5*AJ20/AJ32</f>
        <v>2.7220405743227347E-2</v>
      </c>
      <c r="AL60" s="183">
        <f>Model!$C$52*AL5*AL20/AL32</f>
        <v>2.6914088854614014E-2</v>
      </c>
      <c r="AN60" s="183">
        <f>Model!$C$52*AN5*AN20/AN32</f>
        <v>2.6577018169987681E-2</v>
      </c>
      <c r="AP60" s="183">
        <f>Model!$C$52*AP5*AP20/AP32</f>
        <v>2.6535680084533508E-2</v>
      </c>
      <c r="AR60" s="183">
        <f>Model!$C$52*AR5*AR20/AR32</f>
        <v>2.6535832963396004E-2</v>
      </c>
      <c r="AT60" s="183">
        <f>Model!$C$52*AT5*AT20/AT32</f>
        <v>2.663524929680575E-2</v>
      </c>
      <c r="AV60" s="183">
        <f>Model!$C$52*AV5*AV20/AV32</f>
        <v>2.7012286920714269E-2</v>
      </c>
      <c r="XFD60" s="183"/>
    </row>
    <row r="62" spans="1:48 16321:16384" x14ac:dyDescent="0.2">
      <c r="A62" t="s">
        <v>159</v>
      </c>
      <c r="B62">
        <f>B13/B15</f>
        <v>1</v>
      </c>
      <c r="D62">
        <f>D13/D15</f>
        <v>1.0057264084273239</v>
      </c>
      <c r="F62">
        <f>F13/F15</f>
        <v>1.0115165092994376</v>
      </c>
      <c r="H62">
        <f>H13/H15</f>
        <v>1.0173737752074616</v>
      </c>
      <c r="J62">
        <f>J13/J15</f>
        <v>1.0233015548527378</v>
      </c>
      <c r="L62">
        <f>L13/L15</f>
        <v>1.0293025440487784</v>
      </c>
      <c r="N62">
        <f>N13/N15</f>
        <v>1.0353779046666445</v>
      </c>
      <c r="P62">
        <f>P13/P15</f>
        <v>1.0415261537374132</v>
      </c>
      <c r="R62">
        <f>R13/R15</f>
        <v>1.047741214112262</v>
      </c>
      <c r="T62">
        <f>T13/T15</f>
        <v>1.0540088983966986</v>
      </c>
      <c r="V62">
        <f>V13/V15</f>
        <v>1.0603015438624395</v>
      </c>
      <c r="X62">
        <f>X13/X15</f>
        <v>1.0665688139264204</v>
      </c>
      <c r="Z62">
        <f>Z13/Z15</f>
        <v>1.0727224936045343</v>
      </c>
      <c r="AB62">
        <f>AB13/AB15</f>
        <v>1.078612038271789</v>
      </c>
      <c r="AD62">
        <f>AD13/AD15</f>
        <v>1.0839888216127538</v>
      </c>
      <c r="AF62">
        <f>AF13/AF15</f>
        <v>1.0884749023185984</v>
      </c>
      <c r="AH62">
        <f>AH13/AH15</f>
        <v>1.0916184734974901</v>
      </c>
      <c r="AJ62">
        <f>AJ13/AJ15</f>
        <v>1.0932112706051409</v>
      </c>
      <c r="AL62">
        <f>AL13/AL15</f>
        <v>1.093681771542405</v>
      </c>
      <c r="AN62">
        <f>AN13/AN15</f>
        <v>1.0937414260649199</v>
      </c>
      <c r="AP62">
        <f>AP13/AP15</f>
        <v>1.0937424527113602</v>
      </c>
      <c r="AR62">
        <f>AR13/AR15</f>
        <v>1.0937428258841084</v>
      </c>
      <c r="AT62">
        <f>AT13/AT15</f>
        <v>1.0937429330568225</v>
      </c>
      <c r="AV62">
        <f>AV13/AV15</f>
        <v>1.0937429542962434</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0.99834454801449357</v>
      </c>
      <c r="E65" s="181"/>
      <c r="F65" s="181">
        <f t="array" ref="F65">SQRT((F9:G9*$B$22:$C$22+F10:G10*$B$23:$C$23+F11:G11*$B$24:$C$24+F4:G4*($B$25:$C$25-$B$19:$C$19))/($B$9:$C$9*$B$22:$C$22+$B$10:$C$10*$B$23:$C$23+$B$11:$C$11*$B$24:$C$24+$B$4:$C$4*($B$25:$C$25-$B$19:$C$19))*(F9:G9*F22:G22+F10:G10*F23:G23+F11:G11*F24:G24+F4:G4*(F25:G25-F19:G19))/($B$9:$C$9*F22:G22+$B$10:$C$10*F23:G23+$B$11:$C$11*F24:G24+$B$4:$C$4*(F25:G25-F19:G19)))</f>
        <v>0.99660895319044662</v>
      </c>
      <c r="G65" s="181"/>
      <c r="H65" s="181">
        <f t="array" ref="H65">SQRT((H9:I9*$B$22:$C$22+H10:I10*$B$23:$C$23+H11:I11*$B$24:$C$24+H4:I4*($B$25:$C$25-$B$19:$C$19))/($B$9:$C$9*$B$22:$C$22+$B$10:$C$10*$B$23:$C$23+$B$11:$C$11*$B$24:$C$24+$B$4:$C$4*($B$25:$C$25-$B$19:$C$19))*(H9:I9*H22:I22+H10:I10*H23:I23+H11:I11*H24:I24+H4:I4*(H25:I25-H19:I19))/($B$9:$C$9*H22:I22+$B$10:$C$10*H23:I23+$B$11:$C$11*H24:I24+$B$4:$C$4*(H25:I25-H19:I19)))</f>
        <v>0.99478286191532472</v>
      </c>
      <c r="I65" s="181"/>
      <c r="J65" s="181">
        <f t="array" ref="J65">SQRT((J9:K9*$B$22:$C$22+J10:K10*$B$23:$C$23+J11:K11*$B$24:$C$24+J4:K4*($B$25:$C$25-$B$19:$C$19))/($B$9:$C$9*$B$22:$C$22+$B$10:$C$10*$B$23:$C$23+$B$11:$C$11*$B$24:$C$24+$B$4:$C$4*($B$25:$C$25-$B$19:$C$19))*(J9:K9*J22:K22+J10:K10*J23:K23+J11:K11*J24:K24+J4:K4*(J25:K25-J19:K19))/($B$9:$C$9*J22:K22+$B$10:$C$10*J23:K23+$B$11:$C$11*J24:K24+$B$4:$C$4*(J25:K25-J19:K19)))</f>
        <v>0.99285471542047643</v>
      </c>
      <c r="K65" s="181"/>
      <c r="L65" s="181">
        <f t="array" ref="L65">SQRT((L9:M9*$B$22:$C$22+L10:M10*$B$23:$C$23+L11:M11*$B$24:$C$24+L4:M4*($B$25:$C$25-$B$19:$C$19))/($B$9:$C$9*$B$22:$C$22+$B$10:$C$10*$B$23:$C$23+$B$11:$C$11*$B$24:$C$24+$B$4:$C$4*($B$25:$C$25-$B$19:$C$19))*(L9:M9*L22:M22+L10:M10*L23:M23+L11:M11*L24:M24+L4:M4*(L25:M25-L19:M19))/($B$9:$C$9*L22:M22+$B$10:$C$10*L23:M23+$B$11:$C$11*L24:M24+$B$4:$C$4*(L25:M25-L19:M19)))</f>
        <v>0.99081187849131858</v>
      </c>
      <c r="M65" s="181"/>
      <c r="N65" s="181">
        <f t="array" ref="N65">SQRT((N9:O9*$B$22:$C$22+N10:O10*$B$23:$C$23+N11:O11*$B$24:$C$24+N4:O4*($B$25:$C$25-$B$19:$C$19))/($B$9:$C$9*$B$22:$C$22+$B$10:$C$10*$B$23:$C$23+$B$11:$C$11*$B$24:$C$24+$B$4:$C$4*($B$25:$C$25-$B$19:$C$19))*(N9:O9*N22:O22+N10:O10*N23:O23+N11:O11*N24:O24+N4:O4*(N25:O25-N19:O19))/($B$9:$C$9*N22:O22+$B$10:$C$10*N23:O23+$B$11:$C$11*N24:O24+$B$4:$C$4*(N25:O25-N19:O19)))</f>
        <v>0.98864104658027852</v>
      </c>
      <c r="O65" s="181"/>
      <c r="P65" s="181">
        <f t="array" ref="P65">SQRT((P9:Q9*$B$22:$C$22+P10:Q10*$B$23:$C$23+P11:Q11*$B$24:$C$24+P4:Q4*($B$25:$C$25-$B$19:$C$19))/($B$9:$C$9*$B$22:$C$22+$B$10:$C$10*$B$23:$C$23+$B$11:$C$11*$B$24:$C$24+$B$4:$C$4*($B$25:$C$25-$B$19:$C$19))*(P9:Q9*P22:Q22+P10:Q10*P23:Q23+P11:Q11*P24:Q24+P4:Q4*(P25:Q25-P19:Q19))/($B$9:$C$9*P22:Q22+$B$10:$C$10*P23:Q23+$B$11:$C$11*P24:Q24+$B$4:$C$4*(P25:Q25-P19:Q19)))</f>
        <v>0.98632915396061505</v>
      </c>
      <c r="Q65" s="181"/>
      <c r="R65" s="181">
        <f t="array" ref="R65">SQRT((R9:S9*$B$22:$C$22+R10:S10*$B$23:$C$23+R11:S11*$B$24:$C$24+R4:S4*($B$25:$C$25-$B$19:$C$19))/($B$9:$C$9*$B$22:$C$22+$B$10:$C$10*$B$23:$C$23+$B$11:$C$11*$B$24:$C$24+$B$4:$C$4*($B$25:$C$25-$B$19:$C$19))*(R9:S9*R22:S22+R10:S10*R23:S23+R11:S11*R24:S24+R4:S4*(R25:S25-R19:S19))/($B$9:$C$9*R22:S22+$B$10:$C$10*R23:S23+$B$11:$C$11*R24:S24+$B$4:$C$4*(R25:S25-R19:S19)))</f>
        <v>0.98386521883089817</v>
      </c>
      <c r="S65" s="181"/>
      <c r="T65" s="181">
        <f t="array" ref="T65">SQRT((T9:U9*$B$22:$C$22+T10:U10*$B$23:$C$23+T11:U11*$B$24:$C$24+T4:U4*($B$25:$C$25-$B$19:$C$19))/($B$9:$C$9*$B$22:$C$22+$B$10:$C$10*$B$23:$C$23+$B$11:$C$11*$B$24:$C$24+$B$4:$C$4*($B$25:$C$25-$B$19:$C$19))*(T9:U9*T22:U22+T10:U10*T23:U23+T11:U11*T24:U24+T4:U4*(T25:U25-T19:U19))/($B$9:$C$9*T22:U22+$B$10:$C$10*T23:U23+$B$11:$C$11*T24:U24+$B$4:$C$4*(T25:U25-T19:U19)))</f>
        <v>0.98124392633729984</v>
      </c>
      <c r="U65" s="181"/>
      <c r="V65" s="181">
        <f t="array" ref="V65">SQRT((V9:W9*$B$22:$C$22+V10:W10*$B$23:$C$23+V11:W11*$B$24:$C$24+V4:W4*($B$25:$C$25-$B$19:$C$19))/($B$9:$C$9*$B$22:$C$22+$B$10:$C$10*$B$23:$C$23+$B$11:$C$11*$B$24:$C$24+$B$4:$C$4*($B$25:$C$25-$B$19:$C$19))*(V9:W9*V22:W22+V10:W10*V23:W23+V11:W11*V24:W24+V4:W4*(V25:W25-V19:W19))/($B$9:$C$9*V22:W22+$B$10:$C$10*V23:W23+$B$11:$C$11*V24:W24+$B$4:$C$4*(V25:W25-V19:W19)))</f>
        <v>0.97847248837565648</v>
      </c>
      <c r="W65" s="181"/>
      <c r="X65" s="181">
        <f t="array" ref="X65">SQRT((X9:Y9*$B$22:$C$22+X10:Y10*$B$23:$C$23+X11:Y11*$B$24:$C$24+X4:Y4*($B$25:$C$25-$B$19:$C$19))/($B$9:$C$9*$B$22:$C$22+$B$10:$C$10*$B$23:$C$23+$B$11:$C$11*$B$24:$C$24+$B$4:$C$4*($B$25:$C$25-$B$19:$C$19))*(X9:Y9*X22:Y22+X10:Y10*X23:Y23+X11:Y11*X24:Y24+X4:Y4*(X25:Y25-X19:Y19))/($B$9:$C$9*X22:Y22+$B$10:$C$10*X23:Y23+$B$11:$C$11*X24:Y24+$B$4:$C$4*(X25:Y25-X19:Y19)))</f>
        <v>0.97558378344754415</v>
      </c>
      <c r="Y65" s="181"/>
      <c r="Z65" s="181">
        <f t="array" ref="Z65">SQRT((Z9:AA9*$B$22:$C$22+Z10:AA10*$B$23:$C$23+Z11:AA11*$B$24:$C$24+Z4:AA4*($B$25:$C$25-$B$19:$C$19))/($B$9:$C$9*$B$22:$C$22+$B$10:$C$10*$B$23:$C$23+$B$11:$C$11*$B$24:$C$24+$B$4:$C$4*($B$25:$C$25-$B$19:$C$19))*(Z9:AA9*Z22:AA22+Z10:AA10*Z23:AA23+Z11:AA11*Z24:AA24+Z4:AA4*(Z25:AA25-Z19:AA19))/($B$9:$C$9*Z22:AA22+$B$10:$C$10*Z23:AA23+$B$11:$C$11*Z24:AA24+$B$4:$C$4*(Z25:AA25-Z19:AA19)))</f>
        <v>0.97266170287610942</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0.96989021120778607</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0.96764503574719685</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0.96663971826003148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0.96801891080412872</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0.97290428861644629</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0.98111043601470227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0.99119187652428442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0.99344420189679017</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0.99592503500589991</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0.99891717635292754</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1.0032685712367466</v>
      </c>
    </row>
    <row r="66" spans="1:48 16384:16384" x14ac:dyDescent="0.2">
      <c r="A66" t="s">
        <v>166</v>
      </c>
      <c r="B66" s="181">
        <f t="array" ref="B66">SQRT((B9:C9*$B$22:$C$22)/($B$9:$C$9*$B$22:$C$22)*(B9:C9*B22:C22)/($B$9:$C$9*B22:C22))</f>
        <v>1</v>
      </c>
      <c r="C66" s="181"/>
      <c r="D66" s="181">
        <f t="array" ref="D66">SQRT((D9:E9*$B$22:$C$22)/($B$9:$C$9*$B$22:$C$22)*(D9:E9*D22:E22)/($B$9:$C$9*D22:E22))</f>
        <v>0.99817984299076734</v>
      </c>
      <c r="E66" s="181"/>
      <c r="F66" s="181">
        <f t="array" ref="F66">SQRT((F9:G9*$B$22:$C$22)/($B$9:$C$9*$B$22:$C$22)*(F9:G9*F22:G22)/($B$9:$C$9*F22:G22))</f>
        <v>0.99626989417160827</v>
      </c>
      <c r="G66" s="181"/>
      <c r="H66" s="181">
        <f t="array" ref="H66">SQRT((H9:I9*$B$22:$C$22)/($B$9:$C$9*$B$22:$C$22)*(H9:I9*H22:I22)/($B$9:$C$9*H22:I22))</f>
        <v>0.99425848771433556</v>
      </c>
      <c r="I66" s="181"/>
      <c r="J66" s="181">
        <f t="array" ref="J66">SQRT((J9:K9*$B$22:$C$22)/($B$9:$C$9*$B$22:$C$22)*(J9:K9*J22:K22)/($B$9:$C$9*J22:K22))</f>
        <v>0.99213256626471336</v>
      </c>
      <c r="K66" s="181"/>
      <c r="L66" s="181">
        <f t="array" ref="L66">SQRT((L9:M9*$B$22:$C$22)/($B$9:$C$9*$B$22:$C$22)*(L9:M9*L22:M22)/($B$9:$C$9*L22:M22))</f>
        <v>0.98987780867007003</v>
      </c>
      <c r="M66" s="181"/>
      <c r="N66" s="181">
        <f t="array" ref="N66">SQRT((N9:O9*$B$22:$C$22)/($B$9:$C$9*$B$22:$C$22)*(N9:O9*N22:O22)/($B$9:$C$9*N22:O22))</f>
        <v>0.98747906424455512</v>
      </c>
      <c r="O66" s="181"/>
      <c r="P66" s="181">
        <f t="array" ref="P66">SQRT((P9:Q9*$B$22:$C$22)/($B$9:$C$9*$B$22:$C$22)*(P9:Q9*P22:Q22)/($B$9:$C$9*P22:Q22))</f>
        <v>0.98492134277453924</v>
      </c>
      <c r="Q66" s="181"/>
      <c r="R66" s="181">
        <f t="array" ref="R66">SQRT((R9:S9*$B$22:$C$22)/($B$9:$C$9*$B$22:$C$22)*(R9:S9*R22:S22)/($B$9:$C$9*R22:S22))</f>
        <v>0.98219184955309113</v>
      </c>
      <c r="S66" s="181"/>
      <c r="T66" s="181">
        <f t="array" ref="T66">SQRT((T9:U9*$B$22:$C$22)/($B$9:$C$9*$B$22:$C$22)*(T9:U9*T22:U22)/($B$9:$C$9*T22:U22))</f>
        <v>0.97928396763728554</v>
      </c>
      <c r="U66" s="181"/>
      <c r="V66" s="181">
        <f t="array" ref="V66">SQRT((V9:W9*$B$22:$C$22)/($B$9:$C$9*$B$22:$C$22)*(V9:W9*V22:W22)/($B$9:$C$9*V22:W22))</f>
        <v>0.97620492526147062</v>
      </c>
      <c r="W66" s="181"/>
      <c r="X66" s="181">
        <f t="array" ref="X66">SQRT((X9:Y9*$B$22:$C$22)/($B$9:$C$9*$B$22:$C$22)*(X9:Y9*X22:Y22)/($B$9:$C$9*X22:Y22))</f>
        <v>0.97299054598926316</v>
      </c>
      <c r="Y66" s="181"/>
      <c r="Z66" s="181">
        <f t="array" ref="Z66">SQRT((Z9:AA9*$B$22:$C$22)/($B$9:$C$9*$B$22:$C$22)*(Z9:AA9*Z22:AA22)/($B$9:$C$9*Z22:AA22))</f>
        <v>0.96973379140089</v>
      </c>
      <c r="AA66" s="181"/>
      <c r="AB66" s="181">
        <f t="array" ref="AB66">SQRT((AB9:AC9*$B$22:$C$22)/($B$9:$C$9*$B$22:$C$22)*(AB9:AC9*AB22:AC22)/($B$9:$C$9*AB22:AC22))</f>
        <v>0.96664011350747081</v>
      </c>
      <c r="AC66" s="181"/>
      <c r="AD66" s="181">
        <f t="array" ref="AD66">SQRT((AD9:AE9*$B$22:$C$22)/($B$9:$C$9*$B$22:$C$22)*(AD9:AE9*AD22:AE22)/($B$9:$C$9*AD22:AE22))</f>
        <v>0.96413091896504943</v>
      </c>
      <c r="AE66" s="181"/>
      <c r="AF66" s="181">
        <f t="array" ref="AF66">SQRT((AF9:AG9*$B$22:$C$22)/($B$9:$C$9*$B$22:$C$22)*(AF9:AG9*AF22:AG22)/($B$9:$C$9*AF22:AG22))</f>
        <v>0.96300780694399113</v>
      </c>
      <c r="AG66" s="181"/>
      <c r="AH66" s="181">
        <f t="array" ref="AH66">SQRT((AH9:AI9*$B$22:$C$22)/($B$9:$C$9*$B$22:$C$22)*(AH9:AI9*AH22:AI22)/($B$9:$C$9*AH22:AI22))</f>
        <v>0.96455435180472582</v>
      </c>
      <c r="AI66" s="181"/>
      <c r="AJ66" s="181">
        <f t="array" ref="AJ66">SQRT((AJ9:AK9*$B$22:$C$22)/($B$9:$C$9*$B$22:$C$22)*(AJ9:AK9*AJ22:AK22)/($B$9:$C$9*AJ22:AK22))</f>
        <v>0.97001512398349077</v>
      </c>
      <c r="AK66" s="181"/>
      <c r="AL66" s="181">
        <f t="array" ref="AL66">SQRT((AL9:AM9*$B$22:$C$22)/($B$9:$C$9*$B$22:$C$22)*(AL9:AM9*AL22:AM22)/($B$9:$C$9*AL22:AM22))</f>
        <v>0.97914892360276229</v>
      </c>
      <c r="AM66" s="181"/>
      <c r="AN66" s="181">
        <f t="array" ref="AN66">SQRT((AN9:AO9*$B$22:$C$22)/($B$9:$C$9*$B$22:$C$22)*(AN9:AO9*AN22:AO22)/($B$9:$C$9*AN22:AO22))</f>
        <v>0.99030689027197294</v>
      </c>
      <c r="AO66" s="181"/>
      <c r="AP66" s="181">
        <f t="array" ref="AP66">SQRT((AP9:AQ9*$B$22:$C$22)/($B$9:$C$9*$B$22:$C$22)*(AP9:AQ9*AP22:AQ22)/($B$9:$C$9*AP22:AQ22))</f>
        <v>0.99279040219593451</v>
      </c>
      <c r="AQ66" s="181"/>
      <c r="AR66" s="181">
        <f t="array" ref="AR66">SQRT((AR9:AS9*$B$22:$C$22)/($B$9:$C$9*$B$22:$C$22)*(AR9:AS9*AR22:AS22)/($B$9:$C$9*AR22:AS22))</f>
        <v>0.99552197952129196</v>
      </c>
      <c r="AS66" s="181"/>
      <c r="AT66" s="181">
        <f t="array" ref="AT66">SQRT((AT9:AU9*$B$22:$C$22)/($B$9:$C$9*$B$22:$C$22)*(AT9:AU9*AT22:AU22)/($B$9:$C$9*AT22:AU22))</f>
        <v>0.99881113873028726</v>
      </c>
      <c r="AU66" s="181"/>
      <c r="AV66" s="181">
        <f t="array" ref="AV66">SQRT((AV9:AW9*$B$22:$C$22)/($B$9:$C$9*$B$22:$C$22)*(AV9:AW9*AV22:AW22)/($B$9:$C$9*AV22:AW22))</f>
        <v>1.0035840021874916</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0.99817984299076734</v>
      </c>
      <c r="E68" s="181"/>
      <c r="F68" s="181">
        <f>F66/F67</f>
        <v>0.99626989417160827</v>
      </c>
      <c r="G68" s="181"/>
      <c r="H68" s="181">
        <f>H66/H67</f>
        <v>0.99425848771433556</v>
      </c>
      <c r="I68" s="181"/>
      <c r="J68" s="181">
        <f>J66/J67</f>
        <v>0.99213256626471336</v>
      </c>
      <c r="K68" s="181"/>
      <c r="L68" s="181">
        <f>L66/L67</f>
        <v>0.98987780867007003</v>
      </c>
      <c r="M68" s="181"/>
      <c r="N68" s="181">
        <f>N66/N67</f>
        <v>0.98747906424455512</v>
      </c>
      <c r="O68" s="181"/>
      <c r="P68" s="181">
        <f>P66/P67</f>
        <v>0.98492134277453924</v>
      </c>
      <c r="Q68" s="181"/>
      <c r="R68" s="181">
        <f>R66/R67</f>
        <v>0.98219184955309113</v>
      </c>
      <c r="S68" s="181"/>
      <c r="T68" s="181">
        <f>T66/T67</f>
        <v>0.97928396763728554</v>
      </c>
      <c r="U68" s="181"/>
      <c r="V68" s="181">
        <f>V66/V67</f>
        <v>0.97620492526147062</v>
      </c>
      <c r="W68" s="181"/>
      <c r="X68" s="181">
        <f>X66/X67</f>
        <v>0.97299054598926316</v>
      </c>
      <c r="Y68" s="181"/>
      <c r="Z68" s="181">
        <f>Z66/Z67</f>
        <v>0.96973379140089</v>
      </c>
      <c r="AA68" s="181"/>
      <c r="AB68" s="181">
        <f>AB66/AB67</f>
        <v>0.96664011350747081</v>
      </c>
      <c r="AC68" s="181"/>
      <c r="AD68" s="181">
        <f>AD66/AD67</f>
        <v>0.96413091896504943</v>
      </c>
      <c r="AE68" s="181"/>
      <c r="AF68" s="181">
        <f>AF66/AF67</f>
        <v>0.96300780694399113</v>
      </c>
      <c r="AG68" s="181"/>
      <c r="AH68" s="181">
        <f>AH66/AH67</f>
        <v>0.96455435180472582</v>
      </c>
      <c r="AI68" s="181"/>
      <c r="AJ68" s="181">
        <f>AJ66/AJ67</f>
        <v>0.97001512398349077</v>
      </c>
      <c r="AK68" s="181"/>
      <c r="AL68" s="181">
        <f>AL66/AL67</f>
        <v>0.97914892360276229</v>
      </c>
      <c r="AM68" s="181"/>
      <c r="AN68" s="181">
        <f>AN66/AN67</f>
        <v>0.99030689027197294</v>
      </c>
      <c r="AO68" s="181"/>
      <c r="AP68" s="181">
        <f>AP66/AP67</f>
        <v>0.99279040219593451</v>
      </c>
      <c r="AQ68" s="181"/>
      <c r="AR68" s="181">
        <f>AR66/AR67</f>
        <v>0.99552197952129196</v>
      </c>
      <c r="AS68" s="181"/>
      <c r="AT68" s="181">
        <f>AT66/AT67</f>
        <v>0.99881113873028726</v>
      </c>
      <c r="AU68" s="181"/>
      <c r="AV68" s="181">
        <f>AV66/AV67</f>
        <v>1.0035840021874916</v>
      </c>
      <c r="XFD68" s="181"/>
    </row>
    <row r="69" spans="1:48 16384:16384" x14ac:dyDescent="0.2">
      <c r="A69" t="s">
        <v>161</v>
      </c>
      <c r="B69" s="181">
        <f>B32/B65/($B$32)</f>
        <v>1</v>
      </c>
      <c r="C69" s="181"/>
      <c r="D69" s="181">
        <f>D32/D65/($B$32)</f>
        <v>1.0014892437601794</v>
      </c>
      <c r="E69" s="181"/>
      <c r="F69" s="181">
        <f>F32/F65/($B$32)</f>
        <v>1.0028499743539647</v>
      </c>
      <c r="G69" s="181"/>
      <c r="H69" s="181">
        <f>H32/H65/($B$32)</f>
        <v>1.0040618665746357</v>
      </c>
      <c r="I69" s="181"/>
      <c r="J69" s="181">
        <f>J32/J65/($B$32)</f>
        <v>1.0051001757207918</v>
      </c>
      <c r="K69" s="181"/>
      <c r="L69" s="181">
        <f>L32/L65/($B$32)</f>
        <v>1.0059344170879259</v>
      </c>
      <c r="M69" s="181"/>
      <c r="N69" s="181">
        <f>N32/N65/($B$32)</f>
        <v>1.0065265708275997</v>
      </c>
      <c r="O69" s="181"/>
      <c r="P69" s="181">
        <f>P32/P65/($B$32)</f>
        <v>1.0068287335935222</v>
      </c>
      <c r="Q69" s="181"/>
      <c r="R69" s="181">
        <f>R32/R65/($B$32)</f>
        <v>1.0067797476665905</v>
      </c>
      <c r="S69" s="181"/>
      <c r="T69" s="181">
        <f>T32/T65/($B$32)</f>
        <v>1.0063001414127226</v>
      </c>
      <c r="U69" s="181"/>
      <c r="V69" s="181">
        <f>V32/V65/($B$32)</f>
        <v>1.0052846598843939</v>
      </c>
      <c r="W69" s="181"/>
      <c r="X69" s="181">
        <f>X32/X65/($B$32)</f>
        <v>1.0035902449845593</v>
      </c>
      <c r="Y69" s="181"/>
      <c r="Z69" s="181">
        <f>Z32/Z65/($B$32)</f>
        <v>1.0010155610625682</v>
      </c>
      <c r="AA69" s="181"/>
      <c r="AB69" s="181">
        <f>AB32/AB65/($B$32)</f>
        <v>0.99726269462716743</v>
      </c>
      <c r="AC69" s="181"/>
      <c r="AD69" s="181">
        <f>AD32/AD65/($B$32)</f>
        <v>0.99185498695930274</v>
      </c>
      <c r="AE69" s="181"/>
      <c r="AF69" s="181">
        <f>AF32/AF65/($B$32)</f>
        <v>0.98393064661281937</v>
      </c>
      <c r="AG69" s="181"/>
      <c r="AH69" s="181">
        <f>AH32/AH65/($B$32)</f>
        <v>0.97163532765092353</v>
      </c>
      <c r="AI69" s="181"/>
      <c r="AJ69" s="181">
        <f>AJ32/AJ65/($B$32)</f>
        <v>0.95020840180557387</v>
      </c>
      <c r="AK69" s="181"/>
      <c r="AL69" s="181">
        <f>AL32/AL65/($B$32)</f>
        <v>0.90570434539433009</v>
      </c>
      <c r="AM69" s="181"/>
      <c r="AN69" s="181">
        <f>AN32/AN65/($B$32)</f>
        <v>0.78471873222316124</v>
      </c>
      <c r="AO69" s="181"/>
      <c r="AP69" s="181">
        <f>AP32/AP65/($B$32)</f>
        <v>0.73436909530907679</v>
      </c>
      <c r="AQ69" s="181"/>
      <c r="AR69" s="181">
        <f>AR32/AR65/($B$32)</f>
        <v>0.66310775460601767</v>
      </c>
      <c r="AS69" s="181"/>
      <c r="AT69" s="181">
        <f>AT32/AT65/($B$32)</f>
        <v>0.5551795365174611</v>
      </c>
      <c r="AU69" s="181"/>
      <c r="AV69" s="181">
        <f>AV32/AV65/($B$32)</f>
        <v>0.37323662067754088</v>
      </c>
    </row>
    <row r="70" spans="1:48 16384:16384" x14ac:dyDescent="0.2">
      <c r="A70" t="s">
        <v>162</v>
      </c>
      <c r="B70" s="129">
        <f>B18/$B$18</f>
        <v>1</v>
      </c>
      <c r="C70" s="129"/>
      <c r="D70" s="129">
        <f>D18/$B$18</f>
        <v>1.0003151247230841</v>
      </c>
      <c r="E70" s="129"/>
      <c r="F70" s="129">
        <f>F18/$B$18</f>
        <v>1.0005071623451223</v>
      </c>
      <c r="G70" s="129"/>
      <c r="H70" s="129">
        <f>H18/$B$18</f>
        <v>1.0005571270905047</v>
      </c>
      <c r="I70" s="129"/>
      <c r="J70" s="129">
        <f>J18/$B$18</f>
        <v>1.0004415656174213</v>
      </c>
      <c r="K70" s="129"/>
      <c r="L70" s="129">
        <f>L18/$B$18</f>
        <v>1.0001309853839786</v>
      </c>
      <c r="M70" s="129"/>
      <c r="N70" s="129">
        <f>N18/$B$18</f>
        <v>0.99958757161906264</v>
      </c>
      <c r="O70" s="129"/>
      <c r="P70" s="129">
        <f>P18/$B$18</f>
        <v>0.99876185137525442</v>
      </c>
      <c r="Q70" s="129"/>
      <c r="R70" s="129">
        <f>R18/$B$18</f>
        <v>0.99758751878192831</v>
      </c>
      <c r="S70" s="129"/>
      <c r="T70" s="129">
        <f>T18/$B$18</f>
        <v>0.99597311944923039</v>
      </c>
      <c r="U70" s="129"/>
      <c r="V70" s="129">
        <f>V18/$B$18</f>
        <v>0.99378841329093692</v>
      </c>
      <c r="W70" s="129"/>
      <c r="X70" s="129">
        <f>X18/$B$18</f>
        <v>0.99084082036864674</v>
      </c>
      <c r="Y70" s="129"/>
      <c r="Z70" s="129">
        <f>Z18/$B$18</f>
        <v>0.98683297487567367</v>
      </c>
      <c r="AA70" s="129"/>
      <c r="AB70" s="129">
        <f>AB18/$B$18</f>
        <v>0.98128250975789921</v>
      </c>
      <c r="AC70" s="129"/>
      <c r="AD70" s="129">
        <f>AD18/$B$18</f>
        <v>0.97336356455408335</v>
      </c>
      <c r="AE70" s="129"/>
      <c r="AF70" s="129">
        <f>AF18/$B$18</f>
        <v>0.96158602240819502</v>
      </c>
      <c r="AG70" s="129"/>
      <c r="AH70" s="129">
        <f>AH18/$B$18</f>
        <v>0.94314901194890699</v>
      </c>
      <c r="AI70" s="129"/>
      <c r="AJ70" s="129">
        <f>AJ18/$B$18</f>
        <v>0.91254788489401639</v>
      </c>
      <c r="AK70" s="129"/>
      <c r="AL70" s="129">
        <f>AL18/$B$18</f>
        <v>0.85694503616146822</v>
      </c>
      <c r="AM70" s="129"/>
      <c r="AN70" s="129">
        <f>AN18/$B$18</f>
        <v>0.73006223099883127</v>
      </c>
      <c r="AO70" s="129"/>
      <c r="AP70" s="129">
        <f>AP18/$B$18</f>
        <v>0.68152338745332264</v>
      </c>
      <c r="AQ70" s="129"/>
      <c r="AR70" s="129">
        <f>AR18/$B$18</f>
        <v>0.61476962082241082</v>
      </c>
      <c r="AS70" s="129"/>
      <c r="AT70" s="129">
        <f>AT18/$B$18</f>
        <v>0.51601181052156864</v>
      </c>
      <c r="AU70" s="129"/>
      <c r="AV70" s="129">
        <f>AV18/$B$18</f>
        <v>0.35120440405453318</v>
      </c>
    </row>
    <row r="71" spans="1:48 16384:16384" x14ac:dyDescent="0.2">
      <c r="A71" t="s">
        <v>163</v>
      </c>
      <c r="B71" s="129">
        <f>C18/$C$18</f>
        <v>1</v>
      </c>
      <c r="D71" s="129">
        <f>E18/$C$18</f>
        <v>0.93195188174145482</v>
      </c>
      <c r="E71" s="129"/>
      <c r="F71" s="129">
        <f>G18/$C$18</f>
        <v>0.86373740792006481</v>
      </c>
      <c r="G71" s="129"/>
      <c r="H71" s="129">
        <f>I18/$C$18</f>
        <v>0.79537168388466639</v>
      </c>
      <c r="I71" s="129"/>
      <c r="J71" s="129">
        <f>K18/$C$18</f>
        <v>0.72688135785447427</v>
      </c>
      <c r="K71" s="129"/>
      <c r="L71" s="129">
        <f>M18/$C$18</f>
        <v>0.65831190597698386</v>
      </c>
      <c r="M71" s="129"/>
      <c r="N71" s="129">
        <f>O18/$C$18</f>
        <v>0.589738584132531</v>
      </c>
      <c r="O71" s="129"/>
      <c r="P71" s="129">
        <f>Q18/$C$18</f>
        <v>0.52128054227763232</v>
      </c>
      <c r="Q71" s="129"/>
      <c r="R71" s="129">
        <f>S18/$C$18</f>
        <v>0.4531232611577759</v>
      </c>
      <c r="S71" s="129"/>
      <c r="T71" s="129">
        <f>U18/$C$18</f>
        <v>0.38555514850609107</v>
      </c>
      <c r="U71" s="129"/>
      <c r="V71" s="129">
        <f>W18/$C$18</f>
        <v>0.31902127273576725</v>
      </c>
      <c r="W71" s="129"/>
      <c r="X71" s="129">
        <f>Y18/$C$18</f>
        <v>0.25420905143698014</v>
      </c>
      <c r="Y71" s="129"/>
      <c r="Z71" s="129">
        <f>AA18/$C$18</f>
        <v>0.19218057526385848</v>
      </c>
      <c r="AA71" s="129"/>
      <c r="AB71" s="129">
        <f>AC18/$C$18</f>
        <v>0.13456774256934201</v>
      </c>
      <c r="AC71" s="129"/>
      <c r="AD71" s="129">
        <f>AE18/$C$18</f>
        <v>8.3816823139608809E-2</v>
      </c>
      <c r="AE71" s="129"/>
      <c r="AF71" s="129">
        <f>AG18/$C$18</f>
        <v>4.3283008214812756E-2</v>
      </c>
      <c r="AG71" s="129"/>
      <c r="AH71" s="129">
        <f>AI18/$C$18</f>
        <v>1.6406401840492846E-2</v>
      </c>
      <c r="AI71" s="129"/>
      <c r="AJ71" s="129">
        <f>AK18/$C$18</f>
        <v>3.7478795249183908E-3</v>
      </c>
      <c r="AK71" s="129"/>
      <c r="AL71" s="129">
        <f>AM18/$C$18</f>
        <v>3.7293666491790143E-4</v>
      </c>
      <c r="AM71" s="129"/>
      <c r="AN71" s="129">
        <f>AO18/$C$18</f>
        <v>7.0762478191289015E-6</v>
      </c>
      <c r="AO71" s="129"/>
      <c r="AP71" s="129">
        <f>AQ18/$C$18</f>
        <v>2.1204247844935921E-6</v>
      </c>
      <c r="AQ71" s="129"/>
      <c r="AR71" s="129">
        <f>AS18/$C$18</f>
        <v>4.855909132501081E-7</v>
      </c>
      <c r="AS71" s="129"/>
      <c r="AT71" s="129">
        <f>AU18/$C$18</f>
        <v>7.2695094360457875E-8</v>
      </c>
      <c r="AU71" s="129"/>
      <c r="AV71" s="129">
        <f>AW18/$C$18</f>
        <v>4.8415934308065633E-9</v>
      </c>
      <c r="XFD71" s="129"/>
    </row>
    <row r="72" spans="1:48 16384:16384" x14ac:dyDescent="0.2">
      <c r="A72" t="s">
        <v>164</v>
      </c>
      <c r="B72" s="129">
        <f>C19/$C$19</f>
        <v>1</v>
      </c>
      <c r="D72" s="129">
        <f>E19/$C$19</f>
        <v>1.0228242062133741</v>
      </c>
      <c r="E72" s="129"/>
      <c r="F72" s="129">
        <f>G19/$C$19</f>
        <v>1.0489840671715944</v>
      </c>
      <c r="G72" s="129"/>
      <c r="H72" s="129">
        <f>I19/$C$19</f>
        <v>1.078896820752252</v>
      </c>
      <c r="I72" s="129"/>
      <c r="J72" s="129">
        <f>K19/$C$19</f>
        <v>1.1130224751646633</v>
      </c>
      <c r="K72" s="129"/>
      <c r="L72" s="129">
        <f>M19/$C$19</f>
        <v>1.1518586108668369</v>
      </c>
      <c r="M72" s="129"/>
      <c r="N72" s="129">
        <f>O19/$C$19</f>
        <v>1.195921731020732</v>
      </c>
      <c r="O72" s="129"/>
      <c r="P72" s="129">
        <f>Q19/$C$19</f>
        <v>1.245705205959311</v>
      </c>
      <c r="Q72" s="129"/>
      <c r="R72" s="129">
        <f>S19/$C$19</f>
        <v>1.3015982988248682</v>
      </c>
      <c r="S72" s="129"/>
      <c r="T72" s="129">
        <f>U19/$C$19</f>
        <v>1.3637306644640736</v>
      </c>
      <c r="U72" s="129"/>
      <c r="V72" s="129">
        <f>W19/$C$19</f>
        <v>1.4316782956488494</v>
      </c>
      <c r="W72" s="129"/>
      <c r="X72" s="129">
        <f>Y19/$C$19</f>
        <v>1.503904866657676</v>
      </c>
      <c r="Y72" s="129"/>
      <c r="Z72" s="129">
        <f>AA19/$C$19</f>
        <v>1.5766946461864804</v>
      </c>
      <c r="AA72" s="129"/>
      <c r="AB72" s="129">
        <f>AC19/$C$19</f>
        <v>1.6421135917756164</v>
      </c>
      <c r="AC72" s="129"/>
      <c r="AD72" s="129">
        <f>AE19/$C$19</f>
        <v>1.6842549691831996</v>
      </c>
      <c r="AE72" s="129"/>
      <c r="AF72" s="129">
        <f>AG19/$C$19</f>
        <v>1.673449946234921</v>
      </c>
      <c r="AG72" s="129"/>
      <c r="AH72" s="129">
        <f>AI19/$C$19</f>
        <v>1.5631325254235291</v>
      </c>
      <c r="AI72" s="129"/>
      <c r="AJ72" s="129">
        <f>AK19/$C$19</f>
        <v>1.3093952641586271</v>
      </c>
      <c r="AK72" s="129"/>
      <c r="AL72" s="129">
        <f>AM19/$C$19</f>
        <v>0.92228180626504042</v>
      </c>
      <c r="AM72" s="129"/>
      <c r="AN72" s="129">
        <f>AO19/$C$19</f>
        <v>0.46834048864893602</v>
      </c>
      <c r="AO72" s="129"/>
      <c r="AP72" s="129">
        <f>AQ19/$C$19</f>
        <v>0.37495549504675779</v>
      </c>
      <c r="AQ72" s="129"/>
      <c r="AR72" s="129">
        <f>AS19/$C$19</f>
        <v>0.28133157602413145</v>
      </c>
      <c r="AS72" s="129"/>
      <c r="AT72" s="129">
        <f>AU19/$C$19</f>
        <v>0.1875903848037036</v>
      </c>
      <c r="AU72" s="129"/>
      <c r="AV72" s="129">
        <f>AW19/$C$19</f>
        <v>9.3801986000371707E-2</v>
      </c>
      <c r="XFD72" s="129"/>
    </row>
    <row r="73" spans="1:48 16384:16384" x14ac:dyDescent="0.2">
      <c r="A73" t="s">
        <v>168</v>
      </c>
      <c r="B73" s="183">
        <f t="array" ref="B73">SUM(B9:C9*B22:C22)/B32</f>
        <v>0.47641153352875104</v>
      </c>
      <c r="D73" s="183">
        <f t="array" ref="D73">SUM(D9:E9*D22:E22)/D32</f>
        <v>0.47402572970832879</v>
      </c>
      <c r="E73" s="129"/>
      <c r="F73" s="183">
        <f t="array" ref="F73">SUM(F9:G9*F22:G22)/F32</f>
        <v>0.47158653989665977</v>
      </c>
      <c r="G73" s="129"/>
      <c r="H73" s="183">
        <f t="array" ref="H73">SUM(H9:I9*H22:I22)/H32</f>
        <v>0.46908513470188212</v>
      </c>
      <c r="I73" s="129"/>
      <c r="J73" s="183">
        <f t="array" ref="J73">SUM(J9:K9*J22:K22)/J32</f>
        <v>0.46651072739963273</v>
      </c>
      <c r="K73" s="129"/>
      <c r="L73" s="183">
        <f t="array" ref="L73">SUM(L9:M9*L22:M22)/L32</f>
        <v>0.46384997144860485</v>
      </c>
      <c r="M73" s="129"/>
      <c r="N73" s="183">
        <f t="array" ref="N73">SUM(N9:O9*N22:O22)/N32</f>
        <v>0.46108596659535422</v>
      </c>
      <c r="O73" s="129"/>
      <c r="P73" s="183">
        <f t="array" ref="P73">SUM(P9:Q9*P22:Q22)/P32</f>
        <v>0.45819672072329914</v>
      </c>
      <c r="Q73" s="129"/>
      <c r="R73" s="183">
        <f t="array" ref="R73">SUM(R9:S9*R22:S22)/R32</f>
        <v>0.45515275610585193</v>
      </c>
      <c r="S73" s="129"/>
      <c r="T73" s="183">
        <f t="array" ref="T73">SUM(T9:U9*T22:U22)/T32</f>
        <v>0.45191303390684895</v>
      </c>
      <c r="U73" s="129"/>
      <c r="V73" s="183">
        <f t="array" ref="V73">SUM(V9:W9*V22:W22)/V32</f>
        <v>0.44841807245084425</v>
      </c>
      <c r="W73" s="129"/>
      <c r="X73" s="183">
        <f t="array" ref="X73">SUM(X9:Y9*X22:Y22)/X32</f>
        <v>0.4445775388184951</v>
      </c>
      <c r="Y73" s="129"/>
      <c r="Z73" s="183">
        <f t="array" ref="Z73">SUM(Z9:AA9*Z22:AA22)/Z32</f>
        <v>0.44024709898939002</v>
      </c>
      <c r="AA73" s="129"/>
      <c r="AB73" s="183">
        <f t="array" ref="AB73">SUM(AB9:AC9*AB22:AC22)/AB32</f>
        <v>0.435183476491246</v>
      </c>
      <c r="AC73" s="129"/>
      <c r="AD73" s="183">
        <f t="array" ref="AD73">SUM(AD9:AE9*AD22:AE22)/AD32</f>
        <v>0.42895465482430278</v>
      </c>
      <c r="AE73" s="129"/>
      <c r="AF73" s="183">
        <f t="array" ref="AF73">SUM(AF9:AG9*AF22:AG22)/AF32</f>
        <v>0.42076340756528863</v>
      </c>
      <c r="AG73" s="129"/>
      <c r="AH73" s="183">
        <f t="array" ref="AH73">SUM(AH9:AI9*AH22:AI22)/AH32</f>
        <v>0.40913394046203205</v>
      </c>
      <c r="AI73" s="129"/>
      <c r="AJ73" s="183">
        <f t="array" ref="AJ73">SUM(AJ9:AK9*AJ22:AK22)/AJ32</f>
        <v>0.39141559032394369</v>
      </c>
      <c r="AK73" s="129"/>
      <c r="AL73" s="183">
        <f t="array" ref="AL73">SUM(AL9:AM9*AL22:AM22)/AL32</f>
        <v>0.36225736974692402</v>
      </c>
      <c r="AM73" s="129"/>
      <c r="AN73" s="183">
        <f t="array" ref="AN73">SUM(AN9:AO9*AN22:AO22)/AN32</f>
        <v>0.30367444871582727</v>
      </c>
      <c r="AO73" s="129"/>
      <c r="AP73" s="183">
        <f t="array" ref="AP73">SUM(AP9:AQ9*AP22:AQ22)/AP32</f>
        <v>0.28282480357509432</v>
      </c>
      <c r="AQ73" s="129"/>
      <c r="AR73" s="183">
        <f t="array" ref="AR73">SUM(AR9:AS9*AR22:AS22)/AR32</f>
        <v>0.25490860243018743</v>
      </c>
      <c r="AS73" s="129"/>
      <c r="AT73" s="183">
        <f t="array" ref="AT73">SUM(AT9:AU9*AT22:AU22)/AT32</f>
        <v>0.21454393614037429</v>
      </c>
      <c r="AU73" s="129"/>
      <c r="AV73" s="183">
        <f t="array" ref="AV73">SUM(AV9:AW9*AV22:AW22)/AV32</f>
        <v>0.14787272847342375</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0.22604620456442484</v>
      </c>
      <c r="AQ74" s="129"/>
      <c r="AR74" s="183">
        <f t="array" ref="AR74">SUM(AR10:AS10*AR23:AS23)/AR32</f>
        <v>0.22604620456442481</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0.22277019993699337</v>
      </c>
      <c r="E75" s="129"/>
      <c r="F75" s="183">
        <f t="array" ref="F75">SUM(F11:G11*F24:G24)/F32</f>
        <v>0.22520938220012368</v>
      </c>
      <c r="G75" s="129"/>
      <c r="H75" s="183">
        <f t="array" ref="H75">SUM(H11:I11*H24:I24)/H32</f>
        <v>0.22771078750258808</v>
      </c>
      <c r="I75" s="129"/>
      <c r="J75" s="183">
        <f t="array" ref="J75">SUM(J11:K11*J24:K24)/J32</f>
        <v>0.23028519606296335</v>
      </c>
      <c r="K75" s="129"/>
      <c r="L75" s="183">
        <f t="array" ref="L75">SUM(L11:M11*L24:M24)/L32</f>
        <v>0.23294595100462928</v>
      </c>
      <c r="M75" s="129"/>
      <c r="N75" s="183">
        <f t="array" ref="N75">SUM(N11:O11*N24:O24)/N32</f>
        <v>0.23570995646069384</v>
      </c>
      <c r="O75" s="129"/>
      <c r="P75" s="183">
        <f t="array" ref="P75">SUM(P11:Q11*P24:Q24)/P32</f>
        <v>0.23859920273486715</v>
      </c>
      <c r="Q75" s="129"/>
      <c r="R75" s="183">
        <f t="array" ref="R75">SUM(R11:S11*R24:S24)/R32</f>
        <v>0.24164316944916955</v>
      </c>
      <c r="S75" s="129"/>
      <c r="T75" s="183">
        <f t="array" ref="T75">SUM(T11:U11*T24:U24)/T32</f>
        <v>0.2448828913134013</v>
      </c>
      <c r="U75" s="129"/>
      <c r="V75" s="183">
        <f t="array" ref="V75">SUM(V11:W11*V24:W24)/V32</f>
        <v>0.2483778523205297</v>
      </c>
      <c r="W75" s="129"/>
      <c r="X75" s="183">
        <f t="array" ref="X75">SUM(X11:Y11*X24:Y24)/X32</f>
        <v>0.25221838729981627</v>
      </c>
      <c r="Y75" s="129"/>
      <c r="Z75" s="183">
        <f t="array" ref="Z75">SUM(Z11:AA11*Z24:AA24)/Z32</f>
        <v>0.25654882419673319</v>
      </c>
      <c r="AA75" s="129"/>
      <c r="AB75" s="183">
        <f t="array" ref="AB75">SUM(AB11:AC11*AB24:AC24)/AB32</f>
        <v>0.2616124562874213</v>
      </c>
      <c r="AC75" s="129"/>
      <c r="AD75" s="183">
        <f t="array" ref="AD75">SUM(AD11:AE11*AD24:AE24)/AD32</f>
        <v>0.26784126714003975</v>
      </c>
      <c r="AE75" s="129"/>
      <c r="AF75" s="183">
        <f t="array" ref="AF75">SUM(AF11:AG11*AF24:AG24)/AF32</f>
        <v>0.2760325141563752</v>
      </c>
      <c r="AG75" s="129"/>
      <c r="AH75" s="183">
        <f t="array" ref="AH75">SUM(AH11:AI11*AH24:AI24)/AH32</f>
        <v>0.28766198147399141</v>
      </c>
      <c r="AI75" s="129"/>
      <c r="AJ75" s="183">
        <f t="array" ref="AJ75">SUM(AJ11:AK11*AJ24:AK24)/AJ32</f>
        <v>0.30538033153229738</v>
      </c>
      <c r="AK75" s="129"/>
      <c r="AL75" s="183">
        <f t="array" ref="AL75">SUM(AL11:AM11*AL24:AM24)/AL32</f>
        <v>0.33453855211396283</v>
      </c>
      <c r="AM75" s="129"/>
      <c r="AN75" s="183">
        <f t="array" ref="AN75">SUM(AN11:AO11*AN24:AO24)/AN32</f>
        <v>0.39312147314486656</v>
      </c>
      <c r="AO75" s="129"/>
      <c r="AP75" s="183">
        <f t="array" ref="AP75">SUM(AP11:AQ11*AP24:AQ24)/AP32</f>
        <v>0.41397111828709787</v>
      </c>
      <c r="AQ75" s="129"/>
      <c r="AR75" s="183">
        <f t="array" ref="AR75">SUM(AR11:AS11*AR24:AS24)/AR32</f>
        <v>0.4418873194305189</v>
      </c>
      <c r="AS75" s="129"/>
      <c r="AT75" s="183">
        <f t="array" ref="AT75">SUM(AT11:AU11*AT24:AU24)/AT32</f>
        <v>0.48225198572567457</v>
      </c>
      <c r="AU75" s="129"/>
      <c r="AV75" s="183">
        <f t="array" ref="AV75">SUM(AV11:AW11*AV24:AW24)/AV32</f>
        <v>0.54892319338726636</v>
      </c>
      <c r="XFD75" s="183"/>
    </row>
    <row r="76" spans="1:48 16384:16384" x14ac:dyDescent="0.2">
      <c r="A76" t="s">
        <v>171</v>
      </c>
      <c r="B76" s="183">
        <f t="array" ref="B76">SUM(B12:C12*B25:C25)/B32</f>
        <v>0.22301874374724831</v>
      </c>
      <c r="D76" s="183">
        <f t="array" ref="D76">SUM(D12:E12*D25:E25)/D32</f>
        <v>0.22296067257717991</v>
      </c>
      <c r="E76" s="129"/>
      <c r="F76" s="183">
        <f t="array" ref="F76">SUM(F12:G12*F25:G25)/F32</f>
        <v>0.22295239684560811</v>
      </c>
      <c r="G76" s="129"/>
      <c r="H76" s="183">
        <f t="array" ref="H76">SUM(H12:I12*H25:I25)/H32</f>
        <v>0.22300040936104676</v>
      </c>
      <c r="I76" s="129"/>
      <c r="J76" s="183">
        <f t="array" ref="J76">SUM(J12:K12*J25:K25)/J32</f>
        <v>0.223112033492365</v>
      </c>
      <c r="K76" s="129"/>
      <c r="L76" s="183">
        <f t="array" ref="L76">SUM(L12:M12*L25:M25)/L32</f>
        <v>0.2232953795256904</v>
      </c>
      <c r="M76" s="129"/>
      <c r="N76" s="183">
        <f t="array" ref="N76">SUM(N12:O12*N25:O25)/N32</f>
        <v>0.22355913890051049</v>
      </c>
      <c r="O76" s="129"/>
      <c r="P76" s="183">
        <f t="array" ref="P76">SUM(P12:Q12*P25:Q25)/P32</f>
        <v>0.22391203753468752</v>
      </c>
      <c r="Q76" s="129"/>
      <c r="R76" s="183">
        <f t="array" ref="R76">SUM(R12:S12*R25:S25)/R32</f>
        <v>0.22436167369049692</v>
      </c>
      <c r="S76" s="129"/>
      <c r="T76" s="183">
        <f t="array" ref="T76">SUM(T12:U12*T25:U25)/T32</f>
        <v>0.22491219791647704</v>
      </c>
      <c r="U76" s="129"/>
      <c r="V76" s="183">
        <f t="array" ref="V76">SUM(V12:W12*V25:W25)/V32</f>
        <v>0.22555968157430084</v>
      </c>
      <c r="W76" s="129"/>
      <c r="X76" s="183">
        <f t="array" ref="X76">SUM(X12:Y12*X25:Y25)/X32</f>
        <v>0.22628303678730838</v>
      </c>
      <c r="Y76" s="129"/>
      <c r="Z76" s="183">
        <f t="array" ref="Z76">SUM(Z12:AA12*Z25:AA25)/Z32</f>
        <v>0.22702611956421229</v>
      </c>
      <c r="AA76" s="129"/>
      <c r="AB76" s="183">
        <f t="array" ref="AB76">SUM(AB12:AC12*AB25:AC25)/AB32</f>
        <v>0.22766256923573661</v>
      </c>
      <c r="AC76" s="129"/>
      <c r="AD76" s="183">
        <f t="array" ref="AD76">SUM(AD12:AE12*AD25:AE25)/AD32</f>
        <v>0.22792975382388803</v>
      </c>
      <c r="AE76" s="129"/>
      <c r="AF76" s="183">
        <f t="array" ref="AF76">SUM(AF12:AG12*AF25:AG25)/AF32</f>
        <v>0.22732472413277735</v>
      </c>
      <c r="AG76" s="129"/>
      <c r="AH76" s="183">
        <f t="array" ref="AH76">SUM(AH12:AI12*AH25:AI25)/AH32</f>
        <v>0.22504506647568079</v>
      </c>
      <c r="AI76" s="129"/>
      <c r="AJ76" s="183">
        <f t="array" ref="AJ76">SUM(AJ12:AK12*AJ25:AK25)/AJ32</f>
        <v>0.22032922917521489</v>
      </c>
      <c r="AK76" s="129"/>
      <c r="AL76" s="183">
        <f t="array" ref="AL76">SUM(AL12:AM12*AL25:AM25)/AL32</f>
        <v>0.21335003038852021</v>
      </c>
      <c r="AM76" s="129"/>
      <c r="AN76" s="183">
        <f t="array" ref="AN76">SUM(AN12:AO12*AN25:AO25)/AN32</f>
        <v>0.20542837750506523</v>
      </c>
      <c r="AO76" s="129"/>
      <c r="AP76" s="183">
        <f t="array" ref="AP76">SUM(AP12:AQ12*AP25:AQ25)/AP32</f>
        <v>0.20396720753249933</v>
      </c>
      <c r="AQ76" s="129"/>
      <c r="AR76" s="183">
        <f t="array" ref="AR76">SUM(AR12:AS12*AR25:AS25)/AR32</f>
        <v>0.20272294181393319</v>
      </c>
      <c r="AS76" s="129"/>
      <c r="AT76" s="183">
        <f t="array" ref="AT76">SUM(AT12:AU12*AT25:AU25)/AT32</f>
        <v>0.20199128522197876</v>
      </c>
      <c r="AU76" s="129"/>
      <c r="AV76" s="183">
        <f t="array" ref="AV76">SUM(AV12:AW12*AV25:AW25)/AV32</f>
        <v>0.20268359114859366</v>
      </c>
      <c r="XFD76" s="183"/>
    </row>
    <row r="77" spans="1:48 16384:16384" x14ac:dyDescent="0.2">
      <c r="A77" t="s">
        <v>172</v>
      </c>
      <c r="B77" s="183">
        <f t="array" ref="B77">SUM(B4:C4*B19:C19)/B32</f>
        <v>0.14586087017236474</v>
      </c>
      <c r="D77" s="183">
        <f t="array" ref="D77">SUM(D4:E4*D19:E19)/D32</f>
        <v>0.14580280678692681</v>
      </c>
      <c r="E77" s="129"/>
      <c r="F77" s="183">
        <f t="array" ref="F77">SUM(F4:G4*F19:G19)/F32</f>
        <v>0.14579452350681629</v>
      </c>
      <c r="G77" s="129"/>
      <c r="H77" s="183">
        <f t="array" ref="H77">SUM(H4:I4*H19:I19)/H32</f>
        <v>0.14584253612994155</v>
      </c>
      <c r="I77" s="129"/>
      <c r="J77" s="183">
        <f t="array" ref="J77">SUM(J4:K4*J19:K19)/J32</f>
        <v>0.14595416151938603</v>
      </c>
      <c r="K77" s="129"/>
      <c r="L77" s="183">
        <f t="array" ref="L77">SUM(L4:M4*L19:M19)/L32</f>
        <v>0.14613750654334914</v>
      </c>
      <c r="M77" s="129"/>
      <c r="N77" s="183">
        <f t="array" ref="N77">SUM(N4:O4*N19:O19)/N32</f>
        <v>0.14640126652098345</v>
      </c>
      <c r="O77" s="129"/>
      <c r="P77" s="183">
        <f t="array" ref="P77">SUM(P4:Q4*P19:Q19)/P32</f>
        <v>0.14675416555727863</v>
      </c>
      <c r="Q77" s="129"/>
      <c r="R77" s="183">
        <f t="array" ref="R77">SUM(R4:S4*R19:S19)/R32</f>
        <v>0.14720380380994313</v>
      </c>
      <c r="S77" s="129"/>
      <c r="T77" s="183">
        <f t="array" ref="T77">SUM(T4:U4*T19:U19)/T32</f>
        <v>0.1477543277011521</v>
      </c>
      <c r="U77" s="129"/>
      <c r="V77" s="183">
        <f t="array" ref="V77">SUM(V4:W4*V19:W19)/V32</f>
        <v>0.14840181091009952</v>
      </c>
      <c r="W77" s="129"/>
      <c r="X77" s="183">
        <f t="array" ref="X77">SUM(X4:Y4*X19:Y19)/X32</f>
        <v>0.14912516747004453</v>
      </c>
      <c r="Y77" s="129"/>
      <c r="Z77" s="183">
        <f t="array" ref="Z77">SUM(Z4:AA4*Z19:AA19)/Z32</f>
        <v>0.14986824731476023</v>
      </c>
      <c r="AA77" s="129"/>
      <c r="AB77" s="183">
        <f t="array" ref="AB77">SUM(AB4:AC4*AB19:AC19)/AB32</f>
        <v>0.15050470657882878</v>
      </c>
      <c r="AC77" s="129"/>
      <c r="AD77" s="183">
        <f t="array" ref="AD77">SUM(AD4:AE4*AD19:AE19)/AD32</f>
        <v>0.15077188035265524</v>
      </c>
      <c r="AE77" s="129"/>
      <c r="AF77" s="183">
        <f t="array" ref="AF77">SUM(AF4:AG4*AF19:AG19)/AF32</f>
        <v>0.15016685041886596</v>
      </c>
      <c r="AG77" s="129"/>
      <c r="AH77" s="183">
        <f t="array" ref="AH77">SUM(AH4:AI4*AH19:AI19)/AH32</f>
        <v>0.14788719297612921</v>
      </c>
      <c r="AI77" s="129"/>
      <c r="AJ77" s="183">
        <f t="array" ref="AJ77">SUM(AJ4:AK4*AJ19:AK19)/AJ32</f>
        <v>0.14317135559588073</v>
      </c>
      <c r="AK77" s="129"/>
      <c r="AL77" s="183">
        <f t="array" ref="AL77">SUM(AL4:AM4*AL19:AM19)/AL32</f>
        <v>0.13619215681383182</v>
      </c>
      <c r="AM77" s="129"/>
      <c r="AN77" s="183">
        <f t="array" ref="AN77">SUM(AN4:AO4*AN19:AO19)/AN32</f>
        <v>0.12827050393018388</v>
      </c>
      <c r="AO77" s="129"/>
      <c r="AP77" s="183">
        <f t="array" ref="AP77">SUM(AP4:AQ4*AP19:AQ19)/AP32</f>
        <v>0.12680933395911634</v>
      </c>
      <c r="AQ77" s="129"/>
      <c r="AR77" s="183">
        <f t="array" ref="AR77">SUM(AR4:AS4*AR19:AS19)/AR32</f>
        <v>0.12556506823906441</v>
      </c>
      <c r="AS77" s="129"/>
      <c r="AT77" s="183">
        <f t="array" ref="AT77">SUM(AT4:AU4*AT19:AU19)/AT32</f>
        <v>0.12483341165245239</v>
      </c>
      <c r="AU77" s="129"/>
      <c r="AV77" s="183">
        <f t="array" ref="AV77">SUM(AV4:AW4*AV19:AW19)/AV32</f>
        <v>0.12552571757370876</v>
      </c>
      <c r="XFD77" s="183"/>
    </row>
    <row r="78" spans="1:48 16384:16384" x14ac:dyDescent="0.2">
      <c r="A78" t="s">
        <v>173</v>
      </c>
      <c r="B78" s="183">
        <f t="array" ref="B78">SUM(B13:C13*B26:C26)/B32</f>
        <v>0.346887593115773</v>
      </c>
      <c r="D78" s="183">
        <f t="array" ref="D78">SUM(D13:E13*D26:E26)/D32</f>
        <v>0.34626870803560189</v>
      </c>
      <c r="E78" s="129"/>
      <c r="F78" s="183">
        <f t="array" ref="F78">SUM(F13:G13*F26:G26)/F32</f>
        <v>0.34560624405560209</v>
      </c>
      <c r="G78" s="129"/>
      <c r="H78" s="183">
        <f t="array" ref="H78">SUM(H13:I13*H26:I26)/H32</f>
        <v>0.34489373506995391</v>
      </c>
      <c r="I78" s="129"/>
      <c r="J78" s="183">
        <f t="array" ref="J78">SUM(J13:K13*J26:K26)/J32</f>
        <v>0.34412314942754213</v>
      </c>
      <c r="K78" s="129"/>
      <c r="L78" s="183">
        <f t="array" ref="L78">SUM(L13:M13*L26:M26)/L32</f>
        <v>0.34328429104206337</v>
      </c>
      <c r="M78" s="129"/>
      <c r="N78" s="183">
        <f t="array" ref="N78">SUM(N13:O13*N26:O26)/N32</f>
        <v>0.34236389926783906</v>
      </c>
      <c r="O78" s="129"/>
      <c r="P78" s="183">
        <f t="array" ref="P78">SUM(P13:Q13*P26:Q26)/P32</f>
        <v>0.34134426366058879</v>
      </c>
      <c r="Q78" s="129"/>
      <c r="R78" s="183">
        <f t="array" ref="R78">SUM(R13:S13*R26:S26)/R32</f>
        <v>0.34020100577087192</v>
      </c>
      <c r="S78" s="129"/>
      <c r="T78" s="183">
        <f t="array" ref="T78">SUM(T13:U13*T26:U26)/T32</f>
        <v>0.33889942002949963</v>
      </c>
      <c r="U78" s="129"/>
      <c r="V78" s="183">
        <f t="array" ref="V78">SUM(V13:W13*V26:W26)/V32</f>
        <v>0.33738825001917278</v>
      </c>
      <c r="W78" s="129"/>
      <c r="X78" s="183">
        <f t="array" ref="X78">SUM(X13:Y13*X26:Y26)/X32</f>
        <v>0.33558868890229204</v>
      </c>
      <c r="Y78" s="129"/>
      <c r="Z78" s="183">
        <f t="array" ref="Z78">SUM(Z13:AA13*Z26:AA26)/Z32</f>
        <v>0.33337420659345779</v>
      </c>
      <c r="AA78" s="129"/>
      <c r="AB78" s="183">
        <f t="array" ref="AB78">SUM(AB13:AC13*AB26:AC26)/AB32</f>
        <v>0.33053225011830073</v>
      </c>
      <c r="AC78" s="129"/>
      <c r="AD78" s="183">
        <f t="array" ref="AD78">SUM(AD13:AE13*AD26:AE26)/AD32</f>
        <v>0.32669019784282449</v>
      </c>
      <c r="AE78" s="129"/>
      <c r="AF78" s="183">
        <f t="array" ref="AF78">SUM(AF13:AG13*AF26:AG26)/AF32</f>
        <v>0.32117624923304194</v>
      </c>
      <c r="AG78" s="129"/>
      <c r="AH78" s="183">
        <f t="array" ref="AH78">SUM(AH13:AI13*AH26:AI26)/AH32</f>
        <v>0.31279133518499386</v>
      </c>
      <c r="AI78" s="129"/>
      <c r="AJ78" s="183">
        <f t="array" ref="AJ78">SUM(AJ13:AK13*AJ26:AK26)/AJ32</f>
        <v>0.29948334636990281</v>
      </c>
      <c r="AK78" s="129"/>
      <c r="AL78" s="183">
        <f t="array" ref="AL78">SUM(AL13:AM13*AL26:AM26)/AL32</f>
        <v>0.27723857712094563</v>
      </c>
      <c r="AM78" s="129"/>
      <c r="AN78" s="183">
        <f t="array" ref="AN78">SUM(AN13:AO13*AN26:AO26)/AN32</f>
        <v>0.23241149030344677</v>
      </c>
      <c r="AO78" s="129"/>
      <c r="AP78" s="183">
        <f t="array" ref="AP78">SUM(AP13:AQ13*AP26:AQ26)/AP32</f>
        <v>0.2164547199189237</v>
      </c>
      <c r="AQ78" s="129"/>
      <c r="AR78" s="183">
        <f t="array" ref="AR78">SUM(AR13:AS13*AR26:AS26)/AR32</f>
        <v>0.19508960915996434</v>
      </c>
      <c r="AS78" s="129"/>
      <c r="AT78" s="183">
        <f t="array" ref="AT78">SUM(AT13:AU13*AT26:AU26)/AT32</f>
        <v>0.1641972632994666</v>
      </c>
      <c r="AU78" s="129"/>
      <c r="AV78" s="183">
        <f t="array" ref="AV78">SUM(AV13:AW13*AV26:AW26)/AV32</f>
        <v>0.11317167947607622</v>
      </c>
      <c r="XFD78" s="183"/>
    </row>
    <row r="79" spans="1:48 16384:16384" x14ac:dyDescent="0.2">
      <c r="A79" t="s">
        <v>174</v>
      </c>
      <c r="B79" s="183">
        <f t="array" ref="B79">SUM(B15:C15*B27:C27)/B32</f>
        <v>0.45460968782440875</v>
      </c>
      <c r="D79" s="183">
        <f t="array" ref="D79">SUM(D15:E15*D27:E27)/D32</f>
        <v>0.45121477620515077</v>
      </c>
      <c r="F79" s="183">
        <f t="array" ref="F79">SUM(F15:G15*F27:G27)/F32</f>
        <v>0.4477736407324503</v>
      </c>
      <c r="H79" s="183">
        <f t="array" ref="H79">SUM(H15:I15*H27:I27)/H32</f>
        <v>0.44427787534120144</v>
      </c>
      <c r="J79" s="183">
        <f t="array" ref="J79">SUM(J15:K15*J27:K27)/J32</f>
        <v>0.44071737703208436</v>
      </c>
      <c r="L79" s="183">
        <f t="array" ref="L79">SUM(L15:M15*L27:M27)/L32</f>
        <v>0.43707986814177957</v>
      </c>
      <c r="N79" s="183">
        <f t="array" ref="N79">SUM(N15:O15*N27:O27)/N32</f>
        <v>0.43335018926093161</v>
      </c>
      <c r="P79" s="183">
        <f t="array" ref="P79">SUM(P15:Q15*P27:Q27)/P32</f>
        <v>0.4295090789304275</v>
      </c>
      <c r="R79" s="183">
        <f t="array" ref="R79">SUM(R15:S15*R27:S27)/R32</f>
        <v>0.42553127537283303</v>
      </c>
      <c r="T79" s="183">
        <f t="array" ref="T79">SUM(T15:U15*T27:U27)/T32</f>
        <v>0.42138247313195581</v>
      </c>
      <c r="V79" s="183">
        <f t="array" ref="V79">SUM(V15:W15*V27:W27)/V32</f>
        <v>0.41701385020519155</v>
      </c>
      <c r="X79" s="183">
        <f t="array" ref="X79">SUM(X15:Y15*X27:Y27)/X32</f>
        <v>0.41235223515479014</v>
      </c>
      <c r="Z79" s="183">
        <f t="array" ref="Z79">SUM(Z15:AA15*Z27:AA27)/Z32</f>
        <v>0.40728135402661281</v>
      </c>
      <c r="AB79" s="183">
        <f t="array" ref="AB79">SUM(AB15:AC15*AB27:AC27)/AB32</f>
        <v>0.40160443180539018</v>
      </c>
      <c r="AD79" s="183">
        <f t="array" ref="AD79">SUM(AD15:AE15*AD27:AE27)/AD32</f>
        <v>0.39496737129647957</v>
      </c>
      <c r="AF79" s="183">
        <f t="array" ref="AF79">SUM(AF15:AG15*AF27:AG27)/AF32</f>
        <v>0.38670066767399069</v>
      </c>
      <c r="AH79" s="183">
        <f t="array" ref="AH79">SUM(AH15:AI15*AH27:AI27)/AH32</f>
        <v>0.37552059173249047</v>
      </c>
      <c r="AJ79" s="183">
        <f t="array" ref="AJ79">SUM(AJ15:AK15*AJ27:AK27)/AJ32</f>
        <v>0.35901987897695631</v>
      </c>
      <c r="AL79" s="183">
        <f t="array" ref="AL79">SUM(AL15:AM15*AL27:AM27)/AL32</f>
        <v>0.33220992781653752</v>
      </c>
      <c r="AN79" s="183">
        <f t="array" ref="AN79">SUM(AN15:AO15*AN27:AO27)/AN32</f>
        <v>0.27847925815011321</v>
      </c>
      <c r="AP79" s="183">
        <f t="array" ref="AP79">SUM(AP15:AQ15*AP27:AQ27)/AP32</f>
        <v>0.25935935082384853</v>
      </c>
      <c r="AR79" s="183">
        <f t="array" ref="AR79">SUM(AR15:AS15*AR27:AS27)/AR32</f>
        <v>0.23375926908423364</v>
      </c>
      <c r="AT79" s="183">
        <f t="array" ref="AT79">SUM(AT15:AU15*AT27:AU27)/AT32</f>
        <v>0.19674358197242214</v>
      </c>
      <c r="AV79" s="183">
        <f t="array" ref="AV79">SUM(AV15:AW15*AV27:AW27)/AV32</f>
        <v>0.1356039723616464</v>
      </c>
      <c r="XFD79" s="183"/>
    </row>
    <row r="80" spans="1:48 16384:16384" x14ac:dyDescent="0.2">
      <c r="A80" t="s">
        <v>153</v>
      </c>
      <c r="B80" s="195">
        <f>B55</f>
        <v>0.19850271905982084</v>
      </c>
      <c r="D80" s="195">
        <f>D55</f>
        <v>0.202516549775976</v>
      </c>
      <c r="F80" s="195">
        <f>F55</f>
        <v>0.20662011430682276</v>
      </c>
      <c r="H80" s="195">
        <f>H55</f>
        <v>0.21082838814976146</v>
      </c>
      <c r="J80" s="195">
        <f>J55</f>
        <v>0.21515948183864808</v>
      </c>
      <c r="L80" s="195">
        <f>L55</f>
        <v>0.2196358380268208</v>
      </c>
      <c r="N80" s="195">
        <f>N55</f>
        <v>0.22428590568996401</v>
      </c>
      <c r="P80" s="195">
        <f>P55</f>
        <v>0.22914665930886716</v>
      </c>
      <c r="R80" s="195">
        <f>R55</f>
        <v>0.2342677227748127</v>
      </c>
      <c r="T80" s="195">
        <f>T55</f>
        <v>0.23971811015021283</v>
      </c>
      <c r="V80" s="195">
        <f>V55</f>
        <v>0.2455979024272959</v>
      </c>
      <c r="X80" s="195">
        <f>X55</f>
        <v>0.25205907973172831</v>
      </c>
      <c r="Z80" s="195">
        <f>Z55</f>
        <v>0.25934444920284738</v>
      </c>
      <c r="AB80" s="195">
        <f>AB55</f>
        <v>0.26786332691280645</v>
      </c>
      <c r="AD80" s="195">
        <f>AD55</f>
        <v>0.27834242994296643</v>
      </c>
      <c r="AF80" s="195">
        <f>AF55</f>
        <v>0.2921230855802443</v>
      </c>
      <c r="AH80" s="195">
        <f>AH55</f>
        <v>0.31168807271895271</v>
      </c>
      <c r="AJ80" s="195">
        <f>AJ55</f>
        <v>0.3414967752558799</v>
      </c>
      <c r="AL80" s="195">
        <f>AL55</f>
        <v>0.39055149494309166</v>
      </c>
      <c r="AN80" s="195">
        <f>AN55</f>
        <v>0.48910925154031687</v>
      </c>
      <c r="AP80" s="195">
        <f>AP55</f>
        <v>0.52418593003606151</v>
      </c>
      <c r="AR80" s="195">
        <f>AR55</f>
        <v>0.5711511217676507</v>
      </c>
      <c r="AT80" s="195">
        <f>AT55</f>
        <v>0.63905915682925096</v>
      </c>
      <c r="AV80" s="195">
        <f>AV55</f>
        <v>0.75122434817968586</v>
      </c>
      <c r="XFD80" s="195"/>
    </row>
    <row r="81" spans="1:48 16384:16384" x14ac:dyDescent="0.2">
      <c r="A81" t="s">
        <v>175</v>
      </c>
      <c r="B81" s="195">
        <f>B51/B$32</f>
        <v>-2.7543485504603994E-2</v>
      </c>
      <c r="D81" s="195">
        <f>D51/D$32</f>
        <v>-2.3529654788448835E-2</v>
      </c>
      <c r="F81" s="195">
        <f>F51/F$32</f>
        <v>-1.9426090257602096E-2</v>
      </c>
      <c r="H81" s="195">
        <f>H51/H$32</f>
        <v>-1.521781641466337E-2</v>
      </c>
      <c r="J81" s="195">
        <f>J51/J$32</f>
        <v>-1.0886722725776749E-2</v>
      </c>
      <c r="L81" s="195">
        <f>L51/L$32</f>
        <v>-6.4103665376040488E-3</v>
      </c>
      <c r="N81" s="195">
        <f>N51/N$32</f>
        <v>-1.7602988744608414E-3</v>
      </c>
      <c r="P81" s="195">
        <f>P51/P$32</f>
        <v>3.1004547444422994E-3</v>
      </c>
      <c r="R81" s="195">
        <f>R51/R$32</f>
        <v>8.2215182103878692E-3</v>
      </c>
      <c r="T81" s="195">
        <f>T51/T$32</f>
        <v>1.367190558578801E-2</v>
      </c>
      <c r="V81" s="195">
        <f>V51/V$32</f>
        <v>1.955169786287108E-2</v>
      </c>
      <c r="X81" s="195">
        <f>X51/X$32</f>
        <v>2.6012875167303485E-2</v>
      </c>
      <c r="Z81" s="195">
        <f>Z51/Z$32</f>
        <v>3.3298244638422549E-2</v>
      </c>
      <c r="AB81" s="195">
        <f>AB51/AB$32</f>
        <v>4.1817122348381607E-2</v>
      </c>
      <c r="AD81" s="195">
        <f>AD51/AD$32</f>
        <v>5.2296225378541554E-2</v>
      </c>
      <c r="AF81" s="195">
        <f>AF51/AF$32</f>
        <v>6.6076881015819489E-2</v>
      </c>
      <c r="AH81" s="195">
        <f>AH51/AH$32</f>
        <v>8.5641868154527886E-2</v>
      </c>
      <c r="AJ81" s="195">
        <f>AJ51/AJ$32</f>
        <v>0.11545057069145503</v>
      </c>
      <c r="AL81" s="195">
        <f>AL51/AL$32</f>
        <v>0.16450529037866682</v>
      </c>
      <c r="AN81" s="195">
        <f>AN51/AN$32</f>
        <v>0.26306304697589206</v>
      </c>
      <c r="AP81" s="195">
        <f>AP51/AP$32</f>
        <v>0.2981397254716367</v>
      </c>
      <c r="AR81" s="195">
        <f>AR51/AR$32</f>
        <v>0.34510491720322589</v>
      </c>
      <c r="AT81" s="195">
        <f>AT51/AT$32</f>
        <v>0.41301295226482615</v>
      </c>
      <c r="AV81" s="195">
        <f>AV51/AV$32</f>
        <v>0.52517814361526094</v>
      </c>
      <c r="XFD81" s="195"/>
    </row>
    <row r="82" spans="1:48 16384:16384" x14ac:dyDescent="0.2">
      <c r="A82" t="s">
        <v>176</v>
      </c>
      <c r="B82" s="195">
        <f>B52/B$32</f>
        <v>0.14069693704202227</v>
      </c>
      <c r="D82" s="195">
        <f>D52/D$32</f>
        <v>0.14044591845015231</v>
      </c>
      <c r="F82" s="195">
        <f>F52/F$32</f>
        <v>0.14017722434077398</v>
      </c>
      <c r="H82" s="195">
        <f>H52/H$32</f>
        <v>0.13988823207386936</v>
      </c>
      <c r="J82" s="195">
        <f>J52/J$32</f>
        <v>0.13957568402727571</v>
      </c>
      <c r="L82" s="195">
        <f>L52/L$32</f>
        <v>0.13923544468810314</v>
      </c>
      <c r="N82" s="195">
        <f>N52/N$32</f>
        <v>0.13886213556410454</v>
      </c>
      <c r="P82" s="195">
        <f>P52/P$32</f>
        <v>0.13844857333332386</v>
      </c>
      <c r="R82" s="195">
        <f>R52/R$32</f>
        <v>0.13798487014380506</v>
      </c>
      <c r="T82" s="195">
        <f>T52/T$32</f>
        <v>0.1374569494837902</v>
      </c>
      <c r="V82" s="195">
        <f>V52/V$32</f>
        <v>0.13684402184952971</v>
      </c>
      <c r="X82" s="195">
        <f>X52/X$32</f>
        <v>0.13611412334007067</v>
      </c>
      <c r="Z82" s="195">
        <f>Z52/Z$32</f>
        <v>0.13521593359742765</v>
      </c>
      <c r="AB82" s="195">
        <f>AB52/AB$32</f>
        <v>0.13406324154617894</v>
      </c>
      <c r="AD82" s="195">
        <f>AD52/AD$32</f>
        <v>0.13250491257205957</v>
      </c>
      <c r="AF82" s="195">
        <f>AF52/AF$32</f>
        <v>0.13026846567744665</v>
      </c>
      <c r="AH82" s="195">
        <f>AH52/AH$32</f>
        <v>0.12686756075223862</v>
      </c>
      <c r="AJ82" s="195">
        <f>AJ52/AJ$32</f>
        <v>0.12146986622054663</v>
      </c>
      <c r="AL82" s="195">
        <f>AL52/AL$32</f>
        <v>0.11244743082462202</v>
      </c>
      <c r="AN82" s="195">
        <f>AN52/AN$32</f>
        <v>9.4265651087017108E-2</v>
      </c>
      <c r="AP82" s="195">
        <f>AP52/AP$32</f>
        <v>8.779361587232451E-2</v>
      </c>
      <c r="AR82" s="195">
        <f>AR52/AR$32</f>
        <v>7.9127968259076212E-2</v>
      </c>
      <c r="AT82" s="195">
        <f>AT52/AT$32</f>
        <v>6.659809251006317E-2</v>
      </c>
      <c r="AV82" s="195">
        <f>AV52/AV$32</f>
        <v>4.5902214371994515E-2</v>
      </c>
    </row>
    <row r="83" spans="1:48 16384:16384" x14ac:dyDescent="0.2">
      <c r="A83" t="s">
        <v>177</v>
      </c>
      <c r="B83" s="195">
        <f>B53/B$32</f>
        <v>0.18438881036940691</v>
      </c>
      <c r="D83" s="195">
        <f>D53/D$32</f>
        <v>0.18301184078087923</v>
      </c>
      <c r="F83" s="195">
        <f>F53/F$32</f>
        <v>0.18161612288677165</v>
      </c>
      <c r="H83" s="195">
        <f>H53/H$32</f>
        <v>0.18019824720333066</v>
      </c>
      <c r="J83" s="195">
        <f>J53/J$32</f>
        <v>0.17875411597356688</v>
      </c>
      <c r="L83" s="195">
        <f>L53/L$32</f>
        <v>0.17727874940097749</v>
      </c>
      <c r="N83" s="195">
        <f>N53/N$32</f>
        <v>0.17576599885843938</v>
      </c>
      <c r="P83" s="195">
        <f>P53/P$32</f>
        <v>0.17420805193537939</v>
      </c>
      <c r="R83" s="195">
        <f>R53/R$32</f>
        <v>0.17259466250371525</v>
      </c>
      <c r="T83" s="195">
        <f>T53/T$32</f>
        <v>0.17091191633674674</v>
      </c>
      <c r="V83" s="195">
        <f>V53/V$32</f>
        <v>0.16914001132461748</v>
      </c>
      <c r="X83" s="195">
        <f>X53/X$32</f>
        <v>0.16724926927365696</v>
      </c>
      <c r="Z83" s="195">
        <f>Z53/Z$32</f>
        <v>0.16519252969288842</v>
      </c>
      <c r="AB83" s="195">
        <f>AB53/AB$32</f>
        <v>0.16288998101659363</v>
      </c>
      <c r="AD83" s="195">
        <f>AD53/AD$32</f>
        <v>0.16019800210729135</v>
      </c>
      <c r="AF83" s="195">
        <f>AF53/AF$32</f>
        <v>0.15684504310212397</v>
      </c>
      <c r="AH83" s="195">
        <f>AH53/AH$32</f>
        <v>0.15231042591752691</v>
      </c>
      <c r="AJ83" s="195">
        <f>AJ53/AJ$32</f>
        <v>0.14561776872889393</v>
      </c>
      <c r="AL83" s="195">
        <f>AL53/AL$32</f>
        <v>0.13474370437670413</v>
      </c>
      <c r="AN83" s="195">
        <f>AN53/AN$32</f>
        <v>0.11295064865112921</v>
      </c>
      <c r="AP83" s="195">
        <f>AP53/AP$32</f>
        <v>0.10519565120896085</v>
      </c>
      <c r="AR83" s="195">
        <f>AR53/AR$32</f>
        <v>9.4812307554501846E-2</v>
      </c>
      <c r="AT83" s="195">
        <f>AT53/AT$32</f>
        <v>7.979881643376413E-2</v>
      </c>
      <c r="AV83" s="195">
        <f>AV53/AV$32</f>
        <v>5.5000708992342356E-2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2" activePane="bottomLeft" state="frozen"/>
      <selection pane="bottomLeft" activeCell="E13" sqref="E13"/>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5.5723088998547082E-2</v>
      </c>
      <c r="E2" s="189"/>
      <c r="F2" s="188">
        <v>0.11042248398172445</v>
      </c>
      <c r="G2" s="189"/>
      <c r="H2" s="188">
        <v>0.17063098825914153</v>
      </c>
      <c r="I2" s="189"/>
      <c r="J2" s="188">
        <v>0.23730376789910101</v>
      </c>
      <c r="K2" s="189"/>
      <c r="L2" s="188">
        <v>0.31166548537448158</v>
      </c>
      <c r="M2" s="189"/>
      <c r="N2" s="188">
        <v>0.39532346163037296</v>
      </c>
      <c r="O2" s="189"/>
      <c r="P2" s="188">
        <v>0.49044459607027058</v>
      </c>
      <c r="Q2" s="189"/>
      <c r="R2" s="188">
        <v>0.60004458433545649</v>
      </c>
      <c r="S2" s="189"/>
      <c r="T2" s="188">
        <v>0.72847702789119162</v>
      </c>
      <c r="U2" s="189"/>
      <c r="V2" s="188">
        <v>0.88230447282099778</v>
      </c>
      <c r="W2" s="189"/>
      <c r="X2" s="188">
        <v>1.0719344245451174</v>
      </c>
      <c r="Y2" s="189"/>
      <c r="Z2" s="188">
        <v>1.3148984765241982</v>
      </c>
      <c r="AA2" s="189"/>
      <c r="AB2" s="188">
        <v>1.6429156014845263</v>
      </c>
      <c r="AC2" s="189"/>
      <c r="AD2" s="188">
        <v>2.1183706363064818</v>
      </c>
      <c r="AE2" s="189"/>
      <c r="AF2" s="188">
        <v>2.8757641760284707</v>
      </c>
      <c r="AG2" s="189"/>
      <c r="AH2" s="188">
        <v>4.232414068593239</v>
      </c>
      <c r="AI2" s="189"/>
      <c r="AJ2" s="188">
        <v>7.0101485081741179</v>
      </c>
      <c r="AK2" s="189"/>
      <c r="AL2" s="188">
        <v>13.78125186245124</v>
      </c>
      <c r="AM2" s="189"/>
      <c r="AN2" s="188">
        <v>37.302173316757795</v>
      </c>
      <c r="AO2" s="189"/>
      <c r="AP2" s="188">
        <v>49.110569423839529</v>
      </c>
      <c r="AQ2" s="189"/>
      <c r="AR2" s="188">
        <v>67.693674190408998</v>
      </c>
      <c r="AS2" s="189"/>
      <c r="AT2" s="188">
        <v>99.705947158431087</v>
      </c>
      <c r="AU2" s="189"/>
      <c r="AV2" s="188">
        <v>163.02977805445803</v>
      </c>
      <c r="AW2" s="189"/>
    </row>
    <row r="3" spans="1:49" x14ac:dyDescent="0.2">
      <c r="A3" t="s">
        <v>12</v>
      </c>
      <c r="B3" s="81">
        <v>1000</v>
      </c>
      <c r="C3" s="82">
        <v>1000</v>
      </c>
      <c r="D3" s="81">
        <v>998.15092859014896</v>
      </c>
      <c r="E3" s="82">
        <v>1022.2565352011217</v>
      </c>
      <c r="F3" s="81">
        <v>996.2082402274923</v>
      </c>
      <c r="G3" s="82">
        <v>1047.1430305033589</v>
      </c>
      <c r="H3" s="81">
        <v>994.15967830525472</v>
      </c>
      <c r="I3" s="82">
        <v>1075.1258283327356</v>
      </c>
      <c r="J3" s="81">
        <v>991.99155803923861</v>
      </c>
      <c r="K3" s="82">
        <v>1106.7897777996452</v>
      </c>
      <c r="L3" s="81">
        <v>989.68891798286893</v>
      </c>
      <c r="M3" s="82">
        <v>1142.8813970674407</v>
      </c>
      <c r="N3" s="81">
        <v>987.23600095881091</v>
      </c>
      <c r="O3" s="82">
        <v>1184.372021443635</v>
      </c>
      <c r="P3" s="81">
        <v>984.61732469595393</v>
      </c>
      <c r="Q3" s="82">
        <v>1232.5538588870829</v>
      </c>
      <c r="R3" s="81">
        <v>981.8198529748239</v>
      </c>
      <c r="S3" s="82">
        <v>1289.1927118434594</v>
      </c>
      <c r="T3" s="81">
        <v>978.83719522954209</v>
      </c>
      <c r="U3" s="82">
        <v>1356.7804328048092</v>
      </c>
      <c r="V3" s="81">
        <v>975.67764634548973</v>
      </c>
      <c r="W3" s="82">
        <v>1438.9716445272472</v>
      </c>
      <c r="X3" s="81">
        <v>972.37956805908607</v>
      </c>
      <c r="Y3" s="82">
        <v>1541.3821467064533</v>
      </c>
      <c r="Z3" s="81">
        <v>969.0410540176922</v>
      </c>
      <c r="AA3" s="82">
        <v>1673.1423143577863</v>
      </c>
      <c r="AB3" s="81">
        <v>965.87699195859932</v>
      </c>
      <c r="AC3" s="82">
        <v>1850.1384370726203</v>
      </c>
      <c r="AD3" s="81">
        <v>963.32379089223525</v>
      </c>
      <c r="AE3" s="82">
        <v>2102.3109790336271</v>
      </c>
      <c r="AF3" s="81">
        <v>962.19286730926558</v>
      </c>
      <c r="AG3" s="82">
        <v>2491.3285045414291</v>
      </c>
      <c r="AH3" s="81">
        <v>963.69972436779221</v>
      </c>
      <c r="AI3" s="82">
        <v>3156.1784536012869</v>
      </c>
      <c r="AJ3" s="81">
        <v>968.74566908123097</v>
      </c>
      <c r="AK3" s="82">
        <v>4443.9956949717907</v>
      </c>
      <c r="AL3" s="81">
        <v>976.3848029561675</v>
      </c>
      <c r="AM3" s="82">
        <v>7423.6647727073887</v>
      </c>
      <c r="AN3" s="81">
        <v>983.45983226698047</v>
      </c>
      <c r="AO3" s="82">
        <v>17359.420350528912</v>
      </c>
      <c r="AP3" s="81">
        <v>984.32390444821135</v>
      </c>
      <c r="AQ3" s="82">
        <v>22273.014402130673</v>
      </c>
      <c r="AR3" s="81">
        <v>984.78239186941573</v>
      </c>
      <c r="AS3" s="82">
        <v>29965.578907986321</v>
      </c>
      <c r="AT3" s="81">
        <v>984.61259033046235</v>
      </c>
      <c r="AU3" s="82">
        <v>43156.082354835205</v>
      </c>
      <c r="AV3" s="81">
        <v>983.38306335498339</v>
      </c>
      <c r="AW3" s="82">
        <v>69148.18170338482</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998.05926060745753</v>
      </c>
      <c r="E5" s="40">
        <v>1019.34948761031</v>
      </c>
      <c r="F5" s="39">
        <v>996.01913798427597</v>
      </c>
      <c r="G5" s="40">
        <v>1040.5281938967328</v>
      </c>
      <c r="H5" s="39">
        <v>993.86657779849043</v>
      </c>
      <c r="I5" s="40">
        <v>1063.7634165429217</v>
      </c>
      <c r="J5" s="39">
        <v>991.58698228604385</v>
      </c>
      <c r="K5" s="40">
        <v>1089.3159038250817</v>
      </c>
      <c r="L5" s="39">
        <v>989.16435926563827</v>
      </c>
      <c r="M5" s="40">
        <v>1117.4847150549867</v>
      </c>
      <c r="N5" s="39">
        <v>986.58181767927249</v>
      </c>
      <c r="O5" s="40">
        <v>1148.6124589944152</v>
      </c>
      <c r="P5" s="39">
        <v>983.82268550948834</v>
      </c>
      <c r="Q5" s="40">
        <v>1183.0895256971046</v>
      </c>
      <c r="R5" s="39">
        <v>980.87279238060557</v>
      </c>
      <c r="S5" s="40">
        <v>1221.355600904855</v>
      </c>
      <c r="T5" s="39">
        <v>977.724905461915</v>
      </c>
      <c r="U5" s="40">
        <v>1263.8965111494538</v>
      </c>
      <c r="V5" s="39">
        <v>974.38725094513177</v>
      </c>
      <c r="W5" s="40">
        <v>1311.2254453639291</v>
      </c>
      <c r="X5" s="39">
        <v>970.89985981858274</v>
      </c>
      <c r="Y5" s="40">
        <v>1363.8317840502343</v>
      </c>
      <c r="Z5" s="39">
        <v>967.36615360416556</v>
      </c>
      <c r="AA5" s="40">
        <v>1422.0524538296208</v>
      </c>
      <c r="AB5" s="39">
        <v>964.01377300152149</v>
      </c>
      <c r="AC5" s="40">
        <v>1485.7674065722474</v>
      </c>
      <c r="AD5" s="39">
        <v>961.30623639107216</v>
      </c>
      <c r="AE5" s="40">
        <v>1553.7044278411927</v>
      </c>
      <c r="AF5" s="39">
        <v>960.10627007770677</v>
      </c>
      <c r="AG5" s="40">
        <v>1622.0435167490234</v>
      </c>
      <c r="AH5" s="39">
        <v>961.70502785180304</v>
      </c>
      <c r="AI5" s="40">
        <v>1682.6701967902266</v>
      </c>
      <c r="AJ5" s="39">
        <v>967.05332526240954</v>
      </c>
      <c r="AK5" s="40">
        <v>1724.8281252845757</v>
      </c>
      <c r="AL5" s="39">
        <v>975.13454637506879</v>
      </c>
      <c r="AM5" s="40">
        <v>1744.5494908284647</v>
      </c>
      <c r="AN5" s="39">
        <v>982.60242499722403</v>
      </c>
      <c r="AO5" s="40">
        <v>1749.6357438252346</v>
      </c>
      <c r="AP5" s="39">
        <v>983.51339357078496</v>
      </c>
      <c r="AQ5" s="40">
        <v>1749.8639821133902</v>
      </c>
      <c r="AR5" s="39">
        <v>983.99666965853862</v>
      </c>
      <c r="AS5" s="40">
        <v>1749.9849506635617</v>
      </c>
      <c r="AT5" s="39">
        <v>983.81769528330983</v>
      </c>
      <c r="AU5" s="40">
        <v>1750.0410256671785</v>
      </c>
      <c r="AV5" s="39">
        <v>982.52147820970197</v>
      </c>
      <c r="AW5" s="40">
        <v>1750.0623845153018</v>
      </c>
    </row>
    <row r="6" spans="1:49" x14ac:dyDescent="0.2">
      <c r="A6" t="s">
        <v>77</v>
      </c>
      <c r="B6" s="39">
        <v>999.99999999999943</v>
      </c>
      <c r="C6" s="40">
        <v>999.99999999999886</v>
      </c>
      <c r="D6" s="39">
        <v>997.91112367046321</v>
      </c>
      <c r="E6" s="40">
        <v>1024.003717016149</v>
      </c>
      <c r="F6" s="39">
        <v>995.71594629093374</v>
      </c>
      <c r="G6" s="40">
        <v>1050.7970619122784</v>
      </c>
      <c r="H6" s="39">
        <v>993.40052839172961</v>
      </c>
      <c r="I6" s="40">
        <v>1080.8693688988635</v>
      </c>
      <c r="J6" s="39">
        <v>990.9492947425681</v>
      </c>
      <c r="K6" s="40">
        <v>1114.8336997192494</v>
      </c>
      <c r="L6" s="39">
        <v>988.34520071882071</v>
      </c>
      <c r="M6" s="40">
        <v>1153.4718779986617</v>
      </c>
      <c r="N6" s="39">
        <v>985.57027084625315</v>
      </c>
      <c r="O6" s="40">
        <v>1197.8003386034948</v>
      </c>
      <c r="P6" s="39">
        <v>982.60680498421732</v>
      </c>
      <c r="Q6" s="40">
        <v>1249.1702653142559</v>
      </c>
      <c r="R6" s="39">
        <v>979.43983246740413</v>
      </c>
      <c r="S6" s="40">
        <v>1309.4267879898523</v>
      </c>
      <c r="T6" s="39">
        <v>976.06186960717264</v>
      </c>
      <c r="U6" s="40">
        <v>1381.1720768645382</v>
      </c>
      <c r="V6" s="39">
        <v>972.48204250590845</v>
      </c>
      <c r="W6" s="40">
        <v>1468.2202978202672</v>
      </c>
      <c r="X6" s="39">
        <v>968.74356259416368</v>
      </c>
      <c r="Y6" s="40">
        <v>1576.4289891382673</v>
      </c>
      <c r="Z6" s="39">
        <v>964.95746227570942</v>
      </c>
      <c r="AA6" s="40">
        <v>1715.3157297656333</v>
      </c>
      <c r="AB6" s="39">
        <v>961.36752540551743</v>
      </c>
      <c r="AC6" s="40">
        <v>1901.4293274051793</v>
      </c>
      <c r="AD6" s="39">
        <v>958.46946740808096</v>
      </c>
      <c r="AE6" s="40">
        <v>2165.9349824801516</v>
      </c>
      <c r="AF6" s="39">
        <v>957.1854457138752</v>
      </c>
      <c r="AG6" s="40">
        <v>2572.9692588052508</v>
      </c>
      <c r="AH6" s="39">
        <v>958.89624549072164</v>
      </c>
      <c r="AI6" s="40">
        <v>3266.9613686539647</v>
      </c>
      <c r="AJ6" s="39">
        <v>964.62238862575646</v>
      </c>
      <c r="AK6" s="40">
        <v>4608.4458802857544</v>
      </c>
      <c r="AL6" s="39">
        <v>973.28340146838366</v>
      </c>
      <c r="AM6" s="40">
        <v>7707.593867900322</v>
      </c>
      <c r="AN6" s="39">
        <v>981.29657373580039</v>
      </c>
      <c r="AO6" s="40">
        <v>18033.177476868805</v>
      </c>
      <c r="AP6" s="39">
        <v>982.27468559086537</v>
      </c>
      <c r="AQ6" s="40">
        <v>23138.584806154184</v>
      </c>
      <c r="AR6" s="39">
        <v>982.79363699494934</v>
      </c>
      <c r="AS6" s="40">
        <v>31131.126640533508</v>
      </c>
      <c r="AT6" s="39">
        <v>982.60144630963441</v>
      </c>
      <c r="AU6" s="40">
        <v>44835.638918216544</v>
      </c>
      <c r="AV6" s="39">
        <v>981.20966732027114</v>
      </c>
      <c r="AW6" s="40">
        <v>71840.166738137996</v>
      </c>
    </row>
    <row r="7" spans="1:49" x14ac:dyDescent="0.2">
      <c r="A7" t="s">
        <v>13</v>
      </c>
      <c r="B7" s="31">
        <v>1015.9116825427475</v>
      </c>
      <c r="C7" s="32">
        <v>1015.9116825427475</v>
      </c>
      <c r="D7" s="31">
        <v>1013.9400627210927</v>
      </c>
      <c r="E7" s="32">
        <v>1013.9400627210927</v>
      </c>
      <c r="F7" s="31">
        <v>1011.8674783143828</v>
      </c>
      <c r="G7" s="32">
        <v>1011.8674783143828</v>
      </c>
      <c r="H7" s="31">
        <v>1009.6806672742669</v>
      </c>
      <c r="I7" s="32">
        <v>1009.6806672742669</v>
      </c>
      <c r="J7" s="31">
        <v>1007.3647995617004</v>
      </c>
      <c r="K7" s="32">
        <v>1007.3647995617004</v>
      </c>
      <c r="L7" s="31">
        <v>1004.9036285328733</v>
      </c>
      <c r="M7" s="32">
        <v>1004.9036285328733</v>
      </c>
      <c r="N7" s="31">
        <v>1002.2799943646318</v>
      </c>
      <c r="O7" s="32">
        <v>1002.2799943646318</v>
      </c>
      <c r="P7" s="31">
        <v>999.4769597596686</v>
      </c>
      <c r="Q7" s="32">
        <v>999.4769597596686</v>
      </c>
      <c r="R7" s="31">
        <v>996.48012886778395</v>
      </c>
      <c r="S7" s="32">
        <v>996.48012886778395</v>
      </c>
      <c r="T7" s="31">
        <v>993.28215377176275</v>
      </c>
      <c r="U7" s="32">
        <v>993.28215377176275</v>
      </c>
      <c r="V7" s="31">
        <v>989.89139155587111</v>
      </c>
      <c r="W7" s="32">
        <v>989.89139155587111</v>
      </c>
      <c r="X7" s="31">
        <v>986.34851016881407</v>
      </c>
      <c r="Y7" s="32">
        <v>986.34851016881407</v>
      </c>
      <c r="Z7" s="31">
        <v>982.75857674291365</v>
      </c>
      <c r="AA7" s="32">
        <v>982.75857674291365</v>
      </c>
      <c r="AB7" s="31">
        <v>979.35285412435792</v>
      </c>
      <c r="AC7" s="32">
        <v>979.35285412435792</v>
      </c>
      <c r="AD7" s="31">
        <v>976.60223605089027</v>
      </c>
      <c r="AE7" s="32">
        <v>976.60223605089027</v>
      </c>
      <c r="AF7" s="31">
        <v>975.38317625448462</v>
      </c>
      <c r="AG7" s="32">
        <v>975.38317625448462</v>
      </c>
      <c r="AH7" s="31">
        <v>977.00737295474505</v>
      </c>
      <c r="AI7" s="32">
        <v>977.00737295474505</v>
      </c>
      <c r="AJ7" s="31">
        <v>982.44077077589327</v>
      </c>
      <c r="AK7" s="32">
        <v>982.44077077589327</v>
      </c>
      <c r="AL7" s="31">
        <v>990.65057771345494</v>
      </c>
      <c r="AM7" s="32">
        <v>990.65057771345494</v>
      </c>
      <c r="AN7" s="31">
        <v>998.23728284951369</v>
      </c>
      <c r="AO7" s="32">
        <v>998.23728284951369</v>
      </c>
      <c r="AP7" s="31">
        <v>999.16274646582349</v>
      </c>
      <c r="AQ7" s="32">
        <v>999.16274646582349</v>
      </c>
      <c r="AR7" s="31">
        <v>999.65371228926597</v>
      </c>
      <c r="AS7" s="32">
        <v>999.65371228926597</v>
      </c>
      <c r="AT7" s="31">
        <v>999.47189013059528</v>
      </c>
      <c r="AU7" s="32">
        <v>999.47189013059528</v>
      </c>
      <c r="AV7" s="31">
        <v>998.15504806240574</v>
      </c>
      <c r="AW7" s="32">
        <v>998.15504806240574</v>
      </c>
    </row>
    <row r="8" spans="1:49" x14ac:dyDescent="0.2">
      <c r="B8" s="33">
        <v>1005.7716594496609</v>
      </c>
      <c r="C8" s="34">
        <v>1005.7716594496609</v>
      </c>
      <c r="D8" s="33">
        <v>1076.1507898290427</v>
      </c>
      <c r="E8" s="34">
        <v>1076.1507898290427</v>
      </c>
      <c r="F8" s="33">
        <v>1155.4259017198274</v>
      </c>
      <c r="G8" s="34">
        <v>1155.4259017198274</v>
      </c>
      <c r="H8" s="33">
        <v>1245.2744195815612</v>
      </c>
      <c r="I8" s="34">
        <v>1245.2744195815612</v>
      </c>
      <c r="J8" s="33">
        <v>1347.8146722351883</v>
      </c>
      <c r="K8" s="34">
        <v>1347.8146722351883</v>
      </c>
      <c r="L8" s="33">
        <v>1465.7661311711634</v>
      </c>
      <c r="M8" s="34">
        <v>1465.7661311711634</v>
      </c>
      <c r="N8" s="33">
        <v>1602.6859123558622</v>
      </c>
      <c r="O8" s="34">
        <v>1602.6859123558622</v>
      </c>
      <c r="P8" s="33">
        <v>1763.3293902425889</v>
      </c>
      <c r="Q8" s="34">
        <v>1763.3293902425889</v>
      </c>
      <c r="R8" s="33">
        <v>1954.2234147755905</v>
      </c>
      <c r="S8" s="34">
        <v>1954.2234147755905</v>
      </c>
      <c r="T8" s="33">
        <v>2184.6160851536542</v>
      </c>
      <c r="U8" s="34">
        <v>2184.6160851536542</v>
      </c>
      <c r="V8" s="33">
        <v>2468.1255206852288</v>
      </c>
      <c r="W8" s="34">
        <v>2468.1255206852288</v>
      </c>
      <c r="X8" s="33">
        <v>2825.7700226624629</v>
      </c>
      <c r="Y8" s="34">
        <v>2825.7700226624629</v>
      </c>
      <c r="Z8" s="33">
        <v>3291.9070589076869</v>
      </c>
      <c r="AA8" s="34">
        <v>3291.9070589076869</v>
      </c>
      <c r="AB8" s="33">
        <v>3926.7578590069966</v>
      </c>
      <c r="AC8" s="34">
        <v>3926.7578590069966</v>
      </c>
      <c r="AD8" s="33">
        <v>4845.0262652793381</v>
      </c>
      <c r="AE8" s="34">
        <v>4845.0262652793381</v>
      </c>
      <c r="AF8" s="33">
        <v>6286.658154175102</v>
      </c>
      <c r="AG8" s="34">
        <v>6286.658154175102</v>
      </c>
      <c r="AH8" s="33">
        <v>8804.4272104877346</v>
      </c>
      <c r="AI8" s="34">
        <v>8804.4272104877346</v>
      </c>
      <c r="AJ8" s="33">
        <v>13816.129434605005</v>
      </c>
      <c r="AK8" s="34">
        <v>13816.129434605005</v>
      </c>
      <c r="AL8" s="33">
        <v>25786.625410446606</v>
      </c>
      <c r="AM8" s="34">
        <v>25786.625410446606</v>
      </c>
      <c r="AN8" s="33">
        <v>67014.851501188576</v>
      </c>
      <c r="AO8" s="34">
        <v>67014.851501188576</v>
      </c>
      <c r="AP8" s="33">
        <v>87686.680557969332</v>
      </c>
      <c r="AQ8" s="34">
        <v>87686.680557969332</v>
      </c>
      <c r="AR8" s="33">
        <v>120212.89603900167</v>
      </c>
      <c r="AS8" s="34">
        <v>120212.89603900167</v>
      </c>
      <c r="AT8" s="33">
        <v>176239.53905592542</v>
      </c>
      <c r="AU8" s="34">
        <v>176239.53905592542</v>
      </c>
      <c r="AV8" s="33">
        <v>287062.34451350057</v>
      </c>
      <c r="AW8" s="34">
        <v>287062.34451350057</v>
      </c>
    </row>
    <row r="9" spans="1:49" x14ac:dyDescent="0.2">
      <c r="A9" t="s">
        <v>14</v>
      </c>
      <c r="B9" s="39">
        <v>1015.9116825427475</v>
      </c>
      <c r="C9" s="40">
        <v>1005.7716594496609</v>
      </c>
      <c r="D9" s="39">
        <v>1013.9400627210927</v>
      </c>
      <c r="E9" s="40">
        <v>1076.1507898290427</v>
      </c>
      <c r="F9" s="39">
        <v>1011.8674783143828</v>
      </c>
      <c r="G9" s="40">
        <v>1155.4259017198274</v>
      </c>
      <c r="H9" s="39">
        <v>1009.6806672742669</v>
      </c>
      <c r="I9" s="40">
        <v>1245.2744195815612</v>
      </c>
      <c r="J9" s="39">
        <v>1007.3647995617004</v>
      </c>
      <c r="K9" s="40">
        <v>1347.8146722351883</v>
      </c>
      <c r="L9" s="39">
        <v>1004.9036285328733</v>
      </c>
      <c r="M9" s="40">
        <v>1465.7661311711634</v>
      </c>
      <c r="N9" s="39">
        <v>1002.2799943646318</v>
      </c>
      <c r="O9" s="40">
        <v>1602.6859123558622</v>
      </c>
      <c r="P9" s="39">
        <v>999.4769597596686</v>
      </c>
      <c r="Q9" s="40">
        <v>1763.3293902425889</v>
      </c>
      <c r="R9" s="39">
        <v>996.48012886778395</v>
      </c>
      <c r="S9" s="40">
        <v>1954.2234147755905</v>
      </c>
      <c r="T9" s="39">
        <v>993.28215377176275</v>
      </c>
      <c r="U9" s="40">
        <v>2184.6160851536542</v>
      </c>
      <c r="V9" s="39">
        <v>989.89139155587111</v>
      </c>
      <c r="W9" s="40">
        <v>2468.1255206852288</v>
      </c>
      <c r="X9" s="39">
        <v>986.34851016881407</v>
      </c>
      <c r="Y9" s="40">
        <v>2825.7700226624629</v>
      </c>
      <c r="Z9" s="39">
        <v>982.75857674291365</v>
      </c>
      <c r="AA9" s="40">
        <v>3291.9070589076869</v>
      </c>
      <c r="AB9" s="39">
        <v>979.35285412435792</v>
      </c>
      <c r="AC9" s="40">
        <v>3926.7578590069966</v>
      </c>
      <c r="AD9" s="39">
        <v>976.60223605089027</v>
      </c>
      <c r="AE9" s="40">
        <v>4845.0262652793381</v>
      </c>
      <c r="AF9" s="39">
        <v>975.38317625448462</v>
      </c>
      <c r="AG9" s="40">
        <v>6286.658154175102</v>
      </c>
      <c r="AH9" s="39">
        <v>977.00737295474505</v>
      </c>
      <c r="AI9" s="40">
        <v>8804.4272104877346</v>
      </c>
      <c r="AJ9" s="39">
        <v>982.44077077589327</v>
      </c>
      <c r="AK9" s="40">
        <v>13816.129434605005</v>
      </c>
      <c r="AL9" s="39">
        <v>990.65057771345494</v>
      </c>
      <c r="AM9" s="40">
        <v>25786.625410446606</v>
      </c>
      <c r="AN9" s="39">
        <v>998.23728284951369</v>
      </c>
      <c r="AO9" s="40">
        <v>67014.851501188576</v>
      </c>
      <c r="AP9" s="39">
        <v>999.16274646582349</v>
      </c>
      <c r="AQ9" s="40">
        <v>87686.680557969332</v>
      </c>
      <c r="AR9" s="39">
        <v>999.65371228926597</v>
      </c>
      <c r="AS9" s="40">
        <v>120212.89603900167</v>
      </c>
      <c r="AT9" s="39">
        <v>999.47189013059528</v>
      </c>
      <c r="AU9" s="40">
        <v>176239.53905592542</v>
      </c>
      <c r="AV9" s="39">
        <v>998.15504806240574</v>
      </c>
      <c r="AW9" s="40">
        <v>287062.34451350057</v>
      </c>
    </row>
    <row r="10" spans="1:49" x14ac:dyDescent="0.2">
      <c r="A10" t="s">
        <v>15</v>
      </c>
      <c r="B10" s="39">
        <v>1015.9116825427475</v>
      </c>
      <c r="C10" s="40">
        <v>1005.7716594496609</v>
      </c>
      <c r="D10" s="39">
        <v>1013.9400627210927</v>
      </c>
      <c r="E10" s="40">
        <v>1076.1507898290427</v>
      </c>
      <c r="F10" s="39">
        <v>1011.8674783143828</v>
      </c>
      <c r="G10" s="40">
        <v>1155.4259017198274</v>
      </c>
      <c r="H10" s="39">
        <v>1009.6806672742669</v>
      </c>
      <c r="I10" s="40">
        <v>1245.2744195815612</v>
      </c>
      <c r="J10" s="39">
        <v>1007.3647995617004</v>
      </c>
      <c r="K10" s="40">
        <v>1347.8146722351883</v>
      </c>
      <c r="L10" s="39">
        <v>1004.9036285328733</v>
      </c>
      <c r="M10" s="40">
        <v>1465.7661311711634</v>
      </c>
      <c r="N10" s="39">
        <v>1002.2799943646318</v>
      </c>
      <c r="O10" s="40">
        <v>1602.6859123558622</v>
      </c>
      <c r="P10" s="39">
        <v>999.4769597596686</v>
      </c>
      <c r="Q10" s="40">
        <v>1763.3293902425889</v>
      </c>
      <c r="R10" s="39">
        <v>996.48012886778395</v>
      </c>
      <c r="S10" s="40">
        <v>1954.2234147755905</v>
      </c>
      <c r="T10" s="39">
        <v>993.28215377176275</v>
      </c>
      <c r="U10" s="40">
        <v>2184.6160851536542</v>
      </c>
      <c r="V10" s="39">
        <v>989.89139155587111</v>
      </c>
      <c r="W10" s="40">
        <v>2468.1255206852288</v>
      </c>
      <c r="X10" s="39">
        <v>986.34851016881407</v>
      </c>
      <c r="Y10" s="40">
        <v>2825.7700226624629</v>
      </c>
      <c r="Z10" s="39">
        <v>982.75857674291365</v>
      </c>
      <c r="AA10" s="40">
        <v>3291.9070589076869</v>
      </c>
      <c r="AB10" s="39">
        <v>979.35285412435792</v>
      </c>
      <c r="AC10" s="40">
        <v>3926.7578590069966</v>
      </c>
      <c r="AD10" s="39">
        <v>976.60223605089027</v>
      </c>
      <c r="AE10" s="40">
        <v>4845.0262652793381</v>
      </c>
      <c r="AF10" s="39">
        <v>975.38317625448462</v>
      </c>
      <c r="AG10" s="40">
        <v>6286.658154175102</v>
      </c>
      <c r="AH10" s="39">
        <v>977.00737295474505</v>
      </c>
      <c r="AI10" s="40">
        <v>8804.4272104877346</v>
      </c>
      <c r="AJ10" s="39">
        <v>982.44077077589327</v>
      </c>
      <c r="AK10" s="40">
        <v>13816.129434605005</v>
      </c>
      <c r="AL10" s="39">
        <v>990.65057771345494</v>
      </c>
      <c r="AM10" s="40">
        <v>25786.625410446606</v>
      </c>
      <c r="AN10" s="39">
        <v>998.23728284951369</v>
      </c>
      <c r="AO10" s="40">
        <v>67014.851501188576</v>
      </c>
      <c r="AP10" s="39">
        <v>999.16274646582349</v>
      </c>
      <c r="AQ10" s="40">
        <v>87686.680557969332</v>
      </c>
      <c r="AR10" s="39">
        <v>999.65371228926597</v>
      </c>
      <c r="AS10" s="40">
        <v>120212.89603900167</v>
      </c>
      <c r="AT10" s="39">
        <v>999.47189013059528</v>
      </c>
      <c r="AU10" s="40">
        <v>176239.53905592542</v>
      </c>
      <c r="AV10" s="39">
        <v>998.15504806240574</v>
      </c>
      <c r="AW10" s="40">
        <v>287062.34451350057</v>
      </c>
    </row>
    <row r="11" spans="1:49" x14ac:dyDescent="0.2">
      <c r="A11" t="s">
        <v>29</v>
      </c>
      <c r="B11" s="39">
        <v>1015.9116825427475</v>
      </c>
      <c r="C11" s="40">
        <v>1005.7716594496609</v>
      </c>
      <c r="D11" s="39">
        <v>1013.9400627210927</v>
      </c>
      <c r="E11" s="40">
        <v>1076.1507898290427</v>
      </c>
      <c r="F11" s="39">
        <v>1011.8674783143828</v>
      </c>
      <c r="G11" s="40">
        <v>1155.4259017198274</v>
      </c>
      <c r="H11" s="39">
        <v>1009.6806672742669</v>
      </c>
      <c r="I11" s="40">
        <v>1245.2744195815612</v>
      </c>
      <c r="J11" s="39">
        <v>1007.3647995617004</v>
      </c>
      <c r="K11" s="40">
        <v>1347.8146722351883</v>
      </c>
      <c r="L11" s="39">
        <v>1004.9036285328733</v>
      </c>
      <c r="M11" s="40">
        <v>1465.7661311711634</v>
      </c>
      <c r="N11" s="39">
        <v>1002.2799943646318</v>
      </c>
      <c r="O11" s="40">
        <v>1602.6859123558622</v>
      </c>
      <c r="P11" s="39">
        <v>999.4769597596686</v>
      </c>
      <c r="Q11" s="40">
        <v>1763.3293902425889</v>
      </c>
      <c r="R11" s="39">
        <v>996.48012886778395</v>
      </c>
      <c r="S11" s="40">
        <v>1954.2234147755905</v>
      </c>
      <c r="T11" s="39">
        <v>993.28215377176275</v>
      </c>
      <c r="U11" s="40">
        <v>2184.6160851536542</v>
      </c>
      <c r="V11" s="39">
        <v>989.89139155587111</v>
      </c>
      <c r="W11" s="40">
        <v>2468.1255206852288</v>
      </c>
      <c r="X11" s="39">
        <v>986.34851016881407</v>
      </c>
      <c r="Y11" s="40">
        <v>2825.7700226624629</v>
      </c>
      <c r="Z11" s="39">
        <v>982.75857674291365</v>
      </c>
      <c r="AA11" s="40">
        <v>3291.9070589076869</v>
      </c>
      <c r="AB11" s="39">
        <v>979.35285412435792</v>
      </c>
      <c r="AC11" s="40">
        <v>3926.7578590069966</v>
      </c>
      <c r="AD11" s="39">
        <v>976.60223605089027</v>
      </c>
      <c r="AE11" s="40">
        <v>4845.0262652793381</v>
      </c>
      <c r="AF11" s="39">
        <v>975.38317625448462</v>
      </c>
      <c r="AG11" s="40">
        <v>6286.658154175102</v>
      </c>
      <c r="AH11" s="39">
        <v>977.00737295474505</v>
      </c>
      <c r="AI11" s="40">
        <v>8804.4272104877346</v>
      </c>
      <c r="AJ11" s="39">
        <v>982.44077077589327</v>
      </c>
      <c r="AK11" s="40">
        <v>13816.129434605005</v>
      </c>
      <c r="AL11" s="39">
        <v>990.65057771345494</v>
      </c>
      <c r="AM11" s="40">
        <v>25786.625410446606</v>
      </c>
      <c r="AN11" s="39">
        <v>998.23728284951369</v>
      </c>
      <c r="AO11" s="40">
        <v>67014.851501188576</v>
      </c>
      <c r="AP11" s="39">
        <v>999.16274646582349</v>
      </c>
      <c r="AQ11" s="40">
        <v>87686.680557969332</v>
      </c>
      <c r="AR11" s="39">
        <v>999.65371228926597</v>
      </c>
      <c r="AS11" s="40">
        <v>120212.89603900167</v>
      </c>
      <c r="AT11" s="39">
        <v>999.47189013059528</v>
      </c>
      <c r="AU11" s="40">
        <v>176239.53905592542</v>
      </c>
      <c r="AV11" s="39">
        <v>998.15504806240574</v>
      </c>
      <c r="AW11" s="40">
        <v>287062.34451350057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997.84163070892441</v>
      </c>
      <c r="E13" s="94">
        <v>997.84163070892441</v>
      </c>
      <c r="F13" s="93">
        <v>995.32837659425252</v>
      </c>
      <c r="G13" s="94">
        <v>995.32837659425252</v>
      </c>
      <c r="H13" s="93">
        <v>992.41034556953559</v>
      </c>
      <c r="I13" s="94">
        <v>992.41034556953559</v>
      </c>
      <c r="J13" s="93">
        <v>989.02775851438037</v>
      </c>
      <c r="K13" s="94">
        <v>989.02775851438037</v>
      </c>
      <c r="L13" s="93">
        <v>985.10817665395598</v>
      </c>
      <c r="M13" s="94">
        <v>985.10817665395598</v>
      </c>
      <c r="N13" s="93">
        <v>980.5627396163494</v>
      </c>
      <c r="O13" s="94">
        <v>980.5627396163494</v>
      </c>
      <c r="P13" s="93">
        <v>975.28105312842433</v>
      </c>
      <c r="Q13" s="94">
        <v>975.28105312842433</v>
      </c>
      <c r="R13" s="93">
        <v>969.12372644154857</v>
      </c>
      <c r="S13" s="94">
        <v>969.12372644154857</v>
      </c>
      <c r="T13" s="93">
        <v>961.9109619384185</v>
      </c>
      <c r="U13" s="94">
        <v>961.9109619384185</v>
      </c>
      <c r="V13" s="93">
        <v>953.40480656377542</v>
      </c>
      <c r="W13" s="94">
        <v>953.40480656377542</v>
      </c>
      <c r="X13" s="93">
        <v>943.27948552644136</v>
      </c>
      <c r="Y13" s="94">
        <v>943.27948552644136</v>
      </c>
      <c r="Z13" s="93">
        <v>931.06883111527736</v>
      </c>
      <c r="AA13" s="94">
        <v>931.06883111527736</v>
      </c>
      <c r="AB13" s="93">
        <v>916.06566425304709</v>
      </c>
      <c r="AC13" s="94">
        <v>916.06566425304709</v>
      </c>
      <c r="AD13" s="93">
        <v>897.11197211368756</v>
      </c>
      <c r="AE13" s="94">
        <v>897.11197211368756</v>
      </c>
      <c r="AF13" s="93">
        <v>872.11972236632812</v>
      </c>
      <c r="AG13" s="94">
        <v>872.11972236632812</v>
      </c>
      <c r="AH13" s="93">
        <v>836.89567608025618</v>
      </c>
      <c r="AI13" s="94">
        <v>836.89567608025618</v>
      </c>
      <c r="AJ13" s="93">
        <v>782.18173125559042</v>
      </c>
      <c r="AK13" s="94">
        <v>782.18173125559042</v>
      </c>
      <c r="AL13" s="93">
        <v>685.61433744930662</v>
      </c>
      <c r="AM13" s="94">
        <v>685.61433744930662</v>
      </c>
      <c r="AN13" s="93">
        <v>481.34354618106414</v>
      </c>
      <c r="AO13" s="94">
        <v>481.34354618106414</v>
      </c>
      <c r="AP13" s="93">
        <v>412.15569380495373</v>
      </c>
      <c r="AQ13" s="94">
        <v>412.15569380495373</v>
      </c>
      <c r="AR13" s="93">
        <v>326.34652085767163</v>
      </c>
      <c r="AS13" s="94">
        <v>326.34652085767163</v>
      </c>
      <c r="AT13" s="93">
        <v>219.65679554972587</v>
      </c>
      <c r="AU13" s="94">
        <v>219.65679554972587</v>
      </c>
      <c r="AV13" s="93">
        <v>93.272623733488999</v>
      </c>
      <c r="AW13" s="94">
        <v>93.272623733488999</v>
      </c>
    </row>
    <row r="14" spans="1:49" x14ac:dyDescent="0.2">
      <c r="A14" t="s">
        <v>36</v>
      </c>
      <c r="B14" s="39">
        <v>1457.0034251455234</v>
      </c>
      <c r="C14" s="40">
        <v>1457.0034251455236</v>
      </c>
      <c r="D14" s="39">
        <v>1453.8586736956972</v>
      </c>
      <c r="E14" s="40">
        <v>1453.8586736956975</v>
      </c>
      <c r="F14" s="39">
        <v>1450.1968538423591</v>
      </c>
      <c r="G14" s="40">
        <v>1450.1968538423594</v>
      </c>
      <c r="H14" s="39">
        <v>1445.9452726446657</v>
      </c>
      <c r="I14" s="40">
        <v>1445.9452726446659</v>
      </c>
      <c r="J14" s="39">
        <v>1441.0168317194516</v>
      </c>
      <c r="K14" s="40">
        <v>1441.0168317194518</v>
      </c>
      <c r="L14" s="39">
        <v>1435.3059875236752</v>
      </c>
      <c r="M14" s="40">
        <v>1435.3059875236752</v>
      </c>
      <c r="N14" s="39">
        <v>1428.6832701910989</v>
      </c>
      <c r="O14" s="40">
        <v>1428.6832701910992</v>
      </c>
      <c r="P14" s="39">
        <v>1420.9878348876473</v>
      </c>
      <c r="Q14" s="40">
        <v>1420.9878348876475</v>
      </c>
      <c r="R14" s="39">
        <v>1412.0165888151294</v>
      </c>
      <c r="S14" s="40">
        <v>1412.0165888151296</v>
      </c>
      <c r="T14" s="39">
        <v>1401.5075662293009</v>
      </c>
      <c r="U14" s="40">
        <v>1401.5075662293011</v>
      </c>
      <c r="V14" s="39">
        <v>1389.1140687136258</v>
      </c>
      <c r="W14" s="40">
        <v>1389.114068713626</v>
      </c>
      <c r="X14" s="39">
        <v>1374.3614412815321</v>
      </c>
      <c r="Y14" s="40">
        <v>1374.3614412815323</v>
      </c>
      <c r="Z14" s="39">
        <v>1356.5704759811979</v>
      </c>
      <c r="AA14" s="40">
        <v>1356.5704759811981</v>
      </c>
      <c r="AB14" s="39">
        <v>1334.7108104748986</v>
      </c>
      <c r="AC14" s="40">
        <v>1334.7108104748988</v>
      </c>
      <c r="AD14" s="39">
        <v>1307.095216108698</v>
      </c>
      <c r="AE14" s="40">
        <v>1307.0952161086982</v>
      </c>
      <c r="AF14" s="39">
        <v>1270.6814226247029</v>
      </c>
      <c r="AG14" s="40">
        <v>1270.6814226247031</v>
      </c>
      <c r="AH14" s="39">
        <v>1219.3598665384116</v>
      </c>
      <c r="AI14" s="40">
        <v>1219.3598665384118</v>
      </c>
      <c r="AJ14" s="39">
        <v>1139.6414615256504</v>
      </c>
      <c r="AK14" s="40">
        <v>1139.6414615256506</v>
      </c>
      <c r="AL14" s="39">
        <v>998.94243799251831</v>
      </c>
      <c r="AM14" s="40">
        <v>998.94243799251853</v>
      </c>
      <c r="AN14" s="39">
        <v>701.31919545750281</v>
      </c>
      <c r="AO14" s="40">
        <v>701.31919545750293</v>
      </c>
      <c r="AP14" s="39">
        <v>600.51225756704707</v>
      </c>
      <c r="AQ14" s="40">
        <v>600.51225756704719</v>
      </c>
      <c r="AR14" s="39">
        <v>475.48799867395252</v>
      </c>
      <c r="AS14" s="40">
        <v>475.48799867395257</v>
      </c>
      <c r="AT14" s="39">
        <v>320.04070347244055</v>
      </c>
      <c r="AU14" s="40">
        <v>320.04070347244055</v>
      </c>
      <c r="AV14" s="39">
        <v>135.89853225200309</v>
      </c>
      <c r="AW14" s="40">
        <v>135.89853225200312</v>
      </c>
    </row>
    <row r="15" spans="1:49" x14ac:dyDescent="0.2">
      <c r="A15" t="s">
        <v>18</v>
      </c>
      <c r="B15" s="144">
        <v>1000</v>
      </c>
      <c r="C15" s="145">
        <v>1000</v>
      </c>
      <c r="D15" s="144">
        <v>992.11515229278518</v>
      </c>
      <c r="E15" s="145">
        <v>992.11515229278518</v>
      </c>
      <c r="F15" s="144">
        <v>983.90365963841225</v>
      </c>
      <c r="G15" s="145">
        <v>983.90365963841225</v>
      </c>
      <c r="H15" s="144">
        <v>975.32009363555096</v>
      </c>
      <c r="I15" s="145">
        <v>975.32009363555096</v>
      </c>
      <c r="J15" s="144">
        <v>966.31084935846161</v>
      </c>
      <c r="K15" s="145">
        <v>966.31084935846161</v>
      </c>
      <c r="L15" s="144">
        <v>956.81229232867338</v>
      </c>
      <c r="M15" s="145">
        <v>956.81229232867338</v>
      </c>
      <c r="N15" s="144">
        <v>946.74834624130995</v>
      </c>
      <c r="O15" s="145">
        <v>946.74834624130995</v>
      </c>
      <c r="P15" s="144">
        <v>936.02706952725975</v>
      </c>
      <c r="Q15" s="145">
        <v>936.02706952725975</v>
      </c>
      <c r="R15" s="144">
        <v>924.53585158679414</v>
      </c>
      <c r="S15" s="145">
        <v>924.53585158679414</v>
      </c>
      <c r="T15" s="144">
        <v>912.13434369185904</v>
      </c>
      <c r="U15" s="145">
        <v>912.13434369185904</v>
      </c>
      <c r="V15" s="144">
        <v>898.64309655424972</v>
      </c>
      <c r="W15" s="145">
        <v>898.64309655424972</v>
      </c>
      <c r="X15" s="144">
        <v>883.8242349822815</v>
      </c>
      <c r="Y15" s="145">
        <v>883.8242349822815</v>
      </c>
      <c r="Z15" s="144">
        <v>867.34543761118209</v>
      </c>
      <c r="AA15" s="145">
        <v>867.34543761118209</v>
      </c>
      <c r="AB15" s="144">
        <v>848.70588878639205</v>
      </c>
      <c r="AC15" s="145">
        <v>848.70588878639205</v>
      </c>
      <c r="AD15" s="144">
        <v>827.06650671340981</v>
      </c>
      <c r="AE15" s="145">
        <v>827.06650671340981</v>
      </c>
      <c r="AF15" s="144">
        <v>800.81812340627232</v>
      </c>
      <c r="AG15" s="145">
        <v>800.81812340627232</v>
      </c>
      <c r="AH15" s="144">
        <v>766.41995654186428</v>
      </c>
      <c r="AI15" s="145">
        <v>766.41995654186428</v>
      </c>
      <c r="AJ15" s="144">
        <v>715.41146410849467</v>
      </c>
      <c r="AK15" s="145">
        <v>715.41146410849467</v>
      </c>
      <c r="AL15" s="144">
        <v>626.87598115437856</v>
      </c>
      <c r="AM15" s="145">
        <v>626.87598115437856</v>
      </c>
      <c r="AN15" s="144">
        <v>440.08875249681995</v>
      </c>
      <c r="AO15" s="145">
        <v>440.08875249681995</v>
      </c>
      <c r="AP15" s="144">
        <v>376.83059872835804</v>
      </c>
      <c r="AQ15" s="145">
        <v>376.83059872835804</v>
      </c>
      <c r="AR15" s="144">
        <v>298.37590597067225</v>
      </c>
      <c r="AS15" s="145">
        <v>298.37590597067225</v>
      </c>
      <c r="AT15" s="144">
        <v>200.83036637298071</v>
      </c>
      <c r="AU15" s="145">
        <v>200.83036637298071</v>
      </c>
      <c r="AV15" s="144">
        <v>85.278376719679301</v>
      </c>
      <c r="AW15" s="145">
        <v>85.278376719679301</v>
      </c>
    </row>
    <row r="16" spans="1:49" s="27" customFormat="1" x14ac:dyDescent="0.2">
      <c r="A16" t="s">
        <v>61</v>
      </c>
      <c r="B16" s="39">
        <v>1000</v>
      </c>
      <c r="C16" s="40">
        <v>1000</v>
      </c>
      <c r="D16" s="39">
        <v>995.16703663693545</v>
      </c>
      <c r="E16" s="40">
        <v>993.749133483479</v>
      </c>
      <c r="F16" s="39">
        <v>989.98990978000666</v>
      </c>
      <c r="G16" s="40">
        <v>987.16255188317746</v>
      </c>
      <c r="H16" s="39">
        <v>984.42080774151805</v>
      </c>
      <c r="I16" s="40">
        <v>980.19355032139231</v>
      </c>
      <c r="J16" s="39">
        <v>978.40283532537455</v>
      </c>
      <c r="K16" s="40">
        <v>972.78676127108167</v>
      </c>
      <c r="L16" s="39">
        <v>971.86767275816533</v>
      </c>
      <c r="M16" s="40">
        <v>964.87603989937145</v>
      </c>
      <c r="N16" s="39">
        <v>964.73244997963081</v>
      </c>
      <c r="O16" s="40">
        <v>956.38166909505935</v>
      </c>
      <c r="P16" s="39">
        <v>956.89543439984914</v>
      </c>
      <c r="Q16" s="40">
        <v>947.20645878087362</v>
      </c>
      <c r="R16" s="39">
        <v>948.22982716127706</v>
      </c>
      <c r="S16" s="40">
        <v>937.23019052410234</v>
      </c>
      <c r="T16" s="39">
        <v>938.57440832053817</v>
      </c>
      <c r="U16" s="40">
        <v>926.30132119236021</v>
      </c>
      <c r="V16" s="39">
        <v>927.71881735080751</v>
      </c>
      <c r="W16" s="40">
        <v>914.22381746532358</v>
      </c>
      <c r="X16" s="39">
        <v>915.3787923317617</v>
      </c>
      <c r="Y16" s="40">
        <v>900.73491114011586</v>
      </c>
      <c r="Z16" s="39">
        <v>901.1514520580356</v>
      </c>
      <c r="AA16" s="40">
        <v>885.46440721158149</v>
      </c>
      <c r="AB16" s="39">
        <v>884.42728163696006</v>
      </c>
      <c r="AC16" s="40">
        <v>867.85313431264012</v>
      </c>
      <c r="AD16" s="39">
        <v>864.19928922731776</v>
      </c>
      <c r="AE16" s="40">
        <v>846.97185811810107</v>
      </c>
      <c r="AF16" s="39">
        <v>838.60618523699759</v>
      </c>
      <c r="AG16" s="40">
        <v>821.07604632850928</v>
      </c>
      <c r="AH16" s="39">
        <v>803.76329063147159</v>
      </c>
      <c r="AI16" s="40">
        <v>786.44032560614539</v>
      </c>
      <c r="AJ16" s="39">
        <v>750.78823413298051</v>
      </c>
      <c r="AK16" s="40">
        <v>734.37791032766449</v>
      </c>
      <c r="AL16" s="39">
        <v>657.99647971721811</v>
      </c>
      <c r="AM16" s="40">
        <v>643.56061520534502</v>
      </c>
      <c r="AN16" s="39">
        <v>461.94612765322864</v>
      </c>
      <c r="AO16" s="40">
        <v>451.80715506013274</v>
      </c>
      <c r="AP16" s="39">
        <v>395.54633462460458</v>
      </c>
      <c r="AQ16" s="40">
        <v>386.8646731329809</v>
      </c>
      <c r="AR16" s="39">
        <v>313.1951338330723</v>
      </c>
      <c r="AS16" s="40">
        <v>306.32094414570395</v>
      </c>
      <c r="AT16" s="39">
        <v>210.80487511104675</v>
      </c>
      <c r="AU16" s="40">
        <v>206.17800347767323</v>
      </c>
      <c r="AV16" s="39">
        <v>89.513841973093747</v>
      </c>
      <c r="AW16" s="40">
        <v>87.549138293871081</v>
      </c>
    </row>
    <row r="17" spans="1:49" x14ac:dyDescent="0.2">
      <c r="A17" t="s">
        <v>62</v>
      </c>
      <c r="B17" s="33">
        <v>1000.0000000000002</v>
      </c>
      <c r="C17" s="34">
        <v>999.99999999999977</v>
      </c>
      <c r="D17" s="33">
        <v>998.23618477740706</v>
      </c>
      <c r="E17" s="34">
        <v>1034.136862198518</v>
      </c>
      <c r="F17" s="33">
        <v>996.38411686252061</v>
      </c>
      <c r="G17" s="34">
        <v>1072.4122206772931</v>
      </c>
      <c r="H17" s="33">
        <v>994.43229900635902</v>
      </c>
      <c r="I17" s="34">
        <v>1115.5809956831652</v>
      </c>
      <c r="J17" s="33">
        <v>992.36789445704505</v>
      </c>
      <c r="K17" s="34">
        <v>1164.5937456412405</v>
      </c>
      <c r="L17" s="33">
        <v>990.17690174372422</v>
      </c>
      <c r="M17" s="34">
        <v>1220.6676936275965</v>
      </c>
      <c r="N17" s="33">
        <v>987.84462601401822</v>
      </c>
      <c r="O17" s="34">
        <v>1285.3914909060413</v>
      </c>
      <c r="P17" s="33">
        <v>985.35669634089845</v>
      </c>
      <c r="Q17" s="34">
        <v>1360.8848546212798</v>
      </c>
      <c r="R17" s="33">
        <v>982.70113907964549</v>
      </c>
      <c r="S17" s="34">
        <v>1450.0523405486858</v>
      </c>
      <c r="T17" s="33">
        <v>979.87235501656642</v>
      </c>
      <c r="U17" s="34">
        <v>1557.0035977894761</v>
      </c>
      <c r="V17" s="33">
        <v>976.8787121188476</v>
      </c>
      <c r="W17" s="34">
        <v>1687.7818946298676</v>
      </c>
      <c r="X17" s="33">
        <v>973.75702536234269</v>
      </c>
      <c r="Y17" s="34">
        <v>1851.7003812761652</v>
      </c>
      <c r="Z17" s="33">
        <v>970.60043494010961</v>
      </c>
      <c r="AA17" s="34">
        <v>2063.9533666334414</v>
      </c>
      <c r="AB17" s="33">
        <v>967.61193730716116</v>
      </c>
      <c r="AC17" s="34">
        <v>2351.1002742961668</v>
      </c>
      <c r="AD17" s="33">
        <v>965.202655204797</v>
      </c>
      <c r="AE17" s="34">
        <v>2763.5250085409016</v>
      </c>
      <c r="AF17" s="33">
        <v>964.13612616678336</v>
      </c>
      <c r="AG17" s="34">
        <v>3406.003055632521</v>
      </c>
      <c r="AH17" s="33">
        <v>965.55727169843249</v>
      </c>
      <c r="AI17" s="34">
        <v>4517.9642790727921</v>
      </c>
      <c r="AJ17" s="33">
        <v>970.32130830739243</v>
      </c>
      <c r="AK17" s="34">
        <v>6707.9890448731312</v>
      </c>
      <c r="AL17" s="33">
        <v>977.54847426197671</v>
      </c>
      <c r="AM17" s="34">
        <v>11880.739850507904</v>
      </c>
      <c r="AN17" s="33">
        <v>984.25764019794167</v>
      </c>
      <c r="AO17" s="34">
        <v>29531.100372577766</v>
      </c>
      <c r="AP17" s="33">
        <v>985.07805132645149</v>
      </c>
      <c r="AQ17" s="34">
        <v>38355.065079130225</v>
      </c>
      <c r="AR17" s="33">
        <v>985.51346109687347</v>
      </c>
      <c r="AS17" s="34">
        <v>52230.340410671626</v>
      </c>
      <c r="AT17" s="33">
        <v>985.35219907972817</v>
      </c>
      <c r="AU17" s="34">
        <v>76125.529188289525</v>
      </c>
      <c r="AV17" s="33">
        <v>984.18476108236166</v>
      </c>
      <c r="AW17" s="34">
        <v>123411.789157665</v>
      </c>
    </row>
    <row r="18" spans="1:49" x14ac:dyDescent="0.2">
      <c r="A18" t="s">
        <v>19</v>
      </c>
      <c r="B18" s="31">
        <v>27857.010133999996</v>
      </c>
      <c r="C18" s="32">
        <v>1236.7674480000003</v>
      </c>
      <c r="D18" s="31">
        <v>27864.637469808247</v>
      </c>
      <c r="E18" s="32">
        <v>1151.7439995210236</v>
      </c>
      <c r="F18" s="31">
        <v>27868.722099574752</v>
      </c>
      <c r="G18" s="32">
        <v>1066.4885926057741</v>
      </c>
      <c r="H18" s="31">
        <v>27868.714962317172</v>
      </c>
      <c r="I18" s="32">
        <v>981.02057673176296</v>
      </c>
      <c r="J18" s="31">
        <v>27863.936196803676</v>
      </c>
      <c r="K18" s="32">
        <v>895.37519108828758</v>
      </c>
      <c r="L18" s="31">
        <v>27853.528304985772</v>
      </c>
      <c r="M18" s="32">
        <v>809.61359937488839</v>
      </c>
      <c r="N18" s="31">
        <v>27836.387776319349</v>
      </c>
      <c r="O18" s="32">
        <v>723.83785392760592</v>
      </c>
      <c r="P18" s="31">
        <v>27811.064479257104</v>
      </c>
      <c r="Q18" s="32">
        <v>638.21033759059242</v>
      </c>
      <c r="R18" s="31">
        <v>27775.604761305305</v>
      </c>
      <c r="S18" s="32">
        <v>552.984451876246</v>
      </c>
      <c r="T18" s="31">
        <v>27727.297640671528</v>
      </c>
      <c r="U18" s="32">
        <v>468.55418939502334</v>
      </c>
      <c r="V18" s="31">
        <v>27662.255373618747</v>
      </c>
      <c r="W18" s="32">
        <v>385.52721002023708</v>
      </c>
      <c r="X18" s="31">
        <v>27574.683713217957</v>
      </c>
      <c r="Y18" s="32">
        <v>304.84023941201986</v>
      </c>
      <c r="Z18" s="31">
        <v>27455.556609798303</v>
      </c>
      <c r="AA18" s="32">
        <v>227.93566977026239</v>
      </c>
      <c r="AB18" s="31">
        <v>27290.092725863069</v>
      </c>
      <c r="AC18" s="32">
        <v>157.01850644391058</v>
      </c>
      <c r="AD18" s="31">
        <v>27052.757962390682</v>
      </c>
      <c r="AE18" s="32">
        <v>95.354201106632559</v>
      </c>
      <c r="AF18" s="31">
        <v>26697.235317168244</v>
      </c>
      <c r="AG18" s="32">
        <v>47.284856081238097</v>
      </c>
      <c r="AH18" s="31">
        <v>26136.809679841735</v>
      </c>
      <c r="AI18" s="32">
        <v>16.81669588535755</v>
      </c>
      <c r="AJ18" s="31">
        <v>25202.949719766202</v>
      </c>
      <c r="AK18" s="32">
        <v>3.5103309442794943</v>
      </c>
      <c r="AL18" s="31">
        <v>23502.01375249054</v>
      </c>
      <c r="AM18" s="32">
        <v>0.31262896955453157</v>
      </c>
      <c r="AN18" s="31">
        <v>19619.73391701025</v>
      </c>
      <c r="AO18" s="32">
        <v>5.2747999640088764E-3</v>
      </c>
      <c r="AP18" s="31">
        <v>18146.864379714752</v>
      </c>
      <c r="AQ18" s="32">
        <v>1.5575564206363282E-3</v>
      </c>
      <c r="AR18" s="31">
        <v>16143.855287236587</v>
      </c>
      <c r="AS18" s="32">
        <v>3.5659763012592822E-4</v>
      </c>
      <c r="AT18" s="31">
        <v>13245.803101504967</v>
      </c>
      <c r="AU18" s="32">
        <v>5.5261117019625731E-5</v>
      </c>
      <c r="AV18" s="31">
        <v>8636.9411807207871</v>
      </c>
      <c r="AW18" s="32">
        <v>4.1920811398734989E-6</v>
      </c>
    </row>
    <row r="19" spans="1:49" x14ac:dyDescent="0.2">
      <c r="A19" t="s">
        <v>3</v>
      </c>
      <c r="B19" s="39">
        <v>1886.3937399999918</v>
      </c>
      <c r="C19" s="40">
        <v>262.78711299999571</v>
      </c>
      <c r="D19" s="39">
        <v>1878.5835409911917</v>
      </c>
      <c r="E19" s="40">
        <v>269.5381800742814</v>
      </c>
      <c r="F19" s="39">
        <v>1870.1263178525835</v>
      </c>
      <c r="G19" s="40">
        <v>277.24390362174171</v>
      </c>
      <c r="H19" s="39">
        <v>1860.9361458690348</v>
      </c>
      <c r="I19" s="40">
        <v>286.02449680024159</v>
      </c>
      <c r="J19" s="39">
        <v>1850.9137310902408</v>
      </c>
      <c r="K19" s="40">
        <v>296.0121027132343</v>
      </c>
      <c r="L19" s="39">
        <v>1839.944557888165</v>
      </c>
      <c r="M19" s="40">
        <v>307.34898082167916</v>
      </c>
      <c r="N19" s="39">
        <v>1827.8972901886043</v>
      </c>
      <c r="O19" s="40">
        <v>320.18160786141601</v>
      </c>
      <c r="P19" s="39">
        <v>1814.6229450950946</v>
      </c>
      <c r="Q19" s="40">
        <v>334.64780059484389</v>
      </c>
      <c r="R19" s="39">
        <v>1799.9555944801255</v>
      </c>
      <c r="S19" s="40">
        <v>350.85203833988254</v>
      </c>
      <c r="T19" s="39">
        <v>1783.7161036233465</v>
      </c>
      <c r="U19" s="40">
        <v>368.81875578200186</v>
      </c>
      <c r="V19" s="39">
        <v>1765.7223839843114</v>
      </c>
      <c r="W19" s="40">
        <v>388.40402006982703</v>
      </c>
      <c r="X19" s="39">
        <v>1745.811786040221</v>
      </c>
      <c r="Y19" s="40">
        <v>409.12856915072354</v>
      </c>
      <c r="Z19" s="39">
        <v>1723.8862011149715</v>
      </c>
      <c r="AA19" s="40">
        <v>429.85947145754102</v>
      </c>
      <c r="AB19" s="39">
        <v>1699.9938319814039</v>
      </c>
      <c r="AC19" s="40">
        <v>448.20359143957182</v>
      </c>
      <c r="AD19" s="39">
        <v>1674.4406529201924</v>
      </c>
      <c r="AE19" s="40">
        <v>459.40842439555541</v>
      </c>
      <c r="AF19" s="39">
        <v>1647.7373793491965</v>
      </c>
      <c r="AG19" s="40">
        <v>454.77237541086919</v>
      </c>
      <c r="AH19" s="39">
        <v>1619.2778285434515</v>
      </c>
      <c r="AI19" s="40">
        <v>421.33744139688775</v>
      </c>
      <c r="AJ19" s="39">
        <v>1581.2830062341548</v>
      </c>
      <c r="AK19" s="40">
        <v>348.88204240984453</v>
      </c>
      <c r="AL19" s="39">
        <v>1502.7906291223192</v>
      </c>
      <c r="AM19" s="40">
        <v>243.40934065334417</v>
      </c>
      <c r="AN19" s="39">
        <v>1276.5393950537348</v>
      </c>
      <c r="AO19" s="40">
        <v>123.13021503401738</v>
      </c>
      <c r="AP19" s="39">
        <v>1183.2032567523709</v>
      </c>
      <c r="AQ19" s="40">
        <v>98.555581151911611</v>
      </c>
      <c r="AR19" s="39">
        <v>1053.782436063012</v>
      </c>
      <c r="AS19" s="40">
        <v>73.937127517083908</v>
      </c>
      <c r="AT19" s="39">
        <v>864.25532418535158</v>
      </c>
      <c r="AU19" s="40">
        <v>49.297736453161022</v>
      </c>
      <c r="AV19" s="39">
        <v>561.84895372961296</v>
      </c>
      <c r="AW19" s="40">
        <v>24.65007158417005</v>
      </c>
    </row>
    <row r="20" spans="1:49" x14ac:dyDescent="0.2">
      <c r="A20" t="s">
        <v>114</v>
      </c>
      <c r="B20" s="79">
        <v>26548.356269999993</v>
      </c>
      <c r="C20" s="80">
        <v>1408.5418709999938</v>
      </c>
      <c r="D20" s="79">
        <v>26541.358376067848</v>
      </c>
      <c r="E20" s="80">
        <v>1338.1147774499941</v>
      </c>
      <c r="F20" s="79">
        <v>26530.220897566065</v>
      </c>
      <c r="G20" s="80">
        <v>1267.6876838999945</v>
      </c>
      <c r="H20" s="79">
        <v>26514.325872246842</v>
      </c>
      <c r="I20" s="80">
        <v>1197.2605903499946</v>
      </c>
      <c r="J20" s="79">
        <v>26492.920393463766</v>
      </c>
      <c r="K20" s="80">
        <v>1126.8334967999949</v>
      </c>
      <c r="L20" s="79">
        <v>26465.073696772466</v>
      </c>
      <c r="M20" s="80">
        <v>1056.4064032499953</v>
      </c>
      <c r="N20" s="79">
        <v>26429.616710317252</v>
      </c>
      <c r="O20" s="80">
        <v>985.97930969999561</v>
      </c>
      <c r="P20" s="79">
        <v>26385.056196598442</v>
      </c>
      <c r="Q20" s="80">
        <v>915.55221614999596</v>
      </c>
      <c r="R20" s="79">
        <v>26329.445034001481</v>
      </c>
      <c r="S20" s="80">
        <v>845.12512259999642</v>
      </c>
      <c r="T20" s="79">
        <v>26260.178125691189</v>
      </c>
      <c r="U20" s="80">
        <v>774.69802904999653</v>
      </c>
      <c r="V20" s="79">
        <v>26173.664259993046</v>
      </c>
      <c r="W20" s="80">
        <v>704.27093549999688</v>
      </c>
      <c r="X20" s="79">
        <v>26064.766272829551</v>
      </c>
      <c r="Y20" s="80">
        <v>633.84384194999734</v>
      </c>
      <c r="Z20" s="79">
        <v>25925.796490992645</v>
      </c>
      <c r="AA20" s="80">
        <v>563.41674839999757</v>
      </c>
      <c r="AB20" s="79">
        <v>25744.600603042261</v>
      </c>
      <c r="AC20" s="80">
        <v>492.98965484999775</v>
      </c>
      <c r="AD20" s="79">
        <v>25500.666437696324</v>
      </c>
      <c r="AE20" s="80">
        <v>422.56256129999798</v>
      </c>
      <c r="AF20" s="79">
        <v>25156.758035821869</v>
      </c>
      <c r="AG20" s="80">
        <v>352.13546774999827</v>
      </c>
      <c r="AH20" s="79">
        <v>24640.123876651065</v>
      </c>
      <c r="AI20" s="80">
        <v>281.70837419999856</v>
      </c>
      <c r="AJ20" s="79">
        <v>23796.552792025417</v>
      </c>
      <c r="AK20" s="80">
        <v>211.28128064999876</v>
      </c>
      <c r="AL20" s="79">
        <v>22242.043391223735</v>
      </c>
      <c r="AM20" s="80">
        <v>140.85418709999902</v>
      </c>
      <c r="AN20" s="79">
        <v>18607.320979943994</v>
      </c>
      <c r="AO20" s="80">
        <v>70.42709354999927</v>
      </c>
      <c r="AP20" s="79">
        <v>17214.88357180397</v>
      </c>
      <c r="AQ20" s="80">
        <v>56.341674839999328</v>
      </c>
      <c r="AR20" s="79">
        <v>15316.833418144159</v>
      </c>
      <c r="AS20" s="80">
        <v>42.256256129999379</v>
      </c>
      <c r="AT20" s="79">
        <v>12566.608777773619</v>
      </c>
      <c r="AU20" s="80">
        <v>28.170837419999433</v>
      </c>
      <c r="AV20" s="79">
        <v>8191.0723333124824</v>
      </c>
      <c r="AW20" s="80">
        <v>14.08541870999948</v>
      </c>
    </row>
    <row r="21" spans="1:49" x14ac:dyDescent="0.2">
      <c r="A21" t="s">
        <v>76</v>
      </c>
      <c r="B21" s="79">
        <v>24661.962529999968</v>
      </c>
      <c r="C21" s="80">
        <v>1145.7547579999921</v>
      </c>
      <c r="D21" s="79">
        <v>24662.782481568654</v>
      </c>
      <c r="E21" s="80">
        <v>1068.8130923791743</v>
      </c>
      <c r="F21" s="79">
        <v>24660.126738512929</v>
      </c>
      <c r="G21" s="80">
        <v>991.45774930032667</v>
      </c>
      <c r="H21" s="79">
        <v>24653.466020490083</v>
      </c>
      <c r="I21" s="80">
        <v>913.68816236558575</v>
      </c>
      <c r="J21" s="79">
        <v>24642.150091763699</v>
      </c>
      <c r="K21" s="80">
        <v>835.51975043495293</v>
      </c>
      <c r="L21" s="79">
        <v>24625.36681580645</v>
      </c>
      <c r="M21" s="80">
        <v>756.99208743485235</v>
      </c>
      <c r="N21" s="79">
        <v>24602.083404683028</v>
      </c>
      <c r="O21" s="80">
        <v>678.18200321535789</v>
      </c>
      <c r="P21" s="79">
        <v>24570.961423768542</v>
      </c>
      <c r="Q21" s="80">
        <v>599.22376499771781</v>
      </c>
      <c r="R21" s="79">
        <v>24530.22623942672</v>
      </c>
      <c r="S21" s="80">
        <v>520.33941472449601</v>
      </c>
      <c r="T21" s="79">
        <v>24477.458669361837</v>
      </c>
      <c r="U21" s="80">
        <v>441.88518930010673</v>
      </c>
      <c r="V21" s="79">
        <v>24409.255229487957</v>
      </c>
      <c r="W21" s="80">
        <v>364.42354356577613</v>
      </c>
      <c r="X21" s="79">
        <v>24320.642783250099</v>
      </c>
      <c r="Y21" s="80">
        <v>288.83496283709178</v>
      </c>
      <c r="Z21" s="79">
        <v>24204.022189881372</v>
      </c>
      <c r="AA21" s="80">
        <v>216.48999243625914</v>
      </c>
      <c r="AB21" s="79">
        <v>24047.156907999008</v>
      </c>
      <c r="AC21" s="80">
        <v>149.5003417266046</v>
      </c>
      <c r="AD21" s="79">
        <v>23829.146156882394</v>
      </c>
      <c r="AE21" s="80">
        <v>91.013307554363294</v>
      </c>
      <c r="AF21" s="79">
        <v>23512.083104111894</v>
      </c>
      <c r="AG21" s="80">
        <v>45.242155928361875</v>
      </c>
      <c r="AH21" s="79">
        <v>23023.610004048558</v>
      </c>
      <c r="AI21" s="80">
        <v>16.126557268510684</v>
      </c>
      <c r="AJ21" s="79">
        <v>22217.245581049225</v>
      </c>
      <c r="AK21" s="80">
        <v>3.3724712424793908</v>
      </c>
      <c r="AL21" s="79">
        <v>20740.304656566048</v>
      </c>
      <c r="AM21" s="80">
        <v>0.30071116658973462</v>
      </c>
      <c r="AN21" s="79">
        <v>17331.212375271003</v>
      </c>
      <c r="AO21" s="80">
        <v>5.0764862710721047E-3</v>
      </c>
      <c r="AP21" s="79">
        <v>16032.038223000432</v>
      </c>
      <c r="AQ21" s="80">
        <v>1.499069112354512E-3</v>
      </c>
      <c r="AR21" s="79">
        <v>14263.351032641514</v>
      </c>
      <c r="AS21" s="80">
        <v>3.4321860921567195E-4</v>
      </c>
      <c r="AT21" s="79">
        <v>11702.605165377885</v>
      </c>
      <c r="AU21" s="80">
        <v>5.3188915176047425E-5</v>
      </c>
      <c r="AV21" s="79">
        <v>7629.4147852863398</v>
      </c>
      <c r="AW21" s="80">
        <v>4.0349342660514476E-6</v>
      </c>
    </row>
    <row r="22" spans="1:49" x14ac:dyDescent="0.2">
      <c r="A22" t="s">
        <v>28</v>
      </c>
      <c r="B22" s="39">
        <v>6533.6044688320699</v>
      </c>
      <c r="C22" s="40">
        <v>379.90788307663399</v>
      </c>
      <c r="D22" s="39">
        <v>6534.8681618088158</v>
      </c>
      <c r="E22" s="40">
        <v>364.44487908172084</v>
      </c>
      <c r="F22" s="39">
        <v>6534.5813327641972</v>
      </c>
      <c r="G22" s="40">
        <v>348.78533815163479</v>
      </c>
      <c r="H22" s="39">
        <v>6532.5198113564174</v>
      </c>
      <c r="I22" s="40">
        <v>332.92288470729625</v>
      </c>
      <c r="J22" s="39">
        <v>6528.4116698533117</v>
      </c>
      <c r="K22" s="40">
        <v>316.84949300792096</v>
      </c>
      <c r="L22" s="39">
        <v>6521.9229896970173</v>
      </c>
      <c r="M22" s="40">
        <v>300.55436164039679</v>
      </c>
      <c r="N22" s="39">
        <v>6512.6375905247069</v>
      </c>
      <c r="O22" s="40">
        <v>284.02255263208275</v>
      </c>
      <c r="P22" s="39">
        <v>6500.028896983149</v>
      </c>
      <c r="Q22" s="40">
        <v>267.23320553255235</v>
      </c>
      <c r="R22" s="39">
        <v>6483.4183893467971</v>
      </c>
      <c r="S22" s="40">
        <v>250.15675568702343</v>
      </c>
      <c r="T22" s="39">
        <v>6461.9112108080926</v>
      </c>
      <c r="U22" s="40">
        <v>232.75071241138812</v>
      </c>
      <c r="V22" s="39">
        <v>6434.2956567933525</v>
      </c>
      <c r="W22" s="40">
        <v>214.95360101603936</v>
      </c>
      <c r="X22" s="39">
        <v>6398.8756956749021</v>
      </c>
      <c r="Y22" s="40">
        <v>196.67599253149481</v>
      </c>
      <c r="Z22" s="39">
        <v>6353.1787974353992</v>
      </c>
      <c r="AA22" s="40">
        <v>177.78788913148327</v>
      </c>
      <c r="AB22" s="39">
        <v>6293.4116651072327</v>
      </c>
      <c r="AC22" s="40">
        <v>158.10321927464787</v>
      </c>
      <c r="AD22" s="39">
        <v>6213.3759161181333</v>
      </c>
      <c r="AE22" s="40">
        <v>137.37006574707408</v>
      </c>
      <c r="AF22" s="39">
        <v>6102.1412594600624</v>
      </c>
      <c r="AG22" s="40">
        <v>115.30470662497169</v>
      </c>
      <c r="AH22" s="39">
        <v>5938.6992998144306</v>
      </c>
      <c r="AI22" s="40">
        <v>91.774262943126459</v>
      </c>
      <c r="AJ22" s="39">
        <v>5678.6401293895251</v>
      </c>
      <c r="AK22" s="40">
        <v>67.190499050368587</v>
      </c>
      <c r="AL22" s="39">
        <v>5214.0133071136988</v>
      </c>
      <c r="AM22" s="40">
        <v>42.638238631011987</v>
      </c>
      <c r="AN22" s="39">
        <v>4192.144733442743</v>
      </c>
      <c r="AO22" s="40">
        <v>19.417147666788242</v>
      </c>
      <c r="AP22" s="39">
        <v>3823.0079107478973</v>
      </c>
      <c r="AQ22" s="40">
        <v>15.077810748082891</v>
      </c>
      <c r="AR22" s="39">
        <v>3337.7344703529438</v>
      </c>
      <c r="AS22" s="40">
        <v>10.89688649375085</v>
      </c>
      <c r="AT22" s="39">
        <v>2667.8212767358668</v>
      </c>
      <c r="AU22" s="40">
        <v>6.9225898725859762</v>
      </c>
      <c r="AV22" s="39">
        <v>1672.6882686051397</v>
      </c>
      <c r="AW22" s="40">
        <v>3.2363807418771082</v>
      </c>
    </row>
    <row r="23" spans="1:49" x14ac:dyDescent="0.2">
      <c r="A23" t="s">
        <v>7</v>
      </c>
      <c r="B23" s="110">
        <v>3278.5018080150408</v>
      </c>
      <c r="C23" s="8">
        <v>0</v>
      </c>
      <c r="D23" s="110">
        <v>3284.1733168391238</v>
      </c>
      <c r="E23" s="8">
        <v>0</v>
      </c>
      <c r="F23" s="110">
        <v>3289.4764931217924</v>
      </c>
      <c r="G23" s="8">
        <v>0</v>
      </c>
      <c r="H23" s="110">
        <v>3294.3516144354189</v>
      </c>
      <c r="I23" s="8">
        <v>0</v>
      </c>
      <c r="J23" s="110">
        <v>3298.725646834755</v>
      </c>
      <c r="K23" s="8">
        <v>0</v>
      </c>
      <c r="L23" s="110">
        <v>3302.5080815384745</v>
      </c>
      <c r="M23" s="8">
        <v>0</v>
      </c>
      <c r="N23" s="110">
        <v>3305.5852321405446</v>
      </c>
      <c r="O23" s="8">
        <v>0</v>
      </c>
      <c r="P23" s="110">
        <v>3307.81270972328</v>
      </c>
      <c r="Q23" s="8">
        <v>0</v>
      </c>
      <c r="R23" s="110">
        <v>3309.0044592681547</v>
      </c>
      <c r="S23" s="8">
        <v>0</v>
      </c>
      <c r="T23" s="110">
        <v>3308.9160650753984</v>
      </c>
      <c r="U23" s="8">
        <v>0</v>
      </c>
      <c r="V23" s="110">
        <v>3307.2196902391183</v>
      </c>
      <c r="W23" s="8">
        <v>0</v>
      </c>
      <c r="X23" s="110">
        <v>3303.46326167179</v>
      </c>
      <c r="Y23" s="8">
        <v>0</v>
      </c>
      <c r="Z23" s="110">
        <v>3297.0003980591518</v>
      </c>
      <c r="AA23" s="8">
        <v>0</v>
      </c>
      <c r="AB23" s="110">
        <v>3286.8587619849982</v>
      </c>
      <c r="AC23" s="8">
        <v>0</v>
      </c>
      <c r="AD23" s="110">
        <v>3271.4619134778322</v>
      </c>
      <c r="AE23" s="8">
        <v>0</v>
      </c>
      <c r="AF23" s="110">
        <v>3247.9439622339487</v>
      </c>
      <c r="AG23" s="8">
        <v>0</v>
      </c>
      <c r="AH23" s="110">
        <v>3210.1839974241807</v>
      </c>
      <c r="AI23" s="8">
        <v>0</v>
      </c>
      <c r="AJ23" s="110">
        <v>3142.7180114899397</v>
      </c>
      <c r="AK23" s="8">
        <v>0</v>
      </c>
      <c r="AL23" s="110">
        <v>3000.5371152526886</v>
      </c>
      <c r="AM23" s="8">
        <v>0</v>
      </c>
      <c r="AN23" s="110">
        <v>2607.5723714269989</v>
      </c>
      <c r="AO23" s="8">
        <v>0</v>
      </c>
      <c r="AP23" s="110">
        <v>2441.7708304616299</v>
      </c>
      <c r="AQ23" s="8">
        <v>0</v>
      </c>
      <c r="AR23" s="110">
        <v>2205.4318475572454</v>
      </c>
      <c r="AS23" s="8">
        <v>0</v>
      </c>
      <c r="AT23" s="110">
        <v>1845.0029008213323</v>
      </c>
      <c r="AU23" s="8">
        <v>0</v>
      </c>
      <c r="AV23" s="110">
        <v>1235.2758388825227</v>
      </c>
      <c r="AW23" s="8">
        <v>0</v>
      </c>
    </row>
    <row r="24" spans="1:49" x14ac:dyDescent="0.2">
      <c r="A24" t="s">
        <v>8</v>
      </c>
      <c r="B24" s="93">
        <v>3196.3846373657216</v>
      </c>
      <c r="C24" s="8">
        <v>0</v>
      </c>
      <c r="D24" s="93">
        <v>3201.9140940911575</v>
      </c>
      <c r="E24" s="8">
        <v>0</v>
      </c>
      <c r="F24" s="93">
        <v>3207.0844375942138</v>
      </c>
      <c r="G24" s="8">
        <v>0</v>
      </c>
      <c r="H24" s="93">
        <v>3211.8374508604879</v>
      </c>
      <c r="I24" s="8">
        <v>0</v>
      </c>
      <c r="J24" s="93">
        <v>3216.1019269176099</v>
      </c>
      <c r="K24" s="8">
        <v>0</v>
      </c>
      <c r="L24" s="93">
        <v>3219.7896213835866</v>
      </c>
      <c r="M24" s="8">
        <v>0</v>
      </c>
      <c r="N24" s="93">
        <v>3222.7896976201109</v>
      </c>
      <c r="O24" s="8">
        <v>0</v>
      </c>
      <c r="P24" s="93">
        <v>3224.9613838377672</v>
      </c>
      <c r="Q24" s="8">
        <v>0</v>
      </c>
      <c r="R24" s="93">
        <v>3226.1232833148965</v>
      </c>
      <c r="S24" s="8">
        <v>0</v>
      </c>
      <c r="T24" s="93">
        <v>3226.0371031795994</v>
      </c>
      <c r="U24" s="8">
        <v>0</v>
      </c>
      <c r="V24" s="93">
        <v>3224.3832178077223</v>
      </c>
      <c r="W24" s="8">
        <v>0</v>
      </c>
      <c r="X24" s="93">
        <v>3220.7208774389665</v>
      </c>
      <c r="Y24" s="8">
        <v>0</v>
      </c>
      <c r="Z24" s="93">
        <v>3214.4198904671434</v>
      </c>
      <c r="AA24" s="8">
        <v>0</v>
      </c>
      <c r="AB24" s="93">
        <v>3204.5322734922443</v>
      </c>
      <c r="AC24" s="8">
        <v>0</v>
      </c>
      <c r="AD24" s="93">
        <v>3189.5210721946214</v>
      </c>
      <c r="AE24" s="8">
        <v>0</v>
      </c>
      <c r="AF24" s="93">
        <v>3166.5921789464242</v>
      </c>
      <c r="AG24" s="8">
        <v>0</v>
      </c>
      <c r="AH24" s="93">
        <v>3129.7779941440103</v>
      </c>
      <c r="AI24" s="8">
        <v>0</v>
      </c>
      <c r="AJ24" s="93">
        <v>3064.001839785119</v>
      </c>
      <c r="AK24" s="8">
        <v>0</v>
      </c>
      <c r="AL24" s="93">
        <v>2925.3821716957359</v>
      </c>
      <c r="AM24" s="8">
        <v>0</v>
      </c>
      <c r="AN24" s="93">
        <v>2542.2600800378523</v>
      </c>
      <c r="AO24" s="8">
        <v>0</v>
      </c>
      <c r="AP24" s="93">
        <v>2380.6113973697338</v>
      </c>
      <c r="AQ24" s="8">
        <v>0</v>
      </c>
      <c r="AR24" s="93">
        <v>2150.1920355984557</v>
      </c>
      <c r="AS24" s="8">
        <v>0</v>
      </c>
      <c r="AT24" s="93">
        <v>1798.790811602762</v>
      </c>
      <c r="AU24" s="8">
        <v>0</v>
      </c>
      <c r="AV24" s="93">
        <v>1204.3356830427599</v>
      </c>
      <c r="AW24" s="8">
        <v>0</v>
      </c>
    </row>
    <row r="25" spans="1:49" x14ac:dyDescent="0.2">
      <c r="A25" t="s">
        <v>0</v>
      </c>
      <c r="B25" s="39">
        <v>3195.0476039999967</v>
      </c>
      <c r="C25" s="40">
        <v>91.012690000004142</v>
      </c>
      <c r="D25" s="39">
        <v>3201.8487799496261</v>
      </c>
      <c r="E25" s="40">
        <v>82.908757645484229</v>
      </c>
      <c r="F25" s="39">
        <v>3208.5691692826608</v>
      </c>
      <c r="G25" s="40">
        <v>74.945248969834623</v>
      </c>
      <c r="H25" s="39">
        <v>3215.1865305436695</v>
      </c>
      <c r="I25" s="40">
        <v>67.14308115220004</v>
      </c>
      <c r="J25" s="39">
        <v>3221.6682255998862</v>
      </c>
      <c r="K25" s="40">
        <v>59.526419007462316</v>
      </c>
      <c r="L25" s="39">
        <v>3227.9651823395334</v>
      </c>
      <c r="M25" s="40">
        <v>52.123375698935163</v>
      </c>
      <c r="N25" s="39">
        <v>3234.0021459553263</v>
      </c>
      <c r="O25" s="40">
        <v>44.966964184285764</v>
      </c>
      <c r="P25" s="39">
        <v>3239.6620049334792</v>
      </c>
      <c r="Q25" s="40">
        <v>38.096144696626006</v>
      </c>
      <c r="R25" s="39">
        <v>3244.7595053855525</v>
      </c>
      <c r="S25" s="40">
        <v>31.557214784487648</v>
      </c>
      <c r="T25" s="39">
        <v>3248.9961825752503</v>
      </c>
      <c r="U25" s="40">
        <v>25.405728273404755</v>
      </c>
      <c r="V25" s="39">
        <v>3251.8818345825284</v>
      </c>
      <c r="W25" s="40">
        <v>19.708730539495992</v>
      </c>
      <c r="X25" s="39">
        <v>3252.5929039940797</v>
      </c>
      <c r="Y25" s="40">
        <v>14.547486539518854</v>
      </c>
      <c r="Z25" s="39">
        <v>3249.7096864677997</v>
      </c>
      <c r="AA25" s="40">
        <v>10.02004755012404</v>
      </c>
      <c r="AB25" s="39">
        <v>3240.7169424781678</v>
      </c>
      <c r="AC25" s="40">
        <v>6.2415623998033922</v>
      </c>
      <c r="AD25" s="39">
        <v>3221.0563286834099</v>
      </c>
      <c r="AE25" s="40">
        <v>3.335293685948288</v>
      </c>
      <c r="AF25" s="39">
        <v>3182.4656533712841</v>
      </c>
      <c r="AG25" s="40">
        <v>1.3954315830382438</v>
      </c>
      <c r="AH25" s="39">
        <v>3110.7830937816557</v>
      </c>
      <c r="AI25" s="40">
        <v>0.39164615112169709</v>
      </c>
      <c r="AJ25" s="39">
        <v>2983.9958880187228</v>
      </c>
      <c r="AK25" s="40">
        <v>5.8041758787145889E-2</v>
      </c>
      <c r="AL25" s="39">
        <v>2760.8148031652831</v>
      </c>
      <c r="AM25" s="40">
        <v>3.0928164963162888E-3</v>
      </c>
      <c r="AN25" s="39">
        <v>2288.1609046047488</v>
      </c>
      <c r="AO25" s="40">
        <v>2.229693380446631E-5</v>
      </c>
      <c r="AP25" s="39">
        <v>2114.5270948526868</v>
      </c>
      <c r="AQ25" s="40">
        <v>5.1301600601657542E-6</v>
      </c>
      <c r="AR25" s="39">
        <v>1880.2537866531063</v>
      </c>
      <c r="AS25" s="40">
        <v>8.7275644048023496E-7</v>
      </c>
      <c r="AT25" s="39">
        <v>1542.9877416891766</v>
      </c>
      <c r="AU25" s="40">
        <v>9.387641772153017E-8</v>
      </c>
      <c r="AV25" s="39">
        <v>1007.3661329950794</v>
      </c>
      <c r="AW25" s="40">
        <v>4.4424550220400054E-9</v>
      </c>
    </row>
    <row r="26" spans="1:49" x14ac:dyDescent="0.2">
      <c r="A26" t="s">
        <v>27</v>
      </c>
      <c r="B26" s="31">
        <v>5036.2953101960647</v>
      </c>
      <c r="C26" s="32">
        <v>74.905331803938267</v>
      </c>
      <c r="D26" s="31">
        <v>5041.074198768868</v>
      </c>
      <c r="E26" s="32">
        <v>70.126443231131617</v>
      </c>
      <c r="F26" s="31">
        <v>5045.8856303869134</v>
      </c>
      <c r="G26" s="32">
        <v>65.315011613090434</v>
      </c>
      <c r="H26" s="31">
        <v>5050.7322277771</v>
      </c>
      <c r="I26" s="32">
        <v>60.468414222901728</v>
      </c>
      <c r="J26" s="31">
        <v>5055.6163549153698</v>
      </c>
      <c r="K26" s="32">
        <v>55.584287084635342</v>
      </c>
      <c r="L26" s="31">
        <v>5060.5396806422359</v>
      </c>
      <c r="M26" s="32">
        <v>50.660961357766652</v>
      </c>
      <c r="N26" s="31">
        <v>5065.502461507991</v>
      </c>
      <c r="O26" s="32">
        <v>45.698180492011893</v>
      </c>
      <c r="P26" s="31">
        <v>5070.5025057750545</v>
      </c>
      <c r="Q26" s="32">
        <v>40.698136224950318</v>
      </c>
      <c r="R26" s="31">
        <v>5075.5334449431348</v>
      </c>
      <c r="S26" s="32">
        <v>35.667197056870926</v>
      </c>
      <c r="T26" s="31">
        <v>5080.5818219209978</v>
      </c>
      <c r="U26" s="32">
        <v>30.618820079004131</v>
      </c>
      <c r="V26" s="31">
        <v>5085.6224684707022</v>
      </c>
      <c r="W26" s="32">
        <v>25.578173529298152</v>
      </c>
      <c r="X26" s="31">
        <v>5090.6108119533392</v>
      </c>
      <c r="Y26" s="32">
        <v>20.589830046663057</v>
      </c>
      <c r="Z26" s="31">
        <v>5095.4702663211938</v>
      </c>
      <c r="AA26" s="32">
        <v>15.730375678811226</v>
      </c>
      <c r="AB26" s="31">
        <v>5100.0721523110406</v>
      </c>
      <c r="AC26" s="32">
        <v>11.128489688963333</v>
      </c>
      <c r="AD26" s="31">
        <v>5104.2078881448288</v>
      </c>
      <c r="AE26" s="32">
        <v>6.9927538551725803</v>
      </c>
      <c r="AF26" s="31">
        <v>5107.5702932541653</v>
      </c>
      <c r="AG26" s="32">
        <v>3.6303487458387917</v>
      </c>
      <c r="AH26" s="31">
        <v>5109.8227654107432</v>
      </c>
      <c r="AI26" s="32">
        <v>1.3778765892648737</v>
      </c>
      <c r="AJ26" s="31">
        <v>5110.8836515777075</v>
      </c>
      <c r="AK26" s="32">
        <v>0.31699042229898855</v>
      </c>
      <c r="AL26" s="31">
        <v>5111.1676647049844</v>
      </c>
      <c r="AM26" s="32">
        <v>3.2977295022082326E-2</v>
      </c>
      <c r="AN26" s="31">
        <v>5111.1998949039071</v>
      </c>
      <c r="AO26" s="32">
        <v>7.4709610056452182E-4</v>
      </c>
      <c r="AP26" s="31">
        <v>5111.2003982224505</v>
      </c>
      <c r="AQ26" s="32">
        <v>2.4377755248763147E-4</v>
      </c>
      <c r="AR26" s="31">
        <v>5111.2005783557379</v>
      </c>
      <c r="AS26" s="32">
        <v>6.3644265389979404E-5</v>
      </c>
      <c r="AT26" s="31">
        <v>5111.2006300856601</v>
      </c>
      <c r="AU26" s="32">
        <v>1.1914341088310596E-5</v>
      </c>
      <c r="AV26" s="31">
        <v>5111.2006407417912</v>
      </c>
      <c r="AW26" s="32">
        <v>1.258211517213472E-6</v>
      </c>
    </row>
    <row r="27" spans="1:49" x14ac:dyDescent="0.2">
      <c r="A27" t="s">
        <v>2</v>
      </c>
      <c r="B27" s="33">
        <v>6425.1981590000414</v>
      </c>
      <c r="C27" s="34">
        <v>273.22915400000028</v>
      </c>
      <c r="D27" s="33">
        <v>6442.4089600106081</v>
      </c>
      <c r="E27" s="34">
        <v>256.01837640185533</v>
      </c>
      <c r="F27" s="33">
        <v>6459.7674560508012</v>
      </c>
      <c r="G27" s="34">
        <v>238.65985701769137</v>
      </c>
      <c r="H27" s="33">
        <v>6477.2836566963942</v>
      </c>
      <c r="I27" s="34">
        <v>221.14365628855404</v>
      </c>
      <c r="J27" s="33">
        <v>6494.9668154080455</v>
      </c>
      <c r="K27" s="34">
        <v>203.4605030033598</v>
      </c>
      <c r="L27" s="33">
        <v>6512.8237652044927</v>
      </c>
      <c r="M27" s="34">
        <v>185.60354732175685</v>
      </c>
      <c r="N27" s="33">
        <v>6530.8561594983539</v>
      </c>
      <c r="O27" s="34">
        <v>167.57115201761388</v>
      </c>
      <c r="P27" s="33">
        <v>6549.0567504358351</v>
      </c>
      <c r="Q27" s="34">
        <v>149.37056440288478</v>
      </c>
      <c r="R27" s="33">
        <v>6567.403093522852</v>
      </c>
      <c r="S27" s="34">
        <v>131.0242216808218</v>
      </c>
      <c r="T27" s="33">
        <v>6585.8465627975711</v>
      </c>
      <c r="U27" s="34">
        <v>112.58075219314021</v>
      </c>
      <c r="V27" s="33">
        <v>6604.29530546977</v>
      </c>
      <c r="W27" s="34">
        <v>94.132009227522502</v>
      </c>
      <c r="X27" s="33">
        <v>6622.5855815361911</v>
      </c>
      <c r="Y27" s="34">
        <v>75.841732101773644</v>
      </c>
      <c r="Z27" s="33">
        <v>6640.4348117709196</v>
      </c>
      <c r="AA27" s="34">
        <v>57.992508340632824</v>
      </c>
      <c r="AB27" s="33">
        <v>6657.3666489389125</v>
      </c>
      <c r="AC27" s="34">
        <v>41.060668397612794</v>
      </c>
      <c r="AD27" s="33">
        <v>6672.607180801856</v>
      </c>
      <c r="AE27" s="34">
        <v>25.820131222670671</v>
      </c>
      <c r="AF27" s="33">
        <v>6685.0145275635459</v>
      </c>
      <c r="AG27" s="34">
        <v>13.412785745390304</v>
      </c>
      <c r="AH27" s="33">
        <v>6693.3345288842293</v>
      </c>
      <c r="AI27" s="34">
        <v>5.0927849435750794</v>
      </c>
      <c r="AJ27" s="33">
        <v>6697.2554600810472</v>
      </c>
      <c r="AK27" s="34">
        <v>1.1718533328011367</v>
      </c>
      <c r="AL27" s="33">
        <v>6698.3053961473215</v>
      </c>
      <c r="AM27" s="34">
        <v>0.12191695411341774</v>
      </c>
      <c r="AN27" s="33">
        <v>6698.4245509762959</v>
      </c>
      <c r="AO27" s="34">
        <v>2.7620274812139504E-3</v>
      </c>
      <c r="AP27" s="33">
        <v>6698.4264121790366</v>
      </c>
      <c r="AQ27" s="34">
        <v>9.0125012802846872E-4</v>
      </c>
      <c r="AR27" s="33">
        <v>6698.4270777053589</v>
      </c>
      <c r="AS27" s="34">
        <v>2.3529400332920783E-4</v>
      </c>
      <c r="AT27" s="33">
        <v>6698.427268953842</v>
      </c>
      <c r="AU27" s="34">
        <v>4.4047545027209488E-5</v>
      </c>
      <c r="AV27" s="33">
        <v>6698.4273086485618</v>
      </c>
      <c r="AW27" s="34">
        <v>4.6516308933191483E-6</v>
      </c>
    </row>
    <row r="28" spans="1:49" x14ac:dyDescent="0.2">
      <c r="A28" t="s">
        <v>35</v>
      </c>
      <c r="B28" s="39">
        <v>13763.097676000029</v>
      </c>
      <c r="C28" s="40">
        <v>382.36647899999997</v>
      </c>
      <c r="D28" s="39">
        <v>13787.254284040697</v>
      </c>
      <c r="E28" s="40">
        <v>358.19266269331109</v>
      </c>
      <c r="F28" s="39">
        <v>13811.57138240508</v>
      </c>
      <c r="G28" s="40">
        <v>333.82337129100847</v>
      </c>
      <c r="H28" s="39">
        <v>13836.061960573415</v>
      </c>
      <c r="I28" s="40">
        <v>309.24491306182682</v>
      </c>
      <c r="J28" s="39">
        <v>13860.737797834516</v>
      </c>
      <c r="K28" s="40">
        <v>284.44464475031145</v>
      </c>
      <c r="L28" s="39">
        <v>13885.60718615439</v>
      </c>
      <c r="M28" s="40">
        <v>259.41336130632095</v>
      </c>
      <c r="N28" s="39">
        <v>13910.671183693088</v>
      </c>
      <c r="O28" s="40">
        <v>234.14913129886006</v>
      </c>
      <c r="P28" s="39">
        <v>13935.918488520483</v>
      </c>
      <c r="Q28" s="40">
        <v>208.66247935625444</v>
      </c>
      <c r="R28" s="39">
        <v>13961.316817959196</v>
      </c>
      <c r="S28" s="40">
        <v>182.98521113528065</v>
      </c>
      <c r="T28" s="39">
        <v>13986.798042002743</v>
      </c>
      <c r="U28" s="40">
        <v>157.18565352326016</v>
      </c>
      <c r="V28" s="39">
        <v>14012.235022001434</v>
      </c>
      <c r="W28" s="40">
        <v>131.39242127521996</v>
      </c>
      <c r="X28" s="39">
        <v>14037.402827499958</v>
      </c>
      <c r="Y28" s="40">
        <v>105.83427840311546</v>
      </c>
      <c r="Z28" s="39">
        <v>14061.9152676662</v>
      </c>
      <c r="AA28" s="40">
        <v>80.905454994113086</v>
      </c>
      <c r="AB28" s="39">
        <v>14085.123755486218</v>
      </c>
      <c r="AC28" s="40">
        <v>57.269766730668763</v>
      </c>
      <c r="AD28" s="39">
        <v>14105.977378465435</v>
      </c>
      <c r="AE28" s="40">
        <v>36.004928088765659</v>
      </c>
      <c r="AF28" s="39">
        <v>14122.92883571753</v>
      </c>
      <c r="AG28" s="40">
        <v>18.700117593129317</v>
      </c>
      <c r="AH28" s="39">
        <v>14134.283185647751</v>
      </c>
      <c r="AI28" s="40">
        <v>7.0995080584429093</v>
      </c>
      <c r="AJ28" s="39">
        <v>14139.630545537362</v>
      </c>
      <c r="AK28" s="40">
        <v>1.6335087423354264</v>
      </c>
      <c r="AL28" s="39">
        <v>14141.062060467659</v>
      </c>
      <c r="AM28" s="40">
        <v>0.16994394487934086</v>
      </c>
      <c r="AN28" s="39">
        <v>14141.224509524392</v>
      </c>
      <c r="AO28" s="40">
        <v>3.8500719726717995E-3</v>
      </c>
      <c r="AP28" s="39">
        <v>14141.227046792706</v>
      </c>
      <c r="AQ28" s="40">
        <v>1.256279178310598E-3</v>
      </c>
      <c r="AR28" s="39">
        <v>14141.227954304362</v>
      </c>
      <c r="AS28" s="40">
        <v>3.279832728068213E-4</v>
      </c>
      <c r="AT28" s="39">
        <v>14141.228215039246</v>
      </c>
      <c r="AU28" s="40">
        <v>6.139917205247444E-5</v>
      </c>
      <c r="AV28" s="39">
        <v>14141.22826903374</v>
      </c>
      <c r="AW28" s="40">
        <v>6.4840458878941612E-6</v>
      </c>
    </row>
    <row r="29" spans="1:49" x14ac:dyDescent="0.2">
      <c r="A29" t="s">
        <v>53</v>
      </c>
      <c r="B29" s="33">
        <v>14362.768558000025</v>
      </c>
      <c r="C29" s="34">
        <v>817.26650999999993</v>
      </c>
      <c r="D29" s="33">
        <v>14365.842234101508</v>
      </c>
      <c r="E29" s="34">
        <v>758.01057104940014</v>
      </c>
      <c r="F29" s="33">
        <v>14367.031656842551</v>
      </c>
      <c r="G29" s="34">
        <v>698.88763854875663</v>
      </c>
      <c r="H29" s="33">
        <v>14366.045911169265</v>
      </c>
      <c r="I29" s="34">
        <v>639.93982553405044</v>
      </c>
      <c r="J29" s="33">
        <v>14362.525638885014</v>
      </c>
      <c r="K29" s="34">
        <v>581.22254543526651</v>
      </c>
      <c r="L29" s="33">
        <v>14356.018790268176</v>
      </c>
      <c r="M29" s="34">
        <v>522.81103986399637</v>
      </c>
      <c r="N29" s="33">
        <v>14345.945541225661</v>
      </c>
      <c r="O29" s="34">
        <v>464.80992984971164</v>
      </c>
      <c r="P29" s="33">
        <v>14331.547016665454</v>
      </c>
      <c r="Q29" s="34">
        <v>407.36533693957074</v>
      </c>
      <c r="R29" s="33">
        <v>14311.805619178869</v>
      </c>
      <c r="S29" s="34">
        <v>350.68365966532434</v>
      </c>
      <c r="T29" s="33">
        <v>14285.316796395662</v>
      </c>
      <c r="U29" s="34">
        <v>295.06144351144553</v>
      </c>
      <c r="V29" s="33">
        <v>14250.078055386683</v>
      </c>
      <c r="W29" s="34">
        <v>240.92854538296106</v>
      </c>
      <c r="X29" s="33">
        <v>14203.123205455664</v>
      </c>
      <c r="Y29" s="34">
        <v>188.91516147036972</v>
      </c>
      <c r="Z29" s="33">
        <v>14139.859676679629</v>
      </c>
      <c r="AA29" s="34">
        <v>139.95212674088856</v>
      </c>
      <c r="AB29" s="33">
        <v>14052.807395237674</v>
      </c>
      <c r="AC29" s="34">
        <v>95.412016814723088</v>
      </c>
      <c r="AD29" s="33">
        <v>13929.093438216685</v>
      </c>
      <c r="AE29" s="34">
        <v>57.259458164450024</v>
      </c>
      <c r="AF29" s="33">
        <v>13745.375025881533</v>
      </c>
      <c r="AG29" s="34">
        <v>28.006756511346534</v>
      </c>
      <c r="AH29" s="33">
        <v>13457.69938010272</v>
      </c>
      <c r="AI29" s="34">
        <v>9.8015078637714286</v>
      </c>
      <c r="AJ29" s="33">
        <v>12979.590081100683</v>
      </c>
      <c r="AK29" s="34">
        <v>2.0083396803844966</v>
      </c>
      <c r="AL29" s="33">
        <v>12107.281287609934</v>
      </c>
      <c r="AM29" s="34">
        <v>0.17523710872127765</v>
      </c>
      <c r="AN29" s="33">
        <v>10109.979050658936</v>
      </c>
      <c r="AO29" s="34">
        <v>2.894150476116466E-3</v>
      </c>
      <c r="AP29" s="33">
        <v>9351.3093990203488</v>
      </c>
      <c r="AQ29" s="34">
        <v>8.5095019088408431E-4</v>
      </c>
      <c r="AR29" s="33">
        <v>8319.2718467419727</v>
      </c>
      <c r="AS29" s="34">
        <v>1.9399880061266847E-4</v>
      </c>
      <c r="AT29" s="33">
        <v>6825.8019225760909</v>
      </c>
      <c r="AU29" s="34">
        <v>2.9938111877903995E-5</v>
      </c>
      <c r="AV29" s="33">
        <v>4450.5725368853464</v>
      </c>
      <c r="AW29" s="34">
        <v>2.2617978004607039E-6</v>
      </c>
    </row>
    <row r="30" spans="1:49" x14ac:dyDescent="0.2">
      <c r="A30" t="s">
        <v>48</v>
      </c>
      <c r="B30" s="112">
        <v>2924829.9599999995</v>
      </c>
      <c r="D30" s="112">
        <v>2985522.4857109245</v>
      </c>
      <c r="F30" s="112">
        <v>3046998.6738198069</v>
      </c>
      <c r="H30" s="112">
        <v>3109362.4282298111</v>
      </c>
      <c r="J30" s="112">
        <v>3172741.1122364253</v>
      </c>
      <c r="L30" s="112">
        <v>3237298.9478935893</v>
      </c>
      <c r="N30" s="112">
        <v>3303257.1349792005</v>
      </c>
      <c r="P30" s="112">
        <v>3370927.4876685003</v>
      </c>
      <c r="R30" s="112">
        <v>3440771.846110397</v>
      </c>
      <c r="T30" s="112">
        <v>3513505.9701613761</v>
      </c>
      <c r="V30" s="112">
        <v>3590289.3262581024</v>
      </c>
      <c r="X30" s="112">
        <v>3673078.8751944439</v>
      </c>
      <c r="Z30" s="112">
        <v>3765310.4678197429</v>
      </c>
      <c r="AB30" s="112">
        <v>3873237.0898333574</v>
      </c>
      <c r="AD30" s="112">
        <v>4008547.1892534932</v>
      </c>
      <c r="AF30" s="112">
        <v>4192988.2910762662</v>
      </c>
      <c r="AH30" s="112">
        <v>4463571.8198778825</v>
      </c>
      <c r="AJ30" s="112">
        <v>4868844.2781721354</v>
      </c>
      <c r="AL30" s="112">
        <v>5446499.2389395721</v>
      </c>
      <c r="AN30" s="112">
        <v>6107092.5437895926</v>
      </c>
      <c r="AP30" s="112">
        <v>6162260.3737666812</v>
      </c>
      <c r="AR30" s="112">
        <v>6086502.880205851</v>
      </c>
      <c r="AT30" s="112">
        <v>5689792.9265334103</v>
      </c>
      <c r="AV30" s="112">
        <v>4406656.8440483054</v>
      </c>
    </row>
    <row r="31" spans="1:49" x14ac:dyDescent="0.2">
      <c r="A31" t="s">
        <v>47</v>
      </c>
      <c r="B31" s="77">
        <v>1</v>
      </c>
      <c r="D31" s="77">
        <v>0.99789306599996375</v>
      </c>
      <c r="F31" s="77">
        <v>0.99537168063367842</v>
      </c>
      <c r="H31" s="77">
        <v>0.99237988884740147</v>
      </c>
      <c r="J31" s="77">
        <v>0.98885035933294385</v>
      </c>
      <c r="L31" s="77">
        <v>0.98470098810371876</v>
      </c>
      <c r="N31" s="77">
        <v>0.97983010747358756</v>
      </c>
      <c r="P31" s="77">
        <v>0.97410974924082494</v>
      </c>
      <c r="R31" s="77">
        <v>0.96737560182921001</v>
      </c>
      <c r="T31" s="77">
        <v>0.95941140450904627</v>
      </c>
      <c r="V31" s="77">
        <v>0.94992431030601987</v>
      </c>
      <c r="X31" s="77">
        <v>0.93850373262754094</v>
      </c>
      <c r="Z31" s="77">
        <v>0.92454964528615258</v>
      </c>
      <c r="AB31" s="77">
        <v>0.90714107179495906</v>
      </c>
      <c r="AD31" s="77">
        <v>0.88478410795358442</v>
      </c>
      <c r="AF31" s="77">
        <v>0.85491688203818483</v>
      </c>
      <c r="AH31" s="77">
        <v>0.81295123169048444</v>
      </c>
      <c r="AJ31" s="77">
        <v>0.75038438523377871</v>
      </c>
      <c r="AL31" s="77">
        <v>0.64977481690370842</v>
      </c>
      <c r="AN31" s="77">
        <v>0.46490814669884761</v>
      </c>
      <c r="AP31" s="77">
        <v>0.40746159595838494</v>
      </c>
      <c r="AR31" s="77">
        <v>0.33808043570136642</v>
      </c>
      <c r="AT31" s="77">
        <v>0.2523639357740759</v>
      </c>
      <c r="AV31" s="77">
        <v>0.1433912494942329</v>
      </c>
    </row>
    <row r="32" spans="1:49" x14ac:dyDescent="0.2">
      <c r="A32" t="s">
        <v>64</v>
      </c>
      <c r="B32" s="83">
        <v>14734457.915000005</v>
      </c>
      <c r="D32" s="83">
        <v>14731301.971114222</v>
      </c>
      <c r="F32" s="83">
        <v>14724928.872322366</v>
      </c>
      <c r="H32" s="83">
        <v>14714881.600019114</v>
      </c>
      <c r="J32" s="83">
        <v>14700623.292640368</v>
      </c>
      <c r="L32" s="83">
        <v>14681522.128593389</v>
      </c>
      <c r="N32" s="83">
        <v>14656835.111325087</v>
      </c>
      <c r="P32" s="83">
        <v>14625693.879440285</v>
      </c>
      <c r="R32" s="83">
        <v>14587093.803894555</v>
      </c>
      <c r="T32" s="83">
        <v>14539891.444323489</v>
      </c>
      <c r="V32" s="83">
        <v>14482828.002620693</v>
      </c>
      <c r="X32" s="83">
        <v>14414601.974078812</v>
      </c>
      <c r="Z32" s="83">
        <v>14334040.356753539</v>
      </c>
      <c r="AB32" s="83">
        <v>14240427.154512228</v>
      </c>
      <c r="AD32" s="83">
        <v>14133911.365661528</v>
      </c>
      <c r="AF32" s="83">
        <v>14014789.163502296</v>
      </c>
      <c r="AH32" s="83">
        <v>13874921.899566207</v>
      </c>
      <c r="AJ32" s="83">
        <v>13658863.733142173</v>
      </c>
      <c r="AL32" s="83">
        <v>13149894.873941844</v>
      </c>
      <c r="AN32" s="83">
        <v>11515238.5057847</v>
      </c>
      <c r="AP32" s="83">
        <v>10793043.191790625</v>
      </c>
      <c r="AR32" s="83">
        <v>9753174.7452243902</v>
      </c>
      <c r="AT32" s="83">
        <v>8157750.4923546137</v>
      </c>
      <c r="AV32" s="83">
        <v>5454622.9462512387</v>
      </c>
    </row>
    <row r="33" spans="1:49 16319:16384" x14ac:dyDescent="0.2">
      <c r="A33" t="s">
        <v>54</v>
      </c>
      <c r="B33" s="111">
        <v>7019665.6909999922</v>
      </c>
      <c r="D33" s="111">
        <v>7018162.2783314455</v>
      </c>
      <c r="F33" s="111">
        <v>7015125.9488648511</v>
      </c>
      <c r="H33" s="111">
        <v>7010339.3141320106</v>
      </c>
      <c r="J33" s="111">
        <v>7003546.5088244043</v>
      </c>
      <c r="L33" s="111">
        <v>6994446.4812267609</v>
      </c>
      <c r="N33" s="111">
        <v>6982685.3114247825</v>
      </c>
      <c r="P33" s="111">
        <v>6967849.2856709976</v>
      </c>
      <c r="R33" s="111">
        <v>6949459.781447934</v>
      </c>
      <c r="T33" s="111">
        <v>6926972.0351182539</v>
      </c>
      <c r="V33" s="111">
        <v>6899786.3498159461</v>
      </c>
      <c r="X33" s="111">
        <v>6867282.6330572562</v>
      </c>
      <c r="Z33" s="111">
        <v>6828902.1599810943</v>
      </c>
      <c r="AB33" s="111">
        <v>6784303.735223324</v>
      </c>
      <c r="AD33" s="111">
        <v>6733558.389713442</v>
      </c>
      <c r="AF33" s="111">
        <v>6676807.1977243423</v>
      </c>
      <c r="AH33" s="111">
        <v>6610172.8195587974</v>
      </c>
      <c r="AJ33" s="111">
        <v>6507240.2173319561</v>
      </c>
      <c r="AL33" s="111">
        <v>6264761.5826369673</v>
      </c>
      <c r="AN33" s="111">
        <v>5485992.4354902459</v>
      </c>
      <c r="AP33" s="111">
        <v>5141930.2584440988</v>
      </c>
      <c r="AR33" s="111">
        <v>4646524.937146239</v>
      </c>
      <c r="AT33" s="111">
        <v>3886446.4222075846</v>
      </c>
      <c r="AV33" s="111">
        <v>2598645.2826445703</v>
      </c>
    </row>
    <row r="34" spans="1:49 16319:16384" x14ac:dyDescent="0.2">
      <c r="A34" t="s">
        <v>75</v>
      </c>
      <c r="B34" s="111">
        <v>1136879.4410000131</v>
      </c>
      <c r="D34" s="111">
        <v>1136635.816529637</v>
      </c>
      <c r="F34" s="111">
        <v>1136144.1967781703</v>
      </c>
      <c r="H34" s="111">
        <v>1135368.9690265933</v>
      </c>
      <c r="J34" s="111">
        <v>1134268.8108038735</v>
      </c>
      <c r="L34" s="111">
        <v>1132795.019328624</v>
      </c>
      <c r="N34" s="111">
        <v>1130890.2120895921</v>
      </c>
      <c r="P34" s="111">
        <v>1128487.4039401668</v>
      </c>
      <c r="R34" s="111">
        <v>1125509.0873500323</v>
      </c>
      <c r="T34" s="111">
        <v>1121867.0514433065</v>
      </c>
      <c r="V34" s="111">
        <v>1117464.1610678863</v>
      </c>
      <c r="X34" s="111">
        <v>1112200.035342654</v>
      </c>
      <c r="Z34" s="111">
        <v>1105984.0614454113</v>
      </c>
      <c r="AB34" s="111">
        <v>1098761.0814569953</v>
      </c>
      <c r="AD34" s="111">
        <v>1090542.5450536103</v>
      </c>
      <c r="AF34" s="111">
        <v>1081351.3301942567</v>
      </c>
      <c r="AH34" s="111">
        <v>1070559.4699924379</v>
      </c>
      <c r="AJ34" s="111">
        <v>1053888.8811335105</v>
      </c>
      <c r="AL34" s="111">
        <v>1014617.9262061161</v>
      </c>
      <c r="AN34" s="111">
        <v>888491.31681393052</v>
      </c>
      <c r="AP34" s="111">
        <v>832768.2620785645</v>
      </c>
      <c r="AR34" s="111">
        <v>752534.2239457668</v>
      </c>
      <c r="AT34" s="111">
        <v>629434.68114454031</v>
      </c>
      <c r="AV34" s="111">
        <v>420867.10768573883</v>
      </c>
    </row>
    <row r="35" spans="1:49 16319:16384" x14ac:dyDescent="0.2">
      <c r="A35" t="s">
        <v>78</v>
      </c>
      <c r="B35" s="192">
        <v>1</v>
      </c>
      <c r="D35" s="192">
        <v>1.0018980105935045</v>
      </c>
      <c r="F35" s="192">
        <v>1.0040110627091956</v>
      </c>
      <c r="H35" s="192">
        <v>1.0063803755101532</v>
      </c>
      <c r="J35" s="192">
        <v>1.0090592306576336</v>
      </c>
      <c r="L35" s="192">
        <v>1.0121179600869792</v>
      </c>
      <c r="N35" s="192">
        <v>1.015651500617156</v>
      </c>
      <c r="P35" s="192">
        <v>1.0197911697944335</v>
      </c>
      <c r="R35" s="192">
        <v>1.0247237552751005</v>
      </c>
      <c r="T35" s="192">
        <v>1.0307235193601731</v>
      </c>
      <c r="V35" s="192">
        <v>1.0382079701031863</v>
      </c>
      <c r="X35" s="192">
        <v>1.0478397490325984</v>
      </c>
      <c r="Z35" s="192">
        <v>1.0607226930315414</v>
      </c>
      <c r="AB35" s="192">
        <v>1.0788008223185532</v>
      </c>
      <c r="AD35" s="192">
        <v>1.1057155912291627</v>
      </c>
      <c r="AF35" s="192">
        <v>1.1487147591558449</v>
      </c>
      <c r="AH35" s="192">
        <v>1.2229110731003132</v>
      </c>
      <c r="AJ35" s="192">
        <v>1.3613019264187822</v>
      </c>
      <c r="AL35" s="192">
        <v>1.6489607418435921</v>
      </c>
      <c r="AN35" s="192">
        <v>2.4170165154012886</v>
      </c>
      <c r="AP35" s="192">
        <v>2.7358555824070745</v>
      </c>
      <c r="AR35" s="192">
        <v>3.1870688159639</v>
      </c>
      <c r="AT35" s="192">
        <v>3.8694910300629872</v>
      </c>
      <c r="AV35" s="192">
        <v>5.013065011412019</v>
      </c>
    </row>
    <row r="36" spans="1:49 16319:16384" x14ac:dyDescent="0.2">
      <c r="A36" t="s">
        <v>21</v>
      </c>
      <c r="B36" s="35">
        <v>0.47195767671988198</v>
      </c>
      <c r="C36" s="36">
        <v>0.31738834428178964</v>
      </c>
      <c r="D36" s="35">
        <v>0.47198802044929178</v>
      </c>
      <c r="E36" s="36">
        <v>0.32006059818152172</v>
      </c>
      <c r="F36" s="35">
        <v>0.47202039843583526</v>
      </c>
      <c r="G36" s="36">
        <v>0.32299766772800054</v>
      </c>
      <c r="H36" s="35">
        <v>0.4720551017543268</v>
      </c>
      <c r="I36" s="36">
        <v>0.32623976548036326</v>
      </c>
      <c r="J36" s="35">
        <v>0.4720924625449856</v>
      </c>
      <c r="K36" s="36">
        <v>0.32983594691097917</v>
      </c>
      <c r="L36" s="35">
        <v>0.47213285989557047</v>
      </c>
      <c r="M36" s="36">
        <v>0.33384695464346237</v>
      </c>
      <c r="N36" s="35">
        <v>0.47217671727508703</v>
      </c>
      <c r="O36" s="36">
        <v>0.33834926141470278</v>
      </c>
      <c r="P36" s="35">
        <v>0.47222448662424898</v>
      </c>
      <c r="Q36" s="36">
        <v>0.34344100484535856</v>
      </c>
      <c r="R36" s="35">
        <v>0.47227661280019995</v>
      </c>
      <c r="S36" s="36">
        <v>0.34925109246344416</v>
      </c>
      <c r="T36" s="35">
        <v>0.47233345231832846</v>
      </c>
      <c r="U36" s="36">
        <v>0.35595367635938635</v>
      </c>
      <c r="V36" s="35">
        <v>0.47239510444351773</v>
      </c>
      <c r="W36" s="36">
        <v>0.36379204313669317</v>
      </c>
      <c r="X36" s="35">
        <v>0.47246106551480543</v>
      </c>
      <c r="Y36" s="36">
        <v>0.37312000447853427</v>
      </c>
      <c r="Z36" s="35">
        <v>0.47252953278202892</v>
      </c>
      <c r="AA36" s="36">
        <v>0.38447727320547004</v>
      </c>
      <c r="AB36" s="35">
        <v>0.47259602259907724</v>
      </c>
      <c r="AC36" s="36">
        <v>0.39873404701887311</v>
      </c>
      <c r="AD36" s="35">
        <v>0.47265082789248553</v>
      </c>
      <c r="AE36" s="36">
        <v>0.41738159362012606</v>
      </c>
      <c r="AF36" s="35">
        <v>0.47267543623589681</v>
      </c>
      <c r="AG36" s="36">
        <v>0.44312889075661493</v>
      </c>
      <c r="AH36" s="35">
        <v>0.47264269325135322</v>
      </c>
      <c r="AI36" s="36">
        <v>0.4810972300994964</v>
      </c>
      <c r="AJ36" s="35">
        <v>0.47253567342211072</v>
      </c>
      <c r="AK36" s="36">
        <v>0.54125771068156037</v>
      </c>
      <c r="AL36" s="35">
        <v>0.47238117555789816</v>
      </c>
      <c r="AM36" s="36">
        <v>0.64585467448952749</v>
      </c>
      <c r="AN36" s="35">
        <v>0.47224591628896617</v>
      </c>
      <c r="AO36" s="36">
        <v>0.86715365612529438</v>
      </c>
      <c r="AP36" s="35">
        <v>0.47222990049343094</v>
      </c>
      <c r="AQ36" s="36">
        <v>0.94588976351656284</v>
      </c>
      <c r="AR36" s="35">
        <v>0.47222144616953016</v>
      </c>
      <c r="AS36" s="36">
        <v>1.0492069025040656</v>
      </c>
      <c r="AT36" s="35">
        <v>0.47222457368580983</v>
      </c>
      <c r="AU36" s="36">
        <v>1.1921627778089323</v>
      </c>
      <c r="AV36" s="35">
        <v>0.47224734446305006</v>
      </c>
      <c r="AW36" s="36">
        <v>1.4066774413443439</v>
      </c>
    </row>
    <row r="37" spans="1:49 16319:16384" x14ac:dyDescent="0.2">
      <c r="B37" s="37">
        <v>2.1403217525954466E-2</v>
      </c>
      <c r="C37" s="38">
        <v>0.3496246130199252</v>
      </c>
      <c r="D37" s="37">
        <v>2.0672018626905882E-2</v>
      </c>
      <c r="E37" s="38">
        <v>0.34526035833372287</v>
      </c>
      <c r="F37" s="37">
        <v>1.9930465597515989E-2</v>
      </c>
      <c r="G37" s="38">
        <v>0.34080601311810421</v>
      </c>
      <c r="H37" s="37">
        <v>1.917787510254302E-2</v>
      </c>
      <c r="I37" s="38">
        <v>0.3362569135727701</v>
      </c>
      <c r="J37" s="37">
        <v>1.8413430839585212E-2</v>
      </c>
      <c r="K37" s="38">
        <v>0.33160773640994645</v>
      </c>
      <c r="L37" s="37">
        <v>1.7636116461152155E-2</v>
      </c>
      <c r="M37" s="38">
        <v>0.32685214366793608</v>
      </c>
      <c r="N37" s="37">
        <v>1.6844631448530573E-2</v>
      </c>
      <c r="O37" s="38">
        <v>0.32198233596590825</v>
      </c>
      <c r="P37" s="37">
        <v>1.6037274990365415E-2</v>
      </c>
      <c r="Q37" s="38">
        <v>0.3169884303334034</v>
      </c>
      <c r="R37" s="37">
        <v>1.5211765823696903E-2</v>
      </c>
      <c r="S37" s="38">
        <v>0.3118574809651935</v>
      </c>
      <c r="T37" s="37">
        <v>1.4364966673290593E-2</v>
      </c>
      <c r="U37" s="38">
        <v>0.30657197390934104</v>
      </c>
      <c r="V37" s="37">
        <v>1.3492469983203944E-2</v>
      </c>
      <c r="W37" s="38">
        <v>0.30110757679174144</v>
      </c>
      <c r="X37" s="37">
        <v>1.258795877854778E-2</v>
      </c>
      <c r="Y37" s="38">
        <v>0.29542972200847484</v>
      </c>
      <c r="Z37" s="37">
        <v>1.164223623314267E-2</v>
      </c>
      <c r="AA37" s="38">
        <v>0.28948860820090228</v>
      </c>
      <c r="AB37" s="37">
        <v>1.0641840191019927E-2</v>
      </c>
      <c r="AC37" s="38">
        <v>0.28321267241884146</v>
      </c>
      <c r="AD37" s="37">
        <v>9.5674806610604665E-3</v>
      </c>
      <c r="AE37" s="38">
        <v>0.27650335700890566</v>
      </c>
      <c r="AF37" s="37">
        <v>8.3941101047017939E-3</v>
      </c>
      <c r="AG37" s="38">
        <v>0.26924536235789054</v>
      </c>
      <c r="AH37" s="37">
        <v>7.0987489140712052E-3</v>
      </c>
      <c r="AI37" s="38">
        <v>0.26137487255768133</v>
      </c>
      <c r="AJ37" s="37">
        <v>5.681974675868509E-3</v>
      </c>
      <c r="AK37" s="38">
        <v>0.25304151835676125</v>
      </c>
      <c r="AL37" s="37">
        <v>4.1757890771253799E-3</v>
      </c>
      <c r="AM37" s="38">
        <v>0.24468666067192379</v>
      </c>
      <c r="AN37" s="37">
        <v>2.5998668842101709E-3</v>
      </c>
      <c r="AO37" s="38">
        <v>0.23686093872534439</v>
      </c>
      <c r="AP37" s="37">
        <v>2.2738637667914351E-3</v>
      </c>
      <c r="AQ37" s="38">
        <v>0.23541482932216304</v>
      </c>
      <c r="AR37" s="37">
        <v>1.9424905405221343E-3</v>
      </c>
      <c r="AS37" s="38">
        <v>0.23402633528513461</v>
      </c>
      <c r="AT37" s="37">
        <v>1.6041484630888857E-3</v>
      </c>
      <c r="AU37" s="38">
        <v>0.23270873333785327</v>
      </c>
      <c r="AV37" s="37">
        <v>1.2561202827292505E-3</v>
      </c>
      <c r="AW37" s="38">
        <v>0.23148368804970254</v>
      </c>
    </row>
    <row r="38" spans="1:49 16319:16384" x14ac:dyDescent="0.2">
      <c r="A38" t="s">
        <v>22</v>
      </c>
      <c r="B38" s="35">
        <v>0.18079094942242827</v>
      </c>
      <c r="C38" s="36">
        <v>6.0565413429233668E-2</v>
      </c>
      <c r="D38" s="35">
        <v>0.18091296555467293</v>
      </c>
      <c r="E38" s="36">
        <v>6.0887179147705688E-2</v>
      </c>
      <c r="F38" s="35">
        <v>0.18105909601301412</v>
      </c>
      <c r="G38" s="36">
        <v>6.1243047573068629E-2</v>
      </c>
      <c r="H38" s="35">
        <v>0.18123305055889638</v>
      </c>
      <c r="I38" s="36">
        <v>6.1638273097543189E-2</v>
      </c>
      <c r="J38" s="35">
        <v>0.18143941757573034</v>
      </c>
      <c r="K38" s="36">
        <v>6.2079324553403342E-2</v>
      </c>
      <c r="L38" s="35">
        <v>0.18168397286086019</v>
      </c>
      <c r="M38" s="36">
        <v>6.2574247019667822E-2</v>
      </c>
      <c r="N38" s="35">
        <v>0.1819741304874786</v>
      </c>
      <c r="O38" s="36">
        <v>6.3133173049806215E-2</v>
      </c>
      <c r="P38" s="35">
        <v>0.18231961274106898</v>
      </c>
      <c r="Q38" s="36">
        <v>6.376915857959338E-2</v>
      </c>
      <c r="R38" s="35">
        <v>0.18273349900247543</v>
      </c>
      <c r="S38" s="36">
        <v>6.4499457328057008E-2</v>
      </c>
      <c r="T38" s="35">
        <v>0.18323393385688599</v>
      </c>
      <c r="U38" s="36">
        <v>6.5347447044573029E-2</v>
      </c>
      <c r="V38" s="35">
        <v>0.18384699294334533</v>
      </c>
      <c r="W38" s="36">
        <v>6.6345961749251114E-2</v>
      </c>
      <c r="X38" s="35">
        <v>0.18461175710650668</v>
      </c>
      <c r="Y38" s="36">
        <v>6.7543018882208636E-2</v>
      </c>
      <c r="Z38" s="35">
        <v>0.1855897638040501</v>
      </c>
      <c r="AA38" s="36">
        <v>6.9012347627143908E-2</v>
      </c>
      <c r="AB38" s="35">
        <v>0.1868836505446409</v>
      </c>
      <c r="AC38" s="36">
        <v>7.0873745655825604E-2</v>
      </c>
      <c r="AD38" s="35">
        <v>0.1886760638320428</v>
      </c>
      <c r="AE38" s="36">
        <v>7.3334512522974557E-2</v>
      </c>
      <c r="AF38" s="35">
        <v>0.19131457743003186</v>
      </c>
      <c r="AG38" s="36">
        <v>7.677614032707733E-2</v>
      </c>
      <c r="AH38" s="35">
        <v>0.19550292587360971</v>
      </c>
      <c r="AI38" s="36">
        <v>8.1935036386345264E-2</v>
      </c>
      <c r="AJ38" s="35">
        <v>0.2027891063707252</v>
      </c>
      <c r="AK38" s="36">
        <v>9.0302147384582782E-2</v>
      </c>
      <c r="AL38" s="35">
        <v>0.21747786034562025</v>
      </c>
      <c r="AM38" s="36">
        <v>0.10548381063044808</v>
      </c>
      <c r="AN38" s="35">
        <v>0.26051321167370739</v>
      </c>
      <c r="AO38" s="36">
        <v>0.14163496353646077</v>
      </c>
      <c r="AP38" s="35">
        <v>0.28165749692469971</v>
      </c>
      <c r="AQ38" s="36">
        <v>0.15651282307194878</v>
      </c>
      <c r="AR38" s="35">
        <v>0.31660346846621445</v>
      </c>
      <c r="AS38" s="36">
        <v>0.17847641154402566</v>
      </c>
      <c r="AT38" s="35">
        <v>0.38587321515483902</v>
      </c>
      <c r="AU38" s="36">
        <v>0.21560080090453604</v>
      </c>
      <c r="AV38" s="35">
        <v>0.59178365740766126</v>
      </c>
      <c r="AW38" s="36">
        <v>0.30014006772097929</v>
      </c>
    </row>
    <row r="39" spans="1:49 16319:16384" x14ac:dyDescent="0.2">
      <c r="A39" t="s">
        <v>23</v>
      </c>
      <c r="B39" s="37">
        <v>0.23064923795098771</v>
      </c>
      <c r="C39" s="38">
        <v>0.22092201281804777</v>
      </c>
      <c r="D39" s="37">
        <v>0.23120376021367781</v>
      </c>
      <c r="E39" s="38">
        <v>0.22228757129043072</v>
      </c>
      <c r="F39" s="37">
        <v>0.23179274001047112</v>
      </c>
      <c r="G39" s="38">
        <v>0.22378097494185914</v>
      </c>
      <c r="H39" s="37">
        <v>0.23242132496796811</v>
      </c>
      <c r="I39" s="38">
        <v>0.22542203653391929</v>
      </c>
      <c r="J39" s="37">
        <v>0.23309581135751722</v>
      </c>
      <c r="K39" s="38">
        <v>0.22723491227857551</v>
      </c>
      <c r="L39" s="37">
        <v>0.23382401302597988</v>
      </c>
      <c r="M39" s="38">
        <v>0.2292495425781674</v>
      </c>
      <c r="N39" s="37">
        <v>0.23461579181815426</v>
      </c>
      <c r="O39" s="38">
        <v>0.23150371469018721</v>
      </c>
      <c r="P39" s="37">
        <v>0.23548385770420446</v>
      </c>
      <c r="Q39" s="38">
        <v>0.2340459807761763</v>
      </c>
      <c r="R39" s="37">
        <v>0.23644500812713246</v>
      </c>
      <c r="S39" s="38">
        <v>0.23694015489271675</v>
      </c>
      <c r="T39" s="37">
        <v>0.23752212163428374</v>
      </c>
      <c r="U39" s="38">
        <v>0.2402726402649383</v>
      </c>
      <c r="V39" s="37">
        <v>0.23874753581257979</v>
      </c>
      <c r="W39" s="38">
        <v>0.2441643722698103</v>
      </c>
      <c r="X39" s="37">
        <v>0.24016904964032812</v>
      </c>
      <c r="Y39" s="38">
        <v>0.24879173513332178</v>
      </c>
      <c r="Z39" s="37">
        <v>0.24186123436306842</v>
      </c>
      <c r="AA39" s="38">
        <v>0.25442489277384178</v>
      </c>
      <c r="AB39" s="37">
        <v>0.24394811391130472</v>
      </c>
      <c r="AC39" s="38">
        <v>0.26150209505578437</v>
      </c>
      <c r="AD39" s="37">
        <v>0.24665164232342801</v>
      </c>
      <c r="AE39" s="38">
        <v>0.270781265251193</v>
      </c>
      <c r="AF39" s="37">
        <v>0.25040100400450832</v>
      </c>
      <c r="AG39" s="38">
        <v>0.28365922743523569</v>
      </c>
      <c r="AH39" s="37">
        <v>0.25608842895797368</v>
      </c>
      <c r="AI39" s="38">
        <v>0.30284099672691434</v>
      </c>
      <c r="AJ39" s="37">
        <v>0.26573300088078639</v>
      </c>
      <c r="AK39" s="38">
        <v>0.333829872853103</v>
      </c>
      <c r="AL39" s="37">
        <v>0.28500984922781319</v>
      </c>
      <c r="AM39" s="38">
        <v>0.38997331017384135</v>
      </c>
      <c r="AN39" s="37">
        <v>0.34141260933048545</v>
      </c>
      <c r="AO39" s="38">
        <v>0.52362696217105353</v>
      </c>
      <c r="AP39" s="37">
        <v>0.36912307669344735</v>
      </c>
      <c r="AQ39" s="38">
        <v>0.57863080661968547</v>
      </c>
      <c r="AR39" s="37">
        <v>0.41492115473812313</v>
      </c>
      <c r="AS39" s="38">
        <v>0.65983053013032233</v>
      </c>
      <c r="AT39" s="37">
        <v>0.50570186025132569</v>
      </c>
      <c r="AU39" s="38">
        <v>0.79708025104824076</v>
      </c>
      <c r="AV39" s="37">
        <v>0.77555550842474896</v>
      </c>
      <c r="AW39" s="38">
        <v>1.1096232964277779</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6.1000000000000623E-2</v>
      </c>
      <c r="E42" s="126"/>
      <c r="F42" s="167">
        <f>6.1%+(1-6.1%)*(1-SUM(F26:G26)/SUM($B$26:$C$26))</f>
        <v>6.0999999999999999E-2</v>
      </c>
      <c r="G42" s="126"/>
      <c r="H42" s="167">
        <f>6.1%+(1-6.1%)*(1-SUM(H26:I26)/SUM($B$26:$C$26))</f>
        <v>6.1000000000000311E-2</v>
      </c>
      <c r="I42" s="126"/>
      <c r="J42" s="167">
        <f>6.1%+(1-6.1%)*(1-SUM(J26:K26)/SUM($B$26:$C$26))</f>
        <v>6.0999999999999582E-2</v>
      </c>
      <c r="K42" s="126"/>
      <c r="L42" s="167">
        <f>6.1%+(1-6.1%)*(1-SUM(L26:M26)/SUM($B$26:$C$26))</f>
        <v>6.1000000000000207E-2</v>
      </c>
      <c r="M42" s="126"/>
      <c r="N42" s="167">
        <f>6.1%+(1-6.1%)*(1-SUM(N26:O26)/SUM($B$26:$C$26))</f>
        <v>6.1000000000000207E-2</v>
      </c>
      <c r="O42" s="126"/>
      <c r="P42" s="167">
        <f>6.1%+(1-6.1%)*(1-SUM(P26:Q26)/SUM($B$26:$C$26))</f>
        <v>6.0999999999999582E-2</v>
      </c>
      <c r="Q42" s="126"/>
      <c r="R42" s="167">
        <f>6.1%+(1-6.1%)*(1-SUM(R26:S26)/SUM($B$26:$C$26))</f>
        <v>6.0999999999999582E-2</v>
      </c>
      <c r="S42" s="126"/>
      <c r="T42" s="167">
        <f>6.1%+(1-6.1%)*(1-SUM(T26:U26)/SUM($B$26:$C$26))</f>
        <v>6.1000000000000311E-2</v>
      </c>
      <c r="U42" s="126"/>
      <c r="V42" s="167">
        <f>6.1%+(1-6.1%)*(1-SUM(V26:W26)/SUM($B$26:$C$26))</f>
        <v>6.1000000000000519E-2</v>
      </c>
      <c r="W42" s="126"/>
      <c r="X42" s="167">
        <f>6.1%+(1-6.1%)*(1-SUM(X26:Y26)/SUM($B$26:$C$26))</f>
        <v>6.1000000000000207E-2</v>
      </c>
      <c r="Y42" s="152"/>
      <c r="Z42" s="167">
        <f>6.1%+(1-6.1%)*(1-SUM(Z26:AA26)/SUM($B$26:$C$26))</f>
        <v>6.0999999999999582E-2</v>
      </c>
      <c r="AA42" s="126"/>
      <c r="AB42" s="167">
        <f>6.1%+(1-6.1%)*(1-SUM(AB26:AC26)/SUM($B$26:$C$26))</f>
        <v>6.0999999999999791E-2</v>
      </c>
      <c r="AC42" s="126"/>
      <c r="AD42" s="167">
        <f>6.1%+(1-6.1%)*(1-SUM(AD26:AE26)/SUM($B$26:$C$26))</f>
        <v>6.1000000000000311E-2</v>
      </c>
      <c r="AE42" s="126"/>
      <c r="AF42" s="167">
        <f>6.1%+(1-6.1%)*(1-SUM(AF26:AG26)/SUM($B$26:$C$26))</f>
        <v>6.0999999999999791E-2</v>
      </c>
      <c r="AG42" s="126"/>
      <c r="AH42" s="167">
        <f>6.1%+(1-6.1%)*(1-SUM(AH26:AI26)/SUM($B$26:$C$26))</f>
        <v>6.0999999999999166E-2</v>
      </c>
      <c r="AI42" s="126"/>
      <c r="AJ42" s="167">
        <f>6.1%+(1-6.1%)*(1-SUM(AJ26:AK26)/SUM($B$26:$C$26))</f>
        <v>6.0999999999999582E-2</v>
      </c>
      <c r="AK42" s="126"/>
      <c r="AL42" s="167">
        <f>6.1%+(1-6.1%)*(1-SUM(AL26:AM26)/SUM($B$26:$C$26))</f>
        <v>6.0999999999999582E-2</v>
      </c>
      <c r="AM42" s="126"/>
      <c r="AN42" s="167">
        <f>6.1%+(1-6.1%)*(1-SUM(AN26:AO26)/SUM($B$26:$C$26))</f>
        <v>6.0999999999999166E-2</v>
      </c>
      <c r="AO42" s="126"/>
      <c r="AP42" s="167">
        <f>6.1%+(1-6.1%)*(1-SUM(AP26:AQ26)/SUM($B$26:$C$26))</f>
        <v>6.0999999999999999E-2</v>
      </c>
      <c r="AQ42" s="126"/>
      <c r="AR42" s="167">
        <f>6.1%+(1-6.1%)*(1-SUM(AR26:AS26)/SUM($B$26:$C$26))</f>
        <v>6.0999999999999999E-2</v>
      </c>
      <c r="AS42" s="126"/>
      <c r="AT42" s="167">
        <f>6.1%+(1-6.1%)*(1-SUM(AT26:AU26)/SUM($B$26:$C$26))</f>
        <v>6.1000000000000311E-2</v>
      </c>
      <c r="AU42" s="126"/>
      <c r="AV42" s="167">
        <f>6.1%+(1-6.1%)*(1-SUM(AV26:AW26)/SUM($B$26:$C$26))</f>
        <v>6.1000000000000207E-2</v>
      </c>
      <c r="XFD42" s="167"/>
    </row>
    <row r="43" spans="1:49 16319:16384" x14ac:dyDescent="0.2">
      <c r="A43" t="s">
        <v>95</v>
      </c>
      <c r="B43" s="152">
        <f>SUM(B15:C15*B27:C27)/SUM(B15:C15*B27:C27,B13:C13*B26:C26)</f>
        <v>0.56058995943839207</v>
      </c>
      <c r="C43" s="126"/>
      <c r="D43" s="152">
        <f t="array" ref="D43">SUM(D15:E15*D27:E27)/SUM(D15:E15*D27:E27,D13:E13*D26:E26)</f>
        <v>0.5657871366638485</v>
      </c>
      <c r="E43" s="126"/>
      <c r="F43" s="152">
        <f t="array" ref="F43">SUM(F15:G15*F27:G27)/SUM(F15:G15*F27:G27,F13:G13*F26:G26)</f>
        <v>0.56436432167076689</v>
      </c>
      <c r="G43" s="126"/>
      <c r="H43" s="152">
        <f t="array" ref="H43">SUM(H15:I15*H27:I27)/SUM(H15:I15*H27:I27,H13:I13*H26:I26)</f>
        <v>0.56293136652874964</v>
      </c>
      <c r="I43" s="126"/>
      <c r="J43" s="152">
        <f t="array" ref="J43">SUM(J15:K15*J27:K27)/SUM(J15:K15*J27:K27,J13:K13*J26:K26)</f>
        <v>0.56148760195292891</v>
      </c>
      <c r="K43" s="126"/>
      <c r="L43" s="152">
        <f t="array" ref="L43">SUM(L15:M15*L27:M27)/SUM(L15:M15*L27:M27,L13:M13*L26:M26)</f>
        <v>0.56003256099218646</v>
      </c>
      <c r="M43" s="126"/>
      <c r="N43" s="152">
        <f t="array" ref="N43">SUM(N15:O15*N27:O27)/SUM(N15:O15*N27:O27,N13:O13*N26:O26)</f>
        <v>0.55856621097563541</v>
      </c>
      <c r="O43" s="126"/>
      <c r="P43" s="152">
        <f t="array" ref="P43">SUM(P15:Q15*P27:Q27)/SUM(P15:Q15*P27:Q27,P13:Q13*P26:Q26)</f>
        <v>0.55708924092340673</v>
      </c>
      <c r="Q43" s="126"/>
      <c r="R43" s="152">
        <f t="array" ref="R43">SUM(R15:S15*R27:S27)/SUM(R15:S15*R27:S27,R13:S13*R26:S26)</f>
        <v>0.55560356087548124</v>
      </c>
      <c r="S43" s="126"/>
      <c r="T43" s="152">
        <f t="array" ref="T43">SUM(T15:U15*T27:U27)/SUM(T15:U15*T27:U27,T13:U13*T26:U26)</f>
        <v>0.55411318484143601</v>
      </c>
      <c r="U43" s="126"/>
      <c r="V43" s="152">
        <f t="array" ref="V43">SUM(V15:W15*V27:W27)/SUM(V15:W15*V27:W27,V13:W13*V26:W26)</f>
        <v>0.5526255739744681</v>
      </c>
      <c r="W43" s="126"/>
      <c r="X43" s="152">
        <f t="array" ref="X43">SUM(X15:Y15*X27:Y27)/SUM(X15:Y15*X27:Y27,X13:Y13*X26:Y26)</f>
        <v>0.55115390401324127</v>
      </c>
      <c r="Y43" s="126"/>
      <c r="Z43" s="152">
        <f t="array" ref="Z43">SUM(Z15:AA15*Z27:AA27)/SUM(Z15:AA15*Z27:AA27,Z13:AA13*Z26:AA26)</f>
        <v>0.54972076917734669</v>
      </c>
      <c r="AA43" s="126"/>
      <c r="AB43" s="152">
        <f t="array" ref="AB43">SUM(AB15:AC15*AB27:AC27)/SUM(AB15:AC15*AB27:AC27,AB13:AC13*AB26:AC26)</f>
        <v>0.54836408355954702</v>
      </c>
      <c r="AC43" s="126"/>
      <c r="AD43" s="152">
        <f t="array" ref="AD43">SUM(AD15:AE15*AD27:AE27)/SUM(AD15:AE15*AD27:AE27,AD13:AE13*AD26:AE26)</f>
        <v>0.54714524702695089</v>
      </c>
      <c r="AE43" s="126"/>
      <c r="AF43" s="152">
        <f t="array" ref="AF43">SUM(AF15:AG15*AF27:AG27)/SUM(AF15:AG15*AF27:AG27,AF13:AG13*AF26:AG26)</f>
        <v>0.54615462670409942</v>
      </c>
      <c r="AG43" s="126"/>
      <c r="AH43" s="152">
        <f t="array" ref="AH43">SUM(AH15:AI15*AH27:AI27)/SUM(AH15:AI15*AH27:AI27,AH13:AI13*AH26:AI26)</f>
        <v>0.54549117001925429</v>
      </c>
      <c r="AI43" s="126"/>
      <c r="AJ43" s="152">
        <f t="array" ref="AJ43">SUM(AJ15:AK15*AJ27:AK27)/SUM(AJ15:AK15*AJ27:AK27,AJ13:AK13*AJ26:AK26)</f>
        <v>0.54517873528677663</v>
      </c>
      <c r="AK43" s="126"/>
      <c r="AL43" s="152">
        <f t="array" ref="AL43">SUM(AL15:AM15*AL27:AM27)/SUM(AL15:AM15*AL27:AM27,AL13:AM13*AL26:AM26)</f>
        <v>0.54509509735714434</v>
      </c>
      <c r="AM43" s="126"/>
      <c r="AN43" s="152">
        <f t="array" ref="AN43">SUM(AN15:AO15*AN27:AO27)/SUM(AN15:AO15*AN27:AO27,AN13:AO13*AN26:AO26)</f>
        <v>0.54508560614133716</v>
      </c>
      <c r="AO43" s="126"/>
      <c r="AP43" s="152">
        <f t="array" ref="AP43">SUM(AP15:AQ15*AP27:AQ27)/SUM(AP15:AQ15*AP27:AQ27,AP13:AQ13*AP26:AQ26)</f>
        <v>0.54508545793909113</v>
      </c>
      <c r="AQ43" s="126"/>
      <c r="AR43" s="152">
        <f t="array" ref="AR43">SUM(AR15:AS15*AR27:AS27)/SUM(AR15:AS15*AR27:AS27,AR13:AS13*AR26:AS26)</f>
        <v>0.54508540487725665</v>
      </c>
      <c r="AS43" s="126"/>
      <c r="AT43" s="152">
        <f t="array" ref="AT43">SUM(AT15:AU15*AT27:AU27)/SUM(AT15:AU15*AT27:AU27,AT13:AU13*AT26:AU26)</f>
        <v>0.54508538964382935</v>
      </c>
      <c r="AU43" s="126"/>
      <c r="AV43" s="152">
        <f t="array" ref="AV43">SUM(AV15:AW15*AV27:AW27)/SUM(AV15:AW15*AV27:AW27,AV13:AW13*AV26:AW26)</f>
        <v>0.54508538651705596</v>
      </c>
    </row>
    <row r="44" spans="1:49 16319:16384" x14ac:dyDescent="0.2">
      <c r="A44" t="s">
        <v>129</v>
      </c>
      <c r="B44" s="183">
        <f>(SUM(B11:C11*B24:C24)+B34)/B32</f>
        <v>0.29754226190682442</v>
      </c>
      <c r="D44" s="183">
        <f>(SUM(D11:E11*D24:E24)+D34)/D32</f>
        <v>0.29754225407331375</v>
      </c>
      <c r="F44" s="183">
        <f>(SUM(F11:G11*F24:G24)+F34)/F32</f>
        <v>0.29754226165555164</v>
      </c>
      <c r="H44" s="183">
        <f>(SUM(H11:I11*H24:I24)+H34)/H32</f>
        <v>0.29754226154169011</v>
      </c>
      <c r="J44" s="183">
        <f>(SUM(J11:K11*J24:K24)+J34)/J32</f>
        <v>0.29754226040014448</v>
      </c>
      <c r="L44" s="183">
        <f>(SUM(L11:M11*L24:M24)+L34)/L32</f>
        <v>0.29754226126606687</v>
      </c>
      <c r="N44" s="183">
        <f>(SUM(N11:O11*N24:O24)+N34)/N32</f>
        <v>0.29754226058591443</v>
      </c>
      <c r="P44" s="183">
        <f>(SUM(P11:Q11*P24:Q24)+P34)/P32</f>
        <v>0.2975422594696896</v>
      </c>
      <c r="R44" s="183">
        <f>(SUM(R11:S11*R24:S24)+R34)/R32</f>
        <v>0.29754225830043157</v>
      </c>
      <c r="T44" s="183">
        <f>(SUM(T11:U11*T24:U24)+T34)/T32</f>
        <v>0.2975422581388088</v>
      </c>
      <c r="V44" s="183">
        <f>(SUM(V11:W11*V24:W24)+V34)/V32</f>
        <v>0.29754225836785486</v>
      </c>
      <c r="X44" s="183">
        <f>(SUM(X11:Y11*X24:Y24)+X34)/X32</f>
        <v>0.29754226181110116</v>
      </c>
      <c r="Z44" s="183">
        <f>(SUM(Z11:AA11*Z24:AA24)+Z34)/Z32</f>
        <v>0.29754226107264659</v>
      </c>
      <c r="AB44" s="183">
        <f>(SUM(AB11:AC11*AB24:AC24)+AB34)/AB32</f>
        <v>0.29754226215697915</v>
      </c>
      <c r="AD44" s="183">
        <f>(SUM(AD11:AE11*AD24:AE24)+AD34)/AD32</f>
        <v>0.29754226181914917</v>
      </c>
      <c r="AF44" s="183">
        <f>(SUM(AF11:AG11*AF24:AG24)+AF34)/AF32</f>
        <v>0.29754226188840849</v>
      </c>
      <c r="AH44" s="183">
        <f>(SUM(AH11:AI11*AH24:AI24)+AH34)/AH32</f>
        <v>0.29754226192161271</v>
      </c>
      <c r="AJ44" s="183">
        <f>(SUM(AJ11:AK11*AJ24:AK24)+AJ34)/AJ32</f>
        <v>0.29754226190935346</v>
      </c>
      <c r="AL44" s="183">
        <f>(SUM(AL11:AM11*AL24:AM24)+AL34)/AL32</f>
        <v>0.2975422619067884</v>
      </c>
      <c r="AN44" s="183">
        <f>(SUM(AN11:AO11*AN24:AO24)+AN34)/AN32</f>
        <v>0.2975422619068212</v>
      </c>
      <c r="AP44" s="183">
        <f>(SUM(AP11:AQ11*AP24:AQ24)+AP34)/AP32</f>
        <v>0.29754226190672389</v>
      </c>
      <c r="AR44" s="183">
        <f>(SUM(AR11:AS11*AR24:AS24)+AR34)/AR32</f>
        <v>0.29754226190682392</v>
      </c>
      <c r="AT44" s="183">
        <f>(SUM(AT11:AU11*AT24:AU24)+AT34)/AT32</f>
        <v>0.29754226190682415</v>
      </c>
      <c r="AV44" s="183">
        <f>(SUM(AV11:AW11*AV24:AW24)+AV34)/AV32</f>
        <v>0.2975422619068418</v>
      </c>
    </row>
    <row r="45" spans="1:49 16319:16384" x14ac:dyDescent="0.2">
      <c r="A45" t="s">
        <v>82</v>
      </c>
      <c r="B45" s="183">
        <f>SUM(B11:C11*B24:C24)/B32</f>
        <v>0.22038438833194082</v>
      </c>
      <c r="D45" s="183">
        <f>SUM(D11:E11*D24:E24)/D32</f>
        <v>0.22038438854598957</v>
      </c>
      <c r="F45" s="183">
        <f>SUM(F11:G11*F24:G24)/F32</f>
        <v>0.2203843883218666</v>
      </c>
      <c r="H45" s="183">
        <f>SUM(H11:I11*H24:I24)/H32</f>
        <v>0.22038438831591314</v>
      </c>
      <c r="J45" s="183">
        <f>SUM(J11:K11*J24:K24)/J32</f>
        <v>0.22038438836816562</v>
      </c>
      <c r="L45" s="183">
        <f>SUM(L11:M11*L24:M24)/L32</f>
        <v>0.22038438830121815</v>
      </c>
      <c r="N45" s="183">
        <f>SUM(N11:O11*N24:O24)/N32</f>
        <v>0.22038438826900669</v>
      </c>
      <c r="P45" s="183">
        <f>SUM(P11:Q11*P24:Q24)/P32</f>
        <v>0.22038438831210228</v>
      </c>
      <c r="R45" s="183">
        <f>SUM(R11:S11*R24:S24)/R32</f>
        <v>0.22038438830376803</v>
      </c>
      <c r="T45" s="183">
        <f>SUM(T11:U11*T24:U24)/T32</f>
        <v>0.2203843883060671</v>
      </c>
      <c r="V45" s="183">
        <f>SUM(V11:W11*V24:W24)/V32</f>
        <v>0.22038438831197357</v>
      </c>
      <c r="X45" s="183">
        <f>SUM(X11:Y11*X24:Y24)/X32</f>
        <v>0.22038438833372889</v>
      </c>
      <c r="Z45" s="183">
        <f>SUM(Z11:AA11*Z24:AA24)/Z32</f>
        <v>0.2203843883501575</v>
      </c>
      <c r="AB45" s="183">
        <f>SUM(AB11:AC11*AB24:AC24)/AB32</f>
        <v>0.22038438834215884</v>
      </c>
      <c r="AD45" s="183">
        <f>SUM(AD11:AE11*AD24:AE24)/AD32</f>
        <v>0.22038438833035021</v>
      </c>
      <c r="AF45" s="183">
        <f>SUM(AF11:AG11*AF24:AG24)/AF32</f>
        <v>0.22038438833221244</v>
      </c>
      <c r="AH45" s="183">
        <f>SUM(AH11:AI11*AH24:AI24)/AH32</f>
        <v>0.22038438833200294</v>
      </c>
      <c r="AJ45" s="183">
        <f>SUM(AJ11:AK11*AJ24:AK24)/AJ32</f>
        <v>0.22038438833189541</v>
      </c>
      <c r="AL45" s="183">
        <f>SUM(AL11:AM11*AL24:AM24)/AL32</f>
        <v>0.22038438833194271</v>
      </c>
      <c r="AN45" s="183">
        <f>SUM(AN11:AO11*AN24:AO24)/AN32</f>
        <v>0.22038438833194079</v>
      </c>
      <c r="AP45" s="183">
        <f>SUM(AP11:AQ11*AP24:AQ24)/AP32</f>
        <v>0.22038438833201399</v>
      </c>
      <c r="AR45" s="183">
        <f>SUM(AR11:AS11*AR24:AS24)/AR32</f>
        <v>0.22038438833194079</v>
      </c>
      <c r="AT45" s="183">
        <f>SUM(AT11:AU11*AT24:AU24)/AT32</f>
        <v>0.22038438833194077</v>
      </c>
      <c r="AV45" s="183">
        <f>SUM(AV11:AW11*AV24:AW24)/AV32</f>
        <v>0.22038438833191665</v>
      </c>
      <c r="XCQ45" s="183"/>
    </row>
    <row r="46" spans="1:49 16319:16384" x14ac:dyDescent="0.2">
      <c r="A46" t="s">
        <v>126</v>
      </c>
      <c r="B46" s="183">
        <f>B34/B32</f>
        <v>7.7157873574883587E-2</v>
      </c>
      <c r="D46" s="183">
        <f>D34/D32</f>
        <v>7.715786552732419E-2</v>
      </c>
      <c r="F46" s="183">
        <f>F34/F32</f>
        <v>7.7157873333685012E-2</v>
      </c>
      <c r="H46" s="183">
        <f>H34/H32</f>
        <v>7.7157873225776982E-2</v>
      </c>
      <c r="J46" s="183">
        <f>J34/J32</f>
        <v>7.715787203197888E-2</v>
      </c>
      <c r="L46" s="183">
        <f>L34/L32</f>
        <v>7.7157872964848717E-2</v>
      </c>
      <c r="N46" s="183">
        <f>N34/N32</f>
        <v>7.7157872316907794E-2</v>
      </c>
      <c r="P46" s="183">
        <f>P34/P32</f>
        <v>7.7157871157587307E-2</v>
      </c>
      <c r="R46" s="183">
        <f>R34/R32</f>
        <v>7.7157869996663533E-2</v>
      </c>
      <c r="T46" s="183">
        <f>T34/T32</f>
        <v>7.7157869832741699E-2</v>
      </c>
      <c r="V46" s="183">
        <f>V34/V32</f>
        <v>7.7157870055881289E-2</v>
      </c>
      <c r="X46" s="183">
        <f>X34/X32</f>
        <v>7.7157873477372296E-2</v>
      </c>
      <c r="Z46" s="183">
        <f>Z34/Z32</f>
        <v>7.7157872722489057E-2</v>
      </c>
      <c r="AB46" s="183">
        <f>AB34/AB32</f>
        <v>7.7157873814820324E-2</v>
      </c>
      <c r="AD46" s="183">
        <f>AD34/AD32</f>
        <v>7.7157873488798989E-2</v>
      </c>
      <c r="AF46" s="183">
        <f>AF34/AF32</f>
        <v>7.7157873556196049E-2</v>
      </c>
      <c r="AH46" s="183">
        <f>AH34/AH32</f>
        <v>7.7157873589609779E-2</v>
      </c>
      <c r="AJ46" s="183">
        <f>AJ34/AJ32</f>
        <v>7.7157873577458055E-2</v>
      </c>
      <c r="AL46" s="183">
        <f>AL34/AL32</f>
        <v>7.7157873574845687E-2</v>
      </c>
      <c r="AN46" s="183">
        <f>AN34/AN32</f>
        <v>7.7157873574880395E-2</v>
      </c>
      <c r="AP46" s="183">
        <f>AP34/AP32</f>
        <v>7.7157873574709906E-2</v>
      </c>
      <c r="AR46" s="183">
        <f>AR34/AR32</f>
        <v>7.7157873574883157E-2</v>
      </c>
      <c r="AT46" s="183">
        <f>AT34/AT32</f>
        <v>7.715787357488342E-2</v>
      </c>
      <c r="AV46" s="183">
        <f>AV34/AV32</f>
        <v>7.7157873574925151E-2</v>
      </c>
      <c r="XCS46" s="183"/>
    </row>
    <row r="48" spans="1:49 16319:16384" x14ac:dyDescent="0.2">
      <c r="A48" t="s">
        <v>143</v>
      </c>
      <c r="B48" s="181">
        <f>B24/$B$24</f>
        <v>1</v>
      </c>
      <c r="C48" s="181"/>
      <c r="D48" s="181">
        <f>D24/$B$24</f>
        <v>1.0017299096800794</v>
      </c>
      <c r="E48" s="181"/>
      <c r="F48" s="181">
        <f>F24/$B$24</f>
        <v>1.0033474695452518</v>
      </c>
      <c r="G48" s="181"/>
      <c r="H48" s="181">
        <f>H24/$B$24</f>
        <v>1.0048344662010082</v>
      </c>
      <c r="I48" s="181"/>
      <c r="J48" s="181">
        <f>J24/$B$24</f>
        <v>1.0061686222995172</v>
      </c>
      <c r="K48" s="181"/>
      <c r="L48" s="181">
        <f>L24/$B$24</f>
        <v>1.0073223302803613</v>
      </c>
      <c r="M48" s="181"/>
      <c r="N48" s="181">
        <f>N24/$B$24</f>
        <v>1.008260914517519</v>
      </c>
      <c r="O48" s="181"/>
      <c r="P48" s="181">
        <f>P24/$B$24</f>
        <v>1.0089403340693055</v>
      </c>
      <c r="Q48" s="181"/>
      <c r="R48" s="181">
        <f>R24/$B$24</f>
        <v>1.0093038383433366</v>
      </c>
      <c r="S48" s="181"/>
      <c r="T48" s="181">
        <f>T24/$B$24</f>
        <v>1.0092768765896447</v>
      </c>
      <c r="U48" s="181"/>
      <c r="V48" s="181">
        <f>V24/$B$24</f>
        <v>1.008759452825138</v>
      </c>
      <c r="W48" s="181"/>
      <c r="X48" s="181">
        <f>X24/$B$24</f>
        <v>1.0076136769613877</v>
      </c>
      <c r="Y48" s="181"/>
      <c r="Z48" s="181">
        <f>Z24/$B$24</f>
        <v>1.005642391372612</v>
      </c>
      <c r="AA48" s="181"/>
      <c r="AB48" s="181">
        <f>AB24/$B$24</f>
        <v>1.0025490161701056</v>
      </c>
      <c r="AC48" s="181"/>
      <c r="AD48" s="181">
        <f>AD24/$B$24</f>
        <v>0.99785270987387908</v>
      </c>
      <c r="AE48" s="181"/>
      <c r="AF48" s="181">
        <f>AF24/$B$24</f>
        <v>0.99067932623908161</v>
      </c>
      <c r="AG48" s="181"/>
      <c r="AH48" s="181">
        <f>AH24/$B$24</f>
        <v>0.97916188106929314</v>
      </c>
      <c r="AI48" s="181"/>
      <c r="AJ48" s="181">
        <f>AJ24/$B$24</f>
        <v>0.95858358345455419</v>
      </c>
      <c r="AK48" s="181"/>
      <c r="AL48" s="181">
        <f>AL24/$B$24</f>
        <v>0.91521594037777299</v>
      </c>
      <c r="AM48" s="181"/>
      <c r="AN48" s="181">
        <f>AN24/$B$24</f>
        <v>0.7953548675959845</v>
      </c>
      <c r="AO48" s="181"/>
      <c r="AP48" s="181">
        <f>AP24/$B$24</f>
        <v>0.74478251757951708</v>
      </c>
      <c r="AQ48" s="181"/>
      <c r="AR48" s="181">
        <f>AR24/$B$24</f>
        <v>0.67269502251472513</v>
      </c>
      <c r="AS48" s="181"/>
      <c r="AT48" s="181">
        <f>AT24/$B$24</f>
        <v>0.56275793300183774</v>
      </c>
      <c r="AU48" s="181"/>
      <c r="AV48" s="181">
        <f>AV24/$B$24</f>
        <v>0.37678058796932051</v>
      </c>
    </row>
    <row r="49" spans="1:48 16321:16384" x14ac:dyDescent="0.2">
      <c r="A49" t="s">
        <v>144</v>
      </c>
      <c r="B49" s="181">
        <f>B13/B35/$B$13*$B$35</f>
        <v>1</v>
      </c>
      <c r="C49" s="181"/>
      <c r="D49" s="181">
        <f>D13/D35/$B$13*$B$35</f>
        <v>0.9959513045822127</v>
      </c>
      <c r="E49" s="181"/>
      <c r="F49" s="181">
        <f>F13/F35/$B$13*$B$35</f>
        <v>0.99135200154915226</v>
      </c>
      <c r="G49" s="181"/>
      <c r="H49" s="181">
        <f>H13/H35/$B$13*$B$35</f>
        <v>0.98611853899323498</v>
      </c>
      <c r="I49" s="181"/>
      <c r="J49" s="181">
        <f>J13/J35/$B$13*$B$35</f>
        <v>0.98014836836664365</v>
      </c>
      <c r="K49" s="181"/>
      <c r="L49" s="181">
        <f>L13/L35/$B$13*$B$35</f>
        <v>0.97331360128151267</v>
      </c>
      <c r="M49" s="181"/>
      <c r="N49" s="181">
        <f>N13/N35/$B$13*$B$35</f>
        <v>0.96545196755039975</v>
      </c>
      <c r="O49" s="181"/>
      <c r="P49" s="181">
        <f>P13/P35/$B$13*$B$35</f>
        <v>0.95635369477166443</v>
      </c>
      <c r="Q49" s="181"/>
      <c r="R49" s="181">
        <f>R13/R35/$B$13*$B$35</f>
        <v>0.94574144636802593</v>
      </c>
      <c r="S49" s="181"/>
      <c r="T49" s="181">
        <f>T13/T35/$B$13*$B$35</f>
        <v>0.9332385881089913</v>
      </c>
      <c r="U49" s="181"/>
      <c r="V49" s="181">
        <f>V13/V35/$B$13*$B$35</f>
        <v>0.9183177494476541</v>
      </c>
      <c r="W49" s="181"/>
      <c r="X49" s="181">
        <f>X13/X35/$B$13*$B$35</f>
        <v>0.90021349771976999</v>
      </c>
      <c r="Y49" s="181"/>
      <c r="Z49" s="181">
        <f>Z13/Z35/$B$13*$B$35</f>
        <v>0.87776837172615407</v>
      </c>
      <c r="AA49" s="181"/>
      <c r="AB49" s="181">
        <f>AB13/AB35/$B$13*$B$35</f>
        <v>0.84915180383737876</v>
      </c>
      <c r="AC49" s="181"/>
      <c r="AD49" s="181">
        <f>AD13/AD35/$B$13*$B$35</f>
        <v>0.81134061889858844</v>
      </c>
      <c r="AE49" s="181"/>
      <c r="AF49" s="181">
        <f>AF13/AF35/$B$13*$B$35</f>
        <v>0.75921347350600954</v>
      </c>
      <c r="AG49" s="181"/>
      <c r="AH49" s="181">
        <f>AH13/AH35/$B$13*$B$35</f>
        <v>0.68434712424229327</v>
      </c>
      <c r="AI49" s="181"/>
      <c r="AJ49" s="181">
        <f>AJ13/AJ35/$B$13*$B$35</f>
        <v>0.57458357773231061</v>
      </c>
      <c r="AK49" s="181"/>
      <c r="AL49" s="181">
        <f>AL13/AL35/$B$13*$B$35</f>
        <v>0.41578572494258864</v>
      </c>
      <c r="AM49" s="181"/>
      <c r="AN49" s="181">
        <f>AN13/AN35/$B$13*$B$35</f>
        <v>0.19914781016758937</v>
      </c>
      <c r="AO49" s="181"/>
      <c r="AP49" s="181">
        <f>AP13/AP35/$B$13*$B$35</f>
        <v>0.15064965287470647</v>
      </c>
      <c r="AQ49" s="181"/>
      <c r="AR49" s="181">
        <f>AR13/AR35/$B$13*$B$35</f>
        <v>0.10239707383254951</v>
      </c>
      <c r="AS49" s="181"/>
      <c r="AT49" s="181">
        <f>AT13/AT35/$B$13*$B$35</f>
        <v>5.6766327623752187E-2</v>
      </c>
      <c r="AU49" s="181"/>
      <c r="AV49" s="181">
        <f>AV13/AV35/$B$13*$B$35</f>
        <v>1.8605907468017678E-2</v>
      </c>
    </row>
    <row r="51" spans="1:48 16321:16384" x14ac:dyDescent="0.2">
      <c r="A51" t="s">
        <v>150</v>
      </c>
      <c r="B51" s="27">
        <f>B30-B10*B23</f>
        <v>-405838.32800000021</v>
      </c>
      <c r="D51" s="27">
        <f>D30-D10*D23</f>
        <v>-344432.4131518756</v>
      </c>
      <c r="F51" s="27">
        <f>F30-F10*F23</f>
        <v>-281515.61024978012</v>
      </c>
      <c r="H51" s="27">
        <f>H30-H10*H23</f>
        <v>-216880.70806940086</v>
      </c>
      <c r="J51" s="27">
        <f>J30-J10*J23</f>
        <v>-150278.98779630801</v>
      </c>
      <c r="L51" s="27">
        <f>L30-L10*L23</f>
        <v>-81403.406503561884</v>
      </c>
      <c r="N51" s="27">
        <f>N30-N10*N23</f>
        <v>-9864.8128624344245</v>
      </c>
      <c r="P51" s="27">
        <f>P30-P10*P23</f>
        <v>64844.897099885158</v>
      </c>
      <c r="R51" s="27">
        <f>R30-R10*R23</f>
        <v>143414.65611479431</v>
      </c>
      <c r="T51" s="27">
        <f>T30-T10*T23</f>
        <v>226818.69439329812</v>
      </c>
      <c r="V51" s="27">
        <f>V30-V10*V23</f>
        <v>316501.02490632469</v>
      </c>
      <c r="X51" s="27">
        <f>X30-X10*X23</f>
        <v>414712.80864706263</v>
      </c>
      <c r="Z51" s="27">
        <f>Z30-Z10*Z23</f>
        <v>525155.04910231102</v>
      </c>
      <c r="AB51" s="27">
        <f>AB30-AB10*AB23</f>
        <v>654242.58017969597</v>
      </c>
      <c r="AD51" s="27">
        <f>AD30-AD10*AD23</f>
        <v>813630.16939571826</v>
      </c>
      <c r="AF51" s="27">
        <f>AF30-AF10*AF23</f>
        <v>1024998.3928959416</v>
      </c>
      <c r="AH51" s="27">
        <f>AH30-AH10*AH23</f>
        <v>1327198.3858531215</v>
      </c>
      <c r="AJ51" s="27">
        <f>AJ30-AJ10*AJ23</f>
        <v>1781309.9726326764</v>
      </c>
      <c r="AL51" s="27">
        <f>AL30-AL10*AL23</f>
        <v>2474015.4122638325</v>
      </c>
      <c r="AN51" s="27">
        <f>AN30-AN10*AN23</f>
        <v>3504116.5849028425</v>
      </c>
      <c r="AP51" s="27">
        <f>AP30-AP10*AP23</f>
        <v>3722533.9245625045</v>
      </c>
      <c r="AQ51" s="27"/>
      <c r="AR51" s="27">
        <f>AR30-AR10*AR23</f>
        <v>3881834.7465942763</v>
      </c>
      <c r="AT51" s="27">
        <f>AT30-AT10*AT23</f>
        <v>3845764.389953082</v>
      </c>
      <c r="AV51" s="27">
        <f>AV30-AV10*AV23</f>
        <v>3173660.0297181923</v>
      </c>
      <c r="XFD51" s="27"/>
    </row>
    <row r="52" spans="1:48 16321:16384" x14ac:dyDescent="0.2">
      <c r="A52" t="s">
        <v>151</v>
      </c>
      <c r="B52" s="27">
        <f t="array" ref="B52">Calibration!sL*SUM(B13:C13*B26:C26)</f>
        <v>2073093.0976150823</v>
      </c>
      <c r="D52" s="27">
        <f t="array" ref="D52">Calibration!sL*SUM(D13:E13*D26:E26)</f>
        <v>2068618.5971356477</v>
      </c>
      <c r="F52" s="27">
        <f t="array" ref="F52">Calibration!sL*SUM(F13:G13*F26:G26)</f>
        <v>2063408.3873779704</v>
      </c>
      <c r="H52" s="27">
        <f t="array" ref="H52">Calibration!sL*SUM(H13:I13*H26:I26)</f>
        <v>2057359.0374020024</v>
      </c>
      <c r="J52" s="27">
        <f t="array" ref="J52">Calibration!sL*SUM(J13:K13*J26:K26)</f>
        <v>2050346.6195258794</v>
      </c>
      <c r="L52" s="27">
        <f t="array" ref="L52">Calibration!sL*SUM(L13:M13*L26:M26)</f>
        <v>2042220.9614254953</v>
      </c>
      <c r="N52" s="27">
        <f t="array" ref="N52">Calibration!sL*SUM(N13:O13*N26:O26)</f>
        <v>2032797.8472771891</v>
      </c>
      <c r="P52" s="27">
        <f t="array" ref="P52">Calibration!sL*SUM(P13:Q13*P26:Q26)</f>
        <v>2021848.4194753056</v>
      </c>
      <c r="R52" s="27">
        <f t="array" ref="R52">Calibration!sL*SUM(R13:S13*R26:S26)</f>
        <v>2009083.7080209828</v>
      </c>
      <c r="T52" s="27">
        <f t="array" ref="T52">Calibration!sL*SUM(T13:U13*T26:U26)</f>
        <v>1994130.9757148195</v>
      </c>
      <c r="V52" s="27">
        <f t="array" ref="V52">Calibration!sL*SUM(V13:W13*V26:W26)</f>
        <v>1976496.9237204047</v>
      </c>
      <c r="X52" s="27">
        <f t="array" ref="X52">Calibration!sL*SUM(X13:Y13*X26:Y26)</f>
        <v>1955506.1905667712</v>
      </c>
      <c r="Z52" s="27">
        <f t="array" ref="Z52">Calibration!sL*SUM(Z13:AA13*Z26:AA26)</f>
        <v>1930192.3671896253</v>
      </c>
      <c r="AB52" s="27">
        <f t="array" ref="AB52">Calibration!sL*SUM(AB13:AC13*AB26:AC26)</f>
        <v>1899089.4055251679</v>
      </c>
      <c r="AD52" s="27">
        <f t="array" ref="AD52">Calibration!sL*SUM(AD13:AE13*AD26:AE26)</f>
        <v>1859796.6371767395</v>
      </c>
      <c r="AF52" s="27">
        <f t="array" ref="AF52">Calibration!sL*SUM(AF13:AG13*AF26:AG26)</f>
        <v>1807985.3767316174</v>
      </c>
      <c r="AH52" s="27">
        <f t="array" ref="AH52">Calibration!sL*SUM(AH13:AI13*AH26:AI26)</f>
        <v>1734962.6495058886</v>
      </c>
      <c r="AJ52" s="27">
        <f t="array" ref="AJ52">Calibration!sL*SUM(AJ13:AK13*AJ26:AK26)</f>
        <v>1621535.548146581</v>
      </c>
      <c r="AL52" s="27">
        <f t="array" ref="AL52">Calibration!sL*SUM(AL13:AM13*AL26:AM26)</f>
        <v>1421342.3505920966</v>
      </c>
      <c r="AN52" s="27">
        <f t="array" ref="AN52">Calibration!sL*SUM(AN13:AO13*AN26:AO26)</f>
        <v>997869.98316953168</v>
      </c>
      <c r="AP52" s="27">
        <f t="array" ref="AP52">Calibration!sL*SUM(AP13:AQ13*AP26:AQ26)</f>
        <v>854437.12396980508</v>
      </c>
      <c r="AQ52" s="27"/>
      <c r="AR52" s="27">
        <f t="array" ref="AR52">Calibration!sL*SUM(AR13:AS13*AR26:AS26)</f>
        <v>676546.71982073563</v>
      </c>
      <c r="AT52" s="27">
        <f t="array" ref="AT52">Calibration!sL*SUM(AT13:AU13*AT26:AU26)</f>
        <v>455368.98669838387</v>
      </c>
      <c r="AV52" s="27">
        <f t="array" ref="AV52">Calibration!sL*SUM(AV13:AW13*AV26:AW26)</f>
        <v>193362.83245834478</v>
      </c>
    </row>
    <row r="53" spans="1:48 16321:16384" x14ac:dyDescent="0.2">
      <c r="A53" t="s">
        <v>152</v>
      </c>
      <c r="B53" s="27">
        <f t="array" ref="B53">Calibration!sK*SUM(B15:C15*B27:C27)</f>
        <v>2716869.1663849424</v>
      </c>
      <c r="D53" s="27">
        <f t="array" ref="D53">Calibration!sK*SUM(D15:E15*D27:E27)</f>
        <v>2695447.0761887277</v>
      </c>
      <c r="F53" s="27">
        <f t="array" ref="F53">Calibration!sK*SUM(F15:G15*F27:G27)</f>
        <v>2673137.515592224</v>
      </c>
      <c r="H53" s="27">
        <f t="array" ref="H53">Calibration!sK*SUM(H15:I15*H27:I27)</f>
        <v>2649817.089748133</v>
      </c>
      <c r="J53" s="27">
        <f t="array" ref="J53">Calibration!sK*SUM(J15:K15*J27:K27)</f>
        <v>2625340.1538861459</v>
      </c>
      <c r="L53" s="27">
        <f t="array" ref="L53">Calibration!sK*SUM(L15:M15*L27:M27)</f>
        <v>2599533.8148619989</v>
      </c>
      <c r="N53" s="27">
        <f t="array" ref="N53">Calibration!sK*SUM(N15:O15*N27:O27)</f>
        <v>2572191.3896590676</v>
      </c>
      <c r="P53" s="27">
        <f t="array" ref="P53">Calibration!sK*SUM(P15:Q15*P27:Q27)</f>
        <v>2543063.0847983225</v>
      </c>
      <c r="R53" s="27">
        <f t="array" ref="R53">Calibration!sK*SUM(R15:S15*R27:S27)</f>
        <v>2511842.9492199463</v>
      </c>
      <c r="T53" s="27">
        <f t="array" ref="T53">Calibration!sK*SUM(T15:U15*T27:U27)</f>
        <v>2478149.6747136456</v>
      </c>
      <c r="V53" s="27">
        <f t="array" ref="V53">Calibration!sK*SUM(V15:W15*V27:W27)</f>
        <v>2441495.7212315556</v>
      </c>
      <c r="X53" s="27">
        <f t="array" ref="X53">Calibration!sK*SUM(X15:Y15*X27:Y27)</f>
        <v>2401234.8127558017</v>
      </c>
      <c r="Z53" s="27">
        <f t="array" ref="Z53">Calibration!sK*SUM(Z15:AA15*Z27:AA27)</f>
        <v>2356464.0785522601</v>
      </c>
      <c r="AB53" s="27">
        <f t="array" ref="AB53">Calibration!sK*SUM(AB15:AC15*AB27:AC27)</f>
        <v>2305822.8620658396</v>
      </c>
      <c r="AD53" s="27">
        <f t="array" ref="AD53">Calibration!sK*SUM(AD15:AE15*AD27:AE27)</f>
        <v>2247031.4903121251</v>
      </c>
      <c r="AF53" s="27">
        <f t="array" ref="AF53">Calibration!sK*SUM(AF15:AG15*AF27:AG27)</f>
        <v>2175718.0674650855</v>
      </c>
      <c r="AH53" s="27">
        <f t="array" ref="AH53">Calibration!sK*SUM(AH15:AI15*AH27:AI27)</f>
        <v>2082262.7486879956</v>
      </c>
      <c r="AJ53" s="27">
        <f t="array" ref="AJ53">Calibration!sK*SUM(AJ15:AK15*AJ27:AK27)</f>
        <v>1943679.3482347515</v>
      </c>
      <c r="AL53" s="27">
        <f t="array" ref="AL53">Calibration!sK*SUM(AL15:AM15*AL27:AM27)</f>
        <v>1703140.0243714196</v>
      </c>
      <c r="AN53" s="27">
        <f t="array" ref="AN53">Calibration!sK*SUM(AN15:AO15*AN27:AO27)</f>
        <v>1195663.5621320915</v>
      </c>
      <c r="AP53" s="27">
        <f t="array" ref="AP53">Calibration!sK*SUM(AP15:AQ15*AP27:AQ27)</f>
        <v>1023799.4347010406</v>
      </c>
      <c r="AQ53" s="27"/>
      <c r="AR53" s="27">
        <f t="array" ref="AR53">Calibration!sK*SUM(AR15:AS15*AR27:AS27)</f>
        <v>810648.29892381013</v>
      </c>
      <c r="AT53" s="27">
        <f t="array" ref="AT53">Calibration!sK*SUM(AT15:AU15*AT27:AU27)</f>
        <v>545629.83007265232</v>
      </c>
      <c r="AV53" s="27">
        <f t="array" ref="AV53">Calibration!sK*SUM(AV15:AW15*AV27:AW27)</f>
        <v>231690.19227943808</v>
      </c>
      <c r="XFD53" s="27"/>
    </row>
    <row r="55" spans="1:48 16321:16384" x14ac:dyDescent="0.2">
      <c r="A55" t="s">
        <v>153</v>
      </c>
      <c r="B55" s="183">
        <f>B30/B32</f>
        <v>0.19850271905982084</v>
      </c>
      <c r="D55" s="183">
        <f>D30/D32</f>
        <v>0.20266521530582068</v>
      </c>
      <c r="F55" s="183">
        <f>F30/F32</f>
        <v>0.20692790438852862</v>
      </c>
      <c r="H55" s="183">
        <f>H30/H32</f>
        <v>0.21130733584874867</v>
      </c>
      <c r="J55" s="183">
        <f>J30/J32</f>
        <v>0.21582357761829102</v>
      </c>
      <c r="L55" s="183">
        <f>L30/L32</f>
        <v>0.22050158829163236</v>
      </c>
      <c r="N55" s="183">
        <f>N30/N32</f>
        <v>0.22537315251822884</v>
      </c>
      <c r="P55" s="183">
        <f>P30/P32</f>
        <v>0.23047983332996597</v>
      </c>
      <c r="R55" s="183">
        <f>R30/R32</f>
        <v>0.23587781722441231</v>
      </c>
      <c r="T55" s="183">
        <f>T30/T32</f>
        <v>0.24164595613491199</v>
      </c>
      <c r="V55" s="183">
        <f>V30/V32</f>
        <v>0.24789974206753221</v>
      </c>
      <c r="X55" s="183">
        <f>X30/X32</f>
        <v>0.25481653130621235</v>
      </c>
      <c r="Z55" s="183">
        <f>Z30/Z32</f>
        <v>0.26268312172329711</v>
      </c>
      <c r="AB55" s="183">
        <f>AB30/AB32</f>
        <v>0.27198882784959733</v>
      </c>
      <c r="AD55" s="183">
        <f>AD30/AD32</f>
        <v>0.28361202257092799</v>
      </c>
      <c r="AF55" s="183">
        <f>AF30/AF32</f>
        <v>0.29918311593268654</v>
      </c>
      <c r="AH55" s="183">
        <f>AH30/AH32</f>
        <v>0.32170068070923225</v>
      </c>
      <c r="AJ55" s="183">
        <f>AJ30/AJ32</f>
        <v>0.35646041817946117</v>
      </c>
      <c r="AL55" s="183">
        <f>AL30/AL32</f>
        <v>0.41418576278754055</v>
      </c>
      <c r="AN55" s="183">
        <f>AN30/AN32</f>
        <v>0.53034876704652567</v>
      </c>
      <c r="AP55" s="183">
        <f>AP30/AP32</f>
        <v>0.57094743940743264</v>
      </c>
      <c r="AR55" s="183">
        <f>AR30/AR32</f>
        <v>0.62405350454590047</v>
      </c>
      <c r="AT55" s="183">
        <f>AT30/AT32</f>
        <v>0.69747082015634632</v>
      </c>
      <c r="AV55" s="183">
        <f>AV30/AV32</f>
        <v>0.80787561073801417</v>
      </c>
      <c r="XCS55" s="183"/>
      <c r="XFD55" s="183"/>
    </row>
    <row r="56" spans="1:48 16321:16384" x14ac:dyDescent="0.2">
      <c r="A56" t="s">
        <v>154</v>
      </c>
      <c r="B56" s="183">
        <f>(Model!$C$52*B5*B20+B2*C5*C20)/B32</f>
        <v>2.9221206744340551E-2</v>
      </c>
      <c r="D56" s="183">
        <f>(Model!$C$52*D5*D20+D2*E5*E20)/D32</f>
        <v>3.3771945144443094E-2</v>
      </c>
      <c r="F56" s="183">
        <f>(Model!$C$52*F5*F20+F2*G5*G20)/F32</f>
        <v>3.8445983939339096E-2</v>
      </c>
      <c r="H56" s="183">
        <f>(Model!$C$52*H5*H20+H2*I5*I20)/H32</f>
        <v>4.326340569303936E-2</v>
      </c>
      <c r="J56" s="183">
        <f>(Model!$C$52*J5*J20+J2*K5*K20)/J32</f>
        <v>4.8248670418466581E-2</v>
      </c>
      <c r="L56" s="183">
        <f>(Model!$C$52*L5*L20+L2*M5*M20)/L32</f>
        <v>5.3432309833938582E-2</v>
      </c>
      <c r="N56" s="183">
        <f>(Model!$C$52*N5*N20+N2*O5*O20)/N32</f>
        <v>5.8853348379199567E-2</v>
      </c>
      <c r="P56" s="183">
        <f>(Model!$C$52*P5*P20+P2*Q5*Q20)/P32</f>
        <v>6.4563008598078189E-2</v>
      </c>
      <c r="R56" s="183">
        <f>(Model!$C$52*R5*R20+R2*S5*S20)/R32</f>
        <v>7.0630759153571268E-2</v>
      </c>
      <c r="T56" s="183">
        <f>(Model!$C$52*T5*T20+T2*U5*U20)/T32</f>
        <v>7.7154341581345542E-2</v>
      </c>
      <c r="V56" s="183">
        <f>(Model!$C$52*V5*V20+V2*W5*W20)/V32</f>
        <v>8.4277136281042636E-2</v>
      </c>
      <c r="X56" s="183">
        <f>(Model!$C$52*X5*X20+X2*Y5*Y20)/X32</f>
        <v>9.2219404521572637E-2</v>
      </c>
      <c r="Z56" s="183">
        <f>(Model!$C$52*Z5*Z20+Z2*AA5*AA20)/Z32</f>
        <v>0.10133697096003323</v>
      </c>
      <c r="AB56" s="183">
        <f>(Model!$C$52*AB5*AB20+AB2*AC5*AC20)/AB32</f>
        <v>0.11223550673173481</v>
      </c>
      <c r="AD56" s="183">
        <f>(Model!$C$52*AD5*AD20+AD2*AE5*AE20)/AD32</f>
        <v>0.12599821272214873</v>
      </c>
      <c r="AF56" s="183">
        <f>(Model!$C$52*AF5*AF20+AF2*AG5*AG20)/AF32</f>
        <v>0.14462534297177773</v>
      </c>
      <c r="AH56" s="183">
        <f>(Model!$C$52*AH5*AH20+AH2*AI5*AI20)/AH32</f>
        <v>0.17177107633235986</v>
      </c>
      <c r="AJ56" s="183">
        <f>(Model!$C$52*AJ5*AJ20+AJ2*AK5*AK20)/AJ32</f>
        <v>0.21384163733671949</v>
      </c>
      <c r="AL56" s="183">
        <f>(Model!$C$52*AL5*AL20+AL2*AM5*AM20)/AL32</f>
        <v>0.28376921168676034</v>
      </c>
      <c r="AN56" s="183">
        <f>(Model!$C$52*AN5*AN20+AN2*AO5*AO20)/AN32</f>
        <v>0.42442562277654017</v>
      </c>
      <c r="AP56" s="183">
        <f>(Model!$C$52*AP5*AP20+AP2*AQ5*AQ20)/AP32</f>
        <v>0.47356671084679702</v>
      </c>
      <c r="AR56" s="183">
        <f>(Model!$C$52*AR5*AR20+AR2*AS5*AS20)/AR32</f>
        <v>0.5378367109866754</v>
      </c>
      <c r="AT56" s="183">
        <f>(Model!$C$52*AT5*AT20+AT2*AU5*AU20)/AT32</f>
        <v>0.62667219690964349</v>
      </c>
      <c r="AV56" s="183">
        <f>(Model!$C$52*AV5*AV20+AV2*AW5*AW20)/AV32</f>
        <v>0.7602356201785847</v>
      </c>
      <c r="XFD56" s="183"/>
    </row>
    <row r="57" spans="1:48 16321:16384" x14ac:dyDescent="0.2">
      <c r="A57" t="s">
        <v>155</v>
      </c>
      <c r="B57" s="183">
        <f t="array" ref="B57">SUM(Model!tauL*B13:C13*B26:C26)/B32</f>
        <v>0.15852881819439493</v>
      </c>
      <c r="D57" s="183">
        <f t="array" ref="D57">SUM(Model!tauL*D13:E13*D26:E26)/D32</f>
        <v>0.15822054340120503</v>
      </c>
      <c r="F57" s="183">
        <f t="array" ref="F57">SUM(Model!tauL*F13:G13*F26:G26)/F32</f>
        <v>0.15789034182067382</v>
      </c>
      <c r="H57" s="183">
        <f t="array" ref="H57">SUM(Model!tauL*H13:I13*H26:I26)/H32</f>
        <v>0.15753494139108928</v>
      </c>
      <c r="J57" s="183">
        <f t="array" ref="J57">SUM(Model!tauL*J13:K13*J26:K26)/J32</f>
        <v>0.15715026466254095</v>
      </c>
      <c r="L57" s="183">
        <f t="array" ref="L57">SUM(Model!tauL*L13:M13*L26:M26)/L32</f>
        <v>0.15673111546539378</v>
      </c>
      <c r="N57" s="183">
        <f t="array" ref="N57">SUM(Model!tauL*N13:O13*N26:O26)/N32</f>
        <v>0.15627070415749325</v>
      </c>
      <c r="P57" s="183">
        <f t="array" ref="P57">SUM(Model!tauL*P13:Q13*P26:Q26)/P32</f>
        <v>0.15575991182708096</v>
      </c>
      <c r="R57" s="183">
        <f t="array" ref="R57">SUM(Model!tauL*R13:S13*R26:S26)/R32</f>
        <v>0.15518610580927958</v>
      </c>
      <c r="T57" s="183">
        <f t="array" ref="T57">SUM(Model!tauL*T13:U13*T26:U26)/T32</f>
        <v>0.15453117065394437</v>
      </c>
      <c r="V57" s="183">
        <f t="array" ref="V57">SUM(Model!tauL*V13:W13*V26:W26)/V32</f>
        <v>0.15376813561706892</v>
      </c>
      <c r="X57" s="183">
        <f t="array" ref="X57">SUM(Model!tauL*X13:Y13*X26:Y26)/X32</f>
        <v>0.15285516540603922</v>
      </c>
      <c r="Y57" s="183"/>
      <c r="Z57" s="183">
        <f t="array" ref="Z57">SUM(Model!tauL*Z13:AA13*Z26:AA26)/Z32</f>
        <v>0.15172444239603905</v>
      </c>
      <c r="AB57" s="183">
        <f t="array" ref="AB57">SUM(Model!tauL*AB13:AC13*AB26:AC26)/AB32</f>
        <v>0.15026089575278659</v>
      </c>
      <c r="AD57" s="183">
        <f t="array" ref="AD57">SUM(Model!tauL*AD13:AE13*AD26:AE26)/AD32</f>
        <v>0.14826091417324108</v>
      </c>
      <c r="AF57" s="183">
        <f t="array" ref="AF57">SUM(Model!tauL*AF13:AG13*AF26:AG26)/AF32</f>
        <v>0.14535565212371271</v>
      </c>
      <c r="AH57" s="183">
        <f t="array" ref="AH57">SUM(Model!tauL*AH13:AI13*AH26:AI26)/AH32</f>
        <v>0.14089097077172413</v>
      </c>
      <c r="AJ57" s="183">
        <f t="array" ref="AJ57">SUM(Model!tauL*AJ13:AK13*AJ26:AK26)/AJ32</f>
        <v>0.13376283990682833</v>
      </c>
      <c r="AL57" s="183">
        <f t="array" ref="AL57">SUM(Model!tauL*AL13:AM13*AL26:AM26)/AL32</f>
        <v>0.12178673700476832</v>
      </c>
      <c r="AN57" s="183">
        <f t="array" ref="AN57">SUM(Model!tauL*AN13:AO13*AN26:AO26)/AN32</f>
        <v>9.7639287214180415E-2</v>
      </c>
      <c r="AP57" s="183">
        <f t="array" ref="AP57">SUM(Model!tauL*AP13:AQ13*AP26:AQ26)/AP32</f>
        <v>8.9198956449835567E-2</v>
      </c>
      <c r="AR57" s="183">
        <f t="array" ref="AR57">SUM(Model!tauL*AR13:AS13*AR26:AS26)/AR32</f>
        <v>7.8158347110171278E-2</v>
      </c>
      <c r="AT57" s="183">
        <f t="array" ref="AT57">SUM(Model!tauL*AT13:AU13*AT26:AU26)/AT32</f>
        <v>6.2895070779855955E-2</v>
      </c>
      <c r="AV57" s="183">
        <f t="array" ref="AV57">SUM(Model!tauL*AV13:AW13*AV26:AW26)/AV32</f>
        <v>3.994218722953094E-2</v>
      </c>
      <c r="XFD57" s="183"/>
    </row>
    <row r="58" spans="1:48 16321:16384" x14ac:dyDescent="0.2">
      <c r="A58" t="s">
        <v>156</v>
      </c>
      <c r="B58" s="183">
        <f t="array" ref="B58">SUM(Model!tauY/(1+Model!tauY)*B3:C3*B18:C18)/B32</f>
        <v>1.075269412108535E-2</v>
      </c>
      <c r="D58" s="183">
        <f t="array" ref="D58">SUM(Model!tauY/(1+Model!tauY)*D3:E3*D18:E18)/D32</f>
        <v>1.0672726760172595E-2</v>
      </c>
      <c r="F58" s="183">
        <f t="array" ref="F58">SUM(Model!tauY/(1+Model!tauY)*F3:G3*F18:G18)/F32</f>
        <v>1.0591578628515699E-2</v>
      </c>
      <c r="H58" s="183">
        <f t="array" ref="H58">SUM(Model!tauY/(1+Model!tauY)*H3:I3*H18:I18)/H32</f>
        <v>1.0508988764620008E-2</v>
      </c>
      <c r="J58" s="183">
        <f t="array" ref="J58">SUM(Model!tauY/(1+Model!tauY)*J3:K3*J18:K18)/J32</f>
        <v>1.0424642537283502E-2</v>
      </c>
      <c r="L58" s="183">
        <f t="array" ref="L58">SUM(Model!tauY/(1+Model!tauY)*L3:M3*L18:M18)/L32</f>
        <v>1.0338162992300001E-2</v>
      </c>
      <c r="N58" s="183">
        <f t="array" ref="N58">SUM(Model!tauY/(1+Model!tauY)*N3:O3*N18:O18)/N32</f>
        <v>1.0249099981536018E-2</v>
      </c>
      <c r="P58" s="183">
        <f t="array" ref="P58">SUM(Model!tauY/(1+Model!tauY)*P3:Q3*P18:Q18)/P32</f>
        <v>1.0156912904806829E-2</v>
      </c>
      <c r="R58" s="183">
        <f t="array" ref="R58">SUM(Model!tauY/(1+Model!tauY)*R3:S3*R18:S18)/R32</f>
        <v>1.0060952261561484E-2</v>
      </c>
      <c r="T58" s="183">
        <f t="array" ref="T58">SUM(Model!tauY/(1+Model!tauY)*T3:U3*T18:U18)/T32</f>
        <v>9.9604438996220498E-3</v>
      </c>
      <c r="V58" s="183">
        <f t="array" ref="V58">SUM(Model!tauY/(1+Model!tauY)*V3:W3*V18:W18)/V32</f>
        <v>9.8544701694206413E-3</v>
      </c>
      <c r="X58" s="183">
        <f t="array" ref="X58">SUM(Model!tauY/(1+Model!tauY)*X3:Y3*X18:Y18)/X32</f>
        <v>9.7419613786004604E-3</v>
      </c>
      <c r="Y58" s="183"/>
      <c r="Z58" s="183">
        <f t="array" ref="Z58">SUM(Model!tauY/(1+Model!tauY)*Z3:AA3*Z18:AA18)/Z32</f>
        <v>9.6217083672248301E-3</v>
      </c>
      <c r="AB58" s="183">
        <f t="array" ref="AB58">SUM(Model!tauY/(1+Model!tauY)*AB3:AC3*AB18:AC18)/AB32</f>
        <v>9.4924253650759509E-3</v>
      </c>
      <c r="AD58" s="183">
        <f t="array" ref="AD58">SUM(Model!tauY/(1+Model!tauY)*AD3:AE3*AD18:AE18)/AD32</f>
        <v>9.3528956755381549E-3</v>
      </c>
      <c r="AF58" s="183">
        <f t="array" ref="AF58">SUM(Model!tauY/(1+Model!tauY)*AF3:AG3*AF18:AG18)/AF32</f>
        <v>9.2021208371960237E-3</v>
      </c>
      <c r="AH58" s="183">
        <f t="array" ref="AH58">SUM(Model!tauY/(1+Model!tauY)*AH3:AI3*AH18:AI18)/AH32</f>
        <v>9.0386336051482344E-3</v>
      </c>
      <c r="AJ58" s="183">
        <f t="array" ref="AJ58">SUM(Model!tauY/(1+Model!tauY)*AJ3:AK3*AJ18:AK18)/AJ32</f>
        <v>8.8559409359133378E-3</v>
      </c>
      <c r="AL58" s="183">
        <f t="array" ref="AL58">SUM(Model!tauY/(1+Model!tauY)*AL3:AM3*AL18:AM18)/AL32</f>
        <v>8.6298140960118855E-3</v>
      </c>
      <c r="AN58" s="183">
        <f t="array" ref="AN58">SUM(Model!tauY/(1+Model!tauY)*AN3:AO3*AN18:AO18)/AN32</f>
        <v>8.283857055805123E-3</v>
      </c>
      <c r="AP58" s="183">
        <f t="array" ref="AP58">SUM(Model!tauY/(1+Model!tauY)*AP3:AQ3*AP18:AQ18)/AP32</f>
        <v>8.181772110799965E-3</v>
      </c>
      <c r="AR58" s="183">
        <f t="array" ref="AR58">SUM(Model!tauY/(1+Model!tauY)*AR3:AS3*AR18:AS18)/AR32</f>
        <v>8.0584464490537581E-3</v>
      </c>
      <c r="AT58" s="183">
        <f t="array" ref="AT58">SUM(Model!tauY/(1+Model!tauY)*AT3:AU3*AT18:AU18)/AT32</f>
        <v>7.9035524668468801E-3</v>
      </c>
      <c r="AV58" s="183">
        <f t="array" ref="AV58">SUM(Model!tauY/(1+Model!tauY)*AV3:AW3*AV18:AW18)/AV32</f>
        <v>7.6978033298985412E-3</v>
      </c>
      <c r="XFD58" s="183"/>
    </row>
    <row r="59" spans="1:48 16321:16384" x14ac:dyDescent="0.2">
      <c r="A59" t="s">
        <v>157</v>
      </c>
      <c r="B59" s="183">
        <f>(B2*C5*C20)/B32</f>
        <v>5.5174232040962052E-4</v>
      </c>
      <c r="D59" s="183">
        <f>(D2*E5*E20)/D32</f>
        <v>5.1595345765314228E-3</v>
      </c>
      <c r="F59" s="183">
        <f>(F2*G5*G20)/F32</f>
        <v>9.8916884678102359E-3</v>
      </c>
      <c r="H59" s="183">
        <f>(H2*I5*I20)/H32</f>
        <v>1.4768448470069849E-2</v>
      </c>
      <c r="J59" s="183">
        <f>(J2*K5*K20)/J32</f>
        <v>1.9814470810355346E-2</v>
      </c>
      <c r="L59" s="183">
        <f>(L2*M5*M20)/L32</f>
        <v>2.5060529480219199E-2</v>
      </c>
      <c r="N59" s="183">
        <f>(N2*O5*O20)/N32</f>
        <v>3.0545955296479872E-2</v>
      </c>
      <c r="P59" s="183">
        <f>(P2*Q5*Q20)/P32</f>
        <v>3.6322372002464055E-2</v>
      </c>
      <c r="R59" s="183">
        <f>(R2*S5*S20)/R32</f>
        <v>4.2459794210806714E-2</v>
      </c>
      <c r="T59" s="183">
        <f>(T2*U5*U20)/T32</f>
        <v>4.9056737598084169E-2</v>
      </c>
      <c r="V59" s="183">
        <f>(V2*W5*W20)/V32</f>
        <v>5.6257734896742143E-2</v>
      </c>
      <c r="X59" s="183">
        <f>(X2*Y5*Y20)/X32</f>
        <v>6.4284851674845184E-2</v>
      </c>
      <c r="Z59" s="183">
        <f>(Z2*AA5*AA20)/Z32</f>
        <v>7.3496890991902472E-2</v>
      </c>
      <c r="AB59" s="183">
        <f>(AB2*AC5*AC20)/AB32</f>
        <v>8.4504701128760865E-2</v>
      </c>
      <c r="AD59" s="183">
        <f>(AD2*AE5*AE20)/AD32</f>
        <v>9.8400884914943962E-2</v>
      </c>
      <c r="AF59" s="183">
        <f>(AF2*AG5*AG20)/AF32</f>
        <v>0.11720306585140526</v>
      </c>
      <c r="AH59" s="183">
        <f>(AH2*AI5*AI20)/AH32</f>
        <v>0.14459602758837056</v>
      </c>
      <c r="AJ59" s="183">
        <f>(AJ2*AK5*AK20)/AJ32</f>
        <v>0.18703353919254123</v>
      </c>
      <c r="AL59" s="183">
        <f>(AL2*AM5*AM20)/AL32</f>
        <v>0.25752502908330488</v>
      </c>
      <c r="AN59" s="183">
        <f>(AN2*AO5*AO20)/AN32</f>
        <v>0.39916146360283256</v>
      </c>
      <c r="AP59" s="183">
        <f>(AP2*AQ5*AQ20)/AP32</f>
        <v>0.44860602244085473</v>
      </c>
      <c r="AR59" s="183">
        <f>(AR2*AS5*AS20)/AR32</f>
        <v>0.51324817237640818</v>
      </c>
      <c r="AT59" s="183">
        <f>(AT2*AU5*AU20)/AT32</f>
        <v>0.60255768855820013</v>
      </c>
      <c r="AV59" s="183">
        <f>(AV2*AW5*AW20)/AV32</f>
        <v>0.7367590750987093</v>
      </c>
      <c r="XFD59" s="183"/>
    </row>
    <row r="60" spans="1:48 16321:16384" x14ac:dyDescent="0.2">
      <c r="A60" t="s">
        <v>158</v>
      </c>
      <c r="B60" s="183">
        <f>Model!$C$52*B5*B20/B32</f>
        <v>2.8669464423930927E-2</v>
      </c>
      <c r="D60" s="183">
        <f>Model!$C$52*D5*D20/D32</f>
        <v>2.8612410567911674E-2</v>
      </c>
      <c r="F60" s="183">
        <f>Model!$C$52*F5*F20/F32</f>
        <v>2.8554295471528858E-2</v>
      </c>
      <c r="H60" s="183">
        <f>Model!$C$52*H5*H20/H32</f>
        <v>2.8494957222969512E-2</v>
      </c>
      <c r="J60" s="183">
        <f>Model!$C$52*J5*J20/J32</f>
        <v>2.8434199608111232E-2</v>
      </c>
      <c r="L60" s="183">
        <f>Model!$C$52*L5*L20/L32</f>
        <v>2.8371780353719379E-2</v>
      </c>
      <c r="N60" s="183">
        <f>Model!$C$52*N5*N20/N32</f>
        <v>2.8307393082719696E-2</v>
      </c>
      <c r="P60" s="183">
        <f>Model!$C$52*P5*P20/P32</f>
        <v>2.824063659561413E-2</v>
      </c>
      <c r="R60" s="183">
        <f>Model!$C$52*R5*R20/R32</f>
        <v>2.8170964942764547E-2</v>
      </c>
      <c r="T60" s="183">
        <f>Model!$C$52*T5*T20/T32</f>
        <v>2.8097603983261367E-2</v>
      </c>
      <c r="V60" s="183">
        <f>Model!$C$52*V5*V20/V32</f>
        <v>2.801940138430049E-2</v>
      </c>
      <c r="X60" s="183">
        <f>Model!$C$52*X5*X20/X32</f>
        <v>2.7934552846727443E-2</v>
      </c>
      <c r="Z60" s="183">
        <f>Model!$C$52*Z5*Z20/Z32</f>
        <v>2.7840079968130763E-2</v>
      </c>
      <c r="AB60" s="183">
        <f>Model!$C$52*AB5*AB20/AB32</f>
        <v>2.7730805602973928E-2</v>
      </c>
      <c r="AD60" s="183">
        <f>Model!$C$52*AD5*AD20/AD32</f>
        <v>2.7597327807204773E-2</v>
      </c>
      <c r="AF60" s="183">
        <f>Model!$C$52*AF5*AF20/AF32</f>
        <v>2.7422277120372488E-2</v>
      </c>
      <c r="AH60" s="183">
        <f>Model!$C$52*AH5*AH20/AH32</f>
        <v>2.7175048743989322E-2</v>
      </c>
      <c r="AJ60" s="183">
        <f>Model!$C$52*AJ5*AJ20/AJ32</f>
        <v>2.6808098144178227E-2</v>
      </c>
      <c r="AL60" s="183">
        <f>Model!$C$52*AL5*AL20/AL32</f>
        <v>2.6244182603455474E-2</v>
      </c>
      <c r="AN60" s="183">
        <f>Model!$C$52*AN5*AN20/AN32</f>
        <v>2.526415917370765E-2</v>
      </c>
      <c r="AP60" s="183">
        <f>Model!$C$52*AP5*AP20/AP32</f>
        <v>2.4960688405942334E-2</v>
      </c>
      <c r="AR60" s="183">
        <f>Model!$C$52*AR5*AR20/AR32</f>
        <v>2.4588538610267312E-2</v>
      </c>
      <c r="AT60" s="183">
        <f>Model!$C$52*AT5*AT20/AT32</f>
        <v>2.4114508351443398E-2</v>
      </c>
      <c r="AV60" s="183">
        <f>Model!$C$52*AV5*AV20/AV32</f>
        <v>2.347654507987542E-2</v>
      </c>
      <c r="XFD60" s="183"/>
    </row>
    <row r="62" spans="1:48 16321:16384" x14ac:dyDescent="0.2">
      <c r="A62" t="s">
        <v>159</v>
      </c>
      <c r="B62">
        <f>B13/B15</f>
        <v>1</v>
      </c>
      <c r="D62">
        <f>D13/D15</f>
        <v>1.0057719896756998</v>
      </c>
      <c r="F62">
        <f>F13/F15</f>
        <v>1.0116116215687609</v>
      </c>
      <c r="H62">
        <f>H13/H15</f>
        <v>1.0175227107956732</v>
      </c>
      <c r="J62">
        <f>J13/J15</f>
        <v>1.0235089041699166</v>
      </c>
      <c r="L62">
        <f>L13/L15</f>
        <v>1.0295730777626368</v>
      </c>
      <c r="N62">
        <f>N13/N15</f>
        <v>1.0357163479707001</v>
      </c>
      <c r="P62">
        <f>P13/P15</f>
        <v>1.0419368038372969</v>
      </c>
      <c r="R62">
        <f>R13/R15</f>
        <v>1.0482273075492179</v>
      </c>
      <c r="T62">
        <f>T13/T15</f>
        <v>1.0545715865111369</v>
      </c>
      <c r="V62">
        <f>V13/V15</f>
        <v>1.0609382192101666</v>
      </c>
      <c r="X62">
        <f>X13/X15</f>
        <v>1.0672704460806641</v>
      </c>
      <c r="Z62">
        <f>Z13/Z15</f>
        <v>1.0734694514328691</v>
      </c>
      <c r="AB62">
        <f>AB13/AB15</f>
        <v>1.0793676305969506</v>
      </c>
      <c r="AD62">
        <f>AD13/AD15</f>
        <v>1.0846914544739865</v>
      </c>
      <c r="AF62">
        <f>AF13/AF15</f>
        <v>1.0890359457110874</v>
      </c>
      <c r="AH62">
        <f>AH13/AH15</f>
        <v>1.0919544421264589</v>
      </c>
      <c r="AJ62">
        <f>AJ13/AJ15</f>
        <v>1.0933312792664025</v>
      </c>
      <c r="AL62">
        <f>AL13/AL15</f>
        <v>1.0937001226092005</v>
      </c>
      <c r="AN62">
        <f>AN13/AN15</f>
        <v>1.093741986020291</v>
      </c>
      <c r="AP62">
        <f>AP13/AP15</f>
        <v>1.0937426397850991</v>
      </c>
      <c r="AR62">
        <f>AR13/AR15</f>
        <v>1.0937428737618937</v>
      </c>
      <c r="AT62">
        <f>AT13/AT15</f>
        <v>1.0937429409543618</v>
      </c>
      <c r="AV62">
        <f>AV13/AV15</f>
        <v>1.0937429547948336</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0.99823493567105026</v>
      </c>
      <c r="E65" s="181"/>
      <c r="F65" s="181">
        <f t="array" ref="F65">SQRT((F9:G9*$B$22:$C$22+F10:G10*$B$23:$C$23+F11:G11*$B$24:$C$24+F4:G4*($B$25:$C$25-$B$19:$C$19))/($B$9:$C$9*$B$22:$C$22+$B$10:$C$10*$B$23:$C$23+$B$11:$C$11*$B$24:$C$24+$B$4:$C$4*($B$25:$C$25-$B$19:$C$19))*(F9:G9*F22:G22+F10:G10*F23:G23+F11:G11*F24:G24+F4:G4*(F25:G25-F19:G19))/($B$9:$C$9*F22:G22+$B$10:$C$10*F23:G23+$B$11:$C$11*F24:G24+$B$4:$C$4*(F25:G25-F19:G19)))</f>
        <v>0.99638123972827541</v>
      </c>
      <c r="G65" s="181"/>
      <c r="H65" s="181">
        <f t="array" ref="H65">SQRT((H9:I9*$B$22:$C$22+H10:I10*$B$23:$C$23+H11:I11*$B$24:$C$24+H4:I4*($B$25:$C$25-$B$19:$C$19))/($B$9:$C$9*$B$22:$C$22+$B$10:$C$10*$B$23:$C$23+$B$11:$C$11*$B$24:$C$24+$B$4:$C$4*($B$25:$C$25-$B$19:$C$19))*(H9:I9*H22:I22+H10:I10*H23:I23+H11:I11*H24:I24+H4:I4*(H25:I25-H19:I19))/($B$9:$C$9*H22:I22+$B$10:$C$10*H23:I23+$B$11:$C$11*H24:I24+$B$4:$C$4*(H25:I25-H19:I19)))</f>
        <v>0.99442734490374962</v>
      </c>
      <c r="I65" s="181"/>
      <c r="J65" s="181">
        <f t="array" ref="J65">SQRT((J9:K9*$B$22:$C$22+J10:K10*$B$23:$C$23+J11:K11*$B$24:$C$24+J4:K4*($B$25:$C$25-$B$19:$C$19))/($B$9:$C$9*$B$22:$C$22+$B$10:$C$10*$B$23:$C$23+$B$11:$C$11*$B$24:$C$24+$B$4:$C$4*($B$25:$C$25-$B$19:$C$19))*(J9:K9*J22:K22+J10:K10*J23:K23+J11:K11*J24:K24+J4:K4*(J25:K25-J19:K19))/($B$9:$C$9*J22:K22+$B$10:$C$10*J23:K23+$B$11:$C$11*J24:K24+$B$4:$C$4*(J25:K25-J19:K19)))</f>
        <v>0.99236035328260164</v>
      </c>
      <c r="K65" s="181"/>
      <c r="L65" s="181">
        <f t="array" ref="L65">SQRT((L9:M9*$B$22:$C$22+L10:M10*$B$23:$C$23+L11:M11*$B$24:$C$24+L4:M4*($B$25:$C$25-$B$19:$C$19))/($B$9:$C$9*$B$22:$C$22+$B$10:$C$10*$B$23:$C$23+$B$11:$C$11*$B$24:$C$24+$B$4:$C$4*($B$25:$C$25-$B$19:$C$19))*(L9:M9*L22:M22+L10:M10*L23:M23+L11:M11*L24:M24+L4:M4*(L25:M25-L19:M19))/($B$9:$C$9*L22:M22+$B$10:$C$10*L23:M23+$B$11:$C$11*L24:M24+$B$4:$C$4*(L25:M25-L19:M19)))</f>
        <v>0.99016618709205395</v>
      </c>
      <c r="M65" s="181"/>
      <c r="N65" s="181">
        <f t="array" ref="N65">SQRT((N9:O9*$B$22:$C$22+N10:O10*$B$23:$C$23+N11:O11*$B$24:$C$24+N4:O4*($B$25:$C$25-$B$19:$C$19))/($B$9:$C$9*$B$22:$C$22+$B$10:$C$10*$B$23:$C$23+$B$11:$C$11*$B$24:$C$24+$B$4:$C$4*($B$25:$C$25-$B$19:$C$19))*(N9:O9*N22:O22+N10:O10*N23:O23+N11:O11*N24:O24+N4:O4*(N25:O25-N19:O19))/($B$9:$C$9*N22:O22+$B$10:$C$10*N23:O23+$B$11:$C$11*N24:O24+$B$4:$C$4*(N25:O25-N19:O19)))</f>
        <v>0.98783005418373859</v>
      </c>
      <c r="O65" s="181"/>
      <c r="P65" s="181">
        <f t="array" ref="P65">SQRT((P9:Q9*$B$22:$C$22+P10:Q10*$B$23:$C$23+P11:Q11*$B$24:$C$24+P4:Q4*($B$25:$C$25-$B$19:$C$19))/($B$9:$C$9*$B$22:$C$22+$B$10:$C$10*$B$23:$C$23+$B$11:$C$11*$B$24:$C$24+$B$4:$C$4*($B$25:$C$25-$B$19:$C$19))*(P9:Q9*P22:Q22+P10:Q10*P23:Q23+P11:Q11*P24:Q24+P4:Q4*(P25:Q25-P19:Q19))/($B$9:$C$9*P22:Q22+$B$10:$C$10*P23:Q23+$B$11:$C$11*P24:Q24+$B$4:$C$4*(P25:Q25-P19:Q19)))</f>
        <v>0.98533747422265705</v>
      </c>
      <c r="Q65" s="181"/>
      <c r="R65" s="181">
        <f t="array" ref="R65">SQRT((R9:S9*$B$22:$C$22+R10:S10*$B$23:$C$23+R11:S11*$B$24:$C$24+R4:S4*($B$25:$C$25-$B$19:$C$19))/($B$9:$C$9*$B$22:$C$22+$B$10:$C$10*$B$23:$C$23+$B$11:$C$11*$B$24:$C$24+$B$4:$C$4*($B$25:$C$25-$B$19:$C$19))*(R9:S9*R22:S22+R10:S10*R23:S23+R11:S11*R24:S24+R4:S4*(R25:S25-R19:S19))/($B$9:$C$9*R22:S22+$B$10:$C$10*R23:S23+$B$11:$C$11*R24:S24+$B$4:$C$4*(R25:S25-R19:S19)))</f>
        <v>0.98267634779163049</v>
      </c>
      <c r="S65" s="181"/>
      <c r="T65" s="181">
        <f t="array" ref="T65">SQRT((T9:U9*$B$22:$C$22+T10:U10*$B$23:$C$23+T11:U11*$B$24:$C$24+T4:U4*($B$25:$C$25-$B$19:$C$19))/($B$9:$C$9*$B$22:$C$22+$B$10:$C$10*$B$23:$C$23+$B$11:$C$11*$B$24:$C$24+$B$4:$C$4*($B$25:$C$25-$B$19:$C$19))*(T9:U9*T22:U22+T10:U10*T23:U23+T11:U11*T24:U24+T4:U4*(T25:U25-T19:U19))/($B$9:$C$9*T22:U22+$B$10:$C$10*T23:U23+$B$11:$C$11*T24:U24+$B$4:$C$4*(T25:U25-T19:U19)))</f>
        <v>0.97984094395138677</v>
      </c>
      <c r="U65" s="181"/>
      <c r="V65" s="181">
        <f t="array" ref="V65">SQRT((V9:W9*$B$22:$C$22+V10:W10*$B$23:$C$23+V11:W11*$B$24:$C$24+V4:W4*($B$25:$C$25-$B$19:$C$19))/($B$9:$C$9*$B$22:$C$22+$B$10:$C$10*$B$23:$C$23+$B$11:$C$11*$B$24:$C$24+$B$4:$C$4*($B$25:$C$25-$B$19:$C$19))*(V9:W9*V22:W22+V10:W10*V23:W23+V11:W11*V24:W24+V4:W4*(V25:W25-V19:W19))/($B$9:$C$9*V22:W22+$B$10:$C$10*V23:W23+$B$11:$C$11*V24:W24+$B$4:$C$4*(V25:W25-V19:W19)))</f>
        <v>0.97683951322054696</v>
      </c>
      <c r="W65" s="181"/>
      <c r="X65" s="181">
        <f t="array" ref="X65">SQRT((X9:Y9*$B$22:$C$22+X10:Y10*$B$23:$C$23+X11:Y11*$B$24:$C$24+X4:Y4*($B$25:$C$25-$B$19:$C$19))/($B$9:$C$9*$B$22:$C$22+$B$10:$C$10*$B$23:$C$23+$B$11:$C$11*$B$24:$C$24+$B$4:$C$4*($B$25:$C$25-$B$19:$C$19))*(X9:Y9*X22:Y22+X10:Y10*X23:Y23+X11:Y11*X24:Y24+X4:Y4*(X25:Y25-X19:Y19))/($B$9:$C$9*X22:Y22+$B$10:$C$10*X23:Y23+$B$11:$C$11*X24:Y24+$B$4:$C$4*(X25:Y25-X19:Y19)))</f>
        <v>0.97370882181889118</v>
      </c>
      <c r="Y65" s="181"/>
      <c r="Z65" s="181">
        <f t="array" ref="Z65">SQRT((Z9:AA9*$B$22:$C$22+Z10:AA10*$B$23:$C$23+Z11:AA11*$B$24:$C$24+Z4:AA4*($B$25:$C$25-$B$19:$C$19))/($B$9:$C$9*$B$22:$C$22+$B$10:$C$10*$B$23:$C$23+$B$11:$C$11*$B$24:$C$24+$B$4:$C$4*($B$25:$C$25-$B$19:$C$19))*(Z9:AA9*Z22:AA22+Z10:AA10*Z23:AA23+Z11:AA11*Z24:AA24+Z4:AA4*(Z25:AA25-Z19:AA19))/($B$9:$C$9*Z22:AA22+$B$10:$C$10*Z23:AA23+$B$11:$C$11*Z24:AA24+$B$4:$C$4*(Z25:AA25-Z19:AA19)))</f>
        <v>0.97054213967366132</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0.9675430266726146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0.96512404029440035</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0.96405165582817509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0.96547513408231667</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0.97025213277749234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0.9774985225558801</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0.98422410667424554</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0.98504643000697512</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0.98548284679455711</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0.98532121248091142</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0.98415105631066735</v>
      </c>
    </row>
    <row r="66" spans="1:48 16384:16384" x14ac:dyDescent="0.2">
      <c r="A66" t="s">
        <v>166</v>
      </c>
      <c r="B66" s="181">
        <f t="array" ref="B66">SQRT((B9:C9*$B$22:$C$22)/($B$9:$C$9*$B$22:$C$22)*(B9:C9*B22:C22)/($B$9:$C$9*B22:C22))</f>
        <v>1</v>
      </c>
      <c r="C66" s="181"/>
      <c r="D66" s="181">
        <f t="array" ref="D66">SQRT((D9:E9*$B$22:$C$22)/($B$9:$C$9*$B$22:$C$22)*(D9:E9*D22:E22)/($B$9:$C$9*D22:E22))</f>
        <v>0.99805926060745753</v>
      </c>
      <c r="E66" s="181"/>
      <c r="F66" s="181">
        <f t="array" ref="F66">SQRT((F9:G9*$B$22:$C$22)/($B$9:$C$9*$B$22:$C$22)*(F9:G9*F22:G22)/($B$9:$C$9*F22:G22))</f>
        <v>0.99601913798427599</v>
      </c>
      <c r="G66" s="181"/>
      <c r="H66" s="181">
        <f t="array" ref="H66">SQRT((H9:I9*$B$22:$C$22)/($B$9:$C$9*$B$22:$C$22)*(H9:I9*H22:I22)/($B$9:$C$9*H22:I22))</f>
        <v>0.99386657779849041</v>
      </c>
      <c r="I66" s="181"/>
      <c r="J66" s="181">
        <f t="array" ref="J66">SQRT((J9:K9*$B$22:$C$22)/($B$9:$C$9*$B$22:$C$22)*(J9:K9*J22:K22)/($B$9:$C$9*J22:K22))</f>
        <v>0.99158698228604381</v>
      </c>
      <c r="K66" s="181"/>
      <c r="L66" s="181">
        <f t="array" ref="L66">SQRT((L9:M9*$B$22:$C$22)/($B$9:$C$9*$B$22:$C$22)*(L9:M9*L22:M22)/($B$9:$C$9*L22:M22))</f>
        <v>0.98916435926563828</v>
      </c>
      <c r="M66" s="181"/>
      <c r="N66" s="181">
        <f t="array" ref="N66">SQRT((N9:O9*$B$22:$C$22)/($B$9:$C$9*$B$22:$C$22)*(N9:O9*N22:O22)/($B$9:$C$9*N22:O22))</f>
        <v>0.98658181767927244</v>
      </c>
      <c r="O66" s="181"/>
      <c r="P66" s="181">
        <f t="array" ref="P66">SQRT((P9:Q9*$B$22:$C$22)/($B$9:$C$9*$B$22:$C$22)*(P9:Q9*P22:Q22)/($B$9:$C$9*P22:Q22))</f>
        <v>0.98382268550948826</v>
      </c>
      <c r="Q66" s="181"/>
      <c r="R66" s="181">
        <f t="array" ref="R66">SQRT((R9:S9*$B$22:$C$22)/($B$9:$C$9*$B$22:$C$22)*(R9:S9*R22:S22)/($B$9:$C$9*R22:S22))</f>
        <v>0.98087279238060554</v>
      </c>
      <c r="S66" s="181"/>
      <c r="T66" s="181">
        <f t="array" ref="T66">SQRT((T9:U9*$B$22:$C$22)/($B$9:$C$9*$B$22:$C$22)*(T9:U9*T22:U22)/($B$9:$C$9*T22:U22))</f>
        <v>0.97772490546191482</v>
      </c>
      <c r="U66" s="181"/>
      <c r="V66" s="181">
        <f t="array" ref="V66">SQRT((V9:W9*$B$22:$C$22)/($B$9:$C$9*$B$22:$C$22)*(V9:W9*V22:W22)/($B$9:$C$9*V22:W22))</f>
        <v>0.97438725094513168</v>
      </c>
      <c r="W66" s="181"/>
      <c r="X66" s="181">
        <f t="array" ref="X66">SQRT((X9:Y9*$B$22:$C$22)/($B$9:$C$9*$B$22:$C$22)*(X9:Y9*X22:Y22)/($B$9:$C$9*X22:Y22))</f>
        <v>0.97089985981858273</v>
      </c>
      <c r="Y66" s="181"/>
      <c r="Z66" s="181">
        <f t="array" ref="Z66">SQRT((Z9:AA9*$B$22:$C$22)/($B$9:$C$9*$B$22:$C$22)*(Z9:AA9*Z22:AA22)/($B$9:$C$9*Z22:AA22))</f>
        <v>0.96736615360416545</v>
      </c>
      <c r="AA66" s="181"/>
      <c r="AB66" s="181">
        <f t="array" ref="AB66">SQRT((AB9:AC9*$B$22:$C$22)/($B$9:$C$9*$B$22:$C$22)*(AB9:AC9*AB22:AC22)/($B$9:$C$9*AB22:AC22))</f>
        <v>0.96401377300152158</v>
      </c>
      <c r="AC66" s="181"/>
      <c r="AD66" s="181">
        <f t="array" ref="AD66">SQRT((AD9:AE9*$B$22:$C$22)/($B$9:$C$9*$B$22:$C$22)*(AD9:AE9*AD22:AE22)/($B$9:$C$9*AD22:AE22))</f>
        <v>0.96130623639107216</v>
      </c>
      <c r="AE66" s="181"/>
      <c r="AF66" s="181">
        <f t="array" ref="AF66">SQRT((AF9:AG9*$B$22:$C$22)/($B$9:$C$9*$B$22:$C$22)*(AF9:AG9*AF22:AG22)/($B$9:$C$9*AF22:AG22))</f>
        <v>0.96010627007770677</v>
      </c>
      <c r="AG66" s="181"/>
      <c r="AH66" s="181">
        <f t="array" ref="AH66">SQRT((AH9:AI9*$B$22:$C$22)/($B$9:$C$9*$B$22:$C$22)*(AH9:AI9*AH22:AI22)/($B$9:$C$9*AH22:AI22))</f>
        <v>0.96170502785180301</v>
      </c>
      <c r="AI66" s="181"/>
      <c r="AJ66" s="181">
        <f t="array" ref="AJ66">SQRT((AJ9:AK9*$B$22:$C$22)/($B$9:$C$9*$B$22:$C$22)*(AJ9:AK9*AJ22:AK22)/($B$9:$C$9*AJ22:AK22))</f>
        <v>0.96705332526240961</v>
      </c>
      <c r="AK66" s="181"/>
      <c r="AL66" s="181">
        <f t="array" ref="AL66">SQRT((AL9:AM9*$B$22:$C$22)/($B$9:$C$9*$B$22:$C$22)*(AL9:AM9*AL22:AM22)/($B$9:$C$9*AL22:AM22))</f>
        <v>0.9751345463750688</v>
      </c>
      <c r="AM66" s="181"/>
      <c r="AN66" s="181">
        <f t="array" ref="AN66">SQRT((AN9:AO9*$B$22:$C$22)/($B$9:$C$9*$B$22:$C$22)*(AN9:AO9*AN22:AO22)/($B$9:$C$9*AN22:AO22))</f>
        <v>0.98260242499722394</v>
      </c>
      <c r="AO66" s="181"/>
      <c r="AP66" s="181">
        <f t="array" ref="AP66">SQRT((AP9:AQ9*$B$22:$C$22)/($B$9:$C$9*$B$22:$C$22)*(AP9:AQ9*AP22:AQ22)/($B$9:$C$9*AP22:AQ22))</f>
        <v>0.98351339357078493</v>
      </c>
      <c r="AQ66" s="181"/>
      <c r="AR66" s="181">
        <f t="array" ref="AR66">SQRT((AR9:AS9*$B$22:$C$22)/($B$9:$C$9*$B$22:$C$22)*(AR9:AS9*AR22:AS22)/($B$9:$C$9*AR22:AS22))</f>
        <v>0.98399666965853849</v>
      </c>
      <c r="AS66" s="181"/>
      <c r="AT66" s="181">
        <f t="array" ref="AT66">SQRT((AT9:AU9*$B$22:$C$22)/($B$9:$C$9*$B$22:$C$22)*(AT9:AU9*AT22:AU22)/($B$9:$C$9*AT22:AU22))</f>
        <v>0.98381769528330976</v>
      </c>
      <c r="AU66" s="181"/>
      <c r="AV66" s="181">
        <f t="array" ref="AV66">SQRT((AV9:AW9*$B$22:$C$22)/($B$9:$C$9*$B$22:$C$22)*(AV9:AW9*AV22:AW22)/($B$9:$C$9*AV22:AW22))</f>
        <v>0.98252147820970204</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0.99805926060745753</v>
      </c>
      <c r="E68" s="181"/>
      <c r="F68" s="181">
        <f>F66/F67</f>
        <v>0.99601913798427599</v>
      </c>
      <c r="G68" s="181"/>
      <c r="H68" s="181">
        <f>H66/H67</f>
        <v>0.99386657779849041</v>
      </c>
      <c r="I68" s="181"/>
      <c r="J68" s="181">
        <f>J66/J67</f>
        <v>0.99158698228604381</v>
      </c>
      <c r="K68" s="181"/>
      <c r="L68" s="181">
        <f>L66/L67</f>
        <v>0.98916435926563828</v>
      </c>
      <c r="M68" s="181"/>
      <c r="N68" s="181">
        <f>N66/N67</f>
        <v>0.98658181767927244</v>
      </c>
      <c r="O68" s="181"/>
      <c r="P68" s="181">
        <f>P66/P67</f>
        <v>0.98382268550948826</v>
      </c>
      <c r="Q68" s="181"/>
      <c r="R68" s="181">
        <f>R66/R67</f>
        <v>0.98087279238060554</v>
      </c>
      <c r="S68" s="181"/>
      <c r="T68" s="181">
        <f>T66/T67</f>
        <v>0.97772490546191482</v>
      </c>
      <c r="U68" s="181"/>
      <c r="V68" s="181">
        <f>V66/V67</f>
        <v>0.97438725094513168</v>
      </c>
      <c r="W68" s="181"/>
      <c r="X68" s="181">
        <f>X66/X67</f>
        <v>0.97089985981858273</v>
      </c>
      <c r="Y68" s="181"/>
      <c r="Z68" s="181">
        <f>Z66/Z67</f>
        <v>0.96736615360416545</v>
      </c>
      <c r="AA68" s="181"/>
      <c r="AB68" s="181">
        <f>AB66/AB67</f>
        <v>0.96401377300152158</v>
      </c>
      <c r="AC68" s="181"/>
      <c r="AD68" s="181">
        <f>AD66/AD67</f>
        <v>0.96130623639107216</v>
      </c>
      <c r="AE68" s="181"/>
      <c r="AF68" s="181">
        <f>AF66/AF67</f>
        <v>0.96010627007770677</v>
      </c>
      <c r="AG68" s="181"/>
      <c r="AH68" s="181">
        <f>AH66/AH67</f>
        <v>0.96170502785180301</v>
      </c>
      <c r="AI68" s="181"/>
      <c r="AJ68" s="181">
        <f>AJ66/AJ67</f>
        <v>0.96705332526240961</v>
      </c>
      <c r="AK68" s="181"/>
      <c r="AL68" s="181">
        <f>AL66/AL67</f>
        <v>0.9751345463750688</v>
      </c>
      <c r="AM68" s="181"/>
      <c r="AN68" s="181">
        <f>AN66/AN67</f>
        <v>0.98260242499722394</v>
      </c>
      <c r="AO68" s="181"/>
      <c r="AP68" s="181">
        <f>AP66/AP67</f>
        <v>0.98351339357078493</v>
      </c>
      <c r="AQ68" s="181"/>
      <c r="AR68" s="181">
        <f>AR66/AR67</f>
        <v>0.98399666965853849</v>
      </c>
      <c r="AS68" s="181"/>
      <c r="AT68" s="181">
        <f>AT66/AT67</f>
        <v>0.98381769528330976</v>
      </c>
      <c r="AU68" s="181"/>
      <c r="AV68" s="181">
        <f>AV66/AV67</f>
        <v>0.98252147820970204</v>
      </c>
      <c r="XFD68" s="181"/>
    </row>
    <row r="69" spans="1:48 16384:16384" x14ac:dyDescent="0.2">
      <c r="A69" t="s">
        <v>161</v>
      </c>
      <c r="B69" s="181">
        <f>B32/B65/($B$32)</f>
        <v>1</v>
      </c>
      <c r="C69" s="181"/>
      <c r="D69" s="181">
        <f>D32/D65/($B$32)</f>
        <v>1.0015536185783145</v>
      </c>
      <c r="E69" s="181"/>
      <c r="F69" s="181">
        <f>F32/F65/($B$32)</f>
        <v>1.002982836201717</v>
      </c>
      <c r="G69" s="181"/>
      <c r="H69" s="181">
        <f>H32/H65/($B$32)</f>
        <v>1.0042678304933976</v>
      </c>
      <c r="I69" s="181"/>
      <c r="J69" s="181">
        <f>J32/J65/($B$32)</f>
        <v>1.0053844900117321</v>
      </c>
      <c r="K69" s="181"/>
      <c r="L69" s="181">
        <f>L32/L65/($B$32)</f>
        <v>1.0063031443953085</v>
      </c>
      <c r="M69" s="181"/>
      <c r="N69" s="181">
        <f>N32/N65/($B$32)</f>
        <v>1.0069868615666737</v>
      </c>
      <c r="O69" s="181"/>
      <c r="P69" s="181">
        <f>P32/P65/($B$32)</f>
        <v>1.007389260065791</v>
      </c>
      <c r="Q69" s="181"/>
      <c r="R69" s="181">
        <f>R32/R65/($B$32)</f>
        <v>1.0074514122861233</v>
      </c>
      <c r="S69" s="181"/>
      <c r="T69" s="181">
        <f>T32/T65/($B$32)</f>
        <v>1.0070972691597562</v>
      </c>
      <c r="U69" s="181"/>
      <c r="V69" s="181">
        <f>V32/V65/($B$32)</f>
        <v>1.0062270586819881</v>
      </c>
      <c r="W69" s="181"/>
      <c r="X69" s="181">
        <f>X32/X65/($B$32)</f>
        <v>1.0047069059903433</v>
      </c>
      <c r="Y69" s="181"/>
      <c r="Z69" s="181">
        <f>Z32/Z65/($B$32)</f>
        <v>1.0023515437362793</v>
      </c>
      <c r="AA69" s="181"/>
      <c r="AB69" s="181">
        <f>AB32/AB65/($B$32)</f>
        <v>0.99889207302335259</v>
      </c>
      <c r="AC69" s="181"/>
      <c r="AD69" s="181">
        <f>AD32/AD65/($B$32)</f>
        <v>0.99390543905196715</v>
      </c>
      <c r="AE69" s="181"/>
      <c r="AF69" s="181">
        <f>AF32/AF65/($B$32)</f>
        <v>0.98662496662611898</v>
      </c>
      <c r="AG69" s="181"/>
      <c r="AH69" s="181">
        <f>AH32/AH65/($B$32)</f>
        <v>0.97533832914294027</v>
      </c>
      <c r="AI69" s="181"/>
      <c r="AJ69" s="181">
        <f>AJ32/AJ65/($B$32)</f>
        <v>0.95542324577859283</v>
      </c>
      <c r="AK69" s="181"/>
      <c r="AL69" s="181">
        <f>AL32/AL65/($B$32)</f>
        <v>0.91300258799571266</v>
      </c>
      <c r="AM69" s="181"/>
      <c r="AN69" s="181">
        <f>AN32/AN65/($B$32)</f>
        <v>0.79404438108507325</v>
      </c>
      <c r="AO69" s="181"/>
      <c r="AP69" s="181">
        <f>AP32/AP65/($B$32)</f>
        <v>0.74362340598645027</v>
      </c>
      <c r="AQ69" s="181"/>
      <c r="AR69" s="181">
        <f>AR32/AR65/($B$32)</f>
        <v>0.67168055131897919</v>
      </c>
      <c r="AS69" s="181"/>
      <c r="AT69" s="181">
        <f>AT32/AT65/($B$32)</f>
        <v>0.56189921178520574</v>
      </c>
      <c r="AU69" s="181"/>
      <c r="AV69" s="181">
        <f>AV32/AV65/($B$32)</f>
        <v>0.37615670671547646</v>
      </c>
    </row>
    <row r="70" spans="1:48 16384:16384" x14ac:dyDescent="0.2">
      <c r="A70" t="s">
        <v>162</v>
      </c>
      <c r="B70" s="129">
        <f>B18/$B$18</f>
        <v>1</v>
      </c>
      <c r="C70" s="129"/>
      <c r="D70" s="129">
        <f>D18/$B$18</f>
        <v>1.000273803102758</v>
      </c>
      <c r="E70" s="129"/>
      <c r="F70" s="129">
        <f>F18/$B$18</f>
        <v>1.0004204315365655</v>
      </c>
      <c r="G70" s="129"/>
      <c r="H70" s="129">
        <f>H18/$B$18</f>
        <v>1.0004201753260982</v>
      </c>
      <c r="I70" s="129"/>
      <c r="J70" s="129">
        <f>J18/$B$18</f>
        <v>1.0002486290800903</v>
      </c>
      <c r="K70" s="129"/>
      <c r="L70" s="129">
        <f>L18/$B$18</f>
        <v>0.99987501067065432</v>
      </c>
      <c r="M70" s="129"/>
      <c r="N70" s="129">
        <f>N18/$B$18</f>
        <v>0.99925970671003639</v>
      </c>
      <c r="O70" s="129"/>
      <c r="P70" s="129">
        <f>P18/$B$18</f>
        <v>0.99835066094595648</v>
      </c>
      <c r="Q70" s="129"/>
      <c r="R70" s="129">
        <f>R18/$B$18</f>
        <v>0.99707774192911913</v>
      </c>
      <c r="S70" s="129"/>
      <c r="T70" s="129">
        <f>T18/$B$18</f>
        <v>0.99534363190074904</v>
      </c>
      <c r="U70" s="129"/>
      <c r="V70" s="129">
        <f>V18/$B$18</f>
        <v>0.99300877016433475</v>
      </c>
      <c r="W70" s="129"/>
      <c r="X70" s="129">
        <f>X18/$B$18</f>
        <v>0.98986515712117096</v>
      </c>
      <c r="Y70" s="129"/>
      <c r="Z70" s="129">
        <f>Z18/$B$18</f>
        <v>0.98558877918805388</v>
      </c>
      <c r="AA70" s="129"/>
      <c r="AB70" s="129">
        <f>AB18/$B$18</f>
        <v>0.97964902172164581</v>
      </c>
      <c r="AC70" s="129"/>
      <c r="AD70" s="129">
        <f>AD18/$B$18</f>
        <v>0.97112927167199081</v>
      </c>
      <c r="AE70" s="129"/>
      <c r="AF70" s="129">
        <f>AF18/$B$18</f>
        <v>0.95836685949953315</v>
      </c>
      <c r="AG70" s="129"/>
      <c r="AH70" s="129">
        <f>AH18/$B$18</f>
        <v>0.93824892025800266</v>
      </c>
      <c r="AI70" s="129"/>
      <c r="AJ70" s="129">
        <f>AJ18/$B$18</f>
        <v>0.90472558248473101</v>
      </c>
      <c r="AK70" s="129"/>
      <c r="AL70" s="129">
        <f>AL18/$B$18</f>
        <v>0.843666051720529</v>
      </c>
      <c r="AM70" s="129"/>
      <c r="AN70" s="129">
        <f>AN18/$B$18</f>
        <v>0.70430149619912008</v>
      </c>
      <c r="AO70" s="129"/>
      <c r="AP70" s="129">
        <f>AP18/$B$18</f>
        <v>0.65142900449198493</v>
      </c>
      <c r="AQ70" s="129"/>
      <c r="AR70" s="129">
        <f>AR18/$B$18</f>
        <v>0.57952577141553008</v>
      </c>
      <c r="AS70" s="129"/>
      <c r="AT70" s="129">
        <f>AT18/$B$18</f>
        <v>0.47549263319318752</v>
      </c>
      <c r="AU70" s="129"/>
      <c r="AV70" s="129">
        <f>AV18/$B$18</f>
        <v>0.31004551957208215</v>
      </c>
    </row>
    <row r="71" spans="1:48 16384:16384" x14ac:dyDescent="0.2">
      <c r="A71" t="s">
        <v>163</v>
      </c>
      <c r="B71" s="129">
        <f>C18/$C$18</f>
        <v>1</v>
      </c>
      <c r="D71" s="129">
        <f>E18/$C$18</f>
        <v>0.93125348777858796</v>
      </c>
      <c r="E71" s="129"/>
      <c r="F71" s="129">
        <f>G18/$C$18</f>
        <v>0.86231942337293299</v>
      </c>
      <c r="G71" s="129"/>
      <c r="H71" s="129">
        <f>I18/$C$18</f>
        <v>0.79321345198581161</v>
      </c>
      <c r="I71" s="129"/>
      <c r="J71" s="129">
        <f>K18/$C$18</f>
        <v>0.7239640665965259</v>
      </c>
      <c r="K71" s="129"/>
      <c r="L71" s="129">
        <f>M18/$C$18</f>
        <v>0.65462072169196373</v>
      </c>
      <c r="M71" s="129"/>
      <c r="N71" s="129">
        <f>O18/$C$18</f>
        <v>0.58526593265220361</v>
      </c>
      <c r="O71" s="129"/>
      <c r="P71" s="129">
        <f>Q18/$C$18</f>
        <v>0.51603099565941379</v>
      </c>
      <c r="Q71" s="129"/>
      <c r="R71" s="129">
        <f>S18/$C$18</f>
        <v>0.44712080089954459</v>
      </c>
      <c r="S71" s="129"/>
      <c r="T71" s="129">
        <f>U18/$C$18</f>
        <v>0.37885391481861125</v>
      </c>
      <c r="U71" s="129"/>
      <c r="V71" s="129">
        <f>W18/$C$18</f>
        <v>0.31172166654586547</v>
      </c>
      <c r="W71" s="129"/>
      <c r="X71" s="129">
        <f>Y18/$C$18</f>
        <v>0.24648145446015959</v>
      </c>
      <c r="Y71" s="129"/>
      <c r="Z71" s="129">
        <f>AA18/$C$18</f>
        <v>0.1842995383965364</v>
      </c>
      <c r="AA71" s="129"/>
      <c r="AB71" s="129">
        <f>AC18/$C$18</f>
        <v>0.12695879625375664</v>
      </c>
      <c r="AC71" s="129"/>
      <c r="AD71" s="129">
        <f>AE18/$C$18</f>
        <v>7.7099539821194052E-2</v>
      </c>
      <c r="AE71" s="129"/>
      <c r="AF71" s="129">
        <f>AG18/$C$18</f>
        <v>3.8232616938376991E-2</v>
      </c>
      <c r="AG71" s="129"/>
      <c r="AH71" s="129">
        <f>AI18/$C$18</f>
        <v>1.3597298273456454E-2</v>
      </c>
      <c r="AI71" s="129"/>
      <c r="AJ71" s="129">
        <f>AK18/$C$18</f>
        <v>2.8383112362442234E-3</v>
      </c>
      <c r="AK71" s="129"/>
      <c r="AL71" s="129">
        <f>AM18/$C$18</f>
        <v>2.5277910577294841E-4</v>
      </c>
      <c r="AM71" s="129"/>
      <c r="AN71" s="129">
        <f>AO18/$C$18</f>
        <v>4.2649893256317942E-6</v>
      </c>
      <c r="AO71" s="129"/>
      <c r="AP71" s="129">
        <f>AQ18/$C$18</f>
        <v>1.2593769533270639E-6</v>
      </c>
      <c r="AQ71" s="129"/>
      <c r="AR71" s="129">
        <f>AS18/$C$18</f>
        <v>2.8833038151399351E-7</v>
      </c>
      <c r="AS71" s="129"/>
      <c r="AT71" s="129">
        <f>AU18/$C$18</f>
        <v>4.4681898047195144E-8</v>
      </c>
      <c r="AU71" s="129"/>
      <c r="AV71" s="129">
        <f>AW18/$C$18</f>
        <v>3.3895467952787661E-9</v>
      </c>
      <c r="XFD71" s="129"/>
    </row>
    <row r="72" spans="1:48 16384:16384" x14ac:dyDescent="0.2">
      <c r="A72" t="s">
        <v>164</v>
      </c>
      <c r="B72" s="129">
        <f>C19/$C$19</f>
        <v>1</v>
      </c>
      <c r="D72" s="129">
        <f>E19/$C$19</f>
        <v>1.0256902516916262</v>
      </c>
      <c r="E72" s="129"/>
      <c r="F72" s="129">
        <f>G19/$C$19</f>
        <v>1.0550133165082043</v>
      </c>
      <c r="G72" s="129"/>
      <c r="H72" s="129">
        <f>I19/$C$19</f>
        <v>1.0884266489896186</v>
      </c>
      <c r="I72" s="129"/>
      <c r="J72" s="129">
        <f>K19/$C$19</f>
        <v>1.1264331014330948</v>
      </c>
      <c r="K72" s="129"/>
      <c r="L72" s="129">
        <f>M19/$C$19</f>
        <v>1.1695740225346749</v>
      </c>
      <c r="M72" s="129"/>
      <c r="N72" s="129">
        <f>O19/$C$19</f>
        <v>1.2184068092464688</v>
      </c>
      <c r="O72" s="129"/>
      <c r="P72" s="129">
        <f>Q19/$C$19</f>
        <v>1.2734559041898275</v>
      </c>
      <c r="Q72" s="129"/>
      <c r="R72" s="129">
        <f>S19/$C$19</f>
        <v>1.3351188889536156</v>
      </c>
      <c r="S72" s="129"/>
      <c r="T72" s="129">
        <f>U19/$C$19</f>
        <v>1.4034887463526717</v>
      </c>
      <c r="U72" s="129"/>
      <c r="V72" s="129">
        <f>W19/$C$19</f>
        <v>1.4780177598352524</v>
      </c>
      <c r="W72" s="129"/>
      <c r="X72" s="129">
        <f>Y19/$C$19</f>
        <v>1.5568821639694721</v>
      </c>
      <c r="Y72" s="129"/>
      <c r="Z72" s="129">
        <f>AA19/$C$19</f>
        <v>1.6357707444259189</v>
      </c>
      <c r="AA72" s="129"/>
      <c r="AB72" s="129">
        <f>AC19/$C$19</f>
        <v>1.7055767549742027</v>
      </c>
      <c r="AC72" s="129"/>
      <c r="AD72" s="129">
        <f>AE19/$C$19</f>
        <v>1.7482151965175055</v>
      </c>
      <c r="AE72" s="129"/>
      <c r="AF72" s="129">
        <f>AG19/$C$19</f>
        <v>1.7305733535376091</v>
      </c>
      <c r="AG72" s="129"/>
      <c r="AH72" s="129">
        <f>AI19/$C$19</f>
        <v>1.6033413381153687</v>
      </c>
      <c r="AI72" s="129"/>
      <c r="AJ72" s="129">
        <f>AK19/$C$19</f>
        <v>1.3276223420052193</v>
      </c>
      <c r="AK72" s="129"/>
      <c r="AL72" s="129">
        <f>AM19/$C$19</f>
        <v>0.92626056839152593</v>
      </c>
      <c r="AM72" s="129"/>
      <c r="AN72" s="129">
        <f>AO19/$C$19</f>
        <v>0.46855499734501588</v>
      </c>
      <c r="AO72" s="129"/>
      <c r="AP72" s="129">
        <f>AQ19/$C$19</f>
        <v>0.37503962818722097</v>
      </c>
      <c r="AQ72" s="129"/>
      <c r="AR72" s="129">
        <f>AS19/$C$19</f>
        <v>0.28135750902322637</v>
      </c>
      <c r="AS72" s="129"/>
      <c r="AT72" s="129">
        <f>AU19/$C$19</f>
        <v>0.18759571536965675</v>
      </c>
      <c r="AU72" s="129"/>
      <c r="AV72" s="129">
        <f>AW19/$C$19</f>
        <v>9.3802436895642036E-2</v>
      </c>
      <c r="XFD72" s="129"/>
    </row>
    <row r="73" spans="1:48 16384:16384" x14ac:dyDescent="0.2">
      <c r="A73" t="s">
        <v>168</v>
      </c>
      <c r="B73" s="183">
        <f t="array" ref="B73">SUM(B9:C9*B22:C22)/B32</f>
        <v>0.47641153352875104</v>
      </c>
      <c r="D73" s="183">
        <f t="array" ref="D73">SUM(D9:E9*D22:E22)/D32</f>
        <v>0.47641154136226138</v>
      </c>
      <c r="E73" s="129"/>
      <c r="F73" s="183">
        <f t="array" ref="F73">SUM(F9:G9*F22:G22)/F32</f>
        <v>0.47641153378002377</v>
      </c>
      <c r="G73" s="129"/>
      <c r="H73" s="183">
        <f t="array" ref="H73">SUM(H9:I9*H22:I22)/H32</f>
        <v>0.47641153389388508</v>
      </c>
      <c r="I73" s="129"/>
      <c r="J73" s="183">
        <f t="array" ref="J73">SUM(J9:K9*J22:K22)/J32</f>
        <v>0.4764115350354306</v>
      </c>
      <c r="K73" s="129"/>
      <c r="L73" s="183">
        <f t="array" ref="L73">SUM(L9:M9*L22:M22)/L32</f>
        <v>0.47641153416950827</v>
      </c>
      <c r="M73" s="129"/>
      <c r="N73" s="183">
        <f t="array" ref="N73">SUM(N9:O9*N22:O22)/N32</f>
        <v>0.4764115348496607</v>
      </c>
      <c r="O73" s="129"/>
      <c r="P73" s="183">
        <f t="array" ref="P73">SUM(P9:Q9*P22:Q22)/P32</f>
        <v>0.47641153596588554</v>
      </c>
      <c r="Q73" s="129"/>
      <c r="R73" s="183">
        <f t="array" ref="R73">SUM(R9:S9*R22:S22)/R32</f>
        <v>0.47641153713514367</v>
      </c>
      <c r="S73" s="129"/>
      <c r="T73" s="183">
        <f t="array" ref="T73">SUM(T9:U9*T22:U22)/T32</f>
        <v>0.47641153729676622</v>
      </c>
      <c r="U73" s="129"/>
      <c r="V73" s="183">
        <f t="array" ref="V73">SUM(V9:W9*V22:W22)/V32</f>
        <v>0.47641153706772033</v>
      </c>
      <c r="W73" s="129"/>
      <c r="X73" s="183">
        <f t="array" ref="X73">SUM(X9:Y9*X22:Y22)/X32</f>
        <v>0.47641153362447408</v>
      </c>
      <c r="Y73" s="129"/>
      <c r="Z73" s="183">
        <f t="array" ref="Z73">SUM(Z9:AA9*Z22:AA22)/Z32</f>
        <v>0.47641153436292877</v>
      </c>
      <c r="AA73" s="129"/>
      <c r="AB73" s="183">
        <f t="array" ref="AB73">SUM(AB9:AC9*AB22:AC22)/AB32</f>
        <v>0.47641153327859609</v>
      </c>
      <c r="AC73" s="129"/>
      <c r="AD73" s="183">
        <f t="array" ref="AD73">SUM(AD9:AE9*AD22:AE22)/AD32</f>
        <v>0.47641153361642596</v>
      </c>
      <c r="AE73" s="129"/>
      <c r="AF73" s="183">
        <f t="array" ref="AF73">SUM(AF9:AG9*AF22:AG22)/AF32</f>
        <v>0.47641153354716675</v>
      </c>
      <c r="AG73" s="129"/>
      <c r="AH73" s="183">
        <f t="array" ref="AH73">SUM(AH9:AI9*AH22:AI22)/AH32</f>
        <v>0.47641153351396259</v>
      </c>
      <c r="AI73" s="129"/>
      <c r="AJ73" s="183">
        <f t="array" ref="AJ73">SUM(AJ9:AK9*AJ22:AK22)/AJ32</f>
        <v>0.47641153352622206</v>
      </c>
      <c r="AK73" s="129"/>
      <c r="AL73" s="183">
        <f t="array" ref="AL73">SUM(AL9:AM9*AL22:AM22)/AL32</f>
        <v>0.47641153352878685</v>
      </c>
      <c r="AM73" s="129"/>
      <c r="AN73" s="183">
        <f t="array" ref="AN73">SUM(AN9:AO9*AN22:AO22)/AN32</f>
        <v>0.47641153352875404</v>
      </c>
      <c r="AO73" s="129"/>
      <c r="AP73" s="183">
        <f t="array" ref="AP73">SUM(AP9:AQ9*AP22:AQ22)/AP32</f>
        <v>0.47641153352885135</v>
      </c>
      <c r="AQ73" s="129"/>
      <c r="AR73" s="183">
        <f t="array" ref="AR73">SUM(AR9:AS9*AR22:AS22)/AR32</f>
        <v>0.47641153352875132</v>
      </c>
      <c r="AS73" s="129"/>
      <c r="AT73" s="183">
        <f t="array" ref="AT73">SUM(AT9:AU9*AT22:AU22)/AT32</f>
        <v>0.47641153352875093</v>
      </c>
      <c r="AU73" s="129"/>
      <c r="AV73" s="183">
        <f t="array" ref="AV73">SUM(AV9:AW9*AV22:AW22)/AV32</f>
        <v>0.47641153352873344</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0.22604620456442487</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0.22604620456442484</v>
      </c>
      <c r="AQ74" s="129"/>
      <c r="AR74" s="183">
        <f t="array" ref="AR74">SUM(AR10:AS10*AR23:AS23)/AR32</f>
        <v>0.22604620456442487</v>
      </c>
      <c r="AS74" s="129"/>
      <c r="AT74" s="183">
        <f t="array" ref="AT74">SUM(AT10:AU10*AT23:AU23)/AT32</f>
        <v>0.22604620456442481</v>
      </c>
      <c r="AU74" s="129"/>
      <c r="AV74" s="183">
        <f t="array" ref="AV74">SUM(AV10:AW10*AV23:AW23)/AV32</f>
        <v>0.22604620456442481</v>
      </c>
      <c r="XFD74" s="183"/>
    </row>
    <row r="75" spans="1:48 16384:16384" x14ac:dyDescent="0.2">
      <c r="A75" t="s">
        <v>170</v>
      </c>
      <c r="B75" s="183">
        <f t="array" ref="B75">SUM(B11:C11*B24:C24)/B32</f>
        <v>0.22038438833194082</v>
      </c>
      <c r="D75" s="183">
        <f t="array" ref="D75">SUM(D11:E11*D24:E24)/D32</f>
        <v>0.22038438854598957</v>
      </c>
      <c r="E75" s="129"/>
      <c r="F75" s="183">
        <f t="array" ref="F75">SUM(F11:G11*F24:G24)/F32</f>
        <v>0.2203843883218666</v>
      </c>
      <c r="G75" s="129"/>
      <c r="H75" s="183">
        <f t="array" ref="H75">SUM(H11:I11*H24:I24)/H32</f>
        <v>0.22038438831591314</v>
      </c>
      <c r="I75" s="129"/>
      <c r="J75" s="183">
        <f t="array" ref="J75">SUM(J11:K11*J24:K24)/J32</f>
        <v>0.22038438836816562</v>
      </c>
      <c r="K75" s="129"/>
      <c r="L75" s="183">
        <f t="array" ref="L75">SUM(L11:M11*L24:M24)/L32</f>
        <v>0.22038438830121815</v>
      </c>
      <c r="M75" s="129"/>
      <c r="N75" s="183">
        <f t="array" ref="N75">SUM(N11:O11*N24:O24)/N32</f>
        <v>0.22038438826900669</v>
      </c>
      <c r="O75" s="129"/>
      <c r="P75" s="183">
        <f t="array" ref="P75">SUM(P11:Q11*P24:Q24)/P32</f>
        <v>0.22038438831210228</v>
      </c>
      <c r="Q75" s="129"/>
      <c r="R75" s="183">
        <f t="array" ref="R75">SUM(R11:S11*R24:S24)/R32</f>
        <v>0.22038438830376803</v>
      </c>
      <c r="S75" s="129"/>
      <c r="T75" s="183">
        <f t="array" ref="T75">SUM(T11:U11*T24:U24)/T32</f>
        <v>0.2203843883060671</v>
      </c>
      <c r="U75" s="129"/>
      <c r="V75" s="183">
        <f t="array" ref="V75">SUM(V11:W11*V24:W24)/V32</f>
        <v>0.22038438831197357</v>
      </c>
      <c r="W75" s="129"/>
      <c r="X75" s="183">
        <f t="array" ref="X75">SUM(X11:Y11*X24:Y24)/X32</f>
        <v>0.22038438833372889</v>
      </c>
      <c r="Y75" s="129"/>
      <c r="Z75" s="183">
        <f t="array" ref="Z75">SUM(Z11:AA11*Z24:AA24)/Z32</f>
        <v>0.2203843883501575</v>
      </c>
      <c r="AA75" s="129"/>
      <c r="AB75" s="183">
        <f t="array" ref="AB75">SUM(AB11:AC11*AB24:AC24)/AB32</f>
        <v>0.22038438834215884</v>
      </c>
      <c r="AC75" s="129"/>
      <c r="AD75" s="183">
        <f t="array" ref="AD75">SUM(AD11:AE11*AD24:AE24)/AD32</f>
        <v>0.22038438833035021</v>
      </c>
      <c r="AE75" s="129"/>
      <c r="AF75" s="183">
        <f t="array" ref="AF75">SUM(AF11:AG11*AF24:AG24)/AF32</f>
        <v>0.22038438833221244</v>
      </c>
      <c r="AG75" s="129"/>
      <c r="AH75" s="183">
        <f t="array" ref="AH75">SUM(AH11:AI11*AH24:AI24)/AH32</f>
        <v>0.22038438833200294</v>
      </c>
      <c r="AI75" s="129"/>
      <c r="AJ75" s="183">
        <f t="array" ref="AJ75">SUM(AJ11:AK11*AJ24:AK24)/AJ32</f>
        <v>0.22038438833189541</v>
      </c>
      <c r="AK75" s="129"/>
      <c r="AL75" s="183">
        <f t="array" ref="AL75">SUM(AL11:AM11*AL24:AM24)/AL32</f>
        <v>0.22038438833194271</v>
      </c>
      <c r="AM75" s="129"/>
      <c r="AN75" s="183">
        <f t="array" ref="AN75">SUM(AN11:AO11*AN24:AO24)/AN32</f>
        <v>0.22038438833194079</v>
      </c>
      <c r="AO75" s="129"/>
      <c r="AP75" s="183">
        <f t="array" ref="AP75">SUM(AP11:AQ11*AP24:AQ24)/AP32</f>
        <v>0.22038438833201399</v>
      </c>
      <c r="AQ75" s="129"/>
      <c r="AR75" s="183">
        <f t="array" ref="AR75">SUM(AR11:AS11*AR24:AS24)/AR32</f>
        <v>0.22038438833194079</v>
      </c>
      <c r="AS75" s="129"/>
      <c r="AT75" s="183">
        <f t="array" ref="AT75">SUM(AT11:AU11*AT24:AU24)/AT32</f>
        <v>0.22038438833194077</v>
      </c>
      <c r="AU75" s="129"/>
      <c r="AV75" s="183">
        <f t="array" ref="AV75">SUM(AV11:AW11*AV24:AW24)/AV32</f>
        <v>0.22038438833191665</v>
      </c>
      <c r="XFD75" s="183"/>
    </row>
    <row r="76" spans="1:48 16384:16384" x14ac:dyDescent="0.2">
      <c r="A76" t="s">
        <v>171</v>
      </c>
      <c r="B76" s="183">
        <f t="array" ref="B76">SUM(B12:C12*B25:C25)/B32</f>
        <v>0.22301874374724831</v>
      </c>
      <c r="D76" s="183">
        <f t="array" ref="D76">SUM(D12:E12*D25:E25)/D32</f>
        <v>0.22297808734326441</v>
      </c>
      <c r="E76" s="129"/>
      <c r="F76" s="183">
        <f t="array" ref="F76">SUM(F12:G12*F25:G25)/F32</f>
        <v>0.22299017175046162</v>
      </c>
      <c r="G76" s="129"/>
      <c r="H76" s="183">
        <f t="array" ref="H76">SUM(H12:I12*H25:I25)/H32</f>
        <v>0.22306191112618984</v>
      </c>
      <c r="I76" s="129"/>
      <c r="J76" s="183">
        <f t="array" ref="J76">SUM(J12:K12*J25:K25)/J32</f>
        <v>0.22320105612460844</v>
      </c>
      <c r="K76" s="129"/>
      <c r="L76" s="183">
        <f t="array" ref="L76">SUM(L12:M12*L25:M25)/L32</f>
        <v>0.22341610967232375</v>
      </c>
      <c r="M76" s="129"/>
      <c r="N76" s="183">
        <f t="array" ref="N76">SUM(N12:O12*N25:O25)/N32</f>
        <v>0.2237160400068913</v>
      </c>
      <c r="O76" s="129"/>
      <c r="P76" s="183">
        <f t="array" ref="P76">SUM(P12:Q12*P25:Q25)/P32</f>
        <v>0.22410958253664356</v>
      </c>
      <c r="Q76" s="129"/>
      <c r="R76" s="183">
        <f t="array" ref="R76">SUM(R12:S12*R25:S25)/R32</f>
        <v>0.22460380142995368</v>
      </c>
      <c r="S76" s="129"/>
      <c r="T76" s="183">
        <f t="array" ref="T76">SUM(T12:U12*T25:U25)/T32</f>
        <v>0.22520126256699199</v>
      </c>
      <c r="U76" s="129"/>
      <c r="V76" s="183">
        <f t="array" ref="V76">SUM(V12:W12*V25:W25)/V32</f>
        <v>0.22589445683743703</v>
      </c>
      <c r="W76" s="129"/>
      <c r="X76" s="183">
        <f t="array" ref="X76">SUM(X12:Y12*X25:Y25)/X32</f>
        <v>0.22665491537045304</v>
      </c>
      <c r="Y76" s="129"/>
      <c r="Z76" s="183">
        <f t="array" ref="Z76">SUM(Z12:AA12*Z25:AA25)/Z32</f>
        <v>0.22741178710872609</v>
      </c>
      <c r="AA76" s="129"/>
      <c r="AB76" s="183">
        <f t="array" ref="AB76">SUM(AB12:AC12*AB25:AC25)/AB32</f>
        <v>0.2280099093691258</v>
      </c>
      <c r="AC76" s="129"/>
      <c r="AD76" s="183">
        <f t="array" ref="AD76">SUM(AD12:AE12*AD25:AE25)/AD32</f>
        <v>0.22813158643424414</v>
      </c>
      <c r="AE76" s="129"/>
      <c r="AF76" s="183">
        <f t="array" ref="AF76">SUM(AF12:AG12*AF25:AG25)/AF32</f>
        <v>0.2271786644672345</v>
      </c>
      <c r="AG76" s="129"/>
      <c r="AH76" s="183">
        <f t="array" ref="AH76">SUM(AH12:AI12*AH25:AI25)/AH32</f>
        <v>0.22423007224495056</v>
      </c>
      <c r="AI76" s="129"/>
      <c r="AJ76" s="183">
        <f t="array" ref="AJ76">SUM(AJ12:AK12*AJ25:AK25)/AJ32</f>
        <v>0.21847014422853744</v>
      </c>
      <c r="AK76" s="129"/>
      <c r="AL76" s="183">
        <f t="array" ref="AL76">SUM(AL12:AM12*AL25:AM25)/AL32</f>
        <v>0.20994980738991945</v>
      </c>
      <c r="AM76" s="129"/>
      <c r="AN76" s="183">
        <f t="array" ref="AN76">SUM(AN12:AO12*AN25:AO25)/AN32</f>
        <v>0.19870721094940597</v>
      </c>
      <c r="AO76" s="129"/>
      <c r="AP76" s="183">
        <f t="array" ref="AP76">SUM(AP12:AQ12*AP25:AQ25)/AP32</f>
        <v>0.19591574520809782</v>
      </c>
      <c r="AQ76" s="129"/>
      <c r="AR76" s="183">
        <f t="array" ref="AR76">SUM(AR12:AS12*AR25:AS25)/AR32</f>
        <v>0.19278376904366681</v>
      </c>
      <c r="AS76" s="129"/>
      <c r="AT76" s="183">
        <f t="array" ref="AT76">SUM(AT12:AU12*AT25:AU25)/AT32</f>
        <v>0.18914377722499973</v>
      </c>
      <c r="AU76" s="129"/>
      <c r="AV76" s="183">
        <f t="array" ref="AV76">SUM(AV12:AW12*AV25:AW25)/AV32</f>
        <v>0.18468116731915402</v>
      </c>
      <c r="XFD76" s="183"/>
    </row>
    <row r="77" spans="1:48 16384:16384" x14ac:dyDescent="0.2">
      <c r="A77" t="s">
        <v>172</v>
      </c>
      <c r="B77" s="183">
        <f t="array" ref="B77">SUM(B4:C4*B19:C19)/B32</f>
        <v>0.14586087017236474</v>
      </c>
      <c r="D77" s="183">
        <f t="array" ref="D77">SUM(D4:E4*D19:E19)/D32</f>
        <v>0.14582022181594023</v>
      </c>
      <c r="E77" s="129"/>
      <c r="F77" s="183">
        <f t="array" ref="F77">SUM(F4:G4*F19:G19)/F32</f>
        <v>0.14583229841677661</v>
      </c>
      <c r="G77" s="129"/>
      <c r="H77" s="183">
        <f t="array" ref="H77">SUM(H4:I4*H19:I19)/H32</f>
        <v>0.14590403790041284</v>
      </c>
      <c r="I77" s="129"/>
      <c r="J77" s="183">
        <f t="array" ref="J77">SUM(J4:K4*J19:K19)/J32</f>
        <v>0.14604318409262956</v>
      </c>
      <c r="K77" s="129"/>
      <c r="L77" s="183">
        <f t="array" ref="L77">SUM(L4:M4*L19:M19)/L32</f>
        <v>0.14625823670747504</v>
      </c>
      <c r="M77" s="129"/>
      <c r="N77" s="183">
        <f t="array" ref="N77">SUM(N4:O4*N19:O19)/N32</f>
        <v>0.14655816768998353</v>
      </c>
      <c r="O77" s="129"/>
      <c r="P77" s="183">
        <f t="array" ref="P77">SUM(P4:Q4*P19:Q19)/P32</f>
        <v>0.14695171137905624</v>
      </c>
      <c r="Q77" s="129"/>
      <c r="R77" s="183">
        <f t="array" ref="R77">SUM(R4:S4*R19:S19)/R32</f>
        <v>0.14744593143329013</v>
      </c>
      <c r="S77" s="129"/>
      <c r="T77" s="183">
        <f t="array" ref="T77">SUM(T4:U4*T19:U19)/T32</f>
        <v>0.1480433927342503</v>
      </c>
      <c r="U77" s="129"/>
      <c r="V77" s="183">
        <f t="array" ref="V77">SUM(V4:W4*V19:W19)/V32</f>
        <v>0.14873658678155574</v>
      </c>
      <c r="W77" s="129"/>
      <c r="X77" s="183">
        <f t="array" ref="X77">SUM(X4:Y4*X19:Y19)/X32</f>
        <v>0.14949704189308077</v>
      </c>
      <c r="Y77" s="129"/>
      <c r="Z77" s="183">
        <f t="array" ref="Z77">SUM(Z4:AA4*Z19:AA19)/Z32</f>
        <v>0.15025391438623703</v>
      </c>
      <c r="AA77" s="129"/>
      <c r="AB77" s="183">
        <f t="array" ref="AB77">SUM(AB4:AC4*AB19:AC19)/AB32</f>
        <v>0.15085203555430549</v>
      </c>
      <c r="AC77" s="129"/>
      <c r="AD77" s="183">
        <f t="array" ref="AD77">SUM(AD4:AE4*AD19:AE19)/AD32</f>
        <v>0.15097371294544512</v>
      </c>
      <c r="AE77" s="129"/>
      <c r="AF77" s="183">
        <f t="array" ref="AF77">SUM(AF4:AG4*AF19:AG19)/AF32</f>
        <v>0.15002079091103845</v>
      </c>
      <c r="AG77" s="129"/>
      <c r="AH77" s="183">
        <f t="array" ref="AH77">SUM(AH4:AI4*AH19:AI19)/AH32</f>
        <v>0.14707219865534077</v>
      </c>
      <c r="AI77" s="129"/>
      <c r="AJ77" s="183">
        <f t="array" ref="AJ77">SUM(AJ4:AK4*AJ19:AK19)/AJ32</f>
        <v>0.14131227065107937</v>
      </c>
      <c r="AK77" s="129"/>
      <c r="AL77" s="183">
        <f t="array" ref="AL77">SUM(AL4:AM4*AL19:AM19)/AL32</f>
        <v>0.13279193381507376</v>
      </c>
      <c r="AM77" s="129"/>
      <c r="AN77" s="183">
        <f t="array" ref="AN77">SUM(AN4:AO4*AN19:AO19)/AN32</f>
        <v>0.12154933737452557</v>
      </c>
      <c r="AO77" s="129"/>
      <c r="AP77" s="183">
        <f t="array" ref="AP77">SUM(AP4:AQ4*AP19:AQ19)/AP32</f>
        <v>0.11875787163338791</v>
      </c>
      <c r="AQ77" s="129"/>
      <c r="AR77" s="183">
        <f t="array" ref="AR77">SUM(AR4:AS4*AR19:AS19)/AR32</f>
        <v>0.11562589546878366</v>
      </c>
      <c r="AS77" s="129"/>
      <c r="AT77" s="183">
        <f t="array" ref="AT77">SUM(AT4:AU4*AT19:AU19)/AT32</f>
        <v>0.11198590365011631</v>
      </c>
      <c r="AU77" s="129"/>
      <c r="AV77" s="183">
        <f t="array" ref="AV77">SUM(AV4:AW4*AV19:AW19)/AV32</f>
        <v>0.10752329374422888</v>
      </c>
      <c r="XFD77" s="183"/>
    </row>
    <row r="78" spans="1:48 16384:16384" x14ac:dyDescent="0.2">
      <c r="A78" t="s">
        <v>173</v>
      </c>
      <c r="B78" s="183">
        <f t="array" ref="B78">SUM(B13:C13*B26:C26)/B32</f>
        <v>0.346887593115773</v>
      </c>
      <c r="D78" s="183">
        <f t="array" ref="D78">SUM(D13:E13*D26:E26)/D32</f>
        <v>0.34621303626077404</v>
      </c>
      <c r="E78" s="129"/>
      <c r="F78" s="183">
        <f t="array" ref="F78">SUM(F13:G13*F26:G26)/F32</f>
        <v>0.34549049992436459</v>
      </c>
      <c r="G78" s="129"/>
      <c r="H78" s="183">
        <f t="array" ref="H78">SUM(H13:I13*H26:I26)/H32</f>
        <v>0.3447128242877513</v>
      </c>
      <c r="I78" s="129"/>
      <c r="J78" s="183">
        <f t="array" ref="J78">SUM(J13:K13*J26:K26)/J32</f>
        <v>0.34387108720793436</v>
      </c>
      <c r="K78" s="129"/>
      <c r="L78" s="183">
        <f t="array" ref="L78">SUM(L13:M13*L26:M26)/L32</f>
        <v>0.34295391859587482</v>
      </c>
      <c r="M78" s="129"/>
      <c r="N78" s="183">
        <f t="array" ref="N78">SUM(N13:O13*N26:O26)/N32</f>
        <v>0.34194646157790182</v>
      </c>
      <c r="O78" s="129"/>
      <c r="P78" s="183">
        <f t="array" ref="P78">SUM(P13:Q13*P26:Q26)/P32</f>
        <v>0.34082876244851434</v>
      </c>
      <c r="Q78" s="129"/>
      <c r="R78" s="183">
        <f t="array" ref="R78">SUM(R13:S13*R26:S26)/R32</f>
        <v>0.33957317882215815</v>
      </c>
      <c r="S78" s="129"/>
      <c r="T78" s="183">
        <f t="array" ref="T78">SUM(T13:U13*T26:U26)/T32</f>
        <v>0.33814007106125543</v>
      </c>
      <c r="U78" s="129"/>
      <c r="V78" s="183">
        <f t="array" ref="V78">SUM(V13:W13*V26:W26)/V32</f>
        <v>0.33647042266281624</v>
      </c>
      <c r="W78" s="129"/>
      <c r="X78" s="183">
        <f t="array" ref="X78">SUM(X13:Y13*X26:Y26)/X32</f>
        <v>0.33447269100306121</v>
      </c>
      <c r="Y78" s="129"/>
      <c r="Z78" s="183">
        <f t="array" ref="Z78">SUM(Z13:AA13*Z26:AA26)/Z32</f>
        <v>0.33199847976571623</v>
      </c>
      <c r="AA78" s="129"/>
      <c r="AB78" s="183">
        <f t="array" ref="AB78">SUM(AB13:AC13*AB26:AC26)/AB32</f>
        <v>0.32879599470165699</v>
      </c>
      <c r="AC78" s="129"/>
      <c r="AD78" s="183">
        <f t="array" ref="AD78">SUM(AD13:AE13*AD26:AE26)/AD32</f>
        <v>0.32441970019377964</v>
      </c>
      <c r="AE78" s="129"/>
      <c r="AF78" s="183">
        <f t="array" ref="AF78">SUM(AF13:AG13*AF26:AG26)/AF32</f>
        <v>0.31806250046687773</v>
      </c>
      <c r="AG78" s="129"/>
      <c r="AH78" s="183">
        <f t="array" ref="AH78">SUM(AH13:AI13*AH26:AI26)/AH32</f>
        <v>0.30829303024777177</v>
      </c>
      <c r="AI78" s="129"/>
      <c r="AJ78" s="183">
        <f t="array" ref="AJ78">SUM(AJ13:AK13*AJ26:AK26)/AJ32</f>
        <v>0.29269548661311307</v>
      </c>
      <c r="AK78" s="129"/>
      <c r="AL78" s="183">
        <f t="array" ref="AL78">SUM(AL13:AM13*AL26:AM26)/AL32</f>
        <v>0.26648976857446499</v>
      </c>
      <c r="AM78" s="129"/>
      <c r="AN78" s="183">
        <f t="array" ref="AN78">SUM(AN13:AO13*AN26:AO26)/AN32</f>
        <v>0.21365110596947756</v>
      </c>
      <c r="AO78" s="129"/>
      <c r="AP78" s="183">
        <f t="array" ref="AP78">SUM(AP13:AQ13*AP26:AQ26)/AP32</f>
        <v>0.19518224928277508</v>
      </c>
      <c r="AQ78" s="129"/>
      <c r="AR78" s="183">
        <f t="array" ref="AR78">SUM(AR13:AS13*AR26:AS26)/AR32</f>
        <v>0.17102354776724785</v>
      </c>
      <c r="AS78" s="129"/>
      <c r="AT78" s="183">
        <f t="array" ref="AT78">SUM(AT13:AU13*AT26:AU26)/AT32</f>
        <v>0.13762494397023023</v>
      </c>
      <c r="AU78" s="129"/>
      <c r="AV78" s="183">
        <f t="array" ref="AV78">SUM(AV13:AW13*AV26:AW26)/AV32</f>
        <v>8.7400192278235506E-2</v>
      </c>
      <c r="XFD78" s="183"/>
    </row>
    <row r="79" spans="1:48 16384:16384" x14ac:dyDescent="0.2">
      <c r="A79" t="s">
        <v>174</v>
      </c>
      <c r="B79" s="183">
        <f t="array" ref="B79">SUM(B15:C15*B27:C27)/B32</f>
        <v>0.45460968782440875</v>
      </c>
      <c r="D79" s="183">
        <f t="array" ref="D79">SUM(D15:E15*D27:E27)/D32</f>
        <v>0.45112178611354314</v>
      </c>
      <c r="F79" s="183">
        <f t="array" ref="F79">SUM(F15:G15*F27:G27)/F32</f>
        <v>0.44758159474291154</v>
      </c>
      <c r="H79" s="183">
        <f t="array" ref="H79">SUM(H15:I15*H27:I27)/H32</f>
        <v>0.44397983834969668</v>
      </c>
      <c r="J79" s="183">
        <f t="array" ref="J79">SUM(J15:K15*J27:K27)/J32</f>
        <v>0.44030534369658547</v>
      </c>
      <c r="L79" s="183">
        <f t="array" ref="L79">SUM(L15:M15*L27:M27)/L32</f>
        <v>0.43654449012564911</v>
      </c>
      <c r="N79" s="183">
        <f t="array" ref="N79">SUM(N15:O15*N27:O27)/N32</f>
        <v>0.43268037959267375</v>
      </c>
      <c r="P79" s="183">
        <f t="array" ref="P79">SUM(P15:Q15*P27:Q27)/P32</f>
        <v>0.42869140716555071</v>
      </c>
      <c r="R79" s="183">
        <f t="array" ref="R79">SUM(R15:S15*R27:S27)/R32</f>
        <v>0.42454900787027522</v>
      </c>
      <c r="T79" s="183">
        <f t="array" ref="T79">SUM(T15:U15*T27:U27)/T32</f>
        <v>0.42021397657078263</v>
      </c>
      <c r="V79" s="183">
        <f t="array" ref="V79">SUM(V15:W15*V27:W27)/V32</f>
        <v>0.41562983852559077</v>
      </c>
      <c r="X79" s="183">
        <f t="array" ref="X79">SUM(X15:Y15*X27:Y27)/X32</f>
        <v>0.41071077832787922</v>
      </c>
      <c r="Z79" s="183">
        <f t="array" ref="Z79">SUM(Z15:AA15*Z27:AA27)/Z32</f>
        <v>0.40531840504631472</v>
      </c>
      <c r="AB79" s="183">
        <f t="array" ref="AB79">SUM(AB15:AC15*AB27:AC27)/AB32</f>
        <v>0.39921518140906281</v>
      </c>
      <c r="AD79" s="183">
        <f t="array" ref="AD79">SUM(AD15:AE15*AD27:AE27)/AD32</f>
        <v>0.39196827644535909</v>
      </c>
      <c r="AF79" s="183">
        <f t="array" ref="AF79">SUM(AF15:AG15*AF27:AG27)/AF32</f>
        <v>0.38275438383240451</v>
      </c>
      <c r="AH79" s="183">
        <f t="array" ref="AH79">SUM(AH15:AI15*AH27:AI27)/AH32</f>
        <v>0.37000628961545712</v>
      </c>
      <c r="AJ79" s="183">
        <f t="array" ref="AJ79">SUM(AJ15:AK15*AJ27:AK27)/AJ32</f>
        <v>0.35084409546351913</v>
      </c>
      <c r="AL79" s="183">
        <f t="array" ref="AL79">SUM(AL15:AM15*AL27:AM27)/AL32</f>
        <v>0.31932446870071607</v>
      </c>
      <c r="AN79" s="183">
        <f t="array" ref="AN79">SUM(AN15:AO15*AN27:AO27)/AN32</f>
        <v>0.25600012699603003</v>
      </c>
      <c r="AP79" s="183">
        <f t="array" ref="AP79">SUM(AP15:AQ15*AP27:AQ27)/AP32</f>
        <v>0.23387031166314867</v>
      </c>
      <c r="AR79" s="183">
        <f t="array" ref="AR79">SUM(AR15:AS15*AR27:AS27)/AR32</f>
        <v>0.20492294768670197</v>
      </c>
      <c r="AT79" s="183">
        <f t="array" ref="AT79">SUM(AT15:AU15*AT27:AU27)/AT32</f>
        <v>0.16490423587404468</v>
      </c>
      <c r="AV79" s="183">
        <f t="array" ref="AV79">SUM(AV15:AW15*AV27:AW27)/AV32</f>
        <v>0.10472419697599615</v>
      </c>
      <c r="XFD79" s="183"/>
    </row>
    <row r="80" spans="1:48 16384:16384" x14ac:dyDescent="0.2">
      <c r="A80" t="s">
        <v>153</v>
      </c>
      <c r="B80" s="195">
        <f>B55</f>
        <v>0.19850271905982084</v>
      </c>
      <c r="D80" s="195">
        <f>D55</f>
        <v>0.20266521530582068</v>
      </c>
      <c r="F80" s="195">
        <f>F55</f>
        <v>0.20692790438852862</v>
      </c>
      <c r="H80" s="195">
        <f>H55</f>
        <v>0.21130733584874867</v>
      </c>
      <c r="J80" s="195">
        <f>J55</f>
        <v>0.21582357761829102</v>
      </c>
      <c r="L80" s="195">
        <f>L55</f>
        <v>0.22050158829163236</v>
      </c>
      <c r="N80" s="195">
        <f>N55</f>
        <v>0.22537315251822884</v>
      </c>
      <c r="P80" s="195">
        <f>P55</f>
        <v>0.23047983332996597</v>
      </c>
      <c r="R80" s="195">
        <f>R55</f>
        <v>0.23587781722441231</v>
      </c>
      <c r="T80" s="195">
        <f>T55</f>
        <v>0.24164595613491199</v>
      </c>
      <c r="V80" s="195">
        <f>V55</f>
        <v>0.24789974206753221</v>
      </c>
      <c r="X80" s="195">
        <f>X55</f>
        <v>0.25481653130621235</v>
      </c>
      <c r="Z80" s="195">
        <f>Z55</f>
        <v>0.26268312172329711</v>
      </c>
      <c r="AB80" s="195">
        <f>AB55</f>
        <v>0.27198882784959733</v>
      </c>
      <c r="AD80" s="195">
        <f>AD55</f>
        <v>0.28361202257092799</v>
      </c>
      <c r="AF80" s="195">
        <f>AF55</f>
        <v>0.29918311593268654</v>
      </c>
      <c r="AH80" s="195">
        <f>AH55</f>
        <v>0.32170068070923225</v>
      </c>
      <c r="AJ80" s="195">
        <f>AJ55</f>
        <v>0.35646041817946117</v>
      </c>
      <c r="AL80" s="195">
        <f>AL55</f>
        <v>0.41418576278754055</v>
      </c>
      <c r="AN80" s="195">
        <f>AN55</f>
        <v>0.53034876704652567</v>
      </c>
      <c r="AP80" s="195">
        <f>AP55</f>
        <v>0.57094743940743264</v>
      </c>
      <c r="AR80" s="195">
        <f>AR55</f>
        <v>0.62405350454590047</v>
      </c>
      <c r="AT80" s="195">
        <f>AT55</f>
        <v>0.69747082015634632</v>
      </c>
      <c r="AV80" s="195">
        <f>AV55</f>
        <v>0.80787561073801417</v>
      </c>
      <c r="XFD80" s="195"/>
    </row>
    <row r="81" spans="1:48 16384:16384" x14ac:dyDescent="0.2">
      <c r="A81" t="s">
        <v>175</v>
      </c>
      <c r="B81" s="195">
        <f>B51/B$32</f>
        <v>-2.7543485504603994E-2</v>
      </c>
      <c r="D81" s="195">
        <f>D51/D$32</f>
        <v>-2.3380989258604139E-2</v>
      </c>
      <c r="F81" s="195">
        <f>F51/F$32</f>
        <v>-1.9118300175896226E-2</v>
      </c>
      <c r="H81" s="195">
        <f>H51/H$32</f>
        <v>-1.4738868715676185E-2</v>
      </c>
      <c r="J81" s="195">
        <f>J51/J$32</f>
        <v>-1.0222626946133828E-2</v>
      </c>
      <c r="L81" s="195">
        <f>L51/L$32</f>
        <v>-5.5446162727924861E-3</v>
      </c>
      <c r="N81" s="195">
        <f>N51/N$32</f>
        <v>-6.7305204619597938E-4</v>
      </c>
      <c r="P81" s="195">
        <f>P51/P$32</f>
        <v>4.4336287655411212E-3</v>
      </c>
      <c r="R81" s="195">
        <f>R51/R$32</f>
        <v>9.8316126599874588E-3</v>
      </c>
      <c r="T81" s="195">
        <f>T51/T$32</f>
        <v>1.5599751570487156E-2</v>
      </c>
      <c r="V81" s="195">
        <f>V51/V$32</f>
        <v>2.1853537503107354E-2</v>
      </c>
      <c r="X81" s="195">
        <f>X51/X$32</f>
        <v>2.8770326741787509E-2</v>
      </c>
      <c r="Z81" s="195">
        <f>Z51/Z$32</f>
        <v>3.6636917158872247E-2</v>
      </c>
      <c r="AB81" s="195">
        <f>AB51/AB$32</f>
        <v>4.5942623285172478E-2</v>
      </c>
      <c r="AD81" s="195">
        <f>AD51/AD$32</f>
        <v>5.7565818006503178E-2</v>
      </c>
      <c r="AF81" s="195">
        <f>AF51/AF$32</f>
        <v>7.313691136826167E-2</v>
      </c>
      <c r="AH81" s="195">
        <f>AH51/AH$32</f>
        <v>9.5654476144807404E-2</v>
      </c>
      <c r="AJ81" s="195">
        <f>AJ51/AJ$32</f>
        <v>0.13041421361503636</v>
      </c>
      <c r="AL81" s="195">
        <f>AL51/AL$32</f>
        <v>0.1881395582231157</v>
      </c>
      <c r="AN81" s="195">
        <f>AN51/AN$32</f>
        <v>0.30430256248210086</v>
      </c>
      <c r="AP81" s="195">
        <f>AP51/AP$32</f>
        <v>0.34490123484300778</v>
      </c>
      <c r="AR81" s="195">
        <f>AR51/AR$32</f>
        <v>0.39800729998147566</v>
      </c>
      <c r="AT81" s="195">
        <f>AT51/AT$32</f>
        <v>0.4714246155919215</v>
      </c>
      <c r="AV81" s="195">
        <f>AV51/AV$32</f>
        <v>0.58182940617358925</v>
      </c>
      <c r="XFD81" s="195"/>
    </row>
    <row r="82" spans="1:48 16384:16384" x14ac:dyDescent="0.2">
      <c r="A82" t="s">
        <v>176</v>
      </c>
      <c r="B82" s="195">
        <f>B52/B$32</f>
        <v>0.14069693704202227</v>
      </c>
      <c r="D82" s="195">
        <f>D52/D$32</f>
        <v>0.1404233380859265</v>
      </c>
      <c r="F82" s="195">
        <f>F52/F$32</f>
        <v>0.14013027874494152</v>
      </c>
      <c r="H82" s="195">
        <f>H52/H$32</f>
        <v>0.13981485501040863</v>
      </c>
      <c r="J82" s="195">
        <f>J52/J$32</f>
        <v>0.13947344807837861</v>
      </c>
      <c r="L82" s="195">
        <f>L52/L$32</f>
        <v>0.13910144626272186</v>
      </c>
      <c r="N82" s="195">
        <f>N52/N$32</f>
        <v>0.13869282364420413</v>
      </c>
      <c r="P82" s="195">
        <f>P52/P$32</f>
        <v>0.13823948703845565</v>
      </c>
      <c r="R82" s="195">
        <f>R52/R$32</f>
        <v>0.13773022474734375</v>
      </c>
      <c r="T82" s="195">
        <f>T52/T$32</f>
        <v>0.13714895901051222</v>
      </c>
      <c r="V82" s="195">
        <f>V52/V$32</f>
        <v>0.13647175284845986</v>
      </c>
      <c r="X82" s="195">
        <f>X52/X$32</f>
        <v>0.13566147674998436</v>
      </c>
      <c r="Z82" s="195">
        <f>Z52/Z$32</f>
        <v>0.13465794145613713</v>
      </c>
      <c r="AB82" s="195">
        <f>AB52/AB$32</f>
        <v>0.13335901970633104</v>
      </c>
      <c r="AD82" s="195">
        <f>AD52/AD$32</f>
        <v>0.13158400311573576</v>
      </c>
      <c r="AF82" s="195">
        <f>AF52/AF$32</f>
        <v>0.1290055351984904</v>
      </c>
      <c r="AH82" s="195">
        <f>AH52/AH$32</f>
        <v>0.1250430569674148</v>
      </c>
      <c r="AJ82" s="195">
        <f>AJ52/AJ$32</f>
        <v>0.11871672342788302</v>
      </c>
      <c r="AL82" s="195">
        <f>AL52/AL$32</f>
        <v>0.10808773486156635</v>
      </c>
      <c r="AN82" s="195">
        <f>AN52/AN$32</f>
        <v>8.665647547536684E-2</v>
      </c>
      <c r="AP82" s="195">
        <f>AP52/AP$32</f>
        <v>7.9165542913763626E-2</v>
      </c>
      <c r="AR82" s="195">
        <f>AR52/AR$32</f>
        <v>6.936682029120872E-2</v>
      </c>
      <c r="AT82" s="195">
        <f>AT52/AT$32</f>
        <v>5.5820411169127136E-2</v>
      </c>
      <c r="AV82" s="195">
        <f>AV52/AV$32</f>
        <v>3.5449348995100737E-2</v>
      </c>
    </row>
    <row r="83" spans="1:48 16384:16384" x14ac:dyDescent="0.2">
      <c r="A83" t="s">
        <v>177</v>
      </c>
      <c r="B83" s="195">
        <f>B53/B$32</f>
        <v>0.18438881036940691</v>
      </c>
      <c r="D83" s="195">
        <f>D53/D$32</f>
        <v>0.18297412417952449</v>
      </c>
      <c r="F83" s="195">
        <f>F53/F$32</f>
        <v>0.1815382294047459</v>
      </c>
      <c r="H83" s="195">
        <f>H53/H$32</f>
        <v>0.18007736397584681</v>
      </c>
      <c r="J83" s="195">
        <f>J53/J$32</f>
        <v>0.17858699604937708</v>
      </c>
      <c r="L83" s="195">
        <f>L53/L$32</f>
        <v>0.17706160111281702</v>
      </c>
      <c r="N83" s="195">
        <f>N53/N$32</f>
        <v>0.17549432535210682</v>
      </c>
      <c r="P83" s="195">
        <f>P53/P$32</f>
        <v>0.17387640584855751</v>
      </c>
      <c r="R83" s="195">
        <f>R53/R$32</f>
        <v>0.17219625670394459</v>
      </c>
      <c r="T83" s="195">
        <f>T53/T$32</f>
        <v>0.17043797639088554</v>
      </c>
      <c r="V83" s="195">
        <f>V53/V$32</f>
        <v>0.1685786588634321</v>
      </c>
      <c r="X83" s="195">
        <f>X53/X$32</f>
        <v>0.16658349755850657</v>
      </c>
      <c r="Z83" s="195">
        <f>Z53/Z$32</f>
        <v>0.16439636138194649</v>
      </c>
      <c r="AB83" s="195">
        <f>AB53/AB$32</f>
        <v>0.16192090567558681</v>
      </c>
      <c r="AD83" s="195">
        <f>AD53/AD$32</f>
        <v>0.15898157503458735</v>
      </c>
      <c r="AF83" s="195">
        <f>AF53/AF$32</f>
        <v>0.1552444380063277</v>
      </c>
      <c r="AH83" s="195">
        <f>AH53/AH$32</f>
        <v>0.15007383564105659</v>
      </c>
      <c r="AJ83" s="195">
        <f>AJ53/AJ$32</f>
        <v>0.14230168674415899</v>
      </c>
      <c r="AL83" s="195">
        <f>AL53/AL$32</f>
        <v>0.12951738707405211</v>
      </c>
      <c r="AN83" s="195">
        <f>AN53/AN$32</f>
        <v>0.10383315651963682</v>
      </c>
      <c r="AP83" s="195">
        <f>AP53/AP$32</f>
        <v>9.4857346209803003E-2</v>
      </c>
      <c r="AR83" s="195">
        <f>AR53/AR$32</f>
        <v>8.3116351352234455E-2</v>
      </c>
      <c r="AT83" s="195">
        <f>AT53/AT$32</f>
        <v>6.6884839219342726E-2</v>
      </c>
      <c r="AV83" s="195">
        <f>AV53/AV$32</f>
        <v>4.2475931803621775E-2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5.733192406430266E-2</v>
      </c>
      <c r="E2" s="189"/>
      <c r="F2" s="188">
        <v>0.1137669530427904</v>
      </c>
      <c r="G2" s="189"/>
      <c r="H2" s="188">
        <v>0.17584594695567424</v>
      </c>
      <c r="I2" s="189"/>
      <c r="J2" s="188">
        <v>0.24453290981002296</v>
      </c>
      <c r="K2" s="189"/>
      <c r="L2" s="188">
        <v>0.32105575718883911</v>
      </c>
      <c r="M2" s="189"/>
      <c r="N2" s="188">
        <v>0.40702950664873838</v>
      </c>
      <c r="O2" s="189"/>
      <c r="P2" s="188">
        <v>0.5046192110370975</v>
      </c>
      <c r="Q2" s="189"/>
      <c r="R2" s="188">
        <v>0.61683247406449304</v>
      </c>
      <c r="S2" s="189"/>
      <c r="T2" s="188">
        <v>0.74800251854177291</v>
      </c>
      <c r="U2" s="189"/>
      <c r="V2" s="188">
        <v>0.90464901434183687</v>
      </c>
      <c r="W2" s="189"/>
      <c r="X2" s="188">
        <v>1.0970947848260506</v>
      </c>
      <c r="Y2" s="189"/>
      <c r="Z2" s="188">
        <v>1.3427030230503485</v>
      </c>
      <c r="AA2" s="189"/>
      <c r="AB2" s="188">
        <v>1.672849159741602</v>
      </c>
      <c r="AC2" s="189"/>
      <c r="AD2" s="188">
        <v>2.1492052460687172</v>
      </c>
      <c r="AE2" s="189"/>
      <c r="AF2" s="188">
        <v>2.9049054757331763</v>
      </c>
      <c r="AG2" s="189"/>
      <c r="AH2" s="188">
        <v>4.2554916822806765</v>
      </c>
      <c r="AI2" s="189"/>
      <c r="AJ2" s="188">
        <v>7.0232993510271635</v>
      </c>
      <c r="AK2" s="189"/>
      <c r="AL2" s="188">
        <v>13.785729914213345</v>
      </c>
      <c r="AM2" s="189"/>
      <c r="AN2" s="188"/>
      <c r="AO2" s="189"/>
      <c r="AP2" s="188"/>
      <c r="AQ2" s="189"/>
      <c r="AR2" s="188"/>
      <c r="AS2" s="189"/>
      <c r="AT2" s="188"/>
      <c r="AU2" s="189"/>
      <c r="AV2" s="188"/>
      <c r="AW2" s="189"/>
    </row>
    <row r="3" spans="1:49" x14ac:dyDescent="0.2">
      <c r="A3" t="s">
        <v>12</v>
      </c>
      <c r="B3" s="81">
        <v>1000</v>
      </c>
      <c r="C3" s="82">
        <v>1000</v>
      </c>
      <c r="D3" s="81">
        <v>998.27619919818528</v>
      </c>
      <c r="E3" s="82">
        <v>1021.1293993221419</v>
      </c>
      <c r="F3" s="81">
        <v>996.45541194933014</v>
      </c>
      <c r="G3" s="82">
        <v>1044.8524980346613</v>
      </c>
      <c r="H3" s="81">
        <v>994.52522920901276</v>
      </c>
      <c r="I3" s="82">
        <v>1071.6299887160558</v>
      </c>
      <c r="J3" s="81">
        <v>992.47160220731826</v>
      </c>
      <c r="K3" s="82">
        <v>1102.0401243653228</v>
      </c>
      <c r="L3" s="81">
        <v>990.27907239636886</v>
      </c>
      <c r="M3" s="82">
        <v>1136.8177725306105</v>
      </c>
      <c r="N3" s="81">
        <v>987.93084153769621</v>
      </c>
      <c r="O3" s="82">
        <v>1176.921889260336</v>
      </c>
      <c r="P3" s="81">
        <v>985.41000684816322</v>
      </c>
      <c r="Q3" s="82">
        <v>1223.6221771733926</v>
      </c>
      <c r="R3" s="81">
        <v>982.70136211533224</v>
      </c>
      <c r="S3" s="82">
        <v>1278.6509018065981</v>
      </c>
      <c r="T3" s="81">
        <v>979.79533824606904</v>
      </c>
      <c r="U3" s="82">
        <v>1344.4456466078884</v>
      </c>
      <c r="V3" s="81">
        <v>976.69558419931479</v>
      </c>
      <c r="W3" s="82">
        <v>1424.5711900161446</v>
      </c>
      <c r="X3" s="81">
        <v>973.43365280671765</v>
      </c>
      <c r="Y3" s="82">
        <v>1524.4883249458076</v>
      </c>
      <c r="Z3" s="81">
        <v>970.09755026504752</v>
      </c>
      <c r="AA3" s="82">
        <v>1653.0492145265785</v>
      </c>
      <c r="AB3" s="81">
        <v>966.88723539049272</v>
      </c>
      <c r="AC3" s="82">
        <v>1825.6176944862636</v>
      </c>
      <c r="AD3" s="81">
        <v>964.21823175365807</v>
      </c>
      <c r="AE3" s="82">
        <v>2071.1156428401428</v>
      </c>
      <c r="AF3" s="81">
        <v>962.88112992681727</v>
      </c>
      <c r="AG3" s="82">
        <v>2449.2034315124893</v>
      </c>
      <c r="AH3" s="81">
        <v>964.10442144697583</v>
      </c>
      <c r="AI3" s="82">
        <v>3095.1374038987437</v>
      </c>
      <c r="AJ3" s="81">
        <v>968.89203762210957</v>
      </c>
      <c r="AK3" s="82">
        <v>4349.5554960489389</v>
      </c>
      <c r="AL3" s="81">
        <v>976.4090118261264</v>
      </c>
      <c r="AM3" s="82">
        <v>7265.5609550535373</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998.19077448797725</v>
      </c>
      <c r="E5" s="40">
        <v>1018.3788486068199</v>
      </c>
      <c r="F5" s="39">
        <v>996.27877049669189</v>
      </c>
      <c r="G5" s="40">
        <v>1038.5990293819821</v>
      </c>
      <c r="H5" s="39">
        <v>994.25078081522906</v>
      </c>
      <c r="I5" s="40">
        <v>1060.894015726373</v>
      </c>
      <c r="J5" s="39">
        <v>992.09183284791436</v>
      </c>
      <c r="K5" s="40">
        <v>1085.5320997441181</v>
      </c>
      <c r="L5" s="39">
        <v>989.78542128969434</v>
      </c>
      <c r="M5" s="40">
        <v>1112.8233059550594</v>
      </c>
      <c r="N5" s="39">
        <v>987.31356731257836</v>
      </c>
      <c r="O5" s="40">
        <v>1143.1216007126761</v>
      </c>
      <c r="P5" s="39">
        <v>984.65811056254609</v>
      </c>
      <c r="Q5" s="40">
        <v>1176.8328668468473</v>
      </c>
      <c r="R5" s="39">
        <v>981.80259649391974</v>
      </c>
      <c r="S5" s="40">
        <v>1214.4163500773382</v>
      </c>
      <c r="T5" s="39">
        <v>978.73643312837942</v>
      </c>
      <c r="U5" s="40">
        <v>1256.3814001108842</v>
      </c>
      <c r="V5" s="39">
        <v>975.4629174066763</v>
      </c>
      <c r="W5" s="40">
        <v>1303.2719423177818</v>
      </c>
      <c r="X5" s="39">
        <v>972.01482879356695</v>
      </c>
      <c r="Y5" s="40">
        <v>1355.6179255221059</v>
      </c>
      <c r="Z5" s="39">
        <v>968.48480844320284</v>
      </c>
      <c r="AA5" s="40">
        <v>1413.8138880335373</v>
      </c>
      <c r="AB5" s="39">
        <v>965.08449710722869</v>
      </c>
      <c r="AC5" s="40">
        <v>1477.8252546448168</v>
      </c>
      <c r="AD5" s="39">
        <v>962.25498639509817</v>
      </c>
      <c r="AE5" s="40">
        <v>1546.5133447322241</v>
      </c>
      <c r="AF5" s="39">
        <v>960.83660092011917</v>
      </c>
      <c r="AG5" s="40">
        <v>1616.228859217834</v>
      </c>
      <c r="AH5" s="39">
        <v>962.13428020506444</v>
      </c>
      <c r="AI5" s="40">
        <v>1678.8962853508056</v>
      </c>
      <c r="AJ5" s="39">
        <v>967.20834084583043</v>
      </c>
      <c r="AK5" s="40">
        <v>1723.192650473273</v>
      </c>
      <c r="AL5" s="39">
        <v>975.16012653907922</v>
      </c>
      <c r="AM5" s="40">
        <v>1744.1832075823665</v>
      </c>
      <c r="AN5" s="39"/>
      <c r="AO5" s="40"/>
      <c r="AP5" s="39"/>
      <c r="AQ5" s="40"/>
      <c r="AR5" s="39"/>
      <c r="AS5" s="40"/>
      <c r="AT5" s="39"/>
      <c r="AU5" s="40"/>
      <c r="AV5" s="39"/>
      <c r="AW5" s="40"/>
    </row>
    <row r="6" spans="1:49" x14ac:dyDescent="0.2">
      <c r="A6" t="s">
        <v>77</v>
      </c>
      <c r="B6" s="39">
        <v>999.99999999999943</v>
      </c>
      <c r="C6" s="40">
        <v>999.99999999999886</v>
      </c>
      <c r="D6" s="39">
        <v>998.0526564257101</v>
      </c>
      <c r="E6" s="40">
        <v>1022.7890745847357</v>
      </c>
      <c r="F6" s="39">
        <v>995.99527365835024</v>
      </c>
      <c r="G6" s="40">
        <v>1048.3329935344357</v>
      </c>
      <c r="H6" s="39">
        <v>993.81374363315444</v>
      </c>
      <c r="I6" s="40">
        <v>1077.1154933975083</v>
      </c>
      <c r="J6" s="39">
        <v>991.49208394066227</v>
      </c>
      <c r="K6" s="40">
        <v>1109.7430866849609</v>
      </c>
      <c r="L6" s="39">
        <v>989.01269260078652</v>
      </c>
      <c r="M6" s="40">
        <v>1146.9857121194134</v>
      </c>
      <c r="N6" s="39">
        <v>986.35642149244825</v>
      </c>
      <c r="O6" s="40">
        <v>1189.847258551915</v>
      </c>
      <c r="P6" s="39">
        <v>983.50396742024009</v>
      </c>
      <c r="Q6" s="40">
        <v>1239.6557024457825</v>
      </c>
      <c r="R6" s="39">
        <v>980.43790581759652</v>
      </c>
      <c r="S6" s="40">
        <v>1298.2214633257299</v>
      </c>
      <c r="T6" s="39">
        <v>977.14715174172352</v>
      </c>
      <c r="U6" s="40">
        <v>1368.090349777025</v>
      </c>
      <c r="V6" s="39">
        <v>973.6355576246491</v>
      </c>
      <c r="W6" s="40">
        <v>1452.9830753522053</v>
      </c>
      <c r="X6" s="39">
        <v>969.93859182833319</v>
      </c>
      <c r="Y6" s="40">
        <v>1558.5958658790441</v>
      </c>
      <c r="Z6" s="39">
        <v>966.15579587208458</v>
      </c>
      <c r="AA6" s="40">
        <v>1694.1568520148965</v>
      </c>
      <c r="AB6" s="39">
        <v>962.51392355569419</v>
      </c>
      <c r="AC6" s="40">
        <v>1875.6716752037839</v>
      </c>
      <c r="AD6" s="39">
        <v>959.48484193387276</v>
      </c>
      <c r="AE6" s="40">
        <v>2133.2476074822439</v>
      </c>
      <c r="AF6" s="39">
        <v>957.96690686738407</v>
      </c>
      <c r="AG6" s="40">
        <v>2528.9376795027374</v>
      </c>
      <c r="AH6" s="39">
        <v>959.35565118029513</v>
      </c>
      <c r="AI6" s="40">
        <v>3203.3033950569206</v>
      </c>
      <c r="AJ6" s="39">
        <v>964.78842541588972</v>
      </c>
      <c r="AK6" s="40">
        <v>4510.1411868140904</v>
      </c>
      <c r="AL6" s="39">
        <v>973.31083386335183</v>
      </c>
      <c r="AM6" s="40">
        <v>7543.2217032098879</v>
      </c>
      <c r="AN6" s="39"/>
      <c r="AO6" s="40"/>
      <c r="AP6" s="39"/>
      <c r="AQ6" s="40"/>
      <c r="AR6" s="39"/>
      <c r="AS6" s="40"/>
      <c r="AT6" s="39"/>
      <c r="AU6" s="40"/>
      <c r="AV6" s="39"/>
      <c r="AW6" s="40"/>
    </row>
    <row r="7" spans="1:49" x14ac:dyDescent="0.2">
      <c r="A7" t="s">
        <v>13</v>
      </c>
      <c r="B7" s="31">
        <v>1015.9116825427475</v>
      </c>
      <c r="C7" s="32">
        <v>1015.9116825427475</v>
      </c>
      <c r="D7" s="31">
        <v>1014.0736692087291</v>
      </c>
      <c r="E7" s="32">
        <v>1014.0736692087291</v>
      </c>
      <c r="F7" s="31">
        <v>1012.131242016914</v>
      </c>
      <c r="G7" s="32">
        <v>1012.131242016914</v>
      </c>
      <c r="H7" s="31">
        <v>1010.0709836074398</v>
      </c>
      <c r="I7" s="32">
        <v>1010.0709836074398</v>
      </c>
      <c r="J7" s="31">
        <v>1007.8776831454428</v>
      </c>
      <c r="K7" s="32">
        <v>1007.8776831454428</v>
      </c>
      <c r="L7" s="31">
        <v>1005.5345726986955</v>
      </c>
      <c r="M7" s="32">
        <v>1005.5345726986955</v>
      </c>
      <c r="N7" s="31">
        <v>1003.0233873658036</v>
      </c>
      <c r="O7" s="32">
        <v>1003.0233873658036</v>
      </c>
      <c r="P7" s="31">
        <v>1000.3256778309589</v>
      </c>
      <c r="Q7" s="32">
        <v>1000.3256778309589</v>
      </c>
      <c r="R7" s="31">
        <v>997.42472772897611</v>
      </c>
      <c r="S7" s="32">
        <v>997.42472772897611</v>
      </c>
      <c r="T7" s="31">
        <v>994.3097765453391</v>
      </c>
      <c r="U7" s="32">
        <v>994.3097765453391</v>
      </c>
      <c r="V7" s="31">
        <v>990.98417368067362</v>
      </c>
      <c r="W7" s="32">
        <v>990.98417368067362</v>
      </c>
      <c r="X7" s="31">
        <v>987.48122017617322</v>
      </c>
      <c r="Y7" s="32">
        <v>987.48122017617322</v>
      </c>
      <c r="Z7" s="31">
        <v>983.89503126262468</v>
      </c>
      <c r="AA7" s="32">
        <v>983.89503126262468</v>
      </c>
      <c r="AB7" s="31">
        <v>980.44061525212601</v>
      </c>
      <c r="AC7" s="32">
        <v>980.44061525212601</v>
      </c>
      <c r="AD7" s="31">
        <v>977.56608226379274</v>
      </c>
      <c r="AE7" s="32">
        <v>977.56608226379274</v>
      </c>
      <c r="AF7" s="31">
        <v>976.12512788941262</v>
      </c>
      <c r="AG7" s="32">
        <v>976.12512788941262</v>
      </c>
      <c r="AH7" s="31">
        <v>977.44345543518227</v>
      </c>
      <c r="AI7" s="32">
        <v>977.44345543518227</v>
      </c>
      <c r="AJ7" s="31">
        <v>982.59825291806681</v>
      </c>
      <c r="AK7" s="32">
        <v>982.59825291806681</v>
      </c>
      <c r="AL7" s="31">
        <v>990.67656490091451</v>
      </c>
      <c r="AM7" s="32">
        <v>990.67656490091451</v>
      </c>
      <c r="AN7" s="31"/>
      <c r="AO7" s="32"/>
      <c r="AP7" s="31"/>
      <c r="AQ7" s="32"/>
      <c r="AR7" s="31"/>
      <c r="AS7" s="32"/>
      <c r="AT7" s="31"/>
      <c r="AU7" s="32"/>
      <c r="AV7" s="31"/>
      <c r="AW7" s="32"/>
    </row>
    <row r="8" spans="1:49" x14ac:dyDescent="0.2">
      <c r="B8" s="33">
        <v>1005.7716594496609</v>
      </c>
      <c r="C8" s="34">
        <v>1005.7716594496609</v>
      </c>
      <c r="D8" s="33">
        <v>1076.7644674238381</v>
      </c>
      <c r="E8" s="34">
        <v>1076.7644674238381</v>
      </c>
      <c r="F8" s="33">
        <v>1156.7572763879698</v>
      </c>
      <c r="G8" s="34">
        <v>1156.7572763879698</v>
      </c>
      <c r="H8" s="33">
        <v>1247.447928541385</v>
      </c>
      <c r="I8" s="34">
        <v>1247.447928541385</v>
      </c>
      <c r="J8" s="33">
        <v>1350.9804227867312</v>
      </c>
      <c r="K8" s="34">
        <v>1350.9804227867312</v>
      </c>
      <c r="L8" s="33">
        <v>1470.1016350658481</v>
      </c>
      <c r="M8" s="34">
        <v>1470.1016350658481</v>
      </c>
      <c r="N8" s="33">
        <v>1608.4058218902728</v>
      </c>
      <c r="O8" s="34">
        <v>1608.4058218902728</v>
      </c>
      <c r="P8" s="33">
        <v>1770.6853396376291</v>
      </c>
      <c r="Q8" s="34">
        <v>1770.6853396376291</v>
      </c>
      <c r="R8" s="33">
        <v>1963.5077918399143</v>
      </c>
      <c r="S8" s="34">
        <v>1963.5077918399143</v>
      </c>
      <c r="T8" s="33">
        <v>2196.1578516428644</v>
      </c>
      <c r="U8" s="34">
        <v>2196.1578516428644</v>
      </c>
      <c r="V8" s="33">
        <v>2482.2756203549343</v>
      </c>
      <c r="W8" s="34">
        <v>2482.2756203549343</v>
      </c>
      <c r="X8" s="33">
        <v>2842.8592818291177</v>
      </c>
      <c r="Y8" s="34">
        <v>2842.8592818291177</v>
      </c>
      <c r="Z8" s="33">
        <v>3312.1460695267347</v>
      </c>
      <c r="AA8" s="34">
        <v>3312.1460695267347</v>
      </c>
      <c r="AB8" s="33">
        <v>3950.0039901223176</v>
      </c>
      <c r="AC8" s="34">
        <v>3950.0039901223176</v>
      </c>
      <c r="AD8" s="33">
        <v>4870.2879383459986</v>
      </c>
      <c r="AE8" s="34">
        <v>4870.2879383459986</v>
      </c>
      <c r="AF8" s="33">
        <v>6311.2209223977052</v>
      </c>
      <c r="AG8" s="34">
        <v>6311.2209223977052</v>
      </c>
      <c r="AH8" s="33">
        <v>8823.4254630730829</v>
      </c>
      <c r="AI8" s="34">
        <v>8823.4254630730829</v>
      </c>
      <c r="AJ8" s="33">
        <v>13825.690474236988</v>
      </c>
      <c r="AK8" s="34">
        <v>13825.690474236988</v>
      </c>
      <c r="AL8" s="33">
        <v>25789.021828219182</v>
      </c>
      <c r="AM8" s="34">
        <v>25789.021828219182</v>
      </c>
      <c r="AN8" s="33"/>
      <c r="AO8" s="34"/>
      <c r="AP8" s="33"/>
      <c r="AQ8" s="34"/>
      <c r="AR8" s="33"/>
      <c r="AS8" s="34"/>
      <c r="AT8" s="33"/>
      <c r="AU8" s="34"/>
      <c r="AV8" s="33"/>
      <c r="AW8" s="34"/>
    </row>
    <row r="9" spans="1:49" x14ac:dyDescent="0.2">
      <c r="A9" t="s">
        <v>14</v>
      </c>
      <c r="B9" s="39">
        <v>1015.9116825427475</v>
      </c>
      <c r="C9" s="40">
        <v>1005.7716594496609</v>
      </c>
      <c r="D9" s="39">
        <v>1014.0736692087291</v>
      </c>
      <c r="E9" s="40">
        <v>1076.7644674238381</v>
      </c>
      <c r="F9" s="39">
        <v>1012.131242016914</v>
      </c>
      <c r="G9" s="40">
        <v>1156.7572763879698</v>
      </c>
      <c r="H9" s="39">
        <v>1010.0709836074398</v>
      </c>
      <c r="I9" s="40">
        <v>1247.447928541385</v>
      </c>
      <c r="J9" s="39">
        <v>1007.8776831454428</v>
      </c>
      <c r="K9" s="40">
        <v>1350.9804227867312</v>
      </c>
      <c r="L9" s="39">
        <v>1005.5345726986955</v>
      </c>
      <c r="M9" s="40">
        <v>1470.1016350658481</v>
      </c>
      <c r="N9" s="39">
        <v>1003.0233873658036</v>
      </c>
      <c r="O9" s="40">
        <v>1608.4058218902728</v>
      </c>
      <c r="P9" s="39">
        <v>1000.3256778309589</v>
      </c>
      <c r="Q9" s="40">
        <v>1770.6853396376291</v>
      </c>
      <c r="R9" s="39">
        <v>997.42472772897611</v>
      </c>
      <c r="S9" s="40">
        <v>1963.5077918399143</v>
      </c>
      <c r="T9" s="39">
        <v>994.3097765453391</v>
      </c>
      <c r="U9" s="40">
        <v>2196.1578516428644</v>
      </c>
      <c r="V9" s="39">
        <v>990.98417368067362</v>
      </c>
      <c r="W9" s="40">
        <v>2482.2756203549343</v>
      </c>
      <c r="X9" s="39">
        <v>987.48122017617322</v>
      </c>
      <c r="Y9" s="40">
        <v>2842.8592818291177</v>
      </c>
      <c r="Z9" s="39">
        <v>983.89503126262468</v>
      </c>
      <c r="AA9" s="40">
        <v>3312.1460695267347</v>
      </c>
      <c r="AB9" s="39">
        <v>980.44061525212601</v>
      </c>
      <c r="AC9" s="40">
        <v>3950.0039901223176</v>
      </c>
      <c r="AD9" s="39">
        <v>977.56608226379274</v>
      </c>
      <c r="AE9" s="40">
        <v>4870.2879383459986</v>
      </c>
      <c r="AF9" s="39">
        <v>976.12512788941262</v>
      </c>
      <c r="AG9" s="40">
        <v>6311.2209223977052</v>
      </c>
      <c r="AH9" s="39">
        <v>977.44345543518227</v>
      </c>
      <c r="AI9" s="40">
        <v>8823.4254630730829</v>
      </c>
      <c r="AJ9" s="39">
        <v>982.59825291806681</v>
      </c>
      <c r="AK9" s="40">
        <v>13825.690474236988</v>
      </c>
      <c r="AL9" s="39">
        <v>990.67656490091451</v>
      </c>
      <c r="AM9" s="40">
        <v>25789.021828219182</v>
      </c>
      <c r="AN9" s="39"/>
      <c r="AO9" s="40"/>
      <c r="AP9" s="39"/>
      <c r="AQ9" s="40"/>
      <c r="AR9" s="39"/>
      <c r="AS9" s="40"/>
      <c r="AT9" s="39"/>
      <c r="AU9" s="40"/>
      <c r="AV9" s="39"/>
      <c r="AW9" s="40"/>
    </row>
    <row r="10" spans="1:49" x14ac:dyDescent="0.2">
      <c r="A10" t="s">
        <v>15</v>
      </c>
      <c r="B10" s="39">
        <v>1015.9116825427475</v>
      </c>
      <c r="C10" s="40">
        <v>1005.7716594496609</v>
      </c>
      <c r="D10" s="39">
        <v>1014.0736692087291</v>
      </c>
      <c r="E10" s="40">
        <v>1076.7644674238381</v>
      </c>
      <c r="F10" s="39">
        <v>1012.131242016914</v>
      </c>
      <c r="G10" s="40">
        <v>1156.7572763879698</v>
      </c>
      <c r="H10" s="39">
        <v>1010.0709836074398</v>
      </c>
      <c r="I10" s="40">
        <v>1247.447928541385</v>
      </c>
      <c r="J10" s="39">
        <v>1007.8776831454428</v>
      </c>
      <c r="K10" s="40">
        <v>1350.9804227867312</v>
      </c>
      <c r="L10" s="39">
        <v>1005.5345726986955</v>
      </c>
      <c r="M10" s="40">
        <v>1470.1016350658481</v>
      </c>
      <c r="N10" s="39">
        <v>1003.0233873658036</v>
      </c>
      <c r="O10" s="40">
        <v>1608.4058218902728</v>
      </c>
      <c r="P10" s="39">
        <v>1000.3256778309589</v>
      </c>
      <c r="Q10" s="40">
        <v>1770.6853396376291</v>
      </c>
      <c r="R10" s="39">
        <v>997.42472772897611</v>
      </c>
      <c r="S10" s="40">
        <v>1963.5077918399143</v>
      </c>
      <c r="T10" s="39">
        <v>994.3097765453391</v>
      </c>
      <c r="U10" s="40">
        <v>2196.1578516428644</v>
      </c>
      <c r="V10" s="39">
        <v>990.98417368067362</v>
      </c>
      <c r="W10" s="40">
        <v>2482.2756203549343</v>
      </c>
      <c r="X10" s="39">
        <v>987.48122017617322</v>
      </c>
      <c r="Y10" s="40">
        <v>2842.8592818291177</v>
      </c>
      <c r="Z10" s="39">
        <v>983.89503126262468</v>
      </c>
      <c r="AA10" s="40">
        <v>3312.1460695267347</v>
      </c>
      <c r="AB10" s="39">
        <v>980.44061525212601</v>
      </c>
      <c r="AC10" s="40">
        <v>3950.0039901223176</v>
      </c>
      <c r="AD10" s="39">
        <v>977.56608226379274</v>
      </c>
      <c r="AE10" s="40">
        <v>4870.2879383459986</v>
      </c>
      <c r="AF10" s="39">
        <v>976.12512788941262</v>
      </c>
      <c r="AG10" s="40">
        <v>6311.2209223977052</v>
      </c>
      <c r="AH10" s="39">
        <v>977.44345543518227</v>
      </c>
      <c r="AI10" s="40">
        <v>8823.4254630730829</v>
      </c>
      <c r="AJ10" s="39">
        <v>982.59825291806681</v>
      </c>
      <c r="AK10" s="40">
        <v>13825.690474236988</v>
      </c>
      <c r="AL10" s="39">
        <v>990.67656490091451</v>
      </c>
      <c r="AM10" s="40">
        <v>25789.021828219182</v>
      </c>
      <c r="AN10" s="39"/>
      <c r="AO10" s="40"/>
      <c r="AP10" s="39"/>
      <c r="AQ10" s="40"/>
      <c r="AR10" s="39"/>
      <c r="AS10" s="40"/>
      <c r="AT10" s="39"/>
      <c r="AU10" s="40"/>
      <c r="AV10" s="39"/>
      <c r="AW10" s="40"/>
    </row>
    <row r="11" spans="1:49" x14ac:dyDescent="0.2">
      <c r="A11" t="s">
        <v>29</v>
      </c>
      <c r="B11" s="39">
        <v>1015.9116825427475</v>
      </c>
      <c r="C11" s="40">
        <v>1005.7716594496609</v>
      </c>
      <c r="D11" s="39">
        <v>1014.0736692087291</v>
      </c>
      <c r="E11" s="40">
        <v>1076.7644674238381</v>
      </c>
      <c r="F11" s="39">
        <v>1012.131242016914</v>
      </c>
      <c r="G11" s="40">
        <v>1156.7572763879698</v>
      </c>
      <c r="H11" s="39">
        <v>1010.0709836074398</v>
      </c>
      <c r="I11" s="40">
        <v>1247.447928541385</v>
      </c>
      <c r="J11" s="39">
        <v>1007.8776831454428</v>
      </c>
      <c r="K11" s="40">
        <v>1350.9804227867312</v>
      </c>
      <c r="L11" s="39">
        <v>1005.5345726986955</v>
      </c>
      <c r="M11" s="40">
        <v>1470.1016350658481</v>
      </c>
      <c r="N11" s="39">
        <v>1003.0233873658036</v>
      </c>
      <c r="O11" s="40">
        <v>1608.4058218902728</v>
      </c>
      <c r="P11" s="39">
        <v>1000.3256778309589</v>
      </c>
      <c r="Q11" s="40">
        <v>1770.6853396376291</v>
      </c>
      <c r="R11" s="39">
        <v>997.42472772897611</v>
      </c>
      <c r="S11" s="40">
        <v>1963.5077918399143</v>
      </c>
      <c r="T11" s="39">
        <v>994.3097765453391</v>
      </c>
      <c r="U11" s="40">
        <v>2196.1578516428644</v>
      </c>
      <c r="V11" s="39">
        <v>990.98417368067362</v>
      </c>
      <c r="W11" s="40">
        <v>2482.2756203549343</v>
      </c>
      <c r="X11" s="39">
        <v>987.48122017617322</v>
      </c>
      <c r="Y11" s="40">
        <v>2842.8592818291177</v>
      </c>
      <c r="Z11" s="39">
        <v>983.89503126262468</v>
      </c>
      <c r="AA11" s="40">
        <v>3312.1460695267347</v>
      </c>
      <c r="AB11" s="39">
        <v>980.44061525212601</v>
      </c>
      <c r="AC11" s="40">
        <v>3950.0039901223176</v>
      </c>
      <c r="AD11" s="39">
        <v>977.56608226379274</v>
      </c>
      <c r="AE11" s="40">
        <v>4870.2879383459986</v>
      </c>
      <c r="AF11" s="39">
        <v>976.12512788941262</v>
      </c>
      <c r="AG11" s="40">
        <v>6311.2209223977052</v>
      </c>
      <c r="AH11" s="39">
        <v>977.44345543518227</v>
      </c>
      <c r="AI11" s="40">
        <v>8823.4254630730829</v>
      </c>
      <c r="AJ11" s="39">
        <v>982.59825291806681</v>
      </c>
      <c r="AK11" s="40">
        <v>13825.690474236988</v>
      </c>
      <c r="AL11" s="39">
        <v>990.67656490091451</v>
      </c>
      <c r="AM11" s="40">
        <v>25789.021828219182</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1006.395255025947</v>
      </c>
      <c r="E13" s="94">
        <v>1006.395255025947</v>
      </c>
      <c r="F13" s="93">
        <v>1012.7262511795668</v>
      </c>
      <c r="G13" s="94">
        <v>1012.7262511795668</v>
      </c>
      <c r="H13" s="93">
        <v>1018.9844559158918</v>
      </c>
      <c r="I13" s="94">
        <v>1018.9844559158918</v>
      </c>
      <c r="J13" s="93">
        <v>1025.1603773030013</v>
      </c>
      <c r="K13" s="94">
        <v>1025.1603773030013</v>
      </c>
      <c r="L13" s="93">
        <v>1031.2441391582306</v>
      </c>
      <c r="M13" s="94">
        <v>1031.2441391582306</v>
      </c>
      <c r="N13" s="93">
        <v>1037.2273383858899</v>
      </c>
      <c r="O13" s="94">
        <v>1037.2273383858899</v>
      </c>
      <c r="P13" s="93">
        <v>1043.1057102702666</v>
      </c>
      <c r="Q13" s="94">
        <v>1043.1057102702666</v>
      </c>
      <c r="R13" s="93">
        <v>1048.8854173516024</v>
      </c>
      <c r="S13" s="94">
        <v>1048.8854173516024</v>
      </c>
      <c r="T13" s="93">
        <v>1054.5944351640999</v>
      </c>
      <c r="U13" s="94">
        <v>1054.5944351640999</v>
      </c>
      <c r="V13" s="93">
        <v>1060.304973064995</v>
      </c>
      <c r="W13" s="94">
        <v>1060.304973064995</v>
      </c>
      <c r="X13" s="93">
        <v>1066.1763422085776</v>
      </c>
      <c r="Y13" s="94">
        <v>1066.1763422085776</v>
      </c>
      <c r="Z13" s="93">
        <v>1072.5392876571625</v>
      </c>
      <c r="AA13" s="94">
        <v>1072.5392876571625</v>
      </c>
      <c r="AB13" s="93">
        <v>1080.06224901512</v>
      </c>
      <c r="AC13" s="94">
        <v>1080.06224901512</v>
      </c>
      <c r="AD13" s="93">
        <v>1090.0693212365197</v>
      </c>
      <c r="AE13" s="94">
        <v>1090.0693212365197</v>
      </c>
      <c r="AF13" s="93">
        <v>1105.0553439659934</v>
      </c>
      <c r="AG13" s="94">
        <v>1105.0553439659934</v>
      </c>
      <c r="AH13" s="93">
        <v>1128.9831569436567</v>
      </c>
      <c r="AI13" s="94">
        <v>1128.9831569436567</v>
      </c>
      <c r="AJ13" s="93">
        <v>1165.2577244630158</v>
      </c>
      <c r="AK13" s="94">
        <v>1165.2577244630158</v>
      </c>
      <c r="AL13" s="93">
        <v>1208.8769302843707</v>
      </c>
      <c r="AM13" s="94">
        <v>1208.8769302843707</v>
      </c>
      <c r="AN13" s="93"/>
      <c r="AO13" s="94"/>
      <c r="AP13" s="93"/>
      <c r="AQ13" s="94"/>
      <c r="AR13" s="93"/>
      <c r="AS13" s="94"/>
      <c r="AT13" s="93"/>
      <c r="AU13" s="94"/>
      <c r="AV13" s="93"/>
      <c r="AW13" s="94"/>
    </row>
    <row r="14" spans="1:49" x14ac:dyDescent="0.2">
      <c r="A14" t="s">
        <v>36</v>
      </c>
      <c r="B14" s="39">
        <v>1457.0034251455234</v>
      </c>
      <c r="C14" s="40">
        <v>1457.0034251455236</v>
      </c>
      <c r="D14" s="39">
        <v>1466.3213336230071</v>
      </c>
      <c r="E14" s="40">
        <v>1466.3213336230074</v>
      </c>
      <c r="F14" s="39">
        <v>1475.5456167034145</v>
      </c>
      <c r="G14" s="40">
        <v>1475.5456167034147</v>
      </c>
      <c r="H14" s="39">
        <v>1484.6638424395019</v>
      </c>
      <c r="I14" s="40">
        <v>1484.6638424395021</v>
      </c>
      <c r="J14" s="39">
        <v>1493.6621810539498</v>
      </c>
      <c r="K14" s="40">
        <v>1493.66218105395</v>
      </c>
      <c r="L14" s="39">
        <v>1502.5262429147886</v>
      </c>
      <c r="M14" s="40">
        <v>1502.5262429147888</v>
      </c>
      <c r="N14" s="39">
        <v>1511.2437846828163</v>
      </c>
      <c r="O14" s="40">
        <v>1511.2437846828166</v>
      </c>
      <c r="P14" s="39">
        <v>1519.8085926526323</v>
      </c>
      <c r="Q14" s="40">
        <v>1519.8085926526326</v>
      </c>
      <c r="R14" s="39">
        <v>1528.2296456664765</v>
      </c>
      <c r="S14" s="40">
        <v>1528.2296456664767</v>
      </c>
      <c r="T14" s="39">
        <v>1536.5477041735021</v>
      </c>
      <c r="U14" s="40">
        <v>1536.5477041735023</v>
      </c>
      <c r="V14" s="39">
        <v>1544.8679774545296</v>
      </c>
      <c r="W14" s="40">
        <v>1544.8679774545299</v>
      </c>
      <c r="X14" s="39">
        <v>1553.4225824070231</v>
      </c>
      <c r="Y14" s="40">
        <v>1553.4225824070234</v>
      </c>
      <c r="Z14" s="39">
        <v>1562.6934157196254</v>
      </c>
      <c r="AA14" s="40">
        <v>1562.6934157196256</v>
      </c>
      <c r="AB14" s="39">
        <v>1573.6543961854068</v>
      </c>
      <c r="AC14" s="40">
        <v>1573.654396185407</v>
      </c>
      <c r="AD14" s="39">
        <v>1588.234734687665</v>
      </c>
      <c r="AE14" s="40">
        <v>1588.2347346876652</v>
      </c>
      <c r="AF14" s="39">
        <v>1610.0694211338168</v>
      </c>
      <c r="AG14" s="40">
        <v>1610.0694211338171</v>
      </c>
      <c r="AH14" s="39">
        <v>1644.9323265985136</v>
      </c>
      <c r="AI14" s="40">
        <v>1644.932326598514</v>
      </c>
      <c r="AJ14" s="39">
        <v>1697.7844957198924</v>
      </c>
      <c r="AK14" s="40">
        <v>1697.7844957198927</v>
      </c>
      <c r="AL14" s="39">
        <v>1761.3378280037341</v>
      </c>
      <c r="AM14" s="40">
        <v>1761.3378280037343</v>
      </c>
      <c r="AN14" s="39"/>
      <c r="AO14" s="40"/>
      <c r="AP14" s="39"/>
      <c r="AQ14" s="40"/>
      <c r="AR14" s="39"/>
      <c r="AS14" s="40"/>
      <c r="AT14" s="39"/>
      <c r="AU14" s="40"/>
      <c r="AV14" s="39"/>
      <c r="AW14" s="40"/>
    </row>
    <row r="15" spans="1:49" x14ac:dyDescent="0.2">
      <c r="A15" t="s">
        <v>18</v>
      </c>
      <c r="B15" s="144">
        <v>1000</v>
      </c>
      <c r="C15" s="145">
        <v>1000</v>
      </c>
      <c r="D15" s="144">
        <v>982.57434097616363</v>
      </c>
      <c r="E15" s="145">
        <v>982.57434097616363</v>
      </c>
      <c r="F15" s="144">
        <v>964.51056815564823</v>
      </c>
      <c r="G15" s="145">
        <v>964.51056815564823</v>
      </c>
      <c r="H15" s="144">
        <v>945.71736535896594</v>
      </c>
      <c r="I15" s="145">
        <v>945.71736535896594</v>
      </c>
      <c r="J15" s="144">
        <v>926.08499905466545</v>
      </c>
      <c r="K15" s="145">
        <v>926.08499905466545</v>
      </c>
      <c r="L15" s="144">
        <v>905.48014277337086</v>
      </c>
      <c r="M15" s="145">
        <v>905.48014277337086</v>
      </c>
      <c r="N15" s="144">
        <v>883.73619179488071</v>
      </c>
      <c r="O15" s="145">
        <v>883.73619179488071</v>
      </c>
      <c r="P15" s="144">
        <v>860.64205500905325</v>
      </c>
      <c r="Q15" s="145">
        <v>860.64205500905325</v>
      </c>
      <c r="R15" s="144">
        <v>835.9213214675483</v>
      </c>
      <c r="S15" s="145">
        <v>835.9213214675483</v>
      </c>
      <c r="T15" s="144">
        <v>809.19986971159005</v>
      </c>
      <c r="U15" s="145">
        <v>809.19986971159005</v>
      </c>
      <c r="V15" s="144">
        <v>779.94946225227318</v>
      </c>
      <c r="W15" s="145">
        <v>779.94946225227318</v>
      </c>
      <c r="X15" s="144">
        <v>747.3875061424485</v>
      </c>
      <c r="Y15" s="145">
        <v>747.3875061424485</v>
      </c>
      <c r="Z15" s="144">
        <v>710.28836332278104</v>
      </c>
      <c r="AA15" s="145">
        <v>710.28836332278104</v>
      </c>
      <c r="AB15" s="144">
        <v>666.61245987643906</v>
      </c>
      <c r="AC15" s="145">
        <v>666.61245987643906</v>
      </c>
      <c r="AD15" s="144">
        <v>612.75055567528614</v>
      </c>
      <c r="AE15" s="145">
        <v>612.75055567528614</v>
      </c>
      <c r="AF15" s="144">
        <v>541.99324438725216</v>
      </c>
      <c r="AG15" s="145">
        <v>541.99324438725216</v>
      </c>
      <c r="AH15" s="144">
        <v>441.75013751585362</v>
      </c>
      <c r="AI15" s="145">
        <v>441.75013751585362</v>
      </c>
      <c r="AJ15" s="144">
        <v>289.53050100314618</v>
      </c>
      <c r="AK15" s="145">
        <v>289.53050100314618</v>
      </c>
      <c r="AL15" s="144">
        <v>45.131907337874914</v>
      </c>
      <c r="AM15" s="145">
        <v>45.131907337874914</v>
      </c>
      <c r="AN15" s="144"/>
      <c r="AO15" s="145"/>
      <c r="AP15" s="144"/>
      <c r="AQ15" s="145"/>
      <c r="AR15" s="144"/>
      <c r="AS15" s="145"/>
      <c r="AT15" s="144"/>
      <c r="AU15" s="145"/>
      <c r="AV15" s="144"/>
      <c r="AW15" s="145"/>
    </row>
    <row r="16" spans="1:49" s="27" customFormat="1" x14ac:dyDescent="0.2">
      <c r="A16" t="s">
        <v>61</v>
      </c>
      <c r="B16" s="39">
        <v>1000</v>
      </c>
      <c r="C16" s="40">
        <v>1000</v>
      </c>
      <c r="D16" s="39">
        <v>995.26587792146097</v>
      </c>
      <c r="E16" s="40">
        <v>989.3689523373597</v>
      </c>
      <c r="F16" s="39">
        <v>990.18144065535341</v>
      </c>
      <c r="G16" s="40">
        <v>978.25422791454196</v>
      </c>
      <c r="H16" s="39">
        <v>984.69841973373855</v>
      </c>
      <c r="I16" s="40">
        <v>966.58755362081581</v>
      </c>
      <c r="J16" s="39">
        <v>978.75922674919468</v>
      </c>
      <c r="K16" s="40">
        <v>954.28703155021037</v>
      </c>
      <c r="L16" s="39">
        <v>972.29478528163406</v>
      </c>
      <c r="M16" s="40">
        <v>941.25388243936277</v>
      </c>
      <c r="N16" s="39">
        <v>965.22092041057851</v>
      </c>
      <c r="O16" s="40">
        <v>927.36546643137649</v>
      </c>
      <c r="P16" s="39">
        <v>957.43444848703132</v>
      </c>
      <c r="Q16" s="40">
        <v>912.46847901920398</v>
      </c>
      <c r="R16" s="39">
        <v>948.80663025940089</v>
      </c>
      <c r="S16" s="40">
        <v>896.36554550645792</v>
      </c>
      <c r="T16" s="39">
        <v>939.17385903775812</v>
      </c>
      <c r="U16" s="40">
        <v>878.79516709918676</v>
      </c>
      <c r="V16" s="39">
        <v>928.32283233944418</v>
      </c>
      <c r="W16" s="40">
        <v>859.39763902354002</v>
      </c>
      <c r="X16" s="39">
        <v>915.96581550222368</v>
      </c>
      <c r="Y16" s="40">
        <v>837.65516707799134</v>
      </c>
      <c r="Z16" s="39">
        <v>901.69601965483537</v>
      </c>
      <c r="AA16" s="40">
        <v>812.78032327776077</v>
      </c>
      <c r="AB16" s="39">
        <v>884.90017637915741</v>
      </c>
      <c r="AC16" s="40">
        <v>783.49676441346571</v>
      </c>
      <c r="AD16" s="39">
        <v>864.56944386591636</v>
      </c>
      <c r="AE16" s="40">
        <v>747.58697947055634</v>
      </c>
      <c r="AF16" s="39">
        <v>838.84839403100648</v>
      </c>
      <c r="AG16" s="40">
        <v>700.9393224278607</v>
      </c>
      <c r="AH16" s="39">
        <v>803.87752736241373</v>
      </c>
      <c r="AI16" s="40">
        <v>635.63658934749515</v>
      </c>
      <c r="AJ16" s="39">
        <v>750.81837523313607</v>
      </c>
      <c r="AK16" s="40">
        <v>536.4955628626202</v>
      </c>
      <c r="AL16" s="39">
        <v>657.99948216400276</v>
      </c>
      <c r="AM16" s="40">
        <v>373.2329467623494</v>
      </c>
      <c r="AN16" s="39"/>
      <c r="AO16" s="40"/>
      <c r="AP16" s="39"/>
      <c r="AQ16" s="40"/>
      <c r="AR16" s="39"/>
      <c r="AS16" s="40"/>
      <c r="AT16" s="39"/>
      <c r="AU16" s="40"/>
      <c r="AV16" s="39"/>
      <c r="AW16" s="40"/>
    </row>
    <row r="17" spans="1:49" x14ac:dyDescent="0.2">
      <c r="A17" t="s">
        <v>62</v>
      </c>
      <c r="B17" s="33">
        <v>1000.0000000000002</v>
      </c>
      <c r="C17" s="34">
        <v>999.99999999999977</v>
      </c>
      <c r="D17" s="33">
        <v>998.35564916739827</v>
      </c>
      <c r="E17" s="34">
        <v>1032.3881768879833</v>
      </c>
      <c r="F17" s="33">
        <v>996.61970455216044</v>
      </c>
      <c r="G17" s="34">
        <v>1068.8461293452451</v>
      </c>
      <c r="H17" s="33">
        <v>994.78050733845737</v>
      </c>
      <c r="I17" s="34">
        <v>1110.118053434413</v>
      </c>
      <c r="J17" s="33">
        <v>992.82487918315815</v>
      </c>
      <c r="K17" s="34">
        <v>1157.141167998916</v>
      </c>
      <c r="L17" s="33">
        <v>990.73829387362355</v>
      </c>
      <c r="M17" s="34">
        <v>1211.1133953965757</v>
      </c>
      <c r="N17" s="33">
        <v>988.5051133748633</v>
      </c>
      <c r="O17" s="34">
        <v>1273.5987121999749</v>
      </c>
      <c r="P17" s="33">
        <v>986.10958776334087</v>
      </c>
      <c r="Q17" s="34">
        <v>1346.6781897894434</v>
      </c>
      <c r="R17" s="33">
        <v>983.53767943699859</v>
      </c>
      <c r="S17" s="34">
        <v>1433.198555786046</v>
      </c>
      <c r="T17" s="33">
        <v>980.78077824088894</v>
      </c>
      <c r="U17" s="34">
        <v>1537.177159401743</v>
      </c>
      <c r="V17" s="33">
        <v>977.84287072787356</v>
      </c>
      <c r="W17" s="34">
        <v>1664.5053814393996</v>
      </c>
      <c r="X17" s="33">
        <v>974.75437496643212</v>
      </c>
      <c r="Y17" s="34">
        <v>1824.2348398947388</v>
      </c>
      <c r="Z17" s="33">
        <v>971.59899530201096</v>
      </c>
      <c r="AA17" s="34">
        <v>2031.0893910495367</v>
      </c>
      <c r="AB17" s="33">
        <v>968.56578926019233</v>
      </c>
      <c r="AC17" s="34">
        <v>2310.7387259520733</v>
      </c>
      <c r="AD17" s="33">
        <v>966.04645006668943</v>
      </c>
      <c r="AE17" s="34">
        <v>2711.8131910483871</v>
      </c>
      <c r="AF17" s="33">
        <v>964.78515102698873</v>
      </c>
      <c r="AG17" s="34">
        <v>3335.5669438729742</v>
      </c>
      <c r="AH17" s="33">
        <v>965.93906915658886</v>
      </c>
      <c r="AI17" s="34">
        <v>4414.6949995161076</v>
      </c>
      <c r="AJ17" s="33">
        <v>970.45961559564978</v>
      </c>
      <c r="AK17" s="34">
        <v>6545.6214926748225</v>
      </c>
      <c r="AL17" s="33">
        <v>977.57140567187867</v>
      </c>
      <c r="AM17" s="34">
        <v>11603.473439945681</v>
      </c>
      <c r="AN17" s="33"/>
      <c r="AO17" s="34"/>
      <c r="AP17" s="33"/>
      <c r="AQ17" s="34"/>
      <c r="AR17" s="33"/>
      <c r="AS17" s="34"/>
      <c r="AT17" s="33"/>
      <c r="AU17" s="34"/>
      <c r="AV17" s="33"/>
      <c r="AW17" s="34"/>
    </row>
    <row r="18" spans="1:49" x14ac:dyDescent="0.2">
      <c r="A18" t="s">
        <v>19</v>
      </c>
      <c r="B18" s="31">
        <v>27857.010133999996</v>
      </c>
      <c r="C18" s="32">
        <v>1236.7674480000003</v>
      </c>
      <c r="D18" s="31">
        <v>27862.859652548734</v>
      </c>
      <c r="E18" s="32">
        <v>1152.9199593620579</v>
      </c>
      <c r="F18" s="31">
        <v>27865.230717844821</v>
      </c>
      <c r="G18" s="32">
        <v>1068.7593705553675</v>
      </c>
      <c r="H18" s="31">
        <v>27863.577573308892</v>
      </c>
      <c r="I18" s="32">
        <v>984.29873764796753</v>
      </c>
      <c r="J18" s="31">
        <v>27857.225994576849</v>
      </c>
      <c r="K18" s="32">
        <v>899.56403838292658</v>
      </c>
      <c r="L18" s="31">
        <v>27845.323007434632</v>
      </c>
      <c r="M18" s="32">
        <v>814.61259749420492</v>
      </c>
      <c r="N18" s="31">
        <v>27826.778947853418</v>
      </c>
      <c r="O18" s="32">
        <v>729.52917603057892</v>
      </c>
      <c r="P18" s="31">
        <v>27800.160980422079</v>
      </c>
      <c r="Q18" s="32">
        <v>644.46134360492829</v>
      </c>
      <c r="R18" s="31">
        <v>27763.540877122508</v>
      </c>
      <c r="S18" s="32">
        <v>559.64333894681852</v>
      </c>
      <c r="T18" s="31">
        <v>27714.247286240621</v>
      </c>
      <c r="U18" s="32">
        <v>475.44320264483787</v>
      </c>
      <c r="V18" s="31">
        <v>27648.449937907957</v>
      </c>
      <c r="W18" s="32">
        <v>392.43808773362321</v>
      </c>
      <c r="X18" s="31">
        <v>27560.441095754079</v>
      </c>
      <c r="Y18" s="32">
        <v>311.52768101807129</v>
      </c>
      <c r="Z18" s="31">
        <v>27441.325240475613</v>
      </c>
      <c r="AA18" s="32">
        <v>234.11228466060933</v>
      </c>
      <c r="AB18" s="31">
        <v>27276.519495781664</v>
      </c>
      <c r="AC18" s="32">
        <v>162.3537799297813</v>
      </c>
      <c r="AD18" s="31">
        <v>27040.769603715558</v>
      </c>
      <c r="AE18" s="32">
        <v>99.49682867606387</v>
      </c>
      <c r="AF18" s="31">
        <v>26688.040620386251</v>
      </c>
      <c r="AG18" s="32">
        <v>49.952779241045029</v>
      </c>
      <c r="AH18" s="31">
        <v>26131.43512727135</v>
      </c>
      <c r="AI18" s="32">
        <v>18.033839459098846</v>
      </c>
      <c r="AJ18" s="31">
        <v>25201.028030220266</v>
      </c>
      <c r="AK18" s="32">
        <v>3.8123505818923018</v>
      </c>
      <c r="AL18" s="31">
        <v>23501.702977274563</v>
      </c>
      <c r="AM18" s="32">
        <v>0.34050617805500921</v>
      </c>
      <c r="AN18" s="31"/>
      <c r="AO18" s="32"/>
      <c r="AP18" s="31"/>
      <c r="AQ18" s="32"/>
      <c r="AR18" s="31"/>
      <c r="AS18" s="32"/>
      <c r="AT18" s="31"/>
      <c r="AU18" s="32"/>
      <c r="AV18" s="31"/>
      <c r="AW18" s="32"/>
    </row>
    <row r="19" spans="1:49" x14ac:dyDescent="0.2">
      <c r="A19" t="s">
        <v>3</v>
      </c>
      <c r="B19" s="39">
        <v>1886.3937399999918</v>
      </c>
      <c r="C19" s="40">
        <v>262.78711299999571</v>
      </c>
      <c r="D19" s="39">
        <v>1879.0272669451397</v>
      </c>
      <c r="E19" s="40">
        <v>268.51300720175857</v>
      </c>
      <c r="F19" s="39">
        <v>1871.0019896921131</v>
      </c>
      <c r="G19" s="40">
        <v>275.19367333570165</v>
      </c>
      <c r="H19" s="39">
        <v>1862.2312109183954</v>
      </c>
      <c r="I19" s="40">
        <v>282.95104469874599</v>
      </c>
      <c r="J19" s="39">
        <v>1852.6140247788742</v>
      </c>
      <c r="K19" s="40">
        <v>291.92161870484938</v>
      </c>
      <c r="L19" s="39">
        <v>1842.0335803593325</v>
      </c>
      <c r="M19" s="40">
        <v>302.25274505521037</v>
      </c>
      <c r="N19" s="39">
        <v>1830.3543475667657</v>
      </c>
      <c r="O19" s="40">
        <v>314.10293810733111</v>
      </c>
      <c r="P19" s="39">
        <v>1817.421638977846</v>
      </c>
      <c r="Q19" s="40">
        <v>327.62486820924858</v>
      </c>
      <c r="R19" s="39">
        <v>1803.061000061482</v>
      </c>
      <c r="S19" s="40">
        <v>342.94614701264646</v>
      </c>
      <c r="T19" s="39">
        <v>1787.0812542092622</v>
      </c>
      <c r="U19" s="40">
        <v>360.12470699036766</v>
      </c>
      <c r="V19" s="39">
        <v>1769.2830795539039</v>
      </c>
      <c r="W19" s="40">
        <v>379.06562178699573</v>
      </c>
      <c r="X19" s="39">
        <v>1749.4792992540636</v>
      </c>
      <c r="Y19" s="40">
        <v>399.36121682286569</v>
      </c>
      <c r="Z19" s="39">
        <v>1727.5365313106383</v>
      </c>
      <c r="AA19" s="40">
        <v>419.98424076985469</v>
      </c>
      <c r="AB19" s="39">
        <v>1703.4526410270503</v>
      </c>
      <c r="AC19" s="40">
        <v>438.69698256387073</v>
      </c>
      <c r="AD19" s="39">
        <v>1677.4661694476808</v>
      </c>
      <c r="AE19" s="40">
        <v>450.96191519781684</v>
      </c>
      <c r="AF19" s="39">
        <v>1650.027400292998</v>
      </c>
      <c r="AG19" s="40">
        <v>448.28650233897383</v>
      </c>
      <c r="AH19" s="39">
        <v>1620.5924133454537</v>
      </c>
      <c r="AI19" s="40">
        <v>417.57021835429464</v>
      </c>
      <c r="AJ19" s="39">
        <v>1581.740101557303</v>
      </c>
      <c r="AK19" s="40">
        <v>347.56072103202814</v>
      </c>
      <c r="AL19" s="39">
        <v>1502.8605720093663</v>
      </c>
      <c r="AM19" s="40">
        <v>243.20498154308154</v>
      </c>
      <c r="AN19" s="39"/>
      <c r="AO19" s="40"/>
      <c r="AP19" s="39"/>
      <c r="AQ19" s="40"/>
      <c r="AR19" s="39"/>
      <c r="AS19" s="40"/>
      <c r="AT19" s="39"/>
      <c r="AU19" s="40"/>
      <c r="AV19" s="39"/>
      <c r="AW19" s="40"/>
    </row>
    <row r="20" spans="1:49" x14ac:dyDescent="0.2">
      <c r="A20" t="s">
        <v>114</v>
      </c>
      <c r="B20" s="79">
        <v>26548.356269999993</v>
      </c>
      <c r="C20" s="80">
        <v>1408.5418709999938</v>
      </c>
      <c r="D20" s="79">
        <v>26540.632551489281</v>
      </c>
      <c r="E20" s="80">
        <v>1338.1147774499941</v>
      </c>
      <c r="F20" s="79">
        <v>26528.811112303571</v>
      </c>
      <c r="G20" s="80">
        <v>1267.6876838999945</v>
      </c>
      <c r="H20" s="79">
        <v>26512.275869102272</v>
      </c>
      <c r="I20" s="80">
        <v>1197.2605903499946</v>
      </c>
      <c r="J20" s="79">
        <v>26490.27633968486</v>
      </c>
      <c r="K20" s="80">
        <v>1126.8334967999949</v>
      </c>
      <c r="L20" s="79">
        <v>26461.881984811462</v>
      </c>
      <c r="M20" s="80">
        <v>1056.4064032499953</v>
      </c>
      <c r="N20" s="79">
        <v>26425.928508317422</v>
      </c>
      <c r="O20" s="80">
        <v>985.97930969999561</v>
      </c>
      <c r="P20" s="79">
        <v>26380.92748622155</v>
      </c>
      <c r="Q20" s="80">
        <v>915.55221614999596</v>
      </c>
      <c r="R20" s="79">
        <v>26324.938039535031</v>
      </c>
      <c r="S20" s="80">
        <v>845.12512259999642</v>
      </c>
      <c r="T20" s="79">
        <v>26255.36617523896</v>
      </c>
      <c r="U20" s="80">
        <v>774.69802904999653</v>
      </c>
      <c r="V20" s="79">
        <v>26168.636004506963</v>
      </c>
      <c r="W20" s="80">
        <v>704.27093549999688</v>
      </c>
      <c r="X20" s="79">
        <v>26059.63434827884</v>
      </c>
      <c r="Y20" s="80">
        <v>633.84384194999711</v>
      </c>
      <c r="Z20" s="79">
        <v>25920.710696875878</v>
      </c>
      <c r="AA20" s="80">
        <v>563.41674839999746</v>
      </c>
      <c r="AB20" s="79">
        <v>25739.770830685491</v>
      </c>
      <c r="AC20" s="80">
        <v>492.98965484999781</v>
      </c>
      <c r="AD20" s="79">
        <v>25496.391562166631</v>
      </c>
      <c r="AE20" s="80">
        <v>422.56256129999809</v>
      </c>
      <c r="AF20" s="79">
        <v>25153.438985943907</v>
      </c>
      <c r="AG20" s="80">
        <v>352.13546774999827</v>
      </c>
      <c r="AH20" s="79">
        <v>24638.128441393328</v>
      </c>
      <c r="AI20" s="80">
        <v>281.70837419999856</v>
      </c>
      <c r="AJ20" s="79">
        <v>23795.802174119875</v>
      </c>
      <c r="AK20" s="80">
        <v>211.28128064999879</v>
      </c>
      <c r="AL20" s="79">
        <v>22241.91164570639</v>
      </c>
      <c r="AM20" s="80">
        <v>140.85418709999905</v>
      </c>
      <c r="AN20" s="79"/>
      <c r="AO20" s="80"/>
      <c r="AP20" s="79"/>
      <c r="AQ20" s="80"/>
      <c r="AR20" s="79"/>
      <c r="AS20" s="80"/>
      <c r="AT20" s="79"/>
      <c r="AU20" s="80"/>
      <c r="AV20" s="79"/>
      <c r="AW20" s="80"/>
    </row>
    <row r="21" spans="1:49" x14ac:dyDescent="0.2">
      <c r="A21" t="s">
        <v>76</v>
      </c>
      <c r="B21" s="79">
        <v>24661.962529999968</v>
      </c>
      <c r="C21" s="80">
        <v>1145.7547579999921</v>
      </c>
      <c r="D21" s="79">
        <v>24661.611929641243</v>
      </c>
      <c r="E21" s="80">
        <v>1069.8148281701776</v>
      </c>
      <c r="F21" s="79">
        <v>24657.837221903581</v>
      </c>
      <c r="G21" s="80">
        <v>993.41115831276636</v>
      </c>
      <c r="H21" s="79">
        <v>24650.111688216119</v>
      </c>
      <c r="I21" s="80">
        <v>916.53660751352675</v>
      </c>
      <c r="J21" s="79">
        <v>24637.789034226193</v>
      </c>
      <c r="K21" s="80">
        <v>839.19728743316421</v>
      </c>
      <c r="L21" s="79">
        <v>24620.059591052777</v>
      </c>
      <c r="M21" s="80">
        <v>761.42271309579348</v>
      </c>
      <c r="N21" s="79">
        <v>24595.899483180532</v>
      </c>
      <c r="O21" s="80">
        <v>683.27376715248306</v>
      </c>
      <c r="P21" s="79">
        <v>24563.980802250349</v>
      </c>
      <c r="Q21" s="80">
        <v>604.86733948355106</v>
      </c>
      <c r="R21" s="79">
        <v>24522.543832301544</v>
      </c>
      <c r="S21" s="80">
        <v>526.4030460450806</v>
      </c>
      <c r="T21" s="79">
        <v>24469.192940219204</v>
      </c>
      <c r="U21" s="80">
        <v>448.20985947469404</v>
      </c>
      <c r="V21" s="79">
        <v>24400.558048712144</v>
      </c>
      <c r="W21" s="80">
        <v>370.81712511331824</v>
      </c>
      <c r="X21" s="79">
        <v>24311.716142709229</v>
      </c>
      <c r="Y21" s="80">
        <v>295.06616543676296</v>
      </c>
      <c r="Z21" s="79">
        <v>24195.143373245737</v>
      </c>
      <c r="AA21" s="80">
        <v>222.2829407077777</v>
      </c>
      <c r="AB21" s="79">
        <v>24038.718381703766</v>
      </c>
      <c r="AC21" s="80">
        <v>154.53432961637247</v>
      </c>
      <c r="AD21" s="79">
        <v>23821.703842846702</v>
      </c>
      <c r="AE21" s="80">
        <v>94.942880332281106</v>
      </c>
      <c r="AF21" s="79">
        <v>23506.362542368384</v>
      </c>
      <c r="AG21" s="80">
        <v>47.784908601709034</v>
      </c>
      <c r="AH21" s="79">
        <v>23020.238149476103</v>
      </c>
      <c r="AI21" s="80">
        <v>17.29118774194491</v>
      </c>
      <c r="AJ21" s="79">
        <v>22216.019257411172</v>
      </c>
      <c r="AK21" s="80">
        <v>3.6623322868380872</v>
      </c>
      <c r="AL21" s="79">
        <v>20740.100798798685</v>
      </c>
      <c r="AM21" s="80">
        <v>0.32751604648277688</v>
      </c>
      <c r="AN21" s="79"/>
      <c r="AO21" s="80"/>
      <c r="AP21" s="79"/>
      <c r="AQ21" s="80"/>
      <c r="AR21" s="79"/>
      <c r="AS21" s="80"/>
      <c r="AT21" s="79"/>
      <c r="AU21" s="80"/>
      <c r="AV21" s="79"/>
      <c r="AW21" s="80"/>
    </row>
    <row r="22" spans="1:49" x14ac:dyDescent="0.2">
      <c r="A22" t="s">
        <v>28</v>
      </c>
      <c r="B22" s="39">
        <v>6533.6044688320699</v>
      </c>
      <c r="C22" s="40">
        <v>379.90788307663399</v>
      </c>
      <c r="D22" s="39">
        <v>6534.8132064248575</v>
      </c>
      <c r="E22" s="40">
        <v>364.34597962142834</v>
      </c>
      <c r="F22" s="39">
        <v>6534.4727878735275</v>
      </c>
      <c r="G22" s="40">
        <v>348.59314082803252</v>
      </c>
      <c r="H22" s="39">
        <v>6532.3594960632227</v>
      </c>
      <c r="I22" s="40">
        <v>332.64368876221027</v>
      </c>
      <c r="J22" s="39">
        <v>6528.2026060236194</v>
      </c>
      <c r="K22" s="40">
        <v>316.49031000380796</v>
      </c>
      <c r="L22" s="39">
        <v>6521.6664075440904</v>
      </c>
      <c r="M22" s="40">
        <v>300.1234274537785</v>
      </c>
      <c r="N22" s="39">
        <v>6512.3375946938449</v>
      </c>
      <c r="O22" s="40">
        <v>283.52913248342935</v>
      </c>
      <c r="P22" s="39">
        <v>6499.6899678352975</v>
      </c>
      <c r="Q22" s="40">
        <v>266.68843697345034</v>
      </c>
      <c r="R22" s="39">
        <v>6483.0458776229279</v>
      </c>
      <c r="S22" s="40">
        <v>249.57387680668549</v>
      </c>
      <c r="T22" s="39">
        <v>6461.5123844564996</v>
      </c>
      <c r="U22" s="40">
        <v>232.14567913124844</v>
      </c>
      <c r="V22" s="39">
        <v>6433.8797793243248</v>
      </c>
      <c r="W22" s="40">
        <v>214.3455644876054</v>
      </c>
      <c r="X22" s="39">
        <v>6398.4548046949358</v>
      </c>
      <c r="Y22" s="40">
        <v>196.08786819260655</v>
      </c>
      <c r="Z22" s="39">
        <v>6352.7682693107299</v>
      </c>
      <c r="AA22" s="40">
        <v>177.24668222104421</v>
      </c>
      <c r="AB22" s="39">
        <v>6293.0317237669387</v>
      </c>
      <c r="AC22" s="40">
        <v>157.63973859192856</v>
      </c>
      <c r="AD22" s="39">
        <v>6213.0515830642626</v>
      </c>
      <c r="AE22" s="40">
        <v>137.01603025182052</v>
      </c>
      <c r="AF22" s="39">
        <v>6101.901302785951</v>
      </c>
      <c r="AG22" s="40">
        <v>115.08321181324911</v>
      </c>
      <c r="AH22" s="39">
        <v>5938.5628317847786</v>
      </c>
      <c r="AI22" s="40">
        <v>91.678086075764398</v>
      </c>
      <c r="AJ22" s="39">
        <v>5678.5914033542113</v>
      </c>
      <c r="AK22" s="40">
        <v>67.168499195400514</v>
      </c>
      <c r="AL22" s="39">
        <v>5214.0049456620754</v>
      </c>
      <c r="AM22" s="40">
        <v>42.636464006858873</v>
      </c>
      <c r="AN22" s="39"/>
      <c r="AO22" s="40"/>
      <c r="AP22" s="39"/>
      <c r="AQ22" s="40"/>
      <c r="AR22" s="39"/>
      <c r="AS22" s="40"/>
      <c r="AT22" s="39"/>
      <c r="AU22" s="40"/>
      <c r="AV22" s="39"/>
      <c r="AW22" s="40"/>
    </row>
    <row r="23" spans="1:49" x14ac:dyDescent="0.2">
      <c r="A23" t="s">
        <v>7</v>
      </c>
      <c r="B23" s="110">
        <v>3278.5018080150408</v>
      </c>
      <c r="C23" s="8">
        <v>0</v>
      </c>
      <c r="D23" s="110">
        <v>3284.1778777682698</v>
      </c>
      <c r="E23" s="8">
        <v>0</v>
      </c>
      <c r="F23" s="110">
        <v>3289.4891460521935</v>
      </c>
      <c r="G23" s="8">
        <v>0</v>
      </c>
      <c r="H23" s="110">
        <v>3294.3764871787494</v>
      </c>
      <c r="I23" s="8">
        <v>0</v>
      </c>
      <c r="J23" s="110">
        <v>3298.7676057112576</v>
      </c>
      <c r="K23" s="8">
        <v>0</v>
      </c>
      <c r="L23" s="110">
        <v>3302.5717520608318</v>
      </c>
      <c r="M23" s="8">
        <v>0</v>
      </c>
      <c r="N23" s="110">
        <v>3305.6762645737399</v>
      </c>
      <c r="O23" s="8">
        <v>0</v>
      </c>
      <c r="P23" s="110">
        <v>3307.9369650352219</v>
      </c>
      <c r="Q23" s="8">
        <v>0</v>
      </c>
      <c r="R23" s="110">
        <v>3309.1676702361701</v>
      </c>
      <c r="S23" s="8">
        <v>0</v>
      </c>
      <c r="T23" s="110">
        <v>3309.1236450155475</v>
      </c>
      <c r="U23" s="8">
        <v>0</v>
      </c>
      <c r="V23" s="110">
        <v>3307.4756069584141</v>
      </c>
      <c r="W23" s="8">
        <v>0</v>
      </c>
      <c r="X23" s="110">
        <v>3303.7684874803035</v>
      </c>
      <c r="Y23" s="8">
        <v>0</v>
      </c>
      <c r="Z23" s="110">
        <v>3297.3500103285528</v>
      </c>
      <c r="AA23" s="8">
        <v>0</v>
      </c>
      <c r="AB23" s="110">
        <v>3287.2374219458716</v>
      </c>
      <c r="AC23" s="8">
        <v>0</v>
      </c>
      <c r="AD23" s="110">
        <v>3271.8366288085585</v>
      </c>
      <c r="AE23" s="8">
        <v>0</v>
      </c>
      <c r="AF23" s="110">
        <v>3248.2592651713321</v>
      </c>
      <c r="AG23" s="8">
        <v>0</v>
      </c>
      <c r="AH23" s="110">
        <v>3210.3786027814781</v>
      </c>
      <c r="AI23" s="8">
        <v>0</v>
      </c>
      <c r="AJ23" s="110">
        <v>3142.7863697789599</v>
      </c>
      <c r="AK23" s="8">
        <v>0</v>
      </c>
      <c r="AL23" s="110">
        <v>3000.5463527273314</v>
      </c>
      <c r="AM23" s="8">
        <v>0</v>
      </c>
      <c r="AN23" s="110"/>
      <c r="AO23" s="8"/>
      <c r="AP23" s="110"/>
      <c r="AQ23" s="8"/>
      <c r="AR23" s="110"/>
      <c r="AS23" s="8"/>
      <c r="AT23" s="110"/>
      <c r="AU23" s="8"/>
      <c r="AV23" s="110"/>
      <c r="AW23" s="8"/>
    </row>
    <row r="24" spans="1:49" x14ac:dyDescent="0.2">
      <c r="A24" t="s">
        <v>8</v>
      </c>
      <c r="B24" s="93">
        <v>3196.3846373657216</v>
      </c>
      <c r="C24" s="8">
        <v>0</v>
      </c>
      <c r="D24" s="93">
        <v>3201.9185403213269</v>
      </c>
      <c r="E24" s="8">
        <v>0</v>
      </c>
      <c r="F24" s="93">
        <v>3207.0967768716278</v>
      </c>
      <c r="G24" s="8">
        <v>0</v>
      </c>
      <c r="H24" s="93">
        <v>3211.8617049485933</v>
      </c>
      <c r="I24" s="8">
        <v>0</v>
      </c>
      <c r="J24" s="93">
        <v>3216.1428307214278</v>
      </c>
      <c r="K24" s="8">
        <v>0</v>
      </c>
      <c r="L24" s="93">
        <v>3219.8516972046482</v>
      </c>
      <c r="M24" s="8">
        <v>0</v>
      </c>
      <c r="N24" s="93">
        <v>3222.8784500751294</v>
      </c>
      <c r="O24" s="8">
        <v>0</v>
      </c>
      <c r="P24" s="93">
        <v>3225.0825259777025</v>
      </c>
      <c r="Q24" s="8">
        <v>0</v>
      </c>
      <c r="R24" s="93">
        <v>3226.2824062704512</v>
      </c>
      <c r="S24" s="8">
        <v>0</v>
      </c>
      <c r="T24" s="93">
        <v>3226.2394838468026</v>
      </c>
      <c r="U24" s="8">
        <v>0</v>
      </c>
      <c r="V24" s="93">
        <v>3224.6327245725147</v>
      </c>
      <c r="W24" s="8">
        <v>0</v>
      </c>
      <c r="X24" s="93">
        <v>3221.0184578400185</v>
      </c>
      <c r="Y24" s="8">
        <v>0</v>
      </c>
      <c r="Z24" s="93">
        <v>3214.7607462682304</v>
      </c>
      <c r="AA24" s="8">
        <v>0</v>
      </c>
      <c r="AB24" s="93">
        <v>3204.901448737859</v>
      </c>
      <c r="AC24" s="8">
        <v>0</v>
      </c>
      <c r="AD24" s="93">
        <v>3189.8864021509517</v>
      </c>
      <c r="AE24" s="8">
        <v>0</v>
      </c>
      <c r="AF24" s="93">
        <v>3166.899584403764</v>
      </c>
      <c r="AG24" s="8">
        <v>0</v>
      </c>
      <c r="AH24" s="93">
        <v>3129.9677251899766</v>
      </c>
      <c r="AI24" s="8">
        <v>0</v>
      </c>
      <c r="AJ24" s="93">
        <v>3064.068485894903</v>
      </c>
      <c r="AK24" s="8">
        <v>0</v>
      </c>
      <c r="AL24" s="93">
        <v>2925.3911777978951</v>
      </c>
      <c r="AM24" s="8">
        <v>0</v>
      </c>
      <c r="AN24" s="93"/>
      <c r="AO24" s="8"/>
      <c r="AP24" s="93"/>
      <c r="AQ24" s="8"/>
      <c r="AR24" s="93"/>
      <c r="AS24" s="8"/>
      <c r="AT24" s="93"/>
      <c r="AU24" s="8"/>
      <c r="AV24" s="93"/>
      <c r="AW24" s="8"/>
    </row>
    <row r="25" spans="1:49" x14ac:dyDescent="0.2">
      <c r="A25" t="s">
        <v>0</v>
      </c>
      <c r="B25" s="39">
        <v>3195.0476039999967</v>
      </c>
      <c r="C25" s="40">
        <v>91.012690000004142</v>
      </c>
      <c r="D25" s="39">
        <v>3201.2423296087009</v>
      </c>
      <c r="E25" s="40">
        <v>83.08511045232153</v>
      </c>
      <c r="F25" s="39">
        <v>3207.3706164475589</v>
      </c>
      <c r="G25" s="40">
        <v>75.26963323693289</v>
      </c>
      <c r="H25" s="39">
        <v>3213.4110871357957</v>
      </c>
      <c r="I25" s="40">
        <v>67.587429485991137</v>
      </c>
      <c r="J25" s="39">
        <v>3219.3329257941386</v>
      </c>
      <c r="K25" s="40">
        <v>60.062912219050432</v>
      </c>
      <c r="L25" s="39">
        <v>3225.0892106885967</v>
      </c>
      <c r="M25" s="40">
        <v>52.72522979323486</v>
      </c>
      <c r="N25" s="39">
        <v>3230.6097465371581</v>
      </c>
      <c r="O25" s="40">
        <v>45.607701136820793</v>
      </c>
      <c r="P25" s="39">
        <v>3235.784248845639</v>
      </c>
      <c r="Q25" s="40">
        <v>38.750364335609689</v>
      </c>
      <c r="R25" s="39">
        <v>3240.4379175698396</v>
      </c>
      <c r="S25" s="40">
        <v>32.200788209376697</v>
      </c>
      <c r="T25" s="39">
        <v>3244.2881077836564</v>
      </c>
      <c r="U25" s="40">
        <v>26.01601384117965</v>
      </c>
      <c r="V25" s="39">
        <v>3246.8680227718723</v>
      </c>
      <c r="W25" s="40">
        <v>20.265028286633765</v>
      </c>
      <c r="X25" s="39">
        <v>3247.3891287017914</v>
      </c>
      <c r="Y25" s="40">
        <v>15.031534574686065</v>
      </c>
      <c r="Z25" s="39">
        <v>3244.4843895264844</v>
      </c>
      <c r="AA25" s="40">
        <v>10.416793107860013</v>
      </c>
      <c r="AB25" s="39">
        <v>3235.717379814846</v>
      </c>
      <c r="AC25" s="40">
        <v>6.5404113390715146</v>
      </c>
      <c r="AD25" s="39">
        <v>3216.6393060369978</v>
      </c>
      <c r="AE25" s="40">
        <v>3.5326660930954294</v>
      </c>
      <c r="AF25" s="39">
        <v>3179.0932917699374</v>
      </c>
      <c r="AG25" s="40">
        <v>1.4995455999716434</v>
      </c>
      <c r="AH25" s="39">
        <v>3108.8365847277682</v>
      </c>
      <c r="AI25" s="40">
        <v>0.42828364515039502</v>
      </c>
      <c r="AJ25" s="39">
        <v>2983.3171600110295</v>
      </c>
      <c r="AK25" s="40">
        <v>6.4405568011982217E-2</v>
      </c>
      <c r="AL25" s="39">
        <v>2760.7097773827995</v>
      </c>
      <c r="AM25" s="40">
        <v>3.4419810972308603E-3</v>
      </c>
      <c r="AN25" s="39"/>
      <c r="AO25" s="40"/>
      <c r="AP25" s="39"/>
      <c r="AQ25" s="40"/>
      <c r="AR25" s="39"/>
      <c r="AS25" s="40"/>
      <c r="AT25" s="39"/>
      <c r="AU25" s="40"/>
      <c r="AV25" s="39"/>
      <c r="AW25" s="40"/>
    </row>
    <row r="26" spans="1:49" x14ac:dyDescent="0.2">
      <c r="A26" t="s">
        <v>27</v>
      </c>
      <c r="B26" s="31">
        <v>5036.2953101960647</v>
      </c>
      <c r="C26" s="32">
        <v>74.905331803938267</v>
      </c>
      <c r="D26" s="31">
        <v>5040.9517549317916</v>
      </c>
      <c r="E26" s="32">
        <v>70.248887068211744</v>
      </c>
      <c r="F26" s="31">
        <v>5045.6480732759128</v>
      </c>
      <c r="G26" s="32">
        <v>65.552568724093106</v>
      </c>
      <c r="H26" s="31">
        <v>5050.38754833234</v>
      </c>
      <c r="I26" s="32">
        <v>60.813093667691213</v>
      </c>
      <c r="J26" s="31">
        <v>5055.1734525924121</v>
      </c>
      <c r="K26" s="32">
        <v>56.027189407600602</v>
      </c>
      <c r="L26" s="31">
        <v>5060.0082780172552</v>
      </c>
      <c r="M26" s="32">
        <v>51.192363982745825</v>
      </c>
      <c r="N26" s="31">
        <v>5064.893883096418</v>
      </c>
      <c r="O26" s="32">
        <v>46.306758903583102</v>
      </c>
      <c r="P26" s="31">
        <v>5069.8297922986176</v>
      </c>
      <c r="Q26" s="32">
        <v>41.370849701384714</v>
      </c>
      <c r="R26" s="31">
        <v>5074.8118466952083</v>
      </c>
      <c r="S26" s="32">
        <v>36.388795304796524</v>
      </c>
      <c r="T26" s="31">
        <v>5079.8294401830417</v>
      </c>
      <c r="U26" s="32">
        <v>31.371201816964728</v>
      </c>
      <c r="V26" s="31">
        <v>5084.860887756081</v>
      </c>
      <c r="W26" s="32">
        <v>26.339754243921888</v>
      </c>
      <c r="X26" s="31">
        <v>5089.8658630693089</v>
      </c>
      <c r="Y26" s="32">
        <v>21.334778930696313</v>
      </c>
      <c r="Z26" s="31">
        <v>5094.7727288292281</v>
      </c>
      <c r="AA26" s="32">
        <v>16.427913170781665</v>
      </c>
      <c r="AB26" s="31">
        <v>5099.458035412692</v>
      </c>
      <c r="AC26" s="32">
        <v>11.742606587311876</v>
      </c>
      <c r="AD26" s="31">
        <v>5103.7166809455957</v>
      </c>
      <c r="AE26" s="32">
        <v>7.4839610544135269</v>
      </c>
      <c r="AF26" s="31">
        <v>5107.2367145588341</v>
      </c>
      <c r="AG26" s="32">
        <v>3.9639274411711676</v>
      </c>
      <c r="AH26" s="31">
        <v>5109.6535786693294</v>
      </c>
      <c r="AI26" s="32">
        <v>1.547063330673538</v>
      </c>
      <c r="AJ26" s="31">
        <v>5110.8311938304396</v>
      </c>
      <c r="AK26" s="32">
        <v>0.36944816956644583</v>
      </c>
      <c r="AL26" s="31">
        <v>5111.1598115905181</v>
      </c>
      <c r="AM26" s="32">
        <v>4.0830409486301143E-2</v>
      </c>
      <c r="AN26" s="31"/>
      <c r="AO26" s="32"/>
      <c r="AP26" s="31"/>
      <c r="AQ26" s="32"/>
      <c r="AR26" s="31"/>
      <c r="AS26" s="32"/>
      <c r="AT26" s="31"/>
      <c r="AU26" s="32"/>
      <c r="AV26" s="31"/>
      <c r="AW26" s="32"/>
    </row>
    <row r="27" spans="1:49" x14ac:dyDescent="0.2">
      <c r="A27" t="s">
        <v>2</v>
      </c>
      <c r="B27" s="33">
        <v>6425.1981590000414</v>
      </c>
      <c r="C27" s="34">
        <v>273.22915400000028</v>
      </c>
      <c r="D27" s="33">
        <v>6441.9031742254347</v>
      </c>
      <c r="E27" s="34">
        <v>256.52416660047834</v>
      </c>
      <c r="F27" s="33">
        <v>6458.7886809277306</v>
      </c>
      <c r="G27" s="34">
        <v>239.63866675355021</v>
      </c>
      <c r="H27" s="33">
        <v>6475.8674943778515</v>
      </c>
      <c r="I27" s="34">
        <v>222.55986784807178</v>
      </c>
      <c r="J27" s="33">
        <v>6493.1527378382889</v>
      </c>
      <c r="K27" s="34">
        <v>205.27462964116938</v>
      </c>
      <c r="L27" s="33">
        <v>6510.6541311228011</v>
      </c>
      <c r="M27" s="34">
        <v>187.77318124515301</v>
      </c>
      <c r="N27" s="33">
        <v>6528.3801088745458</v>
      </c>
      <c r="O27" s="34">
        <v>170.0472021944415</v>
      </c>
      <c r="P27" s="33">
        <v>6546.3301279337511</v>
      </c>
      <c r="Q27" s="34">
        <v>152.09718106094468</v>
      </c>
      <c r="R27" s="33">
        <v>6564.4902824298315</v>
      </c>
      <c r="S27" s="34">
        <v>133.93703330921412</v>
      </c>
      <c r="T27" s="33">
        <v>6582.823091283808</v>
      </c>
      <c r="U27" s="34">
        <v>115.6042237062296</v>
      </c>
      <c r="V27" s="33">
        <v>6601.2499754570536</v>
      </c>
      <c r="W27" s="34">
        <v>97.177339167006565</v>
      </c>
      <c r="X27" s="33">
        <v>6619.6231401517689</v>
      </c>
      <c r="Y27" s="34">
        <v>78.804168088500148</v>
      </c>
      <c r="Z27" s="33">
        <v>6637.678026280093</v>
      </c>
      <c r="AA27" s="34">
        <v>60.749303719734044</v>
      </c>
      <c r="AB27" s="33">
        <v>6654.9564538618706</v>
      </c>
      <c r="AC27" s="34">
        <v>43.470855701990423</v>
      </c>
      <c r="AD27" s="33">
        <v>6670.6943015630695</v>
      </c>
      <c r="AE27" s="34">
        <v>27.733018189424879</v>
      </c>
      <c r="AF27" s="33">
        <v>6683.7262865552229</v>
      </c>
      <c r="AG27" s="34">
        <v>14.701022190795989</v>
      </c>
      <c r="AH27" s="33">
        <v>6692.6864804539364</v>
      </c>
      <c r="AI27" s="34">
        <v>5.7408333810993435</v>
      </c>
      <c r="AJ27" s="33">
        <v>6697.0559894649623</v>
      </c>
      <c r="AK27" s="34">
        <v>1.3713217584187052</v>
      </c>
      <c r="AL27" s="33">
        <v>6698.2757466264475</v>
      </c>
      <c r="AM27" s="34">
        <v>0.15156646423878112</v>
      </c>
      <c r="AN27" s="33"/>
      <c r="AO27" s="34"/>
      <c r="AP27" s="33"/>
      <c r="AQ27" s="34"/>
      <c r="AR27" s="33"/>
      <c r="AS27" s="34"/>
      <c r="AT27" s="33"/>
      <c r="AU27" s="34"/>
      <c r="AV27" s="33"/>
      <c r="AW27" s="34"/>
    </row>
    <row r="28" spans="1:49" x14ac:dyDescent="0.2">
      <c r="A28" t="s">
        <v>35</v>
      </c>
      <c r="B28" s="39">
        <v>13763.097676000029</v>
      </c>
      <c r="C28" s="40">
        <v>382.36647899999997</v>
      </c>
      <c r="D28" s="39">
        <v>13786.571151985081</v>
      </c>
      <c r="E28" s="40">
        <v>358.87674416827241</v>
      </c>
      <c r="F28" s="39">
        <v>13810.250574152848</v>
      </c>
      <c r="G28" s="40">
        <v>335.14788542600445</v>
      </c>
      <c r="H28" s="39">
        <v>13834.152485609278</v>
      </c>
      <c r="I28" s="40">
        <v>311.16243743808133</v>
      </c>
      <c r="J28" s="39">
        <v>13858.293611254603</v>
      </c>
      <c r="K28" s="40">
        <v>286.90260444344784</v>
      </c>
      <c r="L28" s="39">
        <v>13882.686059148875</v>
      </c>
      <c r="M28" s="40">
        <v>262.35509934943411</v>
      </c>
      <c r="N28" s="39">
        <v>13907.3396532959</v>
      </c>
      <c r="O28" s="40">
        <v>237.50902249059709</v>
      </c>
      <c r="P28" s="39">
        <v>13932.251886782591</v>
      </c>
      <c r="Q28" s="40">
        <v>212.36569038312675</v>
      </c>
      <c r="R28" s="39">
        <v>13957.401728450814</v>
      </c>
      <c r="S28" s="40">
        <v>186.9452227426242</v>
      </c>
      <c r="T28" s="39">
        <v>13982.735704189148</v>
      </c>
      <c r="U28" s="40">
        <v>161.30069364943728</v>
      </c>
      <c r="V28" s="39">
        <v>14008.144225829028</v>
      </c>
      <c r="W28" s="40">
        <v>135.54244320048238</v>
      </c>
      <c r="X28" s="39">
        <v>14033.423504524952</v>
      </c>
      <c r="Y28" s="40">
        <v>109.87716622249809</v>
      </c>
      <c r="Z28" s="39">
        <v>14058.211395662172</v>
      </c>
      <c r="AA28" s="40">
        <v>84.673945659969689</v>
      </c>
      <c r="AB28" s="39">
        <v>14081.883787918803</v>
      </c>
      <c r="AC28" s="40">
        <v>60.570788281811978</v>
      </c>
      <c r="AD28" s="39">
        <v>14103.403532868379</v>
      </c>
      <c r="AE28" s="40">
        <v>38.630570290291182</v>
      </c>
      <c r="AF28" s="39">
        <v>14121.193100414299</v>
      </c>
      <c r="AG28" s="40">
        <v>20.472602266678376</v>
      </c>
      <c r="AH28" s="39">
        <v>14133.408555250122</v>
      </c>
      <c r="AI28" s="40">
        <v>7.9932914695521413</v>
      </c>
      <c r="AJ28" s="39">
        <v>14139.360844642291</v>
      </c>
      <c r="AK28" s="40">
        <v>1.9092099144484453</v>
      </c>
      <c r="AL28" s="39">
        <v>14141.021890930742</v>
      </c>
      <c r="AM28" s="40">
        <v>0.2110120078840623</v>
      </c>
      <c r="AN28" s="39"/>
      <c r="AO28" s="40"/>
      <c r="AP28" s="39"/>
      <c r="AQ28" s="40"/>
      <c r="AR28" s="39"/>
      <c r="AS28" s="40"/>
      <c r="AT28" s="39"/>
      <c r="AU28" s="40"/>
      <c r="AV28" s="39"/>
      <c r="AW28" s="40"/>
    </row>
    <row r="29" spans="1:49" x14ac:dyDescent="0.2">
      <c r="A29" t="s">
        <v>53</v>
      </c>
      <c r="B29" s="33">
        <v>14362.768558000025</v>
      </c>
      <c r="C29" s="34">
        <v>817.26650999999993</v>
      </c>
      <c r="D29" s="33">
        <v>14364.984255683643</v>
      </c>
      <c r="E29" s="34">
        <v>758.94100991893413</v>
      </c>
      <c r="F29" s="33">
        <v>14365.349116221061</v>
      </c>
      <c r="G29" s="34">
        <v>700.65545991611646</v>
      </c>
      <c r="H29" s="33">
        <v>14363.573984252167</v>
      </c>
      <c r="I29" s="34">
        <v>642.449601292647</v>
      </c>
      <c r="J29" s="33">
        <v>14359.30225950077</v>
      </c>
      <c r="K29" s="34">
        <v>584.37489584137529</v>
      </c>
      <c r="L29" s="33">
        <v>14352.084292474705</v>
      </c>
      <c r="M29" s="34">
        <v>526.50669015837536</v>
      </c>
      <c r="N29" s="33">
        <v>14341.34669209156</v>
      </c>
      <c r="O29" s="34">
        <v>468.94140483528366</v>
      </c>
      <c r="P29" s="33">
        <v>14326.3389451352</v>
      </c>
      <c r="Q29" s="34">
        <v>411.81935659690652</v>
      </c>
      <c r="R29" s="33">
        <v>14306.05542300729</v>
      </c>
      <c r="S29" s="34">
        <v>355.33906937915907</v>
      </c>
      <c r="T29" s="33">
        <v>14279.110163625548</v>
      </c>
      <c r="U29" s="34">
        <v>299.78580167830972</v>
      </c>
      <c r="V29" s="33">
        <v>14243.527355154929</v>
      </c>
      <c r="W29" s="34">
        <v>245.57629262415375</v>
      </c>
      <c r="X29" s="33">
        <v>14196.380735495277</v>
      </c>
      <c r="Y29" s="34">
        <v>193.32475684085423</v>
      </c>
      <c r="Z29" s="33">
        <v>14133.137611064185</v>
      </c>
      <c r="AA29" s="34">
        <v>143.94438360497142</v>
      </c>
      <c r="AB29" s="33">
        <v>14046.408820372255</v>
      </c>
      <c r="AC29" s="34">
        <v>98.791301662094511</v>
      </c>
      <c r="AD29" s="33">
        <v>13923.449349019153</v>
      </c>
      <c r="AE29" s="34">
        <v>59.829517484915826</v>
      </c>
      <c r="AF29" s="33">
        <v>13741.046063001831</v>
      </c>
      <c r="AG29" s="34">
        <v>29.626792163861797</v>
      </c>
      <c r="AH29" s="33">
        <v>13455.162941983721</v>
      </c>
      <c r="AI29" s="34">
        <v>10.524139263158414</v>
      </c>
      <c r="AJ29" s="33">
        <v>12978.678096318137</v>
      </c>
      <c r="AK29" s="34">
        <v>2.1834406093059084</v>
      </c>
      <c r="AL29" s="33">
        <v>12107.132513820861</v>
      </c>
      <c r="AM29" s="34">
        <v>0.19100249977123054</v>
      </c>
      <c r="AN29" s="33"/>
      <c r="AO29" s="34"/>
      <c r="AP29" s="33"/>
      <c r="AQ29" s="34"/>
      <c r="AR29" s="33"/>
      <c r="AS29" s="34"/>
      <c r="AT29" s="33"/>
      <c r="AU29" s="34"/>
      <c r="AV29" s="33"/>
      <c r="AW29" s="34"/>
    </row>
    <row r="30" spans="1:49" x14ac:dyDescent="0.2">
      <c r="A30" t="s">
        <v>48</v>
      </c>
      <c r="B30" s="112">
        <v>2924829.9599999995</v>
      </c>
      <c r="D30" s="112">
        <v>3007673.212448698</v>
      </c>
      <c r="F30" s="112">
        <v>3091873.5359105919</v>
      </c>
      <c r="H30" s="112">
        <v>3177629.0366738266</v>
      </c>
      <c r="J30" s="112">
        <v>3265182.3551446414</v>
      </c>
      <c r="L30" s="112">
        <v>3354834.7167169824</v>
      </c>
      <c r="N30" s="112">
        <v>3446990.2918544887</v>
      </c>
      <c r="P30" s="112">
        <v>3542192.3931948189</v>
      </c>
      <c r="R30" s="112">
        <v>3641219.6305287322</v>
      </c>
      <c r="T30" s="112">
        <v>3745236.8937779567</v>
      </c>
      <c r="V30" s="112">
        <v>3856071.9365119454</v>
      </c>
      <c r="X30" s="112">
        <v>3976726.7419995735</v>
      </c>
      <c r="Z30" s="112">
        <v>4112359.5948192477</v>
      </c>
      <c r="AB30" s="112">
        <v>4272216.284296128</v>
      </c>
      <c r="AD30" s="112">
        <v>4473453.1614021277</v>
      </c>
      <c r="AF30" s="112">
        <v>4748149.4841241566</v>
      </c>
      <c r="AH30" s="112">
        <v>5152465.7775970642</v>
      </c>
      <c r="AJ30" s="112">
        <v>5766085.2937609721</v>
      </c>
      <c r="AL30" s="112">
        <v>6669154.9699519798</v>
      </c>
      <c r="AN30" s="112"/>
      <c r="AP30" s="112"/>
      <c r="AR30" s="112"/>
      <c r="AT30" s="112"/>
      <c r="AV30" s="112"/>
    </row>
    <row r="31" spans="1:49" x14ac:dyDescent="0.2">
      <c r="A31" t="s">
        <v>47</v>
      </c>
      <c r="B31" s="77">
        <v>1</v>
      </c>
      <c r="D31" s="77">
        <v>0.99787000699331885</v>
      </c>
      <c r="F31" s="77">
        <v>0.99532457432441968</v>
      </c>
      <c r="H31" s="77">
        <v>0.99230772772139486</v>
      </c>
      <c r="J31" s="77">
        <v>0.98875221316949147</v>
      </c>
      <c r="L31" s="77">
        <v>0.98457566864662005</v>
      </c>
      <c r="N31" s="77">
        <v>0.97967680576695637</v>
      </c>
      <c r="P31" s="77">
        <v>0.97392789581583339</v>
      </c>
      <c r="R31" s="77">
        <v>0.96716509623754765</v>
      </c>
      <c r="T31" s="77">
        <v>0.95917311624726387</v>
      </c>
      <c r="V31" s="77">
        <v>0.94966059360215016</v>
      </c>
      <c r="X31" s="77">
        <v>0.93821937797721033</v>
      </c>
      <c r="Z31" s="77">
        <v>0.92425327861234552</v>
      </c>
      <c r="AB31" s="77">
        <v>0.90684744656527938</v>
      </c>
      <c r="AD31" s="77">
        <v>0.88451667787402954</v>
      </c>
      <c r="AF31" s="77">
        <v>0.85470837445853487</v>
      </c>
      <c r="AH31" s="77">
        <v>0.81283061625239261</v>
      </c>
      <c r="AJ31" s="77">
        <v>0.75034380684715762</v>
      </c>
      <c r="AL31" s="77">
        <v>0.64976921130084964</v>
      </c>
      <c r="AN31" s="77"/>
      <c r="AP31" s="77"/>
      <c r="AR31" s="77"/>
      <c r="AT31" s="77"/>
      <c r="AV31" s="77"/>
    </row>
    <row r="32" spans="1:49" x14ac:dyDescent="0.2">
      <c r="A32" t="s">
        <v>64</v>
      </c>
      <c r="B32" s="83">
        <v>14734457.915000005</v>
      </c>
      <c r="D32" s="83">
        <v>14733263.569985837</v>
      </c>
      <c r="F32" s="83">
        <v>14728823.876563087</v>
      </c>
      <c r="H32" s="83">
        <v>14720681.13326576</v>
      </c>
      <c r="J32" s="83">
        <v>14708294.961581282</v>
      </c>
      <c r="L32" s="83">
        <v>14691023.376899052</v>
      </c>
      <c r="N32" s="83">
        <v>14668110.047751315</v>
      </c>
      <c r="P32" s="83">
        <v>14638663.334990213</v>
      </c>
      <c r="R32" s="83">
        <v>14601641.592943152</v>
      </c>
      <c r="T32" s="83">
        <v>14555847.103809917</v>
      </c>
      <c r="V32" s="83">
        <v>14499938.132765738</v>
      </c>
      <c r="X32" s="83">
        <v>14432488.895281713</v>
      </c>
      <c r="Z32" s="83">
        <v>14352137.863794094</v>
      </c>
      <c r="AB32" s="83">
        <v>14257886.287729556</v>
      </c>
      <c r="AD32" s="83">
        <v>14149481.16998788</v>
      </c>
      <c r="AF32" s="83">
        <v>14026811.450973338</v>
      </c>
      <c r="AH32" s="83">
        <v>13881956.393846719</v>
      </c>
      <c r="AJ32" s="83">
        <v>13661350.35175691</v>
      </c>
      <c r="AL32" s="83">
        <v>13150280.312265433</v>
      </c>
      <c r="AN32" s="83"/>
      <c r="AP32" s="83"/>
      <c r="AR32" s="83"/>
      <c r="AT32" s="83"/>
      <c r="AV32" s="83"/>
    </row>
    <row r="33" spans="1:49 16319:16384" x14ac:dyDescent="0.2">
      <c r="A33" t="s">
        <v>54</v>
      </c>
      <c r="B33" s="111">
        <v>7019665.6909999922</v>
      </c>
      <c r="D33" s="111">
        <v>7019096.8105379995</v>
      </c>
      <c r="F33" s="111">
        <v>7016981.7108679228</v>
      </c>
      <c r="H33" s="111">
        <v>7013102.4619547594</v>
      </c>
      <c r="J33" s="111">
        <v>7007201.9304799763</v>
      </c>
      <c r="L33" s="111">
        <v>6998972.9858146477</v>
      </c>
      <c r="N33" s="111">
        <v>6988056.8212613361</v>
      </c>
      <c r="P33" s="111">
        <v>6974028.0783656891</v>
      </c>
      <c r="R33" s="111">
        <v>6956390.5210921317</v>
      </c>
      <c r="T33" s="111">
        <v>6934573.4910829384</v>
      </c>
      <c r="V33" s="111">
        <v>6907937.8057333101</v>
      </c>
      <c r="X33" s="111">
        <v>6875804.173927688</v>
      </c>
      <c r="Z33" s="111">
        <v>6837524.0367927765</v>
      </c>
      <c r="AB33" s="111">
        <v>6792621.4914911594</v>
      </c>
      <c r="AD33" s="111">
        <v>6740976.0144544765</v>
      </c>
      <c r="AF33" s="111">
        <v>6682534.7637630124</v>
      </c>
      <c r="AH33" s="111">
        <v>6613524.133705359</v>
      </c>
      <c r="AJ33" s="111">
        <v>6508424.8714660425</v>
      </c>
      <c r="AL33" s="111">
        <v>6264945.2098958455</v>
      </c>
      <c r="AN33" s="111"/>
      <c r="AP33" s="111"/>
      <c r="AR33" s="111"/>
      <c r="AT33" s="111"/>
      <c r="AV33" s="111"/>
    </row>
    <row r="34" spans="1:49 16319:16384" x14ac:dyDescent="0.2">
      <c r="A34" t="s">
        <v>75</v>
      </c>
      <c r="B34" s="111">
        <v>1136879.4410000131</v>
      </c>
      <c r="D34" s="111">
        <v>1136787.1659141239</v>
      </c>
      <c r="F34" s="111">
        <v>1136444.5866566768</v>
      </c>
      <c r="H34" s="111">
        <v>1135816.2610046454</v>
      </c>
      <c r="J34" s="111">
        <v>1134860.1945294654</v>
      </c>
      <c r="L34" s="111">
        <v>1133528.1150672885</v>
      </c>
      <c r="N34" s="111">
        <v>1131760.1619998822</v>
      </c>
      <c r="P34" s="111">
        <v>1129488.1059941542</v>
      </c>
      <c r="R34" s="111">
        <v>1126631.5587050878</v>
      </c>
      <c r="T34" s="111">
        <v>1123098.1604252064</v>
      </c>
      <c r="V34" s="111">
        <v>1118784.3497176066</v>
      </c>
      <c r="X34" s="111">
        <v>1113580.1471995481</v>
      </c>
      <c r="Z34" s="111">
        <v>1107380.4105538514</v>
      </c>
      <c r="AB34" s="111">
        <v>1100108.1675629965</v>
      </c>
      <c r="AD34" s="111">
        <v>1091743.8874845956</v>
      </c>
      <c r="AF34" s="111">
        <v>1082278.9347379375</v>
      </c>
      <c r="AH34" s="111">
        <v>1071102.2366731702</v>
      </c>
      <c r="AJ34" s="111">
        <v>1054080.7429897101</v>
      </c>
      <c r="AL34" s="111">
        <v>1014647.6658114488</v>
      </c>
      <c r="AN34" s="111"/>
      <c r="AP34" s="111"/>
      <c r="AR34" s="111"/>
      <c r="AT34" s="111"/>
      <c r="AV34" s="111"/>
    </row>
    <row r="35" spans="1:49 16319:16384" x14ac:dyDescent="0.2">
      <c r="A35" t="s">
        <v>78</v>
      </c>
      <c r="B35" s="192">
        <v>1</v>
      </c>
      <c r="D35" s="192">
        <v>1.0020546015040113</v>
      </c>
      <c r="F35" s="192">
        <v>1.0043243989704616</v>
      </c>
      <c r="H35" s="192">
        <v>1.0068510224465643</v>
      </c>
      <c r="J35" s="192">
        <v>1.00968809726884</v>
      </c>
      <c r="L35" s="192">
        <v>1.012906119535</v>
      </c>
      <c r="N35" s="192">
        <v>1.0165999342348011</v>
      </c>
      <c r="P35" s="192">
        <v>1.0209001944957126</v>
      </c>
      <c r="R35" s="192">
        <v>1.02599223119699</v>
      </c>
      <c r="T35" s="192">
        <v>1.0321474372352171</v>
      </c>
      <c r="V35" s="192">
        <v>1.0397781575076861</v>
      </c>
      <c r="X35" s="192">
        <v>1.0495378632218666</v>
      </c>
      <c r="Z35" s="192">
        <v>1.0625141282918809</v>
      </c>
      <c r="AB35" s="192">
        <v>1.0806218850787015</v>
      </c>
      <c r="AD35" s="192">
        <v>1.1074522172138006</v>
      </c>
      <c r="AF35" s="192">
        <v>1.1501794178131748</v>
      </c>
      <c r="AH35" s="192">
        <v>1.2238772814396108</v>
      </c>
      <c r="AJ35" s="192">
        <v>1.3617061065803839</v>
      </c>
      <c r="AL35" s="192">
        <v>1.6490412378111476</v>
      </c>
      <c r="AN35" s="192"/>
      <c r="AP35" s="192"/>
      <c r="AR35" s="192"/>
      <c r="AT35" s="192"/>
      <c r="AV35" s="192"/>
    </row>
    <row r="36" spans="1:49 16319:16384" x14ac:dyDescent="0.2">
      <c r="A36" t="s">
        <v>21</v>
      </c>
      <c r="B36" s="35">
        <v>0.47195767671988198</v>
      </c>
      <c r="C36" s="36">
        <v>0.31738834428178964</v>
      </c>
      <c r="D36" s="35">
        <v>0.47198595023626355</v>
      </c>
      <c r="E36" s="36">
        <v>0.31992228632730529</v>
      </c>
      <c r="F36" s="35">
        <v>0.47201625140771653</v>
      </c>
      <c r="G36" s="36">
        <v>0.32272075848452347</v>
      </c>
      <c r="H36" s="35">
        <v>0.47204886853652162</v>
      </c>
      <c r="I36" s="36">
        <v>0.32582400784228066</v>
      </c>
      <c r="J36" s="35">
        <v>0.47208413800798582</v>
      </c>
      <c r="K36" s="36">
        <v>0.32928113271523352</v>
      </c>
      <c r="L36" s="35">
        <v>0.47212243524510117</v>
      </c>
      <c r="M36" s="36">
        <v>0.33315275063847993</v>
      </c>
      <c r="N36" s="35">
        <v>0.47216420700602535</v>
      </c>
      <c r="O36" s="36">
        <v>0.33751521786692201</v>
      </c>
      <c r="P36" s="35">
        <v>0.47220992267375494</v>
      </c>
      <c r="Q36" s="36">
        <v>0.34246613130965692</v>
      </c>
      <c r="R36" s="35">
        <v>0.4722600644679486</v>
      </c>
      <c r="S36" s="36">
        <v>0.34813340957783928</v>
      </c>
      <c r="T36" s="35">
        <v>0.47231505012869252</v>
      </c>
      <c r="U36" s="36">
        <v>0.35468930482561611</v>
      </c>
      <c r="V36" s="35">
        <v>0.47237507817342744</v>
      </c>
      <c r="W36" s="36">
        <v>0.36237369025781591</v>
      </c>
      <c r="X36" s="35">
        <v>0.47243980387242435</v>
      </c>
      <c r="Y36" s="36">
        <v>0.37153428525157012</v>
      </c>
      <c r="Z36" s="35">
        <v>0.47250768005580895</v>
      </c>
      <c r="AA36" s="36">
        <v>0.38270004814987602</v>
      </c>
      <c r="AB36" s="35">
        <v>0.47257462221961172</v>
      </c>
      <c r="AC36" s="36">
        <v>0.3967222392184902</v>
      </c>
      <c r="AD36" s="35">
        <v>0.47263151065553588</v>
      </c>
      <c r="AE36" s="36">
        <v>0.41506005420475633</v>
      </c>
      <c r="AF36" s="35">
        <v>0.47266043538276381</v>
      </c>
      <c r="AG36" s="36">
        <v>0.44037467401545444</v>
      </c>
      <c r="AH36" s="35">
        <v>0.47263396132860508</v>
      </c>
      <c r="AI36" s="36">
        <v>0.477745340258171</v>
      </c>
      <c r="AJ36" s="35">
        <v>0.47253262863896817</v>
      </c>
      <c r="AK36" s="36">
        <v>0.53717360957877613</v>
      </c>
      <c r="AL36" s="35">
        <v>0.47238070005357252</v>
      </c>
      <c r="AM36" s="36">
        <v>0.64100084089691156</v>
      </c>
      <c r="AN36" s="35"/>
      <c r="AO36" s="36"/>
      <c r="AP36" s="35"/>
      <c r="AQ36" s="36"/>
      <c r="AR36" s="35"/>
      <c r="AS36" s="36"/>
      <c r="AT36" s="35"/>
      <c r="AU36" s="36"/>
      <c r="AV36" s="35"/>
      <c r="AW36" s="36"/>
    </row>
    <row r="37" spans="1:49 16319:16384" x14ac:dyDescent="0.2">
      <c r="B37" s="37">
        <v>2.1403217525954466E-2</v>
      </c>
      <c r="C37" s="38">
        <v>0.3496246130199252</v>
      </c>
      <c r="D37" s="37">
        <v>2.0667447884937715E-2</v>
      </c>
      <c r="E37" s="38">
        <v>0.3451362930182863</v>
      </c>
      <c r="F37" s="37">
        <v>1.9921510224130572E-2</v>
      </c>
      <c r="G37" s="38">
        <v>0.34056028667756971</v>
      </c>
      <c r="H37" s="37">
        <v>1.9164750108367334E-2</v>
      </c>
      <c r="I37" s="38">
        <v>0.33589227128173471</v>
      </c>
      <c r="J37" s="37">
        <v>1.8396379924200981E-2</v>
      </c>
      <c r="K37" s="38">
        <v>0.33112729252278428</v>
      </c>
      <c r="L37" s="37">
        <v>1.7615444765913143E-2</v>
      </c>
      <c r="M37" s="38">
        <v>0.32625961869181663</v>
      </c>
      <c r="N37" s="37">
        <v>1.6820687433551661E-2</v>
      </c>
      <c r="O37" s="38">
        <v>0.3212819662154669</v>
      </c>
      <c r="P37" s="37">
        <v>1.6010500489501246E-2</v>
      </c>
      <c r="Q37" s="38">
        <v>0.3161853054940309</v>
      </c>
      <c r="R37" s="37">
        <v>1.5182711447987586E-2</v>
      </c>
      <c r="S37" s="38">
        <v>0.31095764977470136</v>
      </c>
      <c r="T37" s="37">
        <v>1.4334328578819959E-2</v>
      </c>
      <c r="U37" s="38">
        <v>0.30558265540321883</v>
      </c>
      <c r="V37" s="37">
        <v>1.346112644535496E-2</v>
      </c>
      <c r="W37" s="38">
        <v>0.30003732078309658</v>
      </c>
      <c r="X37" s="37">
        <v>1.2557017265615353E-2</v>
      </c>
      <c r="Y37" s="38">
        <v>0.29428855085804123</v>
      </c>
      <c r="Z37" s="37">
        <v>1.1613079428086736E-2</v>
      </c>
      <c r="AA37" s="38">
        <v>0.28828802349725269</v>
      </c>
      <c r="AB37" s="37">
        <v>1.0616154952653009E-2</v>
      </c>
      <c r="AC37" s="38">
        <v>0.2819654010415597</v>
      </c>
      <c r="AD37" s="37">
        <v>9.5471683125909063E-3</v>
      </c>
      <c r="AE37" s="38">
        <v>0.27522237299117303</v>
      </c>
      <c r="AF37" s="37">
        <v>8.3808259527130488E-3</v>
      </c>
      <c r="AG37" s="38">
        <v>0.26794165445045892</v>
      </c>
      <c r="AH37" s="37">
        <v>7.092625962762728E-3</v>
      </c>
      <c r="AI37" s="38">
        <v>0.2600551438277417</v>
      </c>
      <c r="AJ37" s="37">
        <v>5.6804484716907197E-3</v>
      </c>
      <c r="AK37" s="38">
        <v>0.25171886051044684</v>
      </c>
      <c r="AL37" s="37">
        <v>4.175647938526407E-3</v>
      </c>
      <c r="AM37" s="38">
        <v>0.2434184716205248</v>
      </c>
      <c r="AN37" s="37"/>
      <c r="AO37" s="38"/>
      <c r="AP37" s="37"/>
      <c r="AQ37" s="38"/>
      <c r="AR37" s="37"/>
      <c r="AS37" s="38"/>
      <c r="AT37" s="37"/>
      <c r="AU37" s="38"/>
      <c r="AV37" s="37"/>
      <c r="AW37" s="38"/>
    </row>
    <row r="38" spans="1:49 16319:16384" x14ac:dyDescent="0.2">
      <c r="A38" t="s">
        <v>22</v>
      </c>
      <c r="B38" s="35">
        <v>0.18079094942242827</v>
      </c>
      <c r="C38" s="36">
        <v>6.0565413429233668E-2</v>
      </c>
      <c r="D38" s="35">
        <v>0.18092011436703606</v>
      </c>
      <c r="E38" s="36">
        <v>6.0931278444587234E-2</v>
      </c>
      <c r="F38" s="35">
        <v>0.181073256646129</v>
      </c>
      <c r="G38" s="36">
        <v>6.1335199044879045E-2</v>
      </c>
      <c r="H38" s="35">
        <v>0.18125409542420756</v>
      </c>
      <c r="I38" s="36">
        <v>6.1783167387786386E-2</v>
      </c>
      <c r="J38" s="35">
        <v>0.18146722339031662</v>
      </c>
      <c r="K38" s="36">
        <v>6.2282602479659083E-2</v>
      </c>
      <c r="L38" s="35">
        <v>0.18171842634636509</v>
      </c>
      <c r="M38" s="36">
        <v>6.2842588170397159E-2</v>
      </c>
      <c r="N38" s="35">
        <v>0.1820150974925227</v>
      </c>
      <c r="O38" s="36">
        <v>6.3474855324555393E-2</v>
      </c>
      <c r="P38" s="35">
        <v>0.18236692211491087</v>
      </c>
      <c r="Q38" s="36">
        <v>6.419446272753658E-2</v>
      </c>
      <c r="R38" s="35">
        <v>0.18278690996784616</v>
      </c>
      <c r="S38" s="36">
        <v>6.5021403405382899E-2</v>
      </c>
      <c r="T38" s="35">
        <v>0.18329306900227596</v>
      </c>
      <c r="U38" s="36">
        <v>6.5983069360231059E-2</v>
      </c>
      <c r="V38" s="35">
        <v>0.18391124635107958</v>
      </c>
      <c r="W38" s="36">
        <v>6.7118241239113946E-2</v>
      </c>
      <c r="X38" s="35">
        <v>0.18468013067662573</v>
      </c>
      <c r="Y38" s="36">
        <v>6.8484376287122659E-2</v>
      </c>
      <c r="Z38" s="35">
        <v>0.18566059343644606</v>
      </c>
      <c r="AA38" s="36">
        <v>7.0171085616447151E-2</v>
      </c>
      <c r="AB38" s="35">
        <v>0.18695413233353791</v>
      </c>
      <c r="AC38" s="36">
        <v>7.2327275610032632E-2</v>
      </c>
      <c r="AD38" s="35">
        <v>0.18874154677329583</v>
      </c>
      <c r="AE38" s="36">
        <v>7.5218086385239302E-2</v>
      </c>
      <c r="AF38" s="35">
        <v>0.19136799089917295</v>
      </c>
      <c r="AG38" s="36">
        <v>7.935349146527769E-2</v>
      </c>
      <c r="AH38" s="35">
        <v>0.19553666125810215</v>
      </c>
      <c r="AI38" s="36">
        <v>8.5786686422617456E-2</v>
      </c>
      <c r="AJ38" s="35">
        <v>0.20280248836284354</v>
      </c>
      <c r="AK38" s="36">
        <v>9.6908235911259299E-2</v>
      </c>
      <c r="AL38" s="35">
        <v>0.21748040201737104</v>
      </c>
      <c r="AM38" s="36">
        <v>0.11991092120421068</v>
      </c>
      <c r="AN38" s="35"/>
      <c r="AO38" s="36"/>
      <c r="AP38" s="35"/>
      <c r="AQ38" s="36"/>
      <c r="AR38" s="35"/>
      <c r="AS38" s="36"/>
      <c r="AT38" s="35"/>
      <c r="AU38" s="36"/>
      <c r="AV38" s="35"/>
      <c r="AW38" s="36"/>
    </row>
    <row r="39" spans="1:49 16319:16384" x14ac:dyDescent="0.2">
      <c r="A39" t="s">
        <v>23</v>
      </c>
      <c r="B39" s="37">
        <v>0.23064923795098771</v>
      </c>
      <c r="C39" s="38">
        <v>0.22092201281804777</v>
      </c>
      <c r="D39" s="37">
        <v>0.23120035971024844</v>
      </c>
      <c r="E39" s="38">
        <v>0.22249954519168891</v>
      </c>
      <c r="F39" s="37">
        <v>0.23178665722625935</v>
      </c>
      <c r="G39" s="38">
        <v>0.22422134799999457</v>
      </c>
      <c r="H39" s="37">
        <v>0.23241335314318076</v>
      </c>
      <c r="I39" s="38">
        <v>0.2261100815590702</v>
      </c>
      <c r="J39" s="37">
        <v>0.23308683854962278</v>
      </c>
      <c r="K39" s="38">
        <v>0.22819345914513764</v>
      </c>
      <c r="L39" s="37">
        <v>0.23381499756294702</v>
      </c>
      <c r="M39" s="38">
        <v>0.23050611029433388</v>
      </c>
      <c r="N39" s="37">
        <v>0.23460782583239484</v>
      </c>
      <c r="O39" s="38">
        <v>0.23309170870955517</v>
      </c>
      <c r="P39" s="37">
        <v>0.23547813743035242</v>
      </c>
      <c r="Q39" s="38">
        <v>0.23600667839929315</v>
      </c>
      <c r="R39" s="37">
        <v>0.23644283384037121</v>
      </c>
      <c r="S39" s="38">
        <v>0.23932569904480147</v>
      </c>
      <c r="T39" s="37">
        <v>0.23752487387784849</v>
      </c>
      <c r="U39" s="38">
        <v>0.24315043955436971</v>
      </c>
      <c r="V39" s="37">
        <v>0.23875660264072449</v>
      </c>
      <c r="W39" s="38">
        <v>0.247624637374566</v>
      </c>
      <c r="X39" s="37">
        <v>0.24018567471953772</v>
      </c>
      <c r="Y39" s="38">
        <v>0.25296040413156362</v>
      </c>
      <c r="Z39" s="37">
        <v>0.24188620513449549</v>
      </c>
      <c r="AA39" s="38">
        <v>0.25948789405819439</v>
      </c>
      <c r="AB39" s="37">
        <v>0.24398114484111746</v>
      </c>
      <c r="AC39" s="38">
        <v>0.26775388734892253</v>
      </c>
      <c r="AD39" s="37">
        <v>0.24669025324806132</v>
      </c>
      <c r="AE39" s="38">
        <v>0.27873268483477465</v>
      </c>
      <c r="AF39" s="37">
        <v>0.25043900305853517</v>
      </c>
      <c r="AG39" s="38">
        <v>0.29429838367664846</v>
      </c>
      <c r="AH39" s="37">
        <v>0.2561163000752798</v>
      </c>
      <c r="AI39" s="38">
        <v>0.3183367243630888</v>
      </c>
      <c r="AJ39" s="37">
        <v>0.26574534901647928</v>
      </c>
      <c r="AK39" s="38">
        <v>0.35970505045683249</v>
      </c>
      <c r="AL39" s="37">
        <v>0.28501235647065565</v>
      </c>
      <c r="AM39" s="38">
        <v>0.44512104040090383</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6.0999999999999999E-2</v>
      </c>
      <c r="E42" s="126"/>
      <c r="F42" s="167">
        <f>6.1%+(1-6.1%)*(1-SUM(F26:G26)/SUM($B$26:$C$26))</f>
        <v>6.0999999999999582E-2</v>
      </c>
      <c r="G42" s="126"/>
      <c r="H42" s="167">
        <f>6.1%+(1-6.1%)*(1-SUM(H26:I26)/SUM($B$26:$C$26))</f>
        <v>6.0999999999994788E-2</v>
      </c>
      <c r="I42" s="126"/>
      <c r="J42" s="167">
        <f>6.1%+(1-6.1%)*(1-SUM(J26:K26)/SUM($B$26:$C$26))</f>
        <v>6.0999999999998333E-2</v>
      </c>
      <c r="K42" s="126"/>
      <c r="L42" s="167">
        <f>6.1%+(1-6.1%)*(1-SUM(L26:M26)/SUM($B$26:$C$26))</f>
        <v>6.1000000000000519E-2</v>
      </c>
      <c r="M42" s="126"/>
      <c r="N42" s="167">
        <f>6.1%+(1-6.1%)*(1-SUM(N26:O26)/SUM($B$26:$C$26))</f>
        <v>6.1000000000000519E-2</v>
      </c>
      <c r="O42" s="126"/>
      <c r="P42" s="167">
        <f>6.1%+(1-6.1%)*(1-SUM(P26:Q26)/SUM($B$26:$C$26))</f>
        <v>6.1000000000000207E-2</v>
      </c>
      <c r="Q42" s="126"/>
      <c r="R42" s="167">
        <f>6.1%+(1-6.1%)*(1-SUM(R26:S26)/SUM($B$26:$C$26))</f>
        <v>6.0999999999999791E-2</v>
      </c>
      <c r="S42" s="126"/>
      <c r="T42" s="167">
        <f>6.1%+(1-6.1%)*(1-SUM(T26:U26)/SUM($B$26:$C$26))</f>
        <v>6.0999999999999582E-2</v>
      </c>
      <c r="U42" s="126"/>
      <c r="V42" s="167">
        <f>6.1%+(1-6.1%)*(1-SUM(V26:W26)/SUM($B$26:$C$26))</f>
        <v>6.1000000000000207E-2</v>
      </c>
      <c r="W42" s="126"/>
      <c r="X42" s="167">
        <f>6.1%+(1-6.1%)*(1-SUM(X26:Y26)/SUM($B$26:$C$26))</f>
        <v>6.0999999999999582E-2</v>
      </c>
      <c r="Y42" s="152"/>
      <c r="Z42" s="167">
        <f>6.1%+(1-6.1%)*(1-SUM(Z26:AA26)/SUM($B$26:$C$26))</f>
        <v>6.099999999999875E-2</v>
      </c>
      <c r="AA42" s="126"/>
      <c r="AB42" s="167">
        <f>6.1%+(1-6.1%)*(1-SUM(AB26:AC26)/SUM($B$26:$C$26))</f>
        <v>6.0999999999999999E-2</v>
      </c>
      <c r="AC42" s="126"/>
      <c r="AD42" s="167">
        <f>6.1%+(1-6.1%)*(1-SUM(AD26:AE26)/SUM($B$26:$C$26))</f>
        <v>6.0999999999998958E-2</v>
      </c>
      <c r="AE42" s="126"/>
      <c r="AF42" s="167">
        <f>6.1%+(1-6.1%)*(1-SUM(AF26:AG26)/SUM($B$26:$C$26))</f>
        <v>6.0999999999999582E-2</v>
      </c>
      <c r="AG42" s="126"/>
      <c r="AH42" s="167">
        <f>6.1%+(1-6.1%)*(1-SUM(AH26:AI26)/SUM($B$26:$C$26))</f>
        <v>6.1000000000000207E-2</v>
      </c>
      <c r="AI42" s="126"/>
      <c r="AJ42" s="167">
        <f>6.1%+(1-6.1%)*(1-SUM(AJ26:AK26)/SUM($B$26:$C$26))</f>
        <v>6.0999999999999582E-2</v>
      </c>
      <c r="AK42" s="126"/>
      <c r="AL42" s="167">
        <f>6.1%+(1-6.1%)*(1-SUM(AL26:AM26)/SUM($B$26:$C$26))</f>
        <v>6.0999999999999791E-2</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0.561310972223796</v>
      </c>
      <c r="E43" s="126"/>
      <c r="F43" s="152">
        <f t="array" ref="F43">SUM(F15:G15*F27:G27)/SUM(F15:G15*F27:G27,F13:G13*F26:G26)</f>
        <v>0.55518872160428312</v>
      </c>
      <c r="G43" s="126"/>
      <c r="H43" s="152">
        <f t="array" ref="H43">SUM(H15:I15*H27:I27)/SUM(H15:I15*H27:I27,H13:I13*H26:I26)</f>
        <v>0.54879926756609487</v>
      </c>
      <c r="I43" s="126"/>
      <c r="J43" s="152">
        <f t="array" ref="J43">SUM(J15:K15*J27:K27)/SUM(J15:K15*J27:K27,J13:K13*J26:K26)</f>
        <v>0.54210011223185761</v>
      </c>
      <c r="K43" s="126"/>
      <c r="L43" s="152">
        <f t="array" ref="L43">SUM(L15:M15*L27:M27)/SUM(L15:M15*L27:M27,L13:M13*L26:M26)</f>
        <v>0.53503810845489419</v>
      </c>
      <c r="M43" s="126"/>
      <c r="N43" s="152">
        <f t="array" ref="N43">SUM(N15:O15*N27:O27)/SUM(N15:O15*N27:O27,N13:O13*N26:O26)</f>
        <v>0.52754473807551994</v>
      </c>
      <c r="O43" s="126"/>
      <c r="P43" s="152">
        <f t="array" ref="P43">SUM(P15:Q15*P27:Q27)/SUM(P15:Q15*P27:Q27,P13:Q13*P26:Q26)</f>
        <v>0.51952988817543932</v>
      </c>
      <c r="Q43" s="126"/>
      <c r="R43" s="152">
        <f t="array" ref="R43">SUM(R15:S15*R27:S27)/SUM(R15:S15*R27:S27,R13:S13*R26:S26)</f>
        <v>0.51087067606874603</v>
      </c>
      <c r="S43" s="126"/>
      <c r="T43" s="152">
        <f t="array" ref="T43">SUM(T15:U15*T27:U27)/SUM(T15:U15*T27:U27,T13:U13*T26:U26)</f>
        <v>0.50139320333287241</v>
      </c>
      <c r="U43" s="126"/>
      <c r="V43" s="152">
        <f t="array" ref="V43">SUM(V15:W15*V27:W27)/SUM(V15:W15*V27:W27,V13:W13*V26:W26)</f>
        <v>0.49083995079170156</v>
      </c>
      <c r="W43" s="126"/>
      <c r="X43" s="152">
        <f t="array" ref="X43">SUM(X15:Y15*X27:Y27)/SUM(X15:Y15*X27:Y27,X13:Y13*X26:Y26)</f>
        <v>0.47880975484307997</v>
      </c>
      <c r="Y43" s="126"/>
      <c r="Z43" s="152">
        <f t="array" ref="Z43">SUM(Z15:AA15*Z27:AA27)/SUM(Z15:AA15*Z27:AA27,Z13:AA13*Z26:AA26)</f>
        <v>0.46464042108206566</v>
      </c>
      <c r="AA43" s="126"/>
      <c r="AB43" s="152">
        <f t="array" ref="AB43">SUM(AB15:AC15*AB27:AC27)/SUM(AB15:AC15*AB27:AC27,AB13:AC13*AB26:AC26)</f>
        <v>0.44716630141226832</v>
      </c>
      <c r="AC43" s="126"/>
      <c r="AD43" s="152">
        <f t="array" ref="AD43">SUM(AD15:AE15*AD27:AE27)/SUM(AD15:AE15*AD27:AE27,AD13:AE13*AD26:AE26)</f>
        <v>0.4241890401440303</v>
      </c>
      <c r="AE43" s="126"/>
      <c r="AF43" s="152">
        <f t="array" ref="AF43">SUM(AF15:AG15*AF27:AG27)/SUM(AF15:AG15*AF27:AG27,AF13:AG13*AF26:AG26)</f>
        <v>0.39127434274685446</v>
      </c>
      <c r="AG43" s="126"/>
      <c r="AH43" s="152">
        <f t="array" ref="AH43">SUM(AH15:AI15*AH27:AI27)/SUM(AH15:AI15*AH27:AI27,AH13:AI13*AH26:AI26)</f>
        <v>0.33896951318390534</v>
      </c>
      <c r="AI43" s="126"/>
      <c r="AJ43" s="152">
        <f t="array" ref="AJ43">SUM(AJ15:AK15*AJ27:AK27)/SUM(AJ15:AK15*AJ27:AK27,AJ13:AK13*AJ26:AK26)</f>
        <v>0.24564077385192196</v>
      </c>
      <c r="AK43" s="126"/>
      <c r="AL43" s="152">
        <f t="array" ref="AL43">SUM(AL15:AM15*AL27:AM27)/SUM(AL15:AM15*AL27:AM27,AL13:AM13*AL26:AM26)</f>
        <v>4.6645109422502357E-2</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0.29754226190682442</v>
      </c>
      <c r="D44" s="183">
        <f>(SUM(D11:E11*D24:E24)+D34)/D32</f>
        <v>0.29754225381100979</v>
      </c>
      <c r="F44" s="183">
        <f>(SUM(F11:G11*F24:G24)+F34)/F32</f>
        <v>0.29754225235007881</v>
      </c>
      <c r="H44" s="183">
        <f>(SUM(H11:I11*H24:I24)+H34)/H32</f>
        <v>0.29754224909030674</v>
      </c>
      <c r="J44" s="183">
        <f>(SUM(J11:K11*J24:K24)+J34)/J32</f>
        <v>0.29754222300089816</v>
      </c>
      <c r="L44" s="183">
        <f>(SUM(L11:M11*L24:M24)+L34)/L32</f>
        <v>0.2975422612452337</v>
      </c>
      <c r="N44" s="183">
        <f>(SUM(N11:O11*N24:O24)+N34)/N32</f>
        <v>0.29754226058125111</v>
      </c>
      <c r="P44" s="183">
        <f>(SUM(P11:Q11*P24:Q24)+P34)/P32</f>
        <v>0.29754225984844623</v>
      </c>
      <c r="R44" s="183">
        <f>(SUM(R11:S11*R24:S24)+R34)/R32</f>
        <v>0.29754225795104361</v>
      </c>
      <c r="T44" s="183">
        <f>(SUM(T11:U11*T24:U24)+T34)/T32</f>
        <v>0.29754225843421089</v>
      </c>
      <c r="V44" s="183">
        <f>(SUM(V11:W11*V24:W24)+V34)/V32</f>
        <v>0.29754225888402708</v>
      </c>
      <c r="X44" s="183">
        <f>(SUM(X11:Y11*X24:Y24)+X34)/X32</f>
        <v>0.29754226144329654</v>
      </c>
      <c r="Z44" s="183">
        <f>(SUM(Z11:AA11*Z24:AA24)+Z34)/Z32</f>
        <v>0.29754225997773315</v>
      </c>
      <c r="AB44" s="183">
        <f>(SUM(AB11:AC11*AB24:AC24)+AB34)/AB32</f>
        <v>0.29754226048477805</v>
      </c>
      <c r="AD44" s="183">
        <f>(SUM(AD11:AE11*AD24:AE24)+AD34)/AD32</f>
        <v>0.29754226249876359</v>
      </c>
      <c r="AF44" s="183">
        <f>(SUM(AF11:AG11*AF24:AG24)+AF34)/AF32</f>
        <v>0.29754226120201965</v>
      </c>
      <c r="AH44" s="183">
        <f>(SUM(AH11:AI11*AH24:AI24)+AH34)/AH32</f>
        <v>0.29754226192601496</v>
      </c>
      <c r="AJ44" s="183">
        <f>(SUM(AJ11:AK11*AJ24:AK24)+AJ34)/AJ32</f>
        <v>0.29754226188398664</v>
      </c>
      <c r="AL44" s="183">
        <f>(SUM(AL11:AM11*AL24:AM24)+AL34)/AL32</f>
        <v>0.29754226190708827</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0.22038438851428405</v>
      </c>
      <c r="F45" s="183">
        <f>SUM(F11:G11*F24:G24)/F32</f>
        <v>0.22038438854636944</v>
      </c>
      <c r="H45" s="183">
        <f>SUM(H11:I11*H24:I24)/H32</f>
        <v>0.22038438861346163</v>
      </c>
      <c r="J45" s="183">
        <f>SUM(J11:K11*J24:K24)/J32</f>
        <v>0.22038438808571789</v>
      </c>
      <c r="L45" s="183">
        <f>SUM(L11:M11*L24:M24)/L32</f>
        <v>0.22038438830564611</v>
      </c>
      <c r="N45" s="183">
        <f>SUM(N11:O11*N24:O24)/N32</f>
        <v>0.22038438827762832</v>
      </c>
      <c r="P45" s="183">
        <f>SUM(P11:Q11*P24:Q24)/P32</f>
        <v>0.22038438824862716</v>
      </c>
      <c r="R45" s="183">
        <f>SUM(R11:S11*R24:S24)/R32</f>
        <v>0.22038438830099141</v>
      </c>
      <c r="T45" s="183">
        <f>SUM(T11:U11*T24:U24)/T32</f>
        <v>0.22038438830714416</v>
      </c>
      <c r="V45" s="183">
        <f>SUM(V11:W11*V24:W24)/V32</f>
        <v>0.22038438831425741</v>
      </c>
      <c r="X45" s="183">
        <f>SUM(X11:Y11*X24:Y24)/X32</f>
        <v>0.22038438830863566</v>
      </c>
      <c r="Z45" s="183">
        <f>SUM(Z11:AA11*Z24:AA24)/Z32</f>
        <v>0.22038438837259608</v>
      </c>
      <c r="AB45" s="183">
        <f>SUM(AB11:AC11*AB24:AC24)/AB32</f>
        <v>0.22038438831758608</v>
      </c>
      <c r="AD45" s="183">
        <f>SUM(AD11:AE11*AD24:AE24)/AD32</f>
        <v>0.22038438834290644</v>
      </c>
      <c r="AF45" s="183">
        <f>SUM(AF11:AG11*AF24:AG24)/AF32</f>
        <v>0.2203843883297186</v>
      </c>
      <c r="AH45" s="183">
        <f>SUM(AH11:AI11*AH24:AI24)/AH32</f>
        <v>0.22038438833206356</v>
      </c>
      <c r="AJ45" s="183">
        <f>SUM(AJ11:AK11*AJ24:AK24)/AJ32</f>
        <v>0.22038438833203938</v>
      </c>
      <c r="AL45" s="183">
        <f>SUM(AL11:AM11*AL24:AM24)/AL32</f>
        <v>0.22038438833194673</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7.7157873574883587E-2</v>
      </c>
      <c r="D46" s="183">
        <f>D34/D32</f>
        <v>7.7157865296725747E-2</v>
      </c>
      <c r="F46" s="183">
        <f>F34/F32</f>
        <v>7.7157863803709342E-2</v>
      </c>
      <c r="H46" s="183">
        <f>H34/H32</f>
        <v>7.7157860476845086E-2</v>
      </c>
      <c r="J46" s="183">
        <f>J34/J32</f>
        <v>7.7157834915180204E-2</v>
      </c>
      <c r="L46" s="183">
        <f>L34/L32</f>
        <v>7.7157872939587618E-2</v>
      </c>
      <c r="N46" s="183">
        <f>N34/N32</f>
        <v>7.7157872303622782E-2</v>
      </c>
      <c r="P46" s="183">
        <f>P34/P32</f>
        <v>7.7157871599819086E-2</v>
      </c>
      <c r="R46" s="183">
        <f>R34/R32</f>
        <v>7.7157869650052155E-2</v>
      </c>
      <c r="T46" s="183">
        <f>T34/T32</f>
        <v>7.7157870127066763E-2</v>
      </c>
      <c r="V46" s="183">
        <f>V34/V32</f>
        <v>7.7157870569769665E-2</v>
      </c>
      <c r="X46" s="183">
        <f>X34/X32</f>
        <v>7.7157873134660854E-2</v>
      </c>
      <c r="Z46" s="183">
        <f>Z34/Z32</f>
        <v>7.7157871605137096E-2</v>
      </c>
      <c r="AB46" s="183">
        <f>AB34/AB32</f>
        <v>7.7157872167191985E-2</v>
      </c>
      <c r="AD46" s="183">
        <f>AD34/AD32</f>
        <v>7.7157874155857176E-2</v>
      </c>
      <c r="AF46" s="183">
        <f>AF34/AF32</f>
        <v>7.7157872872301053E-2</v>
      </c>
      <c r="AH46" s="183">
        <f>AH34/AH32</f>
        <v>7.7157873593951376E-2</v>
      </c>
      <c r="AJ46" s="183">
        <f>AJ34/AJ32</f>
        <v>7.7157873551947267E-2</v>
      </c>
      <c r="AL46" s="183">
        <f>AL34/AL32</f>
        <v>7.715787357514152E-2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1.0017313006985811</v>
      </c>
      <c r="E48" s="181"/>
      <c r="F48" s="181">
        <f>F24/$B$24</f>
        <v>1.0033513299309105</v>
      </c>
      <c r="G48" s="181"/>
      <c r="H48" s="181">
        <f>H24/$B$24</f>
        <v>1.004842054176442</v>
      </c>
      <c r="I48" s="181"/>
      <c r="J48" s="181">
        <f>J24/$B$24</f>
        <v>1.0061814191961547</v>
      </c>
      <c r="K48" s="181"/>
      <c r="L48" s="181">
        <f>L24/$B$24</f>
        <v>1.0073417509158931</v>
      </c>
      <c r="M48" s="181"/>
      <c r="N48" s="181">
        <f>N24/$B$24</f>
        <v>1.0082886810303413</v>
      </c>
      <c r="O48" s="181"/>
      <c r="P48" s="181">
        <f>P24/$B$24</f>
        <v>1.0089782338071904</v>
      </c>
      <c r="Q48" s="181"/>
      <c r="R48" s="181">
        <f>R24/$B$24</f>
        <v>1.0093536205108813</v>
      </c>
      <c r="S48" s="181"/>
      <c r="T48" s="181">
        <f>T24/$B$24</f>
        <v>1.0093401920820411</v>
      </c>
      <c r="U48" s="181"/>
      <c r="V48" s="181">
        <f>V24/$B$24</f>
        <v>1.0088375118803203</v>
      </c>
      <c r="W48" s="181"/>
      <c r="X48" s="181">
        <f>X24/$B$24</f>
        <v>1.0077067760201097</v>
      </c>
      <c r="Y48" s="181"/>
      <c r="Z48" s="181">
        <f>Z24/$B$24</f>
        <v>1.0057490292900586</v>
      </c>
      <c r="AA48" s="181"/>
      <c r="AB48" s="181">
        <f>AB24/$B$24</f>
        <v>1.0026645139238175</v>
      </c>
      <c r="AC48" s="181"/>
      <c r="AD48" s="181">
        <f>AD24/$B$24</f>
        <v>0.99796700461552545</v>
      </c>
      <c r="AE48" s="181"/>
      <c r="AF48" s="181">
        <f>AF24/$B$24</f>
        <v>0.99077549910067853</v>
      </c>
      <c r="AG48" s="181"/>
      <c r="AH48" s="181">
        <f>AH24/$B$24</f>
        <v>0.97922123908389136</v>
      </c>
      <c r="AI48" s="181"/>
      <c r="AJ48" s="181">
        <f>AJ24/$B$24</f>
        <v>0.95860443392073547</v>
      </c>
      <c r="AK48" s="181"/>
      <c r="AL48" s="181">
        <f>AL24/$B$24</f>
        <v>0.91521875796801355</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1.0043317534946905</v>
      </c>
      <c r="E49" s="181"/>
      <c r="F49" s="181">
        <f>F13/F35/$B$13*$B$35</f>
        <v>1.0083656756897652</v>
      </c>
      <c r="G49" s="181"/>
      <c r="H49" s="181">
        <f>H13/H35/$B$13*$B$35</f>
        <v>1.0120508726701636</v>
      </c>
      <c r="I49" s="181"/>
      <c r="J49" s="181">
        <f>J13/J35/$B$13*$B$35</f>
        <v>1.0153238213622733</v>
      </c>
      <c r="K49" s="181"/>
      <c r="L49" s="181">
        <f>L13/L35/$B$13*$B$35</f>
        <v>1.0181043625559782</v>
      </c>
      <c r="M49" s="181"/>
      <c r="N49" s="181">
        <f>N13/N35/$B$13*$B$35</f>
        <v>1.0202905818271719</v>
      </c>
      <c r="O49" s="181"/>
      <c r="P49" s="181">
        <f>P13/P35/$B$13*$B$35</f>
        <v>1.0217509173710391</v>
      </c>
      <c r="Q49" s="181"/>
      <c r="R49" s="181">
        <f>R13/R35/$B$13*$B$35</f>
        <v>1.0223132158884904</v>
      </c>
      <c r="S49" s="181"/>
      <c r="T49" s="181">
        <f>T13/T35/$B$13*$B$35</f>
        <v>1.0217478599656371</v>
      </c>
      <c r="U49" s="181"/>
      <c r="V49" s="181">
        <f>V13/V35/$B$13*$B$35</f>
        <v>1.0197415337195685</v>
      </c>
      <c r="W49" s="181"/>
      <c r="X49" s="181">
        <f>X13/X35/$B$13*$B$35</f>
        <v>1.0158531479137249</v>
      </c>
      <c r="Y49" s="181"/>
      <c r="Z49" s="181">
        <f>Z13/Z35/$B$13*$B$35</f>
        <v>1.0094353186450313</v>
      </c>
      <c r="AA49" s="181"/>
      <c r="AB49" s="181">
        <f>AB13/AB35/$B$13*$B$35</f>
        <v>0.99948211666697762</v>
      </c>
      <c r="AC49" s="181"/>
      <c r="AD49" s="181">
        <f>AD13/AD35/$B$13*$B$35</f>
        <v>0.98430370565240832</v>
      </c>
      <c r="AE49" s="181"/>
      <c r="AF49" s="181">
        <f>AF13/AF35/$B$13*$B$35</f>
        <v>0.96076779574705373</v>
      </c>
      <c r="AG49" s="181"/>
      <c r="AH49" s="181">
        <f>AH13/AH35/$B$13*$B$35</f>
        <v>0.9224643467649527</v>
      </c>
      <c r="AI49" s="181"/>
      <c r="AJ49" s="181">
        <f>AJ13/AJ35/$B$13*$B$35</f>
        <v>0.85573364093173998</v>
      </c>
      <c r="AK49" s="181"/>
      <c r="AL49" s="181">
        <f>AL13/AL35/$B$13*$B$35</f>
        <v>0.73307865356294644</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-322725.0983939087</v>
      </c>
      <c r="F51" s="27">
        <f>F30-F10*F23</f>
        <v>-237521.19908437273</v>
      </c>
      <c r="H51" s="27">
        <f>H30-H10*H23</f>
        <v>-149925.0621040347</v>
      </c>
      <c r="J51" s="27">
        <f>J30-J10*J23</f>
        <v>-59571.8965348606</v>
      </c>
      <c r="L51" s="27">
        <f>L30-L10*L23</f>
        <v>33984.641201711725</v>
      </c>
      <c r="N51" s="27">
        <f>N30-N10*N23</f>
        <v>131319.68742699968</v>
      </c>
      <c r="P51" s="27">
        <f>P30-P10*P23</f>
        <v>233178.10642387578</v>
      </c>
      <c r="R51" s="27">
        <f>R30-R10*R23</f>
        <v>340573.96803389024</v>
      </c>
      <c r="T51" s="27">
        <f>T30-T10*T23</f>
        <v>454942.90174164949</v>
      </c>
      <c r="V51" s="27">
        <f>V30-V10*V23</f>
        <v>578415.95518127689</v>
      </c>
      <c r="X51" s="27">
        <f>X30-X10*X23</f>
        <v>714317.40480293334</v>
      </c>
      <c r="Z51" s="27">
        <f>Z30-Z10*Z23</f>
        <v>868113.30332322046</v>
      </c>
      <c r="AB51" s="27">
        <f>AB30-AB10*AB23</f>
        <v>1049275.2038437049</v>
      </c>
      <c r="AD51" s="27">
        <f>AD30-AD10*AD23</f>
        <v>1275016.6463705702</v>
      </c>
      <c r="AF51" s="27">
        <f>AF30-AF10*AF23</f>
        <v>1577441.9934908208</v>
      </c>
      <c r="AH51" s="27">
        <f>AH30-AH10*AH23</f>
        <v>2014502.2228391636</v>
      </c>
      <c r="AJ51" s="27">
        <f>AJ30-AJ10*AJ23</f>
        <v>2677988.8975214525</v>
      </c>
      <c r="AL51" s="27">
        <f>AL30-AL10*AL23</f>
        <v>3696584.0164060993</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2086351.0566668615</v>
      </c>
      <c r="F52" s="27">
        <f t="array" ref="F52">Calibration!sL*SUM(F13:G13*F26:G26)</f>
        <v>2099475.8010939597</v>
      </c>
      <c r="H52" s="27">
        <f t="array" ref="H52">Calibration!sL*SUM(H13:I13*H26:I26)</f>
        <v>2112449.6421363074</v>
      </c>
      <c r="J52" s="27">
        <f t="array" ref="J52">Calibration!sL*SUM(J13:K13*J26:K26)</f>
        <v>2125252.9021353293</v>
      </c>
      <c r="L52" s="27">
        <f t="array" ref="L52">Calibration!sL*SUM(L13:M13*L26:M26)</f>
        <v>2137865.1068449346</v>
      </c>
      <c r="N52" s="27">
        <f t="array" ref="N52">Calibration!sL*SUM(N13:O13*N26:O26)</f>
        <v>2150268.835865451</v>
      </c>
      <c r="P52" s="27">
        <f t="array" ref="P52">Calibration!sL*SUM(P13:Q13*P26:Q26)</f>
        <v>2162455.2480441676</v>
      </c>
      <c r="R52" s="27">
        <f t="array" ref="R52">Calibration!sL*SUM(R13:S13*R26:S26)</f>
        <v>2174437.1189007228</v>
      </c>
      <c r="T52" s="27">
        <f t="array" ref="T52">Calibration!sL*SUM(T13:U13*T26:U26)</f>
        <v>2186272.4443219732</v>
      </c>
      <c r="V52" s="27">
        <f t="array" ref="V52">Calibration!sL*SUM(V13:W13*V26:W26)</f>
        <v>2198110.9210279873</v>
      </c>
      <c r="X52" s="27">
        <f t="array" ref="X52">Calibration!sL*SUM(X13:Y13*X26:Y26)</f>
        <v>2210282.815873099</v>
      </c>
      <c r="Z52" s="27">
        <f t="array" ref="Z52">Calibration!sL*SUM(Z13:AA13*Z26:AA26)</f>
        <v>2223473.7941630636</v>
      </c>
      <c r="AB52" s="27">
        <f t="array" ref="AB52">Calibration!sL*SUM(AB13:AC13*AB26:AC26)</f>
        <v>2239069.5934278676</v>
      </c>
      <c r="AD52" s="27">
        <f t="array" ref="AD52">Calibration!sL*SUM(AD13:AE13*AD26:AE26)</f>
        <v>2259815.1857773899</v>
      </c>
      <c r="AF52" s="27">
        <f t="array" ref="AF52">Calibration!sL*SUM(AF13:AG13*AF26:AG26)</f>
        <v>2290882.6060585626</v>
      </c>
      <c r="AH52" s="27">
        <f t="array" ref="AH52">Calibration!sL*SUM(AH13:AI13*AH26:AI26)</f>
        <v>2340487.1899835798</v>
      </c>
      <c r="AJ52" s="27">
        <f t="array" ref="AJ52">Calibration!sL*SUM(AJ13:AK13*AJ26:AK26)</f>
        <v>2415687.7455269368</v>
      </c>
      <c r="AL52" s="27">
        <f t="array" ref="AL52">Calibration!sL*SUM(AL13:AM13*AL26:AM26)</f>
        <v>2506114.4200386386</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2669525.9417685955</v>
      </c>
      <c r="F53" s="27">
        <f t="array" ref="F53">Calibration!sK*SUM(F15:G15*F27:G27)</f>
        <v>2620449.0368419299</v>
      </c>
      <c r="H53" s="27">
        <f t="array" ref="H53">Calibration!sK*SUM(H15:I15*H27:I27)</f>
        <v>2569390.3689406975</v>
      </c>
      <c r="J53" s="27">
        <f t="array" ref="J53">Calibration!sK*SUM(J15:K15*J27:K27)</f>
        <v>2516051.7998467144</v>
      </c>
      <c r="L53" s="27">
        <f t="array" ref="L53">Calibration!sK*SUM(L15:M15*L27:M27)</f>
        <v>2460071.0804426656</v>
      </c>
      <c r="N53" s="27">
        <f t="array" ref="N53">Calibration!sK*SUM(N15:O15*N27:O27)</f>
        <v>2400995.6100137909</v>
      </c>
      <c r="P53" s="27">
        <f t="array" ref="P53">Calibration!sK*SUM(P15:Q15*P27:Q27)</f>
        <v>2338251.8611501055</v>
      </c>
      <c r="R53" s="27">
        <f t="array" ref="R53">Calibration!sK*SUM(R15:S15*R27:S27)</f>
        <v>2271088.8647475918</v>
      </c>
      <c r="T53" s="27">
        <f t="array" ref="T53">Calibration!sK*SUM(T15:U15*T27:U27)</f>
        <v>2198490.1761152684</v>
      </c>
      <c r="V53" s="27">
        <f t="array" ref="V53">Calibration!sK*SUM(V15:W15*V27:W27)</f>
        <v>2119020.6458454696</v>
      </c>
      <c r="X53" s="27">
        <f t="array" ref="X53">Calibration!sK*SUM(X15:Y15*X27:Y27)</f>
        <v>2030554.069336883</v>
      </c>
      <c r="Z53" s="27">
        <f t="array" ref="Z53">Calibration!sK*SUM(Z15:AA15*Z27:AA27)</f>
        <v>1929760.5584511845</v>
      </c>
      <c r="AB53" s="27">
        <f t="array" ref="AB53">Calibration!sK*SUM(AB15:AC15*AB27:AC27)</f>
        <v>1811098.837237254</v>
      </c>
      <c r="AD53" s="27">
        <f t="array" ref="AD53">Calibration!sK*SUM(AD15:AE15*AD27:AE27)</f>
        <v>1664763.0930776149</v>
      </c>
      <c r="AF53" s="27">
        <f t="array" ref="AF53">Calibration!sK*SUM(AF15:AG15*AF27:AG27)</f>
        <v>1472524.7331294965</v>
      </c>
      <c r="AH53" s="27">
        <f t="array" ref="AH53">Calibration!sK*SUM(AH15:AI15*AH27:AI27)</f>
        <v>1200177.3280127395</v>
      </c>
      <c r="AJ53" s="27">
        <f t="array" ref="AJ53">Calibration!sK*SUM(AJ15:AK15*AJ27:AK27)</f>
        <v>786616.49069479399</v>
      </c>
      <c r="AL53" s="27">
        <f t="array" ref="AL53">Calibration!sK*SUM(AL15:AM15*AL27:AM27)</f>
        <v>122617.48746807399</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0.20414168240197914</v>
      </c>
      <c r="F55" s="183">
        <f>F30/F32</f>
        <v>0.20991992041064914</v>
      </c>
      <c r="H55" s="183">
        <f>H30/H32</f>
        <v>0.21586154933368051</v>
      </c>
      <c r="J55" s="183">
        <f>J30/J32</f>
        <v>0.22199598006930391</v>
      </c>
      <c r="L55" s="183">
        <f>L30/L32</f>
        <v>0.22835949754135598</v>
      </c>
      <c r="N55" s="183">
        <f>N30/N32</f>
        <v>0.23499893855670434</v>
      </c>
      <c r="P55" s="183">
        <f>P30/P32</f>
        <v>0.24197512519657841</v>
      </c>
      <c r="R55" s="183">
        <f>R30/R32</f>
        <v>0.24937056613473532</v>
      </c>
      <c r="T55" s="183">
        <f>T30/T32</f>
        <v>0.25730119772951315</v>
      </c>
      <c r="V55" s="183">
        <f>V30/V32</f>
        <v>0.26593713029701271</v>
      </c>
      <c r="X55" s="183">
        <f>X30/X32</f>
        <v>0.2755399135141306</v>
      </c>
      <c r="Z55" s="183">
        <f>Z30/Z32</f>
        <v>0.28653289383412561</v>
      </c>
      <c r="AB55" s="183">
        <f>AB30/AB32</f>
        <v>0.29963882430264782</v>
      </c>
      <c r="AD55" s="183">
        <f>AD30/AD32</f>
        <v>0.31615669208356983</v>
      </c>
      <c r="AF55" s="183">
        <f>AF30/AF32</f>
        <v>0.3385052619207109</v>
      </c>
      <c r="AH55" s="183">
        <f>AH30/AH32</f>
        <v>0.37116279805351737</v>
      </c>
      <c r="AJ55" s="183">
        <f>AJ30/AJ32</f>
        <v>0.42207286580710729</v>
      </c>
      <c r="AL55" s="183">
        <f>AL30/AL32</f>
        <v>0.50714926310213893</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3.3914327914759589E-2</v>
      </c>
      <c r="F56" s="183">
        <f>(Model!$C$52*F5*F20+F2*G5*G20)/F32</f>
        <v>3.8722370630786228E-2</v>
      </c>
      <c r="H56" s="183">
        <f>(Model!$C$52*H5*H20+H2*I5*I20)/H32</f>
        <v>4.3665318384532914E-2</v>
      </c>
      <c r="J56" s="183">
        <f>(Model!$C$52*J5*J20+J2*K5*K20)/J32</f>
        <v>4.8767556034592513E-2</v>
      </c>
      <c r="L56" s="183">
        <f>(Model!$C$52*L5*L20+L2*M5*M20)/L32</f>
        <v>5.4059086299585481E-2</v>
      </c>
      <c r="N56" s="183">
        <f>(Model!$C$52*N5*N20+N2*O5*O20)/N32</f>
        <v>5.9578718319612298E-2</v>
      </c>
      <c r="P56" s="183">
        <f>(Model!$C$52*P5*P20+P2*Q5*Q20)/P32</f>
        <v>6.5376727480008792E-2</v>
      </c>
      <c r="R56" s="183">
        <f>(Model!$C$52*R5*R20+R2*S5*S20)/R32</f>
        <v>7.1521248259597492E-2</v>
      </c>
      <c r="T56" s="183">
        <f>(Model!$C$52*T5*T20+T2*U5*U20)/T32</f>
        <v>7.8107910218215088E-2</v>
      </c>
      <c r="V56" s="183">
        <f>(Model!$C$52*V5*V20+V2*W5*W20)/V32</f>
        <v>8.5276786544482744E-2</v>
      </c>
      <c r="X56" s="183">
        <f>(Model!$C$52*X5*X20+X2*Y5*Y20)/X32</f>
        <v>9.3242911120243355E-2</v>
      </c>
      <c r="Z56" s="183">
        <f>(Model!$C$52*Z5*Z20+Z2*AA5*AA20)/Z32</f>
        <v>0.10235381561254459</v>
      </c>
      <c r="AB56" s="183">
        <f>(Model!$C$52*AB5*AB20+AB2*AC5*AC20)/AB32</f>
        <v>0.11320201822749736</v>
      </c>
      <c r="AD56" s="183">
        <f>(Model!$C$52*AD5*AD20+AD2*AE5*AE20)/AD32</f>
        <v>0.12685132263241453</v>
      </c>
      <c r="AF56" s="183">
        <f>(Model!$C$52*AF5*AF20+AF2*AG5*AG20)/AF32</f>
        <v>0.1452812183068197</v>
      </c>
      <c r="AH56" s="183">
        <f>(Model!$C$52*AH5*AH20+AH2*AI5*AI20)/AH32</f>
        <v>0.17215607490247997</v>
      </c>
      <c r="AJ56" s="183">
        <f>(Model!$C$52*AJ5*AJ20+AJ2*AK5*AK20)/AJ32</f>
        <v>0.21397932613892118</v>
      </c>
      <c r="AL56" s="183">
        <f>(Model!$C$52*AL5*AL20+AL2*AM5*AM20)/AL32</f>
        <v>0.28379101892448877</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0.15955558366489589</v>
      </c>
      <c r="F57" s="183">
        <f t="array" ref="F57">SUM(Model!tauL*F13:G13*F26:G26)/F32</f>
        <v>0.16060770758211551</v>
      </c>
      <c r="H57" s="183">
        <f t="array" ref="H57">SUM(Model!tauL*H13:I13*H26:I26)/H32</f>
        <v>0.16168958201172698</v>
      </c>
      <c r="J57" s="183">
        <f t="array" ref="J57">SUM(Model!tauL*J13:K13*J26:K26)/J32</f>
        <v>0.1628065473506502</v>
      </c>
      <c r="L57" s="183">
        <f t="array" ref="L57">SUM(Model!tauL*L13:M13*L26:M26)/L32</f>
        <v>0.16396525480119947</v>
      </c>
      <c r="N57" s="183">
        <f t="array" ref="N57">SUM(Model!tauL*N13:O13*N26:O26)/N32</f>
        <v>0.1651741878636119</v>
      </c>
      <c r="P57" s="183">
        <f t="array" ref="P57">SUM(Model!tauL*P13:Q13*P26:Q26)/P32</f>
        <v>0.16644443708545939</v>
      </c>
      <c r="R57" s="183">
        <f t="array" ref="R57">SUM(Model!tauL*R13:S13*R26:S26)/R32</f>
        <v>0.16779103307713408</v>
      </c>
      <c r="T57" s="183">
        <f t="array" ref="T57">SUM(Model!tauL*T13:U13*T26:U26)/T32</f>
        <v>0.16923507374092209</v>
      </c>
      <c r="V57" s="183">
        <f t="array" ref="V57">SUM(Model!tauL*V13:W13*V26:W26)/V32</f>
        <v>0.17080753838036067</v>
      </c>
      <c r="X57" s="183">
        <f t="array" ref="X57">SUM(Model!tauL*X13:Y13*X26:Y26)/X32</f>
        <v>0.17255605140486566</v>
      </c>
      <c r="Y57" s="183"/>
      <c r="Z57" s="183">
        <f t="array" ref="Z57">SUM(Model!tauL*Z13:AA13*Z26:AA26)/Z32</f>
        <v>0.1745576943175717</v>
      </c>
      <c r="AB57" s="183">
        <f t="array" ref="AB57">SUM(Model!tauL*AB13:AC13*AB26:AC26)/AB32</f>
        <v>0.17694407492042588</v>
      </c>
      <c r="AD57" s="183">
        <f t="array" ref="AD57">SUM(Model!tauL*AD13:AE13*AD26:AE26)/AD32</f>
        <v>0.17995171345606839</v>
      </c>
      <c r="AF57" s="183">
        <f t="array" ref="AF57">SUM(Model!tauL*AF13:AG13*AF26:AG26)/AF32</f>
        <v>0.18402102890319413</v>
      </c>
      <c r="AH57" s="183">
        <f t="array" ref="AH57">SUM(Model!tauL*AH13:AI13*AH26:AI26)/AH32</f>
        <v>0.189967440637416</v>
      </c>
      <c r="AJ57" s="183">
        <f t="array" ref="AJ57">SUM(Model!tauL*AJ13:AK13*AJ26:AK26)/AJ32</f>
        <v>0.19923734514138247</v>
      </c>
      <c r="AL57" s="183">
        <f t="array" ref="AL57">SUM(Model!tauL*AL13:AM13*AL26:AM26)/AL32</f>
        <v>0.21472838814465212</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1.0671770822323656E-2</v>
      </c>
      <c r="F58" s="183">
        <f t="array" ref="F58">SUM(Model!tauY/(1+Model!tauY)*F3:G3*F18:G18)/F32</f>
        <v>1.0589842197747361E-2</v>
      </c>
      <c r="H58" s="183">
        <f t="array" ref="H58">SUM(Model!tauY/(1+Model!tauY)*H3:I3*H18:I18)/H32</f>
        <v>1.0506648937420629E-2</v>
      </c>
      <c r="J58" s="183">
        <f t="array" ref="J58">SUM(Model!tauY/(1+Model!tauY)*J3:K3*J18:K18)/J32</f>
        <v>1.0421876684061195E-2</v>
      </c>
      <c r="L58" s="183">
        <f t="array" ref="L58">SUM(Model!tauY/(1+Model!tauY)*L3:M3*L18:M18)/L32</f>
        <v>1.033515644057102E-2</v>
      </c>
      <c r="N58" s="183">
        <f t="array" ref="N58">SUM(Model!tauY/(1+Model!tauY)*N3:O3*N18:O18)/N32</f>
        <v>1.0246032373480127E-2</v>
      </c>
      <c r="P58" s="183">
        <f t="array" ref="P58">SUM(Model!tauY/(1+Model!tauY)*P3:Q3*P18:Q18)/P32</f>
        <v>1.0153960631110249E-2</v>
      </c>
      <c r="R58" s="183">
        <f t="array" ref="R58">SUM(Model!tauY/(1+Model!tauY)*R3:S3*R18:S18)/R32</f>
        <v>1.0058284798003752E-2</v>
      </c>
      <c r="T58" s="183">
        <f t="array" ref="T58">SUM(Model!tauY/(1+Model!tauY)*T3:U3*T18:U18)/T32</f>
        <v>9.9582137703759944E-3</v>
      </c>
      <c r="V58" s="183">
        <f t="array" ref="V58">SUM(Model!tauY/(1+Model!tauY)*V3:W3*V18:W18)/V32</f>
        <v>9.8528053721693067E-3</v>
      </c>
      <c r="X58" s="183">
        <f t="array" ref="X58">SUM(Model!tauY/(1+Model!tauY)*X3:Y3*X18:Y18)/X32</f>
        <v>9.7409509890215937E-3</v>
      </c>
      <c r="Y58" s="183"/>
      <c r="Z58" s="183">
        <f t="array" ref="Z58">SUM(Model!tauY/(1+Model!tauY)*Z3:AA3*Z18:AA18)/Z32</f>
        <v>9.621383904009323E-3</v>
      </c>
      <c r="AB58" s="183">
        <f t="array" ref="AB58">SUM(Model!tauY/(1+Model!tauY)*AB3:AC3*AB18:AC18)/AB32</f>
        <v>9.4927311547245794E-3</v>
      </c>
      <c r="AD58" s="183">
        <f t="array" ref="AD58">SUM(Model!tauY/(1+Model!tauY)*AD3:AE3*AD18:AE18)/AD32</f>
        <v>9.3536559950869701E-3</v>
      </c>
      <c r="AF58" s="183">
        <f t="array" ref="AF58">SUM(Model!tauY/(1+Model!tauY)*AF3:AG3*AF18:AG18)/AF32</f>
        <v>9.2030147106970349E-3</v>
      </c>
      <c r="AH58" s="183">
        <f t="array" ref="AH58">SUM(Model!tauY/(1+Model!tauY)*AH3:AI3*AH18:AI18)/AH32</f>
        <v>9.0392825136214293E-3</v>
      </c>
      <c r="AJ58" s="183">
        <f t="array" ref="AJ58">SUM(Model!tauY/(1+Model!tauY)*AJ3:AK3*AJ18:AK18)/AJ32</f>
        <v>8.8561945268036749E-3</v>
      </c>
      <c r="AL58" s="183">
        <f t="array" ref="AL58">SUM(Model!tauY/(1+Model!tauY)*AL3:AM3*AL18:AM18)/AL32</f>
        <v>8.6298560329980088E-3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5.3027395429734768E-3</v>
      </c>
      <c r="F59" s="183">
        <f>(F2*G5*G20)/F32</f>
        <v>1.0169702328985708E-2</v>
      </c>
      <c r="H59" s="183">
        <f>(H2*I5*I20)/H32</f>
        <v>1.5172779422839929E-2</v>
      </c>
      <c r="J59" s="183">
        <f>(J2*K5*K20)/J32</f>
        <v>2.0336555858793081E-2</v>
      </c>
      <c r="L59" s="183">
        <f>(L2*M5*M20)/L32</f>
        <v>2.5691274524046379E-2</v>
      </c>
      <c r="N59" s="183">
        <f>(N2*O5*O20)/N32</f>
        <v>3.1276054905336415E-2</v>
      </c>
      <c r="P59" s="183">
        <f>(P2*Q5*Q20)/P32</f>
        <v>3.7141570585216194E-2</v>
      </c>
      <c r="R59" s="183">
        <f>(R2*S5*S20)/R32</f>
        <v>4.3356494715235665E-2</v>
      </c>
      <c r="T59" s="183">
        <f>(T2*U5*U20)/T32</f>
        <v>5.0017217105754241E-2</v>
      </c>
      <c r="V59" s="183">
        <f>(V2*W5*W20)/V32</f>
        <v>5.7264935593955034E-2</v>
      </c>
      <c r="X59" s="183">
        <f>(X2*Y5*Y20)/X32</f>
        <v>6.5316438628734555E-2</v>
      </c>
      <c r="Z59" s="183">
        <f>(Z2*AA5*AA20)/Z32</f>
        <v>7.4522148214456116E-2</v>
      </c>
      <c r="AB59" s="183">
        <f>(AB2*AC5*AC20)/AB32</f>
        <v>8.5479608753748423E-2</v>
      </c>
      <c r="AD59" s="183">
        <f>(AD2*AE5*AE20)/AD32</f>
        <v>9.9261781304063185E-2</v>
      </c>
      <c r="AF59" s="183">
        <f>(AF2*AG5*AG20)/AF32</f>
        <v>0.11786522061902036</v>
      </c>
      <c r="AH59" s="183">
        <f>(AH2*AI5*AI20)/AH32</f>
        <v>0.14498487403207291</v>
      </c>
      <c r="AJ59" s="183">
        <f>(AJ2*AK5*AK20)/AJ32</f>
        <v>0.18717265668688279</v>
      </c>
      <c r="AL59" s="183">
        <f>(AL2*AM5*AM20)/AL32</f>
        <v>0.25754707256707943</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2.8611588371786109E-2</v>
      </c>
      <c r="F60" s="183">
        <f>Model!$C$52*F5*F20/F32</f>
        <v>2.8552668301800515E-2</v>
      </c>
      <c r="H60" s="183">
        <f>Model!$C$52*H5*H20/H32</f>
        <v>2.8492538961692987E-2</v>
      </c>
      <c r="J60" s="183">
        <f>Model!$C$52*J5*J20/J32</f>
        <v>2.8431000175799429E-2</v>
      </c>
      <c r="L60" s="183">
        <f>Model!$C$52*L5*L20/L32</f>
        <v>2.8367811775539108E-2</v>
      </c>
      <c r="N60" s="183">
        <f>Model!$C$52*N5*N20/N32</f>
        <v>2.830266341427588E-2</v>
      </c>
      <c r="P60" s="183">
        <f>Model!$C$52*P5*P20/P32</f>
        <v>2.8235156894792595E-2</v>
      </c>
      <c r="R60" s="183">
        <f>Model!$C$52*R5*R20/R32</f>
        <v>2.8164753544361813E-2</v>
      </c>
      <c r="T60" s="183">
        <f>Model!$C$52*T5*T20/T32</f>
        <v>2.8090693112460853E-2</v>
      </c>
      <c r="V60" s="183">
        <f>Model!$C$52*V5*V20/V32</f>
        <v>2.801185095052771E-2</v>
      </c>
      <c r="X60" s="183">
        <f>Model!$C$52*X5*X20/X32</f>
        <v>2.79264724915088E-2</v>
      </c>
      <c r="Z60" s="183">
        <f>Model!$C$52*Z5*Z20/Z32</f>
        <v>2.7831667398088473E-2</v>
      </c>
      <c r="AB60" s="183">
        <f>Model!$C$52*AB5*AB20/AB32</f>
        <v>2.7722409473748936E-2</v>
      </c>
      <c r="AD60" s="183">
        <f>Model!$C$52*AD5*AD20/AD32</f>
        <v>2.7589541328351352E-2</v>
      </c>
      <c r="AF60" s="183">
        <f>Model!$C$52*AF5*AF20/AF32</f>
        <v>2.7415997687799332E-2</v>
      </c>
      <c r="AH60" s="183">
        <f>Model!$C$52*AH5*AH20/AH32</f>
        <v>2.7171200870407076E-2</v>
      </c>
      <c r="AJ60" s="183">
        <f>Model!$C$52*AJ5*AJ20/AJ32</f>
        <v>2.6806669452038408E-2</v>
      </c>
      <c r="AL60" s="183">
        <f>Model!$C$52*AL5*AL20/AL32</f>
        <v>2.6243946357409342E-2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1.0242433707622751</v>
      </c>
      <c r="F62">
        <f>F13/F15</f>
        <v>1.049989792352527</v>
      </c>
      <c r="H62">
        <f>H13/H15</f>
        <v>1.0774725020821796</v>
      </c>
      <c r="J62">
        <f>J13/J15</f>
        <v>1.1069830289330576</v>
      </c>
      <c r="L62">
        <f>L13/L15</f>
        <v>1.1388920534465401</v>
      </c>
      <c r="N62">
        <f>N13/N15</f>
        <v>1.1736843506196872</v>
      </c>
      <c r="P62">
        <f>P13/P15</f>
        <v>1.212008760435596</v>
      </c>
      <c r="R62">
        <f>R13/R15</f>
        <v>1.2547657182737881</v>
      </c>
      <c r="T62">
        <f>T13/T15</f>
        <v>1.3032558143391346</v>
      </c>
      <c r="V62">
        <f>V13/V15</f>
        <v>1.3594534317686873</v>
      </c>
      <c r="X62">
        <f>X13/X15</f>
        <v>1.4265375503954028</v>
      </c>
      <c r="Z62">
        <f>Z13/Z15</f>
        <v>1.5100054330606587</v>
      </c>
      <c r="AB62">
        <f>AB13/AB15</f>
        <v>1.6202251143270208</v>
      </c>
      <c r="AD62">
        <f>AD13/AD15</f>
        <v>1.7789772871526832</v>
      </c>
      <c r="AF62">
        <f>AF13/AF15</f>
        <v>2.0388729110734736</v>
      </c>
      <c r="AH62">
        <f>AH13/AH15</f>
        <v>2.555705275594033</v>
      </c>
      <c r="AJ62">
        <f>AJ13/AJ15</f>
        <v>4.0246458332566268</v>
      </c>
      <c r="AL62">
        <f>AL13/AL15</f>
        <v>26.785416384781843</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0.99835448587069742</v>
      </c>
      <c r="E65" s="181"/>
      <c r="F65" s="181">
        <f t="array" ref="F65">SQRT((F9:G9*$B$22:$C$22+F10:G10*$B$23:$C$23+F11:G11*$B$24:$C$24+F4:G4*($B$25:$C$25-$B$19:$C$19))/($B$9:$C$9*$B$22:$C$22+$B$10:$C$10*$B$23:$C$23+$B$11:$C$11*$B$24:$C$24+$B$4:$C$4*($B$25:$C$25-$B$19:$C$19))*(F9:G9*F22:G22+F10:G10*F23:G23+F11:G11*F24:G24+F4:G4*(F25:G25-F19:G19))/($B$9:$C$9*F22:G22+$B$10:$C$10*F23:G23+$B$11:$C$11*F24:G24+$B$4:$C$4*(F25:G25-F19:G19)))</f>
        <v>0.99661701641598865</v>
      </c>
      <c r="G65" s="181"/>
      <c r="H65" s="181">
        <f t="array" ref="H65">SQRT((H9:I9*$B$22:$C$22+H10:I10*$B$23:$C$23+H11:I11*$B$24:$C$24+H4:I4*($B$25:$C$25-$B$19:$C$19))/($B$9:$C$9*$B$22:$C$22+$B$10:$C$10*$B$23:$C$23+$B$11:$C$11*$B$24:$C$24+$B$4:$C$4*($B$25:$C$25-$B$19:$C$19))*(H9:I9*H22:I22+H10:I10*H23:I23+H11:I11*H24:I24+H4:I4*(H25:I25-H19:I19))/($B$9:$C$9*H22:I22+$B$10:$C$10*H23:I23+$B$11:$C$11*H24:I24+$B$4:$C$4*(H25:I25-H19:I19)))</f>
        <v>0.99477587445580218</v>
      </c>
      <c r="I65" s="181"/>
      <c r="J65" s="181">
        <f t="array" ref="J65">SQRT((J9:K9*$B$22:$C$22+J10:K10*$B$23:$C$23+J11:K11*$B$24:$C$24+J4:K4*($B$25:$C$25-$B$19:$C$19))/($B$9:$C$9*$B$22:$C$22+$B$10:$C$10*$B$23:$C$23+$B$11:$C$11*$B$24:$C$24+$B$4:$C$4*($B$25:$C$25-$B$19:$C$19))*(J9:K9*J22:K22+J10:K10*J23:K23+J11:K11*J24:K24+J4:K4*(J25:K25-J19:K19))/($B$9:$C$9*J22:K22+$B$10:$C$10*J23:K23+$B$11:$C$11*J24:K24+$B$4:$C$4*(J25:K25-J19:K19)))</f>
        <v>0.99281780915760076</v>
      </c>
      <c r="K65" s="181"/>
      <c r="L65" s="181">
        <f t="array" ref="L65">SQRT((L9:M9*$B$22:$C$22+L10:M10*$B$23:$C$23+L11:M11*$B$24:$C$24+L4:M4*($B$25:$C$25-$B$19:$C$19))/($B$9:$C$9*$B$22:$C$22+$B$10:$C$10*$B$23:$C$23+$B$11:$C$11*$B$24:$C$24+$B$4:$C$4*($B$25:$C$25-$B$19:$C$19))*(L9:M9*L22:M22+L10:M10*L23:M23+L11:M11*L24:M24+L4:M4*(L25:M25-L19:M19))/($B$9:$C$9*L22:M22+$B$10:$C$10*L23:M23+$B$11:$C$11*L24:M24+$B$4:$C$4*(L25:M25-L19:M19)))</f>
        <v>0.99072826378210743</v>
      </c>
      <c r="M65" s="181"/>
      <c r="N65" s="181">
        <f t="array" ref="N65">SQRT((N9:O9*$B$22:$C$22+N10:O10*$B$23:$C$23+N11:O11*$B$24:$C$24+N4:O4*($B$25:$C$25-$B$19:$C$19))/($B$9:$C$9*$B$22:$C$22+$B$10:$C$10*$B$23:$C$23+$B$11:$C$11*$B$24:$C$24+$B$4:$C$4*($B$25:$C$25-$B$19:$C$19))*(N9:O9*N22:O22+N10:O10*N23:O23+N11:O11*N24:O24+N4:O4*(N25:O25-N19:O19))/($B$9:$C$9*N22:O22+$B$10:$C$10*N23:O23+$B$11:$C$11*N24:O24+$B$4:$C$4*(N25:O25-N19:O19)))</f>
        <v>0.98849144753581186</v>
      </c>
      <c r="O65" s="181"/>
      <c r="P65" s="181">
        <f t="array" ref="P65">SQRT((P9:Q9*$B$22:$C$22+P10:Q10*$B$23:$C$23+P11:Q11*$B$24:$C$24+P4:Q4*($B$25:$C$25-$B$19:$C$19))/($B$9:$C$9*$B$22:$C$22+$B$10:$C$10*$B$23:$C$23+$B$11:$C$11*$B$24:$C$24+$B$4:$C$4*($B$25:$C$25-$B$19:$C$19))*(P9:Q9*P22:Q22+P10:Q10*P23:Q23+P11:Q11*P24:Q24+P4:Q4*(P25:Q25-P19:Q19))/($B$9:$C$9*P22:Q22+$B$10:$C$10*P23:Q23+$B$11:$C$11*P24:Q24+$B$4:$C$4*(P25:Q25-P19:Q19)))</f>
        <v>0.98609152363266894</v>
      </c>
      <c r="Q65" s="181"/>
      <c r="R65" s="181">
        <f t="array" ref="R65">SQRT((R9:S9*$B$22:$C$22+R10:S10*$B$23:$C$23+R11:S11*$B$24:$C$24+R4:S4*($B$25:$C$25-$B$19:$C$19))/($B$9:$C$9*$B$22:$C$22+$B$10:$C$10*$B$23:$C$23+$B$11:$C$11*$B$24:$C$24+$B$4:$C$4*($B$25:$C$25-$B$19:$C$19))*(R9:S9*R22:S22+R10:S10*R23:S23+R11:S11*R24:S24+R4:S4*(R25:S25-R19:S19))/($B$9:$C$9*R22:S22+$B$10:$C$10*R23:S23+$B$11:$C$11*R24:S24+$B$4:$C$4*(R25:S25-R19:S19)))</f>
        <v>0.9835143270489578</v>
      </c>
      <c r="S65" s="181"/>
      <c r="T65" s="181">
        <f t="array" ref="T65">SQRT((T9:U9*$B$22:$C$22+T10:U10*$B$23:$C$23+T11:U11*$B$24:$C$24+T4:U4*($B$25:$C$25-$B$19:$C$19))/($B$9:$C$9*$B$22:$C$22+$B$10:$C$10*$B$23:$C$23+$B$11:$C$11*$B$24:$C$24+$B$4:$C$4*($B$25:$C$25-$B$19:$C$19))*(T9:U9*T22:U22+T10:U10*T23:U23+T11:U11*T24:U24+T4:U4*(T25:U25-T19:U19))/($B$9:$C$9*T22:U22+$B$10:$C$10*T23:U23+$B$11:$C$11*T24:U24+$B$4:$C$4*(T25:U25-T19:U19)))</f>
        <v>0.98075111108617674</v>
      </c>
      <c r="U65" s="181"/>
      <c r="V65" s="181">
        <f t="array" ref="V65">SQRT((V9:W9*$B$22:$C$22+V10:W10*$B$23:$C$23+V11:W11*$B$24:$C$24+V4:W4*($B$25:$C$25-$B$19:$C$19))/($B$9:$C$9*$B$22:$C$22+$B$10:$C$10*$B$23:$C$23+$B$11:$C$11*$B$24:$C$24+$B$4:$C$4*($B$25:$C$25-$B$19:$C$19))*(V9:W9*V22:W22+V10:W10*V23:W23+V11:W11*V24:W24+V4:W4*(V25:W25-V19:W19))/($B$9:$C$9*V22:W22+$B$10:$C$10*V23:W23+$B$11:$C$11*V24:W24+$B$4:$C$4*(V25:W25-V19:W19)))</f>
        <v>0.97780573219034661</v>
      </c>
      <c r="W65" s="181"/>
      <c r="X65" s="181">
        <f t="array" ref="X65">SQRT((X9:Y9*$B$22:$C$22+X10:Y10*$B$23:$C$23+X11:Y11*$B$24:$C$24+X4:Y4*($B$25:$C$25-$B$19:$C$19))/($B$9:$C$9*$B$22:$C$22+$B$10:$C$10*$B$23:$C$23+$B$11:$C$11*$B$24:$C$24+$B$4:$C$4*($B$25:$C$25-$B$19:$C$19))*(X9:Y9*X22:Y22+X10:Y10*X23:Y23+X11:Y11*X24:Y24+X4:Y4*(X25:Y25-X19:Y19))/($B$9:$C$9*X22:Y22+$B$10:$C$10*X23:Y23+$B$11:$C$11*X24:Y24+$B$4:$C$4*(X25:Y25-X19:Y19)))</f>
        <v>0.97470853664150481</v>
      </c>
      <c r="Y65" s="181"/>
      <c r="Z65" s="181">
        <f t="array" ref="Z65">SQRT((Z9:AA9*$B$22:$C$22+Z10:AA10*$B$23:$C$23+Z11:AA11*$B$24:$C$24+Z4:AA4*($B$25:$C$25-$B$19:$C$19))/($B$9:$C$9*$B$22:$C$22+$B$10:$C$10*$B$23:$C$23+$B$11:$C$11*$B$24:$C$24+$B$4:$C$4*($B$25:$C$25-$B$19:$C$19))*(Z9:AA9*Z22:AA22+Z10:AA10*Z23:AA23+Z11:AA11*Z24:AA24+Z4:AA4*(Z25:AA25-Z19:AA19))/($B$9:$C$9*Z22:AA22+$B$10:$C$10*Z23:AA23+$B$11:$C$11*Z24:AA24+$B$4:$C$4*(Z25:AA25-Z19:AA19)))</f>
        <v>0.97154330998221361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0.96849960783790268</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0.96597042613851336</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0.96470275965697116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0.96585814265274927</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0.97039084907785367</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0.9775215143091851</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0.99819077448797711</v>
      </c>
      <c r="E66" s="181"/>
      <c r="F66" s="181">
        <f t="array" ref="F66">SQRT((F9:G9*$B$22:$C$22)/($B$9:$C$9*$B$22:$C$22)*(F9:G9*F22:G22)/($B$9:$C$9*F22:G22))</f>
        <v>0.99627877049669189</v>
      </c>
      <c r="G66" s="181"/>
      <c r="H66" s="181">
        <f t="array" ref="H66">SQRT((H9:I9*$B$22:$C$22)/($B$9:$C$9*$B$22:$C$22)*(H9:I9*H22:I22)/($B$9:$C$9*H22:I22))</f>
        <v>0.994250780815229</v>
      </c>
      <c r="I66" s="181"/>
      <c r="J66" s="181">
        <f t="array" ref="J66">SQRT((J9:K9*$B$22:$C$22)/($B$9:$C$9*$B$22:$C$22)*(J9:K9*J22:K22)/($B$9:$C$9*J22:K22))</f>
        <v>0.99209183284791436</v>
      </c>
      <c r="K66" s="181"/>
      <c r="L66" s="181">
        <f t="array" ref="L66">SQRT((L9:M9*$B$22:$C$22)/($B$9:$C$9*$B$22:$C$22)*(L9:M9*L22:M22)/($B$9:$C$9*L22:M22))</f>
        <v>0.98978542128969427</v>
      </c>
      <c r="M66" s="181"/>
      <c r="N66" s="181">
        <f t="array" ref="N66">SQRT((N9:O9*$B$22:$C$22)/($B$9:$C$9*$B$22:$C$22)*(N9:O9*N22:O22)/($B$9:$C$9*N22:O22))</f>
        <v>0.98731356731257836</v>
      </c>
      <c r="O66" s="181"/>
      <c r="P66" s="181">
        <f t="array" ref="P66">SQRT((P9:Q9*$B$22:$C$22)/($B$9:$C$9*$B$22:$C$22)*(P9:Q9*P22:Q22)/($B$9:$C$9*P22:Q22))</f>
        <v>0.98465811056254604</v>
      </c>
      <c r="Q66" s="181"/>
      <c r="R66" s="181">
        <f t="array" ref="R66">SQRT((R9:S9*$B$22:$C$22)/($B$9:$C$9*$B$22:$C$22)*(R9:S9*R22:S22)/($B$9:$C$9*R22:S22))</f>
        <v>0.98180259649391965</v>
      </c>
      <c r="S66" s="181"/>
      <c r="T66" s="181">
        <f t="array" ref="T66">SQRT((T9:U9*$B$22:$C$22)/($B$9:$C$9*$B$22:$C$22)*(T9:U9*T22:U22)/($B$9:$C$9*T22:U22))</f>
        <v>0.97873643312837932</v>
      </c>
      <c r="U66" s="181"/>
      <c r="V66" s="181">
        <f t="array" ref="V66">SQRT((V9:W9*$B$22:$C$22)/($B$9:$C$9*$B$22:$C$22)*(V9:W9*V22:W22)/($B$9:$C$9*V22:W22))</f>
        <v>0.97546291740667623</v>
      </c>
      <c r="W66" s="181"/>
      <c r="X66" s="181">
        <f t="array" ref="X66">SQRT((X9:Y9*$B$22:$C$22)/($B$9:$C$9*$B$22:$C$22)*(X9:Y9*X22:Y22)/($B$9:$C$9*X22:Y22))</f>
        <v>0.97201482879356693</v>
      </c>
      <c r="Y66" s="181"/>
      <c r="Z66" s="181">
        <f t="array" ref="Z66">SQRT((Z9:AA9*$B$22:$C$22)/($B$9:$C$9*$B$22:$C$22)*(Z9:AA9*Z22:AA22)/($B$9:$C$9*Z22:AA22))</f>
        <v>0.96848480844320284</v>
      </c>
      <c r="AA66" s="181"/>
      <c r="AB66" s="181">
        <f t="array" ref="AB66">SQRT((AB9:AC9*$B$22:$C$22)/($B$9:$C$9*$B$22:$C$22)*(AB9:AC9*AB22:AC22)/($B$9:$C$9*AB22:AC22))</f>
        <v>0.96508449710722877</v>
      </c>
      <c r="AC66" s="181"/>
      <c r="AD66" s="181">
        <f t="array" ref="AD66">SQRT((AD9:AE9*$B$22:$C$22)/($B$9:$C$9*$B$22:$C$22)*(AD9:AE9*AD22:AE22)/($B$9:$C$9*AD22:AE22))</f>
        <v>0.9622549863950981</v>
      </c>
      <c r="AE66" s="181"/>
      <c r="AF66" s="181">
        <f t="array" ref="AF66">SQRT((AF9:AG9*$B$22:$C$22)/($B$9:$C$9*$B$22:$C$22)*(AF9:AG9*AF22:AG22)/($B$9:$C$9*AF22:AG22))</f>
        <v>0.96083660092011913</v>
      </c>
      <c r="AG66" s="181"/>
      <c r="AH66" s="181">
        <f t="array" ref="AH66">SQRT((AH9:AI9*$B$22:$C$22)/($B$9:$C$9*$B$22:$C$22)*(AH9:AI9*AH22:AI22)/($B$9:$C$9*AH22:AI22))</f>
        <v>0.96213428020506442</v>
      </c>
      <c r="AI66" s="181"/>
      <c r="AJ66" s="181">
        <f t="array" ref="AJ66">SQRT((AJ9:AK9*$B$22:$C$22)/($B$9:$C$9*$B$22:$C$22)*(AJ9:AK9*AJ22:AK22)/($B$9:$C$9*AJ22:AK22))</f>
        <v>0.96720834084583052</v>
      </c>
      <c r="AK66" s="181"/>
      <c r="AL66" s="181">
        <f t="array" ref="AL66">SQRT((AL9:AM9*$B$22:$C$22)/($B$9:$C$9*$B$22:$C$22)*(AL9:AM9*AL22:AM22)/($B$9:$C$9*AL22:AM22))</f>
        <v>0.97516012653907924</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0.99819077448797711</v>
      </c>
      <c r="E68" s="181"/>
      <c r="F68" s="181">
        <f>F66/F67</f>
        <v>0.99627877049669189</v>
      </c>
      <c r="G68" s="181"/>
      <c r="H68" s="181">
        <f>H66/H67</f>
        <v>0.994250780815229</v>
      </c>
      <c r="I68" s="181"/>
      <c r="J68" s="181">
        <f>J66/J67</f>
        <v>0.99209183284791436</v>
      </c>
      <c r="K68" s="181"/>
      <c r="L68" s="181">
        <f>L66/L67</f>
        <v>0.98978542128969427</v>
      </c>
      <c r="M68" s="181"/>
      <c r="N68" s="181">
        <f>N66/N67</f>
        <v>0.98731356731257836</v>
      </c>
      <c r="O68" s="181"/>
      <c r="P68" s="181">
        <f>P66/P67</f>
        <v>0.98465811056254604</v>
      </c>
      <c r="Q68" s="181"/>
      <c r="R68" s="181">
        <f>R66/R67</f>
        <v>0.98180259649391965</v>
      </c>
      <c r="S68" s="181"/>
      <c r="T68" s="181">
        <f>T66/T67</f>
        <v>0.97873643312837932</v>
      </c>
      <c r="U68" s="181"/>
      <c r="V68" s="181">
        <f>V66/V67</f>
        <v>0.97546291740667623</v>
      </c>
      <c r="W68" s="181"/>
      <c r="X68" s="181">
        <f>X66/X67</f>
        <v>0.97201482879356693</v>
      </c>
      <c r="Y68" s="181"/>
      <c r="Z68" s="181">
        <f>Z66/Z67</f>
        <v>0.96848480844320284</v>
      </c>
      <c r="AA68" s="181"/>
      <c r="AB68" s="181">
        <f>AB66/AB67</f>
        <v>0.96508449710722877</v>
      </c>
      <c r="AC68" s="181"/>
      <c r="AD68" s="181">
        <f>AD66/AD67</f>
        <v>0.9622549863950981</v>
      </c>
      <c r="AE68" s="181"/>
      <c r="AF68" s="181">
        <f>AF66/AF67</f>
        <v>0.96083660092011913</v>
      </c>
      <c r="AG68" s="181"/>
      <c r="AH68" s="181">
        <f>AH66/AH67</f>
        <v>0.96213428020506442</v>
      </c>
      <c r="AI68" s="181"/>
      <c r="AJ68" s="181">
        <f>AJ66/AJ67</f>
        <v>0.96720834084583052</v>
      </c>
      <c r="AK68" s="181"/>
      <c r="AL68" s="181">
        <f>AL66/AL67</f>
        <v>0.97516012653907924</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1.001567034752975</v>
      </c>
      <c r="E69" s="181"/>
      <c r="F69" s="181">
        <f>F32/F65/($B$32)</f>
        <v>1.0030107974495426</v>
      </c>
      <c r="G69" s="181"/>
      <c r="H69" s="181">
        <f>H32/H65/($B$32)</f>
        <v>1.0043116458078927</v>
      </c>
      <c r="I69" s="181"/>
      <c r="J69" s="181">
        <f>J32/J65/($B$32)</f>
        <v>1.0054456721622214</v>
      </c>
      <c r="K69" s="181"/>
      <c r="L69" s="181">
        <f>L32/L65/($B$32)</f>
        <v>1.0063830980512232</v>
      </c>
      <c r="M69" s="181"/>
      <c r="N69" s="181">
        <f>N32/N65/($B$32)</f>
        <v>1.0070872107957511</v>
      </c>
      <c r="O69" s="181"/>
      <c r="P69" s="181">
        <f>P32/P65/($B$32)</f>
        <v>1.007511552289738</v>
      </c>
      <c r="Q69" s="181"/>
      <c r="R69" s="181">
        <f>R32/R65/($B$32)</f>
        <v>1.0075969188072231</v>
      </c>
      <c r="S69" s="181"/>
      <c r="T69" s="181">
        <f>T32/T65/($B$32)</f>
        <v>1.0072667859928011</v>
      </c>
      <c r="U69" s="181"/>
      <c r="V69" s="181">
        <f>V32/V65/($B$32)</f>
        <v>1.0064203452792431</v>
      </c>
      <c r="W69" s="181"/>
      <c r="X69" s="181">
        <f>X32/X65/($B$32)</f>
        <v>1.0049218742311521</v>
      </c>
      <c r="Y69" s="181"/>
      <c r="Z69" s="181">
        <f>Z32/Z65/($B$32)</f>
        <v>1.0025828450324712</v>
      </c>
      <c r="AA69" s="181"/>
      <c r="AB69" s="181">
        <f>AB32/AB65/($B$32)</f>
        <v>0.99912893141038384</v>
      </c>
      <c r="AC69" s="181"/>
      <c r="AD69" s="181">
        <f>AD32/AD65/($B$32)</f>
        <v>0.99412849546554105</v>
      </c>
      <c r="AE69" s="181"/>
      <c r="AF69" s="181">
        <f>AF32/AF65/($B$32)</f>
        <v>0.98680485083191016</v>
      </c>
      <c r="AG69" s="181"/>
      <c r="AH69" s="181">
        <f>AH32/AH65/($B$32)</f>
        <v>0.97544585526747551</v>
      </c>
      <c r="AI69" s="181"/>
      <c r="AJ69" s="181">
        <f>AJ32/AJ65/($B$32)</f>
        <v>0.95546058059037842</v>
      </c>
      <c r="AK69" s="181"/>
      <c r="AL69" s="181">
        <f>AL32/AL65/($B$32)</f>
        <v>0.9130078742683454</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1.0002099837175848</v>
      </c>
      <c r="E70" s="129"/>
      <c r="F70" s="129">
        <f>F18/$B$18</f>
        <v>1.0002950992875861</v>
      </c>
      <c r="G70" s="129"/>
      <c r="H70" s="129">
        <f>H18/$B$18</f>
        <v>1.0002357553548391</v>
      </c>
      <c r="I70" s="129"/>
      <c r="J70" s="129">
        <f>J18/$B$18</f>
        <v>1.0000077488781394</v>
      </c>
      <c r="K70" s="129"/>
      <c r="L70" s="129">
        <f>L18/$B$18</f>
        <v>0.99958046012443025</v>
      </c>
      <c r="M70" s="129"/>
      <c r="N70" s="129">
        <f>N18/$B$18</f>
        <v>0.99891477276272078</v>
      </c>
      <c r="O70" s="129"/>
      <c r="P70" s="129">
        <f>P18/$B$18</f>
        <v>0.99795925143062891</v>
      </c>
      <c r="Q70" s="129"/>
      <c r="R70" s="129">
        <f>R18/$B$18</f>
        <v>0.99664467735669138</v>
      </c>
      <c r="S70" s="129"/>
      <c r="T70" s="129">
        <f>T18/$B$18</f>
        <v>0.99487515540710769</v>
      </c>
      <c r="U70" s="129"/>
      <c r="V70" s="129">
        <f>V18/$B$18</f>
        <v>0.99251318805970901</v>
      </c>
      <c r="W70" s="129"/>
      <c r="X70" s="129">
        <f>X18/$B$18</f>
        <v>0.98935388123781631</v>
      </c>
      <c r="Y70" s="129"/>
      <c r="Z70" s="129">
        <f>Z18/$B$18</f>
        <v>0.98507790708605036</v>
      </c>
      <c r="AA70" s="129"/>
      <c r="AB70" s="129">
        <f>AB18/$B$18</f>
        <v>0.97916177524343029</v>
      </c>
      <c r="AC70" s="129"/>
      <c r="AD70" s="129">
        <f>AD18/$B$18</f>
        <v>0.97069891828455057</v>
      </c>
      <c r="AE70" s="129"/>
      <c r="AF70" s="129">
        <f>AF18/$B$18</f>
        <v>0.95803679188862423</v>
      </c>
      <c r="AG70" s="129"/>
      <c r="AH70" s="129">
        <f>AH18/$B$18</f>
        <v>0.93805598668241319</v>
      </c>
      <c r="AI70" s="129"/>
      <c r="AJ70" s="129">
        <f>AJ18/$B$18</f>
        <v>0.904656598428772</v>
      </c>
      <c r="AK70" s="129"/>
      <c r="AL70" s="129">
        <f>AL18/$B$18</f>
        <v>0.84365489563398255</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0.93220432121371422</v>
      </c>
      <c r="E71" s="129"/>
      <c r="F71" s="129">
        <f>G18/$C$18</f>
        <v>0.86415548232909767</v>
      </c>
      <c r="G71" s="129"/>
      <c r="H71" s="129">
        <f>I18/$C$18</f>
        <v>0.79586403995326316</v>
      </c>
      <c r="I71" s="129"/>
      <c r="J71" s="129">
        <f>K18/$C$18</f>
        <v>0.72735099863570019</v>
      </c>
      <c r="K71" s="129"/>
      <c r="L71" s="129">
        <f>M18/$C$18</f>
        <v>0.65866270883142186</v>
      </c>
      <c r="M71" s="129"/>
      <c r="N71" s="129">
        <f>O18/$C$18</f>
        <v>0.58986770488689222</v>
      </c>
      <c r="O71" s="129"/>
      <c r="P71" s="129">
        <f>Q18/$C$18</f>
        <v>0.52108530560623889</v>
      </c>
      <c r="Q71" s="129"/>
      <c r="R71" s="129">
        <f>S18/$C$18</f>
        <v>0.45250490692638151</v>
      </c>
      <c r="S71" s="129"/>
      <c r="T71" s="129">
        <f>U18/$C$18</f>
        <v>0.38442409154096507</v>
      </c>
      <c r="U71" s="129"/>
      <c r="V71" s="129">
        <f>W18/$C$18</f>
        <v>0.31730952198672607</v>
      </c>
      <c r="W71" s="129"/>
      <c r="X71" s="129">
        <f>Y18/$C$18</f>
        <v>0.25188864852632442</v>
      </c>
      <c r="Y71" s="129"/>
      <c r="Z71" s="129">
        <f>AA18/$C$18</f>
        <v>0.18929369869751719</v>
      </c>
      <c r="AA71" s="129"/>
      <c r="AB71" s="129">
        <f>AC18/$C$18</f>
        <v>0.13127268201659625</v>
      </c>
      <c r="AC71" s="129"/>
      <c r="AD71" s="129">
        <f>AE18/$C$18</f>
        <v>8.0449100465056753E-2</v>
      </c>
      <c r="AE71" s="129"/>
      <c r="AF71" s="129">
        <f>AG18/$C$18</f>
        <v>4.0389791404863221E-2</v>
      </c>
      <c r="AG71" s="129"/>
      <c r="AH71" s="129">
        <f>AI18/$C$18</f>
        <v>1.4581431204598492E-2</v>
      </c>
      <c r="AI71" s="129"/>
      <c r="AJ71" s="129">
        <f>AK18/$C$18</f>
        <v>3.0825120664821223E-3</v>
      </c>
      <c r="AK71" s="129"/>
      <c r="AL71" s="129">
        <f>AM18/$C$18</f>
        <v>2.7531948597583813E-4</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1.0217890981654147</v>
      </c>
      <c r="E72" s="129"/>
      <c r="F72" s="129">
        <f>G19/$C$19</f>
        <v>1.0472114488190527</v>
      </c>
      <c r="G72" s="129"/>
      <c r="H72" s="129">
        <f>I19/$C$19</f>
        <v>1.0767310522519824</v>
      </c>
      <c r="I72" s="129"/>
      <c r="J72" s="129">
        <f>K19/$C$19</f>
        <v>1.1108673304876033</v>
      </c>
      <c r="K72" s="129"/>
      <c r="L72" s="129">
        <f>M19/$C$19</f>
        <v>1.1501810024269161</v>
      </c>
      <c r="M72" s="129"/>
      <c r="N72" s="129">
        <f>O19/$C$19</f>
        <v>1.1952752725257736</v>
      </c>
      <c r="O72" s="129"/>
      <c r="P72" s="129">
        <f>Q19/$C$19</f>
        <v>1.2467311066705693</v>
      </c>
      <c r="Q72" s="129"/>
      <c r="R72" s="129">
        <f>S19/$C$19</f>
        <v>1.305034113345779</v>
      </c>
      <c r="S72" s="129"/>
      <c r="T72" s="129">
        <f>U19/$C$19</f>
        <v>1.3704047465614249</v>
      </c>
      <c r="U72" s="129"/>
      <c r="V72" s="129">
        <f>W19/$C$19</f>
        <v>1.4424817772057259</v>
      </c>
      <c r="W72" s="129"/>
      <c r="X72" s="129">
        <f>Y19/$C$19</f>
        <v>1.5197138560705303</v>
      </c>
      <c r="Y72" s="129"/>
      <c r="Z72" s="129">
        <f>AA19/$C$19</f>
        <v>1.5981919203544108</v>
      </c>
      <c r="AA72" s="129"/>
      <c r="AB72" s="129">
        <f>AC19/$C$19</f>
        <v>1.6694006702066775</v>
      </c>
      <c r="AC72" s="129"/>
      <c r="AD72" s="129">
        <f>AE19/$C$19</f>
        <v>1.7160731744019129</v>
      </c>
      <c r="AE72" s="129"/>
      <c r="AF72" s="129">
        <f>AG19/$C$19</f>
        <v>1.7058922609305469</v>
      </c>
      <c r="AG72" s="129"/>
      <c r="AH72" s="129">
        <f>AI19/$C$19</f>
        <v>1.5890056920496762</v>
      </c>
      <c r="AI72" s="129"/>
      <c r="AJ72" s="129">
        <f>AK19/$C$19</f>
        <v>1.3225942363164278</v>
      </c>
      <c r="AK72" s="129"/>
      <c r="AL72" s="129">
        <f>AM19/$C$19</f>
        <v>0.92548290807200084</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0.47641153352875104</v>
      </c>
      <c r="D73" s="183">
        <f t="array" ref="D73">SUM(D9:E9*D22:E22)/D32</f>
        <v>0.47641154162456534</v>
      </c>
      <c r="E73" s="129"/>
      <c r="F73" s="183">
        <f t="array" ref="F73">SUM(F9:G9*F22:G22)/F32</f>
        <v>0.47641154308549638</v>
      </c>
      <c r="G73" s="129"/>
      <c r="H73" s="183">
        <f t="array" ref="H73">SUM(H9:I9*H22:I22)/H32</f>
        <v>0.47641154634526872</v>
      </c>
      <c r="I73" s="129"/>
      <c r="J73" s="183">
        <f t="array" ref="J73">SUM(J9:K9*J22:K22)/J32</f>
        <v>0.47641157243467697</v>
      </c>
      <c r="K73" s="129"/>
      <c r="L73" s="183">
        <f t="array" ref="L73">SUM(L9:M9*L22:M22)/L32</f>
        <v>0.47641153419034155</v>
      </c>
      <c r="M73" s="129"/>
      <c r="N73" s="183">
        <f t="array" ref="N73">SUM(N9:O9*N22:O22)/N32</f>
        <v>0.47641153485432408</v>
      </c>
      <c r="O73" s="129"/>
      <c r="P73" s="183">
        <f t="array" ref="P73">SUM(P9:Q9*P22:Q22)/P32</f>
        <v>0.47641153558712895</v>
      </c>
      <c r="Q73" s="129"/>
      <c r="R73" s="183">
        <f t="array" ref="R73">SUM(R9:S9*R22:S22)/R32</f>
        <v>0.47641153748453158</v>
      </c>
      <c r="S73" s="129"/>
      <c r="T73" s="183">
        <f t="array" ref="T73">SUM(T9:U9*T22:U22)/T32</f>
        <v>0.47641153700136435</v>
      </c>
      <c r="U73" s="129"/>
      <c r="V73" s="183">
        <f t="array" ref="V73">SUM(V9:W9*V22:W22)/V32</f>
        <v>0.47641153655154805</v>
      </c>
      <c r="W73" s="129"/>
      <c r="X73" s="183">
        <f t="array" ref="X73">SUM(X9:Y9*X22:Y22)/X32</f>
        <v>0.47641153399227876</v>
      </c>
      <c r="Y73" s="129"/>
      <c r="Z73" s="183">
        <f t="array" ref="Z73">SUM(Z9:AA9*Z22:AA22)/Z32</f>
        <v>0.47641153545784198</v>
      </c>
      <c r="AA73" s="129"/>
      <c r="AB73" s="183">
        <f t="array" ref="AB73">SUM(AB9:AC9*AB22:AC22)/AB32</f>
        <v>0.47641153495079719</v>
      </c>
      <c r="AC73" s="129"/>
      <c r="AD73" s="183">
        <f t="array" ref="AD73">SUM(AD9:AE9*AD22:AE22)/AD32</f>
        <v>0.47641153293681177</v>
      </c>
      <c r="AE73" s="129"/>
      <c r="AF73" s="183">
        <f t="array" ref="AF73">SUM(AF9:AG9*AF22:AG22)/AF32</f>
        <v>0.47641153423355564</v>
      </c>
      <c r="AG73" s="129"/>
      <c r="AH73" s="183">
        <f t="array" ref="AH73">SUM(AH9:AI9*AH22:AI22)/AH32</f>
        <v>0.47641153350956028</v>
      </c>
      <c r="AI73" s="129"/>
      <c r="AJ73" s="183">
        <f t="array" ref="AJ73">SUM(AJ9:AK9*AJ22:AK22)/AJ32</f>
        <v>0.47641153355158872</v>
      </c>
      <c r="AK73" s="129"/>
      <c r="AL73" s="183">
        <f t="array" ref="AL73">SUM(AL9:AM9*AL22:AM22)/AL32</f>
        <v>0.47641153352848725</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0.22604620456442487</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0.22604620456442481</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0.22038438851428405</v>
      </c>
      <c r="E75" s="129"/>
      <c r="F75" s="183">
        <f t="array" ref="F75">SUM(F11:G11*F24:G24)/F32</f>
        <v>0.22038438854636944</v>
      </c>
      <c r="G75" s="129"/>
      <c r="H75" s="183">
        <f t="array" ref="H75">SUM(H11:I11*H24:I24)/H32</f>
        <v>0.22038438861346163</v>
      </c>
      <c r="I75" s="129"/>
      <c r="J75" s="183">
        <f t="array" ref="J75">SUM(J11:K11*J24:K24)/J32</f>
        <v>0.22038438808571789</v>
      </c>
      <c r="K75" s="129"/>
      <c r="L75" s="183">
        <f t="array" ref="L75">SUM(L11:M11*L24:M24)/L32</f>
        <v>0.22038438830564611</v>
      </c>
      <c r="M75" s="129"/>
      <c r="N75" s="183">
        <f t="array" ref="N75">SUM(N11:O11*N24:O24)/N32</f>
        <v>0.22038438827762832</v>
      </c>
      <c r="O75" s="129"/>
      <c r="P75" s="183">
        <f t="array" ref="P75">SUM(P11:Q11*P24:Q24)/P32</f>
        <v>0.22038438824862716</v>
      </c>
      <c r="Q75" s="129"/>
      <c r="R75" s="183">
        <f t="array" ref="R75">SUM(R11:S11*R24:S24)/R32</f>
        <v>0.22038438830099141</v>
      </c>
      <c r="S75" s="129"/>
      <c r="T75" s="183">
        <f t="array" ref="T75">SUM(T11:U11*T24:U24)/T32</f>
        <v>0.22038438830714416</v>
      </c>
      <c r="U75" s="129"/>
      <c r="V75" s="183">
        <f t="array" ref="V75">SUM(V11:W11*V24:W24)/V32</f>
        <v>0.22038438831425741</v>
      </c>
      <c r="W75" s="129"/>
      <c r="X75" s="183">
        <f t="array" ref="X75">SUM(X11:Y11*X24:Y24)/X32</f>
        <v>0.22038438830863566</v>
      </c>
      <c r="Y75" s="129"/>
      <c r="Z75" s="183">
        <f t="array" ref="Z75">SUM(Z11:AA11*Z24:AA24)/Z32</f>
        <v>0.22038438837259608</v>
      </c>
      <c r="AA75" s="129"/>
      <c r="AB75" s="183">
        <f t="array" ref="AB75">SUM(AB11:AC11*AB24:AC24)/AB32</f>
        <v>0.22038438831758608</v>
      </c>
      <c r="AC75" s="129"/>
      <c r="AD75" s="183">
        <f t="array" ref="AD75">SUM(AD11:AE11*AD24:AE24)/AD32</f>
        <v>0.22038438834290644</v>
      </c>
      <c r="AE75" s="129"/>
      <c r="AF75" s="183">
        <f t="array" ref="AF75">SUM(AF11:AG11*AF24:AG24)/AF32</f>
        <v>0.2203843883297186</v>
      </c>
      <c r="AG75" s="129"/>
      <c r="AH75" s="183">
        <f t="array" ref="AH75">SUM(AH11:AI11*AH24:AI24)/AH32</f>
        <v>0.22038438833206356</v>
      </c>
      <c r="AI75" s="129"/>
      <c r="AJ75" s="183">
        <f t="array" ref="AJ75">SUM(AJ11:AK11*AJ24:AK24)/AJ32</f>
        <v>0.22038438833203938</v>
      </c>
      <c r="AK75" s="129"/>
      <c r="AL75" s="183">
        <f t="array" ref="AL75">SUM(AL11:AM11*AL24:AM24)/AL32</f>
        <v>0.22038438833194673</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0.22301874374724831</v>
      </c>
      <c r="D76" s="183">
        <f t="array" ref="D76">SUM(D12:E12*D25:E25)/D32</f>
        <v>0.2229192075781333</v>
      </c>
      <c r="E76" s="129"/>
      <c r="F76" s="183">
        <f t="array" ref="F76">SUM(F12:G12*F25:G25)/F32</f>
        <v>0.22287185162882692</v>
      </c>
      <c r="G76" s="129"/>
      <c r="H76" s="183">
        <f t="array" ref="H76">SUM(H12:I12*H25:I25)/H32</f>
        <v>0.22288360755314468</v>
      </c>
      <c r="I76" s="129"/>
      <c r="J76" s="183">
        <f t="array" ref="J76">SUM(J12:K12*J25:K25)/J32</f>
        <v>0.22296233836614754</v>
      </c>
      <c r="K76" s="129"/>
      <c r="L76" s="183">
        <f t="array" ref="L76">SUM(L12:M12*L25:M25)/L32</f>
        <v>0.22311682150312559</v>
      </c>
      <c r="M76" s="129"/>
      <c r="N76" s="183">
        <f t="array" ref="N76">SUM(N12:O12*N25:O25)/N32</f>
        <v>0.22335648130593605</v>
      </c>
      <c r="O76" s="129"/>
      <c r="P76" s="183">
        <f t="array" ref="P76">SUM(P12:Q12*P25:Q25)/P32</f>
        <v>0.22369082055150891</v>
      </c>
      <c r="Q76" s="129"/>
      <c r="R76" s="183">
        <f t="array" ref="R76">SUM(R12:S12*R25:S25)/R32</f>
        <v>0.22412813552147823</v>
      </c>
      <c r="S76" s="129"/>
      <c r="T76" s="183">
        <f t="array" ref="T76">SUM(T12:U12*T25:U25)/T32</f>
        <v>0.22467288219651957</v>
      </c>
      <c r="U76" s="129"/>
      <c r="V76" s="183">
        <f t="array" ref="V76">SUM(V12:W12*V25:W25)/V32</f>
        <v>0.2253204821388661</v>
      </c>
      <c r="W76" s="129"/>
      <c r="X76" s="183">
        <f t="array" ref="X76">SUM(X12:Y12*X25:Y25)/X32</f>
        <v>0.22604698932718609</v>
      </c>
      <c r="Y76" s="129"/>
      <c r="Z76" s="183">
        <f t="array" ref="Z76">SUM(Z12:AA12*Z25:AA25)/Z32</f>
        <v>0.22678859508766502</v>
      </c>
      <c r="AA76" s="129"/>
      <c r="AB76" s="183">
        <f t="array" ref="AB76">SUM(AB12:AC12*AB25:AC25)/AB32</f>
        <v>0.22740101342680991</v>
      </c>
      <c r="AC76" s="129"/>
      <c r="AD76" s="183">
        <f t="array" ref="AD76">SUM(AD12:AE12*AD25:AE25)/AD32</f>
        <v>0.22758233559547905</v>
      </c>
      <c r="AE76" s="129"/>
      <c r="AF76" s="183">
        <f t="array" ref="AF76">SUM(AF12:AG12*AF25:AG25)/AF32</f>
        <v>0.22675095109724341</v>
      </c>
      <c r="AG76" s="129"/>
      <c r="AH76" s="183">
        <f t="array" ref="AH76">SUM(AH12:AI12*AH25:AI25)/AH32</f>
        <v>0.22397886725469932</v>
      </c>
      <c r="AI76" s="129"/>
      <c r="AJ76" s="183">
        <f t="array" ref="AJ76">SUM(AJ12:AK12*AJ25:AK25)/AJ32</f>
        <v>0.21838116209320152</v>
      </c>
      <c r="AK76" s="129"/>
      <c r="AL76" s="183">
        <f t="array" ref="AL76">SUM(AL12:AM12*AL25:AM25)/AL32</f>
        <v>0.209935693674069</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0.14586087017236474</v>
      </c>
      <c r="D77" s="183">
        <f t="array" ref="D77">SUM(D4:E4*D19:E19)/D32</f>
        <v>0.14576134228140755</v>
      </c>
      <c r="E77" s="129"/>
      <c r="F77" s="183">
        <f t="array" ref="F77">SUM(F4:G4*F19:G19)/F32</f>
        <v>0.14571398782511757</v>
      </c>
      <c r="G77" s="129"/>
      <c r="H77" s="183">
        <f t="array" ref="H77">SUM(H4:I4*H19:I19)/H32</f>
        <v>0.14572574707629959</v>
      </c>
      <c r="I77" s="129"/>
      <c r="J77" s="183">
        <f t="array" ref="J77">SUM(J4:K4*J19:K19)/J32</f>
        <v>0.14580450345096732</v>
      </c>
      <c r="K77" s="129"/>
      <c r="L77" s="183">
        <f t="array" ref="L77">SUM(L4:M4*L19:M19)/L32</f>
        <v>0.145958948563538</v>
      </c>
      <c r="M77" s="129"/>
      <c r="N77" s="183">
        <f t="array" ref="N77">SUM(N4:O4*N19:O19)/N32</f>
        <v>0.14619860900231327</v>
      </c>
      <c r="O77" s="129"/>
      <c r="P77" s="183">
        <f t="array" ref="P77">SUM(P4:Q4*P19:Q19)/P32</f>
        <v>0.14653294895168983</v>
      </c>
      <c r="Q77" s="129"/>
      <c r="R77" s="183">
        <f t="array" ref="R77">SUM(R4:S4*R19:S19)/R32</f>
        <v>0.14697026587142609</v>
      </c>
      <c r="S77" s="129"/>
      <c r="T77" s="183">
        <f t="array" ref="T77">SUM(T4:U4*T19:U19)/T32</f>
        <v>0.14751501206945281</v>
      </c>
      <c r="U77" s="129"/>
      <c r="V77" s="183">
        <f t="array" ref="V77">SUM(V4:W4*V19:W19)/V32</f>
        <v>0.14816261156909646</v>
      </c>
      <c r="W77" s="129"/>
      <c r="X77" s="183">
        <f t="array" ref="X77">SUM(X4:Y4*X19:Y19)/X32</f>
        <v>0.14888911619252526</v>
      </c>
      <c r="Y77" s="129"/>
      <c r="Z77" s="183">
        <f t="array" ref="Z77">SUM(Z4:AA4*Z19:AA19)/Z32</f>
        <v>0.14963072348252793</v>
      </c>
      <c r="AA77" s="129"/>
      <c r="AB77" s="183">
        <f t="array" ref="AB77">SUM(AB4:AC4*AB19:AC19)/AB32</f>
        <v>0.15024314125961793</v>
      </c>
      <c r="AC77" s="129"/>
      <c r="AD77" s="183">
        <f t="array" ref="AD77">SUM(AD4:AE4*AD19:AE19)/AD32</f>
        <v>0.15042446143962188</v>
      </c>
      <c r="AE77" s="129"/>
      <c r="AF77" s="183">
        <f t="array" ref="AF77">SUM(AF4:AG4*AF19:AG19)/AF32</f>
        <v>0.14959307822494239</v>
      </c>
      <c r="AG77" s="129"/>
      <c r="AH77" s="183">
        <f t="array" ref="AH77">SUM(AH4:AI4*AH19:AI19)/AH32</f>
        <v>0.14682099366074794</v>
      </c>
      <c r="AI77" s="129"/>
      <c r="AJ77" s="183">
        <f t="array" ref="AJ77">SUM(AJ4:AK4*AJ19:AK19)/AJ32</f>
        <v>0.14122328854125424</v>
      </c>
      <c r="AK77" s="129"/>
      <c r="AL77" s="183">
        <f t="array" ref="AL77">SUM(AL4:AM4*AL19:AM19)/AL32</f>
        <v>0.1327778200989275</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0.3491343278534263</v>
      </c>
      <c r="E78" s="129"/>
      <c r="F78" s="183">
        <f t="array" ref="F78">SUM(F13:G13*F26:G26)/F32</f>
        <v>0.35143655111769306</v>
      </c>
      <c r="G78" s="129"/>
      <c r="H78" s="183">
        <f t="array" ref="H78">SUM(H13:I13*H26:I26)/H32</f>
        <v>0.35380387348353087</v>
      </c>
      <c r="I78" s="129"/>
      <c r="J78" s="183">
        <f t="array" ref="J78">SUM(J13:K13*J26:K26)/J32</f>
        <v>0.35624798063342256</v>
      </c>
      <c r="K78" s="129"/>
      <c r="L78" s="183">
        <f t="array" ref="L78">SUM(L13:M13*L26:M26)/L32</f>
        <v>0.35878342651149303</v>
      </c>
      <c r="M78" s="129"/>
      <c r="N78" s="183">
        <f t="array" ref="N78">SUM(N13:O13*N26:O26)/N32</f>
        <v>0.36142877443646204</v>
      </c>
      <c r="O78" s="129"/>
      <c r="P78" s="183">
        <f t="array" ref="P78">SUM(P13:Q13*P26:Q26)/P32</f>
        <v>0.36420829238305724</v>
      </c>
      <c r="Q78" s="129"/>
      <c r="R78" s="183">
        <f t="array" ref="R78">SUM(R13:S13*R26:S26)/R32</f>
        <v>0.36715486984305307</v>
      </c>
      <c r="S78" s="129"/>
      <c r="T78" s="183">
        <f t="array" ref="T78">SUM(T13:U13*T26:U26)/T32</f>
        <v>0.37031467255859762</v>
      </c>
      <c r="U78" s="129"/>
      <c r="V78" s="183">
        <f t="array" ref="V78">SUM(V13:W13*V26:W26)/V32</f>
        <v>0.37375548843199707</v>
      </c>
      <c r="W78" s="129"/>
      <c r="X78" s="183">
        <f t="array" ref="X78">SUM(X13:Y13*X26:Y26)/X32</f>
        <v>0.3775815276437342</v>
      </c>
      <c r="Y78" s="129"/>
      <c r="Z78" s="183">
        <f t="array" ref="Z78">SUM(Z13:AA13*Z26:AA26)/Z32</f>
        <v>0.38196145742668641</v>
      </c>
      <c r="AA78" s="129"/>
      <c r="AB78" s="183">
        <f t="array" ref="AB78">SUM(AB13:AC13*AB26:AC26)/AB32</f>
        <v>0.38718325768364131</v>
      </c>
      <c r="AC78" s="129"/>
      <c r="AD78" s="183">
        <f t="array" ref="AD78">SUM(AD13:AE13*AD26:AE26)/AD32</f>
        <v>0.39376447430074824</v>
      </c>
      <c r="AE78" s="129"/>
      <c r="AF78" s="183">
        <f t="array" ref="AF78">SUM(AF13:AG13*AF26:AG26)/AF32</f>
        <v>0.40266881773281338</v>
      </c>
      <c r="AG78" s="129"/>
      <c r="AH78" s="183">
        <f t="array" ref="AH78">SUM(AH13:AI13*AH26:AI26)/AH32</f>
        <v>0.41568056208096199</v>
      </c>
      <c r="AI78" s="129"/>
      <c r="AJ78" s="183">
        <f t="array" ref="AJ78">SUM(AJ13:AK13*AJ26:AK26)/AJ32</f>
        <v>0.43596466498678749</v>
      </c>
      <c r="AK78" s="129"/>
      <c r="AL78" s="183">
        <f t="array" ref="AL78">SUM(AL13:AM13*AL26:AM26)/AL32</f>
        <v>0.46986166039406879</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0.44672402680671414</v>
      </c>
      <c r="F79" s="183">
        <f t="array" ref="F79">SUM(F15:G15*F27:G27)/F32</f>
        <v>0.43864357541418197</v>
      </c>
      <c r="H79" s="183">
        <f t="array" ref="H79">SUM(H15:I15*H27:I27)/H32</f>
        <v>0.43033464414478068</v>
      </c>
      <c r="J79" s="183">
        <f t="array" ref="J79">SUM(J15:K15*J27:K27)/J32</f>
        <v>0.42175609875130243</v>
      </c>
      <c r="L79" s="183">
        <f t="array" ref="L79">SUM(L15:M15*L27:M27)/L32</f>
        <v>0.41285707357170032</v>
      </c>
      <c r="N79" s="183">
        <f t="array" ref="N79">SUM(N15:O15*N27:O27)/N32</f>
        <v>0.403572281884157</v>
      </c>
      <c r="P79" s="183">
        <f t="array" ref="P79">SUM(P15:Q15*P27:Q27)/P32</f>
        <v>0.39381657413776516</v>
      </c>
      <c r="R79" s="183">
        <f t="array" ref="R79">SUM(R15:S15*R27:S27)/R32</f>
        <v>0.38347456879321207</v>
      </c>
      <c r="T79" s="183">
        <f t="array" ref="T79">SUM(T15:U15*T27:U27)/T32</f>
        <v>0.37238413346233501</v>
      </c>
      <c r="V79" s="183">
        <f t="array" ref="V79">SUM(V15:W15*V27:W27)/V32</f>
        <v>0.3603073843585054</v>
      </c>
      <c r="X79" s="183">
        <f t="array" ref="X79">SUM(X15:Y15*X27:Y27)/X32</f>
        <v>0.34687855416392122</v>
      </c>
      <c r="Z79" s="183">
        <f t="array" ref="Z79">SUM(Z15:AA15*Z27:AA27)/Z32</f>
        <v>0.33150566349175242</v>
      </c>
      <c r="AB79" s="183">
        <f t="array" ref="AB79">SUM(AB15:AC15*AB27:AC27)/AB32</f>
        <v>0.31317791543720724</v>
      </c>
      <c r="AD79" s="183">
        <f t="array" ref="AD79">SUM(AD15:AE15*AD27:AE27)/AD32</f>
        <v>0.29007883844071536</v>
      </c>
      <c r="AF79" s="183">
        <f t="array" ref="AF79">SUM(AF15:AG15*AF27:AG27)/AF32</f>
        <v>0.25882591792502491</v>
      </c>
      <c r="AH79" s="183">
        <f t="array" ref="AH79">SUM(AH15:AI15*AH27:AI27)/AH32</f>
        <v>0.21315664039531126</v>
      </c>
      <c r="AJ79" s="183">
        <f t="array" ref="AJ79">SUM(AJ15:AK15*AJ27:AK27)/AJ32</f>
        <v>0.14196246823449982</v>
      </c>
      <c r="AL79" s="183">
        <f t="array" ref="AL79">SUM(AL15:AM15*AL27:AM27)/AL32</f>
        <v>2.2989076553898879E-2</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0.20414168240197914</v>
      </c>
      <c r="F80" s="195">
        <f>F55</f>
        <v>0.20991992041064914</v>
      </c>
      <c r="H80" s="195">
        <f>H55</f>
        <v>0.21586154933368051</v>
      </c>
      <c r="J80" s="195">
        <f>J55</f>
        <v>0.22199598006930391</v>
      </c>
      <c r="L80" s="195">
        <f>L55</f>
        <v>0.22835949754135598</v>
      </c>
      <c r="N80" s="195">
        <f>N55</f>
        <v>0.23499893855670434</v>
      </c>
      <c r="P80" s="195">
        <f>P55</f>
        <v>0.24197512519657841</v>
      </c>
      <c r="R80" s="195">
        <f>R55</f>
        <v>0.24937056613473532</v>
      </c>
      <c r="T80" s="195">
        <f>T55</f>
        <v>0.25730119772951315</v>
      </c>
      <c r="V80" s="195">
        <f>V55</f>
        <v>0.26593713029701271</v>
      </c>
      <c r="X80" s="195">
        <f>X55</f>
        <v>0.2755399135141306</v>
      </c>
      <c r="Z80" s="195">
        <f>Z55</f>
        <v>0.28653289383412561</v>
      </c>
      <c r="AB80" s="195">
        <f>AB55</f>
        <v>0.29963882430264782</v>
      </c>
      <c r="AD80" s="195">
        <f>AD55</f>
        <v>0.31615669208356983</v>
      </c>
      <c r="AF80" s="195">
        <f>AF55</f>
        <v>0.3385052619207109</v>
      </c>
      <c r="AH80" s="195">
        <f>AH55</f>
        <v>0.37116279805351737</v>
      </c>
      <c r="AJ80" s="195">
        <f>AJ55</f>
        <v>0.42207286580710729</v>
      </c>
      <c r="AL80" s="195">
        <f>AL55</f>
        <v>0.50714926310213893</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-2.1904522162445705E-2</v>
      </c>
      <c r="F81" s="195">
        <f>F51/F$32</f>
        <v>-1.6126284153775716E-2</v>
      </c>
      <c r="H81" s="195">
        <f>H51/H$32</f>
        <v>-1.0184655230744345E-2</v>
      </c>
      <c r="J81" s="195">
        <f>J51/J$32</f>
        <v>-4.0502244951209528E-3</v>
      </c>
      <c r="L81" s="195">
        <f>L51/L$32</f>
        <v>2.3132929769311365E-3</v>
      </c>
      <c r="N81" s="195">
        <f>N51/N$32</f>
        <v>8.9527339922795008E-3</v>
      </c>
      <c r="P81" s="195">
        <f>P51/P$32</f>
        <v>1.5928920632153582E-2</v>
      </c>
      <c r="R81" s="195">
        <f>R51/R$32</f>
        <v>2.3324361570310471E-2</v>
      </c>
      <c r="T81" s="195">
        <f>T51/T$32</f>
        <v>3.1254993165088313E-2</v>
      </c>
      <c r="V81" s="195">
        <f>V51/V$32</f>
        <v>3.9890925732587866E-2</v>
      </c>
      <c r="X81" s="195">
        <f>X51/X$32</f>
        <v>4.9493708949705749E-2</v>
      </c>
      <c r="Z81" s="195">
        <f>Z51/Z$32</f>
        <v>6.0486689269700779E-2</v>
      </c>
      <c r="AB81" s="195">
        <f>AB51/AB$32</f>
        <v>7.3592619738222981E-2</v>
      </c>
      <c r="AD81" s="195">
        <f>AD51/AD$32</f>
        <v>9.0110487519145008E-2</v>
      </c>
      <c r="AF81" s="195">
        <f>AF51/AF$32</f>
        <v>0.11245905735628607</v>
      </c>
      <c r="AH81" s="195">
        <f>AH51/AH$32</f>
        <v>0.14511659348909256</v>
      </c>
      <c r="AJ81" s="195">
        <f>AJ51/AJ$32</f>
        <v>0.19602666124268245</v>
      </c>
      <c r="AL81" s="195">
        <f>AL51/AL$32</f>
        <v>0.28110305853771411</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0.14160820830743254</v>
      </c>
      <c r="F82" s="195">
        <f>F52/F$32</f>
        <v>0.1425419856119472</v>
      </c>
      <c r="H82" s="195">
        <f>H52/H$32</f>
        <v>0.14350216698618645</v>
      </c>
      <c r="J82" s="195">
        <f>J52/J$32</f>
        <v>0.14449349212037044</v>
      </c>
      <c r="L82" s="195">
        <f>L52/L$32</f>
        <v>0.14552186406609546</v>
      </c>
      <c r="N82" s="195">
        <f>N52/N$32</f>
        <v>0.14659481206954106</v>
      </c>
      <c r="P82" s="195">
        <f>P52/P$32</f>
        <v>0.14772217917433331</v>
      </c>
      <c r="R82" s="195">
        <f>R52/R$32</f>
        <v>0.14891730529474231</v>
      </c>
      <c r="T82" s="195">
        <f>T52/T$32</f>
        <v>0.15019891516651943</v>
      </c>
      <c r="V82" s="195">
        <f>V52/V$32</f>
        <v>0.15159450343176853</v>
      </c>
      <c r="X82" s="195">
        <f>X52/X$32</f>
        <v>0.1531463375381974</v>
      </c>
      <c r="Z82" s="195">
        <f>Z52/Z$32</f>
        <v>0.15492282858933407</v>
      </c>
      <c r="AB82" s="195">
        <f>AB52/AB$32</f>
        <v>0.15704078067692459</v>
      </c>
      <c r="AD82" s="195">
        <f>AD52/AD$32</f>
        <v>0.15971010941168845</v>
      </c>
      <c r="AF82" s="195">
        <f>AF52/AF$32</f>
        <v>0.16332169389070925</v>
      </c>
      <c r="AH82" s="195">
        <f>AH52/AH$32</f>
        <v>0.16859923223941392</v>
      </c>
      <c r="AJ82" s="195">
        <f>AJ52/AJ$32</f>
        <v>0.17682642515761765</v>
      </c>
      <c r="AL82" s="195">
        <f>AL52/AL$32</f>
        <v>0.19057498095315534</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0.18119040150797774</v>
      </c>
      <c r="F83" s="195">
        <f>F53/F$32</f>
        <v>0.17791298604715214</v>
      </c>
      <c r="H83" s="195">
        <f>H53/H$32</f>
        <v>0.17454289959004651</v>
      </c>
      <c r="J83" s="195">
        <f>J53/J$32</f>
        <v>0.17106345816552856</v>
      </c>
      <c r="L83" s="195">
        <f>L53/L$32</f>
        <v>0.16745403075942364</v>
      </c>
      <c r="N83" s="195">
        <f>N53/N$32</f>
        <v>0.16368813720359796</v>
      </c>
      <c r="P83" s="195">
        <f>P53/P$32</f>
        <v>0.1597312410048447</v>
      </c>
      <c r="R83" s="195">
        <f>R53/R$32</f>
        <v>0.15553654363391506</v>
      </c>
      <c r="T83" s="195">
        <f>T53/T$32</f>
        <v>0.15103828450766188</v>
      </c>
      <c r="V83" s="195">
        <f>V53/V$32</f>
        <v>0.14613997842218962</v>
      </c>
      <c r="X83" s="195">
        <f>X53/X$32</f>
        <v>0.14069327086062849</v>
      </c>
      <c r="Z83" s="195">
        <f>Z53/Z$32</f>
        <v>0.13445805612830408</v>
      </c>
      <c r="AB83" s="195">
        <f>AB53/AB$32</f>
        <v>0.12702435695506278</v>
      </c>
      <c r="AD83" s="195">
        <f>AD53/AD$32</f>
        <v>0.11765541598858786</v>
      </c>
      <c r="AF83" s="195">
        <f>AF53/AF$32</f>
        <v>0.10497929185661907</v>
      </c>
      <c r="AH83" s="195">
        <f>AH53/AH$32</f>
        <v>8.6455921194560664E-2</v>
      </c>
      <c r="AJ83" s="195">
        <f>AJ53/AJ$32</f>
        <v>5.7579702623879465E-2</v>
      </c>
      <c r="AL83" s="195">
        <f>AL53/AL$32</f>
        <v>9.3243249996509282E-3</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c r="AH1" s="91"/>
      <c r="AJ1" s="91"/>
      <c r="AL1" s="91"/>
      <c r="AN1" s="91"/>
      <c r="AP1" s="91"/>
      <c r="AR1" s="91"/>
      <c r="AT1" s="91"/>
      <c r="AV1" s="91"/>
    </row>
    <row r="2" spans="1:49" x14ac:dyDescent="0.2">
      <c r="A2" s="190" t="s">
        <v>139</v>
      </c>
      <c r="B2" s="188">
        <v>5.7716594496607888E-3</v>
      </c>
      <c r="C2" s="189"/>
      <c r="D2" s="188">
        <v>6.1597304985443399E-2</v>
      </c>
      <c r="E2" s="189"/>
      <c r="F2" s="188">
        <v>0.12297823845261331</v>
      </c>
      <c r="G2" s="189"/>
      <c r="H2" s="188">
        <v>0.19095671533868494</v>
      </c>
      <c r="I2" s="189"/>
      <c r="J2" s="188">
        <v>0.26689491797427473</v>
      </c>
      <c r="K2" s="189"/>
      <c r="L2" s="188">
        <v>0.35261927921098285</v>
      </c>
      <c r="M2" s="189"/>
      <c r="N2" s="188">
        <v>0.45065051843234394</v>
      </c>
      <c r="O2" s="189"/>
      <c r="P2" s="188">
        <v>0.56458483105756718</v>
      </c>
      <c r="Q2" s="189"/>
      <c r="R2" s="188">
        <v>0.69975388717807263</v>
      </c>
      <c r="S2" s="189"/>
      <c r="T2" s="188">
        <v>0.86442640471117937</v>
      </c>
      <c r="U2" s="189"/>
      <c r="V2" s="188">
        <v>1.0721274838250701</v>
      </c>
      <c r="W2" s="189"/>
      <c r="X2" s="188">
        <v>1.3464168235284113</v>
      </c>
      <c r="Y2" s="189"/>
      <c r="Z2" s="188">
        <v>1.7314238009485905</v>
      </c>
      <c r="AA2" s="189"/>
      <c r="AB2" s="188">
        <v>2.3164321946024451</v>
      </c>
      <c r="AC2" s="189"/>
      <c r="AD2" s="188">
        <v>3.2941242984046712</v>
      </c>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997.03689232750457</v>
      </c>
      <c r="E3" s="82">
        <v>1034.0534085284635</v>
      </c>
      <c r="F3" s="81">
        <v>994.00576977654146</v>
      </c>
      <c r="G3" s="82">
        <v>1071.8054959398105</v>
      </c>
      <c r="H3" s="81">
        <v>990.89296038370424</v>
      </c>
      <c r="I3" s="82">
        <v>1113.9493258633597</v>
      </c>
      <c r="J3" s="81">
        <v>987.6863330270188</v>
      </c>
      <c r="K3" s="82">
        <v>1161.3766691638418</v>
      </c>
      <c r="L3" s="81">
        <v>984.37677593093815</v>
      </c>
      <c r="M3" s="82">
        <v>1215.2614786212341</v>
      </c>
      <c r="N3" s="81">
        <v>980.96070294999515</v>
      </c>
      <c r="O3" s="82">
        <v>1277.1912997927479</v>
      </c>
      <c r="P3" s="81">
        <v>977.44426216006912</v>
      </c>
      <c r="Q3" s="82">
        <v>1349.3808372049114</v>
      </c>
      <c r="R3" s="81">
        <v>973.85058088106723</v>
      </c>
      <c r="S3" s="82">
        <v>1435.0348205604871</v>
      </c>
      <c r="T3" s="81">
        <v>970.23247698323689</v>
      </c>
      <c r="U3" s="82">
        <v>1538.994890808141</v>
      </c>
      <c r="V3" s="81">
        <v>966.69531638848116</v>
      </c>
      <c r="W3" s="82">
        <v>1668.958156049493</v>
      </c>
      <c r="X3" s="81">
        <v>963.43859782795437</v>
      </c>
      <c r="Y3" s="82">
        <v>1837.9174372463115</v>
      </c>
      <c r="Z3" s="81">
        <v>960.82925843487851</v>
      </c>
      <c r="AA3" s="82">
        <v>2069.3626966856441</v>
      </c>
      <c r="AB3" s="81">
        <v>959.50901154507369</v>
      </c>
      <c r="AC3" s="82">
        <v>2408.9338034620741</v>
      </c>
      <c r="AD3" s="81">
        <v>960.43418720137208</v>
      </c>
      <c r="AE3" s="82">
        <v>2950.7564841089611</v>
      </c>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996.88949195844964</v>
      </c>
      <c r="E5" s="40">
        <v>1029.4491067748759</v>
      </c>
      <c r="F5" s="39">
        <v>993.7048037649048</v>
      </c>
      <c r="G5" s="40">
        <v>1061.0384491662437</v>
      </c>
      <c r="H5" s="39">
        <v>990.43134525442122</v>
      </c>
      <c r="I5" s="40">
        <v>1094.9847436830526</v>
      </c>
      <c r="J5" s="39">
        <v>987.05608798262028</v>
      </c>
      <c r="K5" s="40">
        <v>1131.5259484288904</v>
      </c>
      <c r="L5" s="39">
        <v>983.56912697565565</v>
      </c>
      <c r="M5" s="40">
        <v>1170.9211541206237</v>
      </c>
      <c r="N5" s="39">
        <v>979.96633665893739</v>
      </c>
      <c r="O5" s="40">
        <v>1213.4491311949948</v>
      </c>
      <c r="P5" s="39">
        <v>976.25384327063853</v>
      </c>
      <c r="Q5" s="40">
        <v>1259.4015159959779</v>
      </c>
      <c r="R5" s="39">
        <v>972.45574043377553</v>
      </c>
      <c r="S5" s="40">
        <v>1309.0652506312636</v>
      </c>
      <c r="T5" s="39">
        <v>968.62764755286571</v>
      </c>
      <c r="U5" s="40">
        <v>1362.6818931237906</v>
      </c>
      <c r="V5" s="39">
        <v>964.88111393275256</v>
      </c>
      <c r="W5" s="40">
        <v>1420.3549625955948</v>
      </c>
      <c r="X5" s="39">
        <v>961.4280288666223</v>
      </c>
      <c r="Y5" s="40">
        <v>1481.8423152116911</v>
      </c>
      <c r="Z5" s="39">
        <v>958.65885531528249</v>
      </c>
      <c r="AA5" s="40">
        <v>1546.0999694164116</v>
      </c>
      <c r="AB5" s="39">
        <v>957.25688499452178</v>
      </c>
      <c r="AC5" s="40">
        <v>1610.3630855751314</v>
      </c>
      <c r="AD5" s="39">
        <v>958.23938929000508</v>
      </c>
      <c r="AE5" s="40">
        <v>1668.8311635179589</v>
      </c>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999.99999999999886</v>
      </c>
      <c r="D6" s="39">
        <v>996.65236564556108</v>
      </c>
      <c r="E6" s="40">
        <v>1036.7104290072832</v>
      </c>
      <c r="F6" s="39">
        <v>993.22654569282622</v>
      </c>
      <c r="G6" s="40">
        <v>1077.3039751470601</v>
      </c>
      <c r="H6" s="39">
        <v>989.70697228998995</v>
      </c>
      <c r="I6" s="40">
        <v>1122.5045700219819</v>
      </c>
      <c r="J6" s="39">
        <v>986.07979015616377</v>
      </c>
      <c r="K6" s="40">
        <v>1173.2434298515964</v>
      </c>
      <c r="L6" s="39">
        <v>982.3345312667584</v>
      </c>
      <c r="M6" s="40">
        <v>1230.7461303296686</v>
      </c>
      <c r="N6" s="39">
        <v>978.46695825991173</v>
      </c>
      <c r="O6" s="40">
        <v>1296.6696511921111</v>
      </c>
      <c r="P6" s="39">
        <v>974.48384562941146</v>
      </c>
      <c r="Q6" s="40">
        <v>1373.3249977336764</v>
      </c>
      <c r="R6" s="39">
        <v>970.41121920325293</v>
      </c>
      <c r="S6" s="40">
        <v>1464.0552824100937</v>
      </c>
      <c r="T6" s="39">
        <v>966.30882378072715</v>
      </c>
      <c r="U6" s="40">
        <v>1573.9093852364988</v>
      </c>
      <c r="V6" s="39">
        <v>962.29615174847845</v>
      </c>
      <c r="W6" s="40">
        <v>1710.9102096290203</v>
      </c>
      <c r="X6" s="39">
        <v>958.59980435345221</v>
      </c>
      <c r="Y6" s="40">
        <v>1888.5928158856464</v>
      </c>
      <c r="Z6" s="39">
        <v>955.63695491450642</v>
      </c>
      <c r="AA6" s="40">
        <v>2131.4105683447551</v>
      </c>
      <c r="AB6" s="39">
        <v>954.1374078696216</v>
      </c>
      <c r="AC6" s="40">
        <v>2486.8367281065889</v>
      </c>
      <c r="AD6" s="39">
        <v>955.18826056633316</v>
      </c>
      <c r="AE6" s="40">
        <v>3052.6928481912364</v>
      </c>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1012.7516810846932</v>
      </c>
      <c r="E7" s="32">
        <v>1012.7516810846932</v>
      </c>
      <c r="F7" s="31">
        <v>1009.5163191436151</v>
      </c>
      <c r="G7" s="32">
        <v>1009.5163191436151</v>
      </c>
      <c r="H7" s="31">
        <v>1006.1907744004958</v>
      </c>
      <c r="I7" s="32">
        <v>1006.1907744004958</v>
      </c>
      <c r="J7" s="31">
        <v>1002.7618111064859</v>
      </c>
      <c r="K7" s="32">
        <v>1002.7618111064859</v>
      </c>
      <c r="L7" s="31">
        <v>999.21936668293949</v>
      </c>
      <c r="M7" s="32">
        <v>999.21936668293949</v>
      </c>
      <c r="N7" s="31">
        <v>995.55924991043355</v>
      </c>
      <c r="O7" s="32">
        <v>995.55924991043355</v>
      </c>
      <c r="P7" s="31">
        <v>991.78768450589803</v>
      </c>
      <c r="Q7" s="32">
        <v>991.78768450589803</v>
      </c>
      <c r="R7" s="31">
        <v>987.92914746243014</v>
      </c>
      <c r="S7" s="32">
        <v>987.92914746243014</v>
      </c>
      <c r="T7" s="31">
        <v>984.04014318285522</v>
      </c>
      <c r="U7" s="32">
        <v>984.04014318285522</v>
      </c>
      <c r="V7" s="31">
        <v>980.233995909143</v>
      </c>
      <c r="W7" s="32">
        <v>980.233995909143</v>
      </c>
      <c r="X7" s="31">
        <v>976.72596644964744</v>
      </c>
      <c r="Y7" s="32">
        <v>976.72596644964744</v>
      </c>
      <c r="Z7" s="31">
        <v>973.9127306878529</v>
      </c>
      <c r="AA7" s="32">
        <v>973.9127306878529</v>
      </c>
      <c r="AB7" s="31">
        <v>972.48845266041394</v>
      </c>
      <c r="AC7" s="32">
        <v>972.48845266041394</v>
      </c>
      <c r="AD7" s="31">
        <v>973.48659025234383</v>
      </c>
      <c r="AE7" s="32">
        <v>973.48659025234383</v>
      </c>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1092.8603973718803</v>
      </c>
      <c r="E8" s="34">
        <v>1092.8603973718803</v>
      </c>
      <c r="F8" s="33">
        <v>1191.523088575201</v>
      </c>
      <c r="G8" s="34">
        <v>1191.523088575201</v>
      </c>
      <c r="H8" s="33">
        <v>1304.07943368274</v>
      </c>
      <c r="I8" s="34">
        <v>1304.07943368274</v>
      </c>
      <c r="J8" s="33">
        <v>1433.5244736205825</v>
      </c>
      <c r="K8" s="34">
        <v>1433.5244736205825</v>
      </c>
      <c r="L8" s="33">
        <v>1583.8105274995301</v>
      </c>
      <c r="M8" s="34">
        <v>1583.8105274995301</v>
      </c>
      <c r="N8" s="33">
        <v>1760.2906112592966</v>
      </c>
      <c r="O8" s="34">
        <v>1760.2906112592966</v>
      </c>
      <c r="P8" s="33">
        <v>1970.440508138211</v>
      </c>
      <c r="Q8" s="34">
        <v>1970.440508138211</v>
      </c>
      <c r="R8" s="33">
        <v>2225.0887483302281</v>
      </c>
      <c r="S8" s="34">
        <v>2225.0887483302281</v>
      </c>
      <c r="T8" s="33">
        <v>2540.6201027618126</v>
      </c>
      <c r="U8" s="34">
        <v>2540.6201027618126</v>
      </c>
      <c r="V8" s="33">
        <v>2943.1565547816608</v>
      </c>
      <c r="W8" s="34">
        <v>2943.1565547816608</v>
      </c>
      <c r="X8" s="33">
        <v>3477.019738229003</v>
      </c>
      <c r="Y8" s="34">
        <v>3477.019738229003</v>
      </c>
      <c r="Z8" s="33">
        <v>4223.0542551098742</v>
      </c>
      <c r="AA8" s="34">
        <v>4223.0542551098742</v>
      </c>
      <c r="AB8" s="33">
        <v>5340.6599820006986</v>
      </c>
      <c r="AC8" s="34">
        <v>5340.6599820006986</v>
      </c>
      <c r="AD8" s="33">
        <v>7166.1684491974074</v>
      </c>
      <c r="AE8" s="34">
        <v>7166.1684491974074</v>
      </c>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1012.7516810846932</v>
      </c>
      <c r="E9" s="40">
        <v>1092.8603973718803</v>
      </c>
      <c r="F9" s="39">
        <v>1009.5163191436151</v>
      </c>
      <c r="G9" s="40">
        <v>1191.523088575201</v>
      </c>
      <c r="H9" s="39">
        <v>1006.1907744004958</v>
      </c>
      <c r="I9" s="40">
        <v>1304.07943368274</v>
      </c>
      <c r="J9" s="39">
        <v>1002.7618111064859</v>
      </c>
      <c r="K9" s="40">
        <v>1433.5244736205825</v>
      </c>
      <c r="L9" s="39">
        <v>999.21936668293949</v>
      </c>
      <c r="M9" s="40">
        <v>1583.8105274995301</v>
      </c>
      <c r="N9" s="39">
        <v>995.55924991043355</v>
      </c>
      <c r="O9" s="40">
        <v>1760.2906112592966</v>
      </c>
      <c r="P9" s="39">
        <v>991.78768450589803</v>
      </c>
      <c r="Q9" s="40">
        <v>1970.440508138211</v>
      </c>
      <c r="R9" s="39">
        <v>987.92914746243014</v>
      </c>
      <c r="S9" s="40">
        <v>2225.0887483302281</v>
      </c>
      <c r="T9" s="39">
        <v>984.04014318285522</v>
      </c>
      <c r="U9" s="40">
        <v>2540.6201027618126</v>
      </c>
      <c r="V9" s="39">
        <v>980.233995909143</v>
      </c>
      <c r="W9" s="40">
        <v>2943.1565547816608</v>
      </c>
      <c r="X9" s="39">
        <v>976.72596644964744</v>
      </c>
      <c r="Y9" s="40">
        <v>3477.019738229003</v>
      </c>
      <c r="Z9" s="39">
        <v>973.9127306878529</v>
      </c>
      <c r="AA9" s="40">
        <v>4223.0542551098742</v>
      </c>
      <c r="AB9" s="39">
        <v>972.48845266041394</v>
      </c>
      <c r="AC9" s="40">
        <v>5340.6599820006986</v>
      </c>
      <c r="AD9" s="39">
        <v>973.48659025234383</v>
      </c>
      <c r="AE9" s="40">
        <v>7166.1684491974074</v>
      </c>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1012.7516810846932</v>
      </c>
      <c r="E10" s="40">
        <v>1092.8603973718803</v>
      </c>
      <c r="F10" s="39">
        <v>1009.5163191436151</v>
      </c>
      <c r="G10" s="40">
        <v>1191.523088575201</v>
      </c>
      <c r="H10" s="39">
        <v>1006.1907744004958</v>
      </c>
      <c r="I10" s="40">
        <v>1304.07943368274</v>
      </c>
      <c r="J10" s="39">
        <v>1002.7618111064859</v>
      </c>
      <c r="K10" s="40">
        <v>1433.5244736205825</v>
      </c>
      <c r="L10" s="39">
        <v>999.21936668293949</v>
      </c>
      <c r="M10" s="40">
        <v>1583.8105274995301</v>
      </c>
      <c r="N10" s="39">
        <v>995.55924991043355</v>
      </c>
      <c r="O10" s="40">
        <v>1760.2906112592966</v>
      </c>
      <c r="P10" s="39">
        <v>991.78768450589803</v>
      </c>
      <c r="Q10" s="40">
        <v>1970.440508138211</v>
      </c>
      <c r="R10" s="39">
        <v>987.92914746243014</v>
      </c>
      <c r="S10" s="40">
        <v>2225.0887483302281</v>
      </c>
      <c r="T10" s="39">
        <v>984.04014318285522</v>
      </c>
      <c r="U10" s="40">
        <v>2540.6201027618126</v>
      </c>
      <c r="V10" s="39">
        <v>980.233995909143</v>
      </c>
      <c r="W10" s="40">
        <v>2943.1565547816608</v>
      </c>
      <c r="X10" s="39">
        <v>976.72596644964744</v>
      </c>
      <c r="Y10" s="40">
        <v>3477.019738229003</v>
      </c>
      <c r="Z10" s="39">
        <v>973.9127306878529</v>
      </c>
      <c r="AA10" s="40">
        <v>4223.0542551098742</v>
      </c>
      <c r="AB10" s="39">
        <v>972.48845266041394</v>
      </c>
      <c r="AC10" s="40">
        <v>5340.6599820006986</v>
      </c>
      <c r="AD10" s="39">
        <v>973.48659025234383</v>
      </c>
      <c r="AE10" s="40">
        <v>7166.1684491974074</v>
      </c>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1012.7516810846932</v>
      </c>
      <c r="E11" s="40">
        <v>1092.8603973718803</v>
      </c>
      <c r="F11" s="39">
        <v>1009.5163191436151</v>
      </c>
      <c r="G11" s="40">
        <v>1191.523088575201</v>
      </c>
      <c r="H11" s="39">
        <v>1006.1907744004958</v>
      </c>
      <c r="I11" s="40">
        <v>1304.07943368274</v>
      </c>
      <c r="J11" s="39">
        <v>1002.7618111064859</v>
      </c>
      <c r="K11" s="40">
        <v>1433.5244736205825</v>
      </c>
      <c r="L11" s="39">
        <v>999.21936668293949</v>
      </c>
      <c r="M11" s="40">
        <v>1583.8105274995301</v>
      </c>
      <c r="N11" s="39">
        <v>995.55924991043355</v>
      </c>
      <c r="O11" s="40">
        <v>1760.2906112592966</v>
      </c>
      <c r="P11" s="39">
        <v>991.78768450589803</v>
      </c>
      <c r="Q11" s="40">
        <v>1970.440508138211</v>
      </c>
      <c r="R11" s="39">
        <v>987.92914746243014</v>
      </c>
      <c r="S11" s="40">
        <v>2225.0887483302281</v>
      </c>
      <c r="T11" s="39">
        <v>984.04014318285522</v>
      </c>
      <c r="U11" s="40">
        <v>2540.6201027618126</v>
      </c>
      <c r="V11" s="39">
        <v>980.233995909143</v>
      </c>
      <c r="W11" s="40">
        <v>2943.1565547816608</v>
      </c>
      <c r="X11" s="39">
        <v>976.72596644964744</v>
      </c>
      <c r="Y11" s="40">
        <v>3477.019738229003</v>
      </c>
      <c r="Z11" s="39">
        <v>973.9127306878529</v>
      </c>
      <c r="AA11" s="40">
        <v>4223.0542551098742</v>
      </c>
      <c r="AB11" s="39">
        <v>972.48845266041394</v>
      </c>
      <c r="AC11" s="40">
        <v>5340.6599820006986</v>
      </c>
      <c r="AD11" s="39">
        <v>973.48659025234383</v>
      </c>
      <c r="AE11" s="40">
        <v>7166.1684491974074</v>
      </c>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955.45626473863831</v>
      </c>
      <c r="E13" s="94">
        <v>955.45626473863831</v>
      </c>
      <c r="F13" s="93">
        <v>910.21128739498783</v>
      </c>
      <c r="G13" s="94">
        <v>910.21128739498783</v>
      </c>
      <c r="H13" s="93">
        <v>864.08520973906843</v>
      </c>
      <c r="I13" s="94">
        <v>864.08520973906843</v>
      </c>
      <c r="J13" s="93">
        <v>816.86342759740432</v>
      </c>
      <c r="K13" s="94">
        <v>816.86342759740432</v>
      </c>
      <c r="L13" s="93">
        <v>768.27923112410872</v>
      </c>
      <c r="M13" s="94">
        <v>768.27923112410872</v>
      </c>
      <c r="N13" s="93">
        <v>717.98684654955139</v>
      </c>
      <c r="O13" s="94">
        <v>717.98684654955139</v>
      </c>
      <c r="P13" s="93">
        <v>665.5189907771321</v>
      </c>
      <c r="Q13" s="94">
        <v>665.5189907771321</v>
      </c>
      <c r="R13" s="93">
        <v>610.21860893642645</v>
      </c>
      <c r="S13" s="94">
        <v>610.21860893642645</v>
      </c>
      <c r="T13" s="93">
        <v>551.12640059325054</v>
      </c>
      <c r="U13" s="94">
        <v>551.12640059325054</v>
      </c>
      <c r="V13" s="93">
        <v>486.79461802287028</v>
      </c>
      <c r="W13" s="94">
        <v>486.79461802287028</v>
      </c>
      <c r="X13" s="93">
        <v>414.98719220032848</v>
      </c>
      <c r="Y13" s="94">
        <v>414.98719220032848</v>
      </c>
      <c r="Z13" s="93">
        <v>332.26953653730607</v>
      </c>
      <c r="AA13" s="94">
        <v>332.26953653730607</v>
      </c>
      <c r="AB13" s="93">
        <v>233.89367226085886</v>
      </c>
      <c r="AC13" s="94">
        <v>233.89367226085886</v>
      </c>
      <c r="AD13" s="93">
        <v>116.73046752292304</v>
      </c>
      <c r="AE13" s="94">
        <v>116.73046752292304</v>
      </c>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1392.1030503009438</v>
      </c>
      <c r="E14" s="40">
        <v>1392.103050300944</v>
      </c>
      <c r="F14" s="39">
        <v>1326.1809633406135</v>
      </c>
      <c r="G14" s="40">
        <v>1326.1809633406137</v>
      </c>
      <c r="H14" s="39">
        <v>1258.9751102074106</v>
      </c>
      <c r="I14" s="40">
        <v>1258.9751102074108</v>
      </c>
      <c r="J14" s="39">
        <v>1190.1728118855303</v>
      </c>
      <c r="K14" s="40">
        <v>1190.1728118855303</v>
      </c>
      <c r="L14" s="39">
        <v>1119.3854712159955</v>
      </c>
      <c r="M14" s="40">
        <v>1119.3854712159957</v>
      </c>
      <c r="N14" s="39">
        <v>1046.1092946321296</v>
      </c>
      <c r="O14" s="40">
        <v>1046.1092946321298</v>
      </c>
      <c r="P14" s="39">
        <v>969.66344906167342</v>
      </c>
      <c r="Q14" s="40">
        <v>969.66344906167353</v>
      </c>
      <c r="R14" s="39">
        <v>889.09060330790999</v>
      </c>
      <c r="S14" s="40">
        <v>889.0906033079101</v>
      </c>
      <c r="T14" s="39">
        <v>802.99305335248982</v>
      </c>
      <c r="U14" s="40">
        <v>802.99305335248994</v>
      </c>
      <c r="V14" s="39">
        <v>709.26142580172871</v>
      </c>
      <c r="W14" s="40">
        <v>709.26142580172882</v>
      </c>
      <c r="X14" s="39">
        <v>604.63776042740221</v>
      </c>
      <c r="Y14" s="40">
        <v>604.63776042740221</v>
      </c>
      <c r="Z14" s="39">
        <v>484.11785280637054</v>
      </c>
      <c r="AA14" s="40">
        <v>484.11785280637059</v>
      </c>
      <c r="AB14" s="39">
        <v>340.78388160393581</v>
      </c>
      <c r="AC14" s="40">
        <v>340.78388160393587</v>
      </c>
      <c r="AD14" s="39">
        <v>170.07669099973714</v>
      </c>
      <c r="AE14" s="40">
        <v>170.07669099973717</v>
      </c>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1037.1961478181581</v>
      </c>
      <c r="E15" s="145">
        <v>1037.1961478181581</v>
      </c>
      <c r="F15" s="144">
        <v>1075.5515105613333</v>
      </c>
      <c r="G15" s="145">
        <v>1075.5515105613333</v>
      </c>
      <c r="H15" s="144">
        <v>1115.2571037530734</v>
      </c>
      <c r="I15" s="145">
        <v>1115.2571037530734</v>
      </c>
      <c r="J15" s="144">
        <v>1156.5592295902188</v>
      </c>
      <c r="K15" s="145">
        <v>1156.5592295902188</v>
      </c>
      <c r="L15" s="144">
        <v>1199.7881547964625</v>
      </c>
      <c r="M15" s="145">
        <v>1199.7881547964625</v>
      </c>
      <c r="N15" s="144">
        <v>1245.4048593452944</v>
      </c>
      <c r="O15" s="145">
        <v>1245.4048593452944</v>
      </c>
      <c r="P15" s="144">
        <v>1294.0788032673458</v>
      </c>
      <c r="Q15" s="145">
        <v>1294.0788032673458</v>
      </c>
      <c r="R15" s="144">
        <v>1346.8213837082085</v>
      </c>
      <c r="S15" s="145">
        <v>1346.8213837082085</v>
      </c>
      <c r="T15" s="144">
        <v>1405.2241098170393</v>
      </c>
      <c r="U15" s="145">
        <v>1405.2241098170393</v>
      </c>
      <c r="V15" s="144">
        <v>1471.8997825262911</v>
      </c>
      <c r="W15" s="145">
        <v>1471.8997825262911</v>
      </c>
      <c r="X15" s="144">
        <v>1551.3311872768159</v>
      </c>
      <c r="Y15" s="145">
        <v>1551.3311872768159</v>
      </c>
      <c r="Z15" s="144">
        <v>1651.5403839356402</v>
      </c>
      <c r="AA15" s="145">
        <v>1651.5403839356402</v>
      </c>
      <c r="AB15" s="144">
        <v>1787.2714693404416</v>
      </c>
      <c r="AC15" s="145">
        <v>1787.2714693404416</v>
      </c>
      <c r="AD15" s="144">
        <v>1984.9931698742921</v>
      </c>
      <c r="AE15" s="145">
        <v>1984.9931698742921</v>
      </c>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993.36535495983537</v>
      </c>
      <c r="E16" s="40">
        <v>1013.763265408526</v>
      </c>
      <c r="F16" s="39">
        <v>986.36878054555723</v>
      </c>
      <c r="G16" s="40">
        <v>1027.9408292593562</v>
      </c>
      <c r="H16" s="39">
        <v>978.95151170232953</v>
      </c>
      <c r="I16" s="40">
        <v>1042.600056200936</v>
      </c>
      <c r="J16" s="39">
        <v>971.0451122822534</v>
      </c>
      <c r="K16" s="40">
        <v>1057.8318654492614</v>
      </c>
      <c r="L16" s="39">
        <v>962.5684978470407</v>
      </c>
      <c r="M16" s="40">
        <v>1073.7638141939319</v>
      </c>
      <c r="N16" s="39">
        <v>953.42355128675331</v>
      </c>
      <c r="O16" s="40">
        <v>1090.5817090037035</v>
      </c>
      <c r="P16" s="39">
        <v>943.48839886689325</v>
      </c>
      <c r="Q16" s="40">
        <v>1108.5660470429511</v>
      </c>
      <c r="R16" s="39">
        <v>932.60663765673598</v>
      </c>
      <c r="S16" s="40">
        <v>1128.1553769987527</v>
      </c>
      <c r="T16" s="39">
        <v>920.56909483832885</v>
      </c>
      <c r="U16" s="40">
        <v>1150.0609940329252</v>
      </c>
      <c r="V16" s="39">
        <v>907.08113861625247</v>
      </c>
      <c r="W16" s="40">
        <v>1175.4829934794814</v>
      </c>
      <c r="X16" s="39">
        <v>891.70000795426802</v>
      </c>
      <c r="Y16" s="40">
        <v>1206.53510722087</v>
      </c>
      <c r="Z16" s="39">
        <v>873.70563964727546</v>
      </c>
      <c r="AA16" s="40">
        <v>1247.1087908257255</v>
      </c>
      <c r="AB16" s="39">
        <v>851.81691464770768</v>
      </c>
      <c r="AC16" s="40">
        <v>1304.6324877446964</v>
      </c>
      <c r="AD16" s="39">
        <v>823.56096170502519</v>
      </c>
      <c r="AE16" s="40">
        <v>1393.4316358573126</v>
      </c>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997.17397971197363</v>
      </c>
      <c r="E17" s="34">
        <v>1052.3595746491701</v>
      </c>
      <c r="F17" s="33">
        <v>994.28570775109256</v>
      </c>
      <c r="G17" s="34">
        <v>1110.6595343145439</v>
      </c>
      <c r="H17" s="33">
        <v>991.32237049692662</v>
      </c>
      <c r="I17" s="34">
        <v>1176.0423180639912</v>
      </c>
      <c r="J17" s="33">
        <v>988.27267693493036</v>
      </c>
      <c r="K17" s="34">
        <v>1249.9796362248912</v>
      </c>
      <c r="L17" s="33">
        <v>985.12825837502987</v>
      </c>
      <c r="M17" s="34">
        <v>1334.4108860549632</v>
      </c>
      <c r="N17" s="33">
        <v>981.8860387348559</v>
      </c>
      <c r="O17" s="34">
        <v>1431.961222582911</v>
      </c>
      <c r="P17" s="33">
        <v>978.55219304642424</v>
      </c>
      <c r="Q17" s="34">
        <v>1546.2968746804102</v>
      </c>
      <c r="R17" s="33">
        <v>975.14895641416626</v>
      </c>
      <c r="S17" s="34">
        <v>1682.7302370087557</v>
      </c>
      <c r="T17" s="33">
        <v>971.7265430296419</v>
      </c>
      <c r="U17" s="34">
        <v>1849.302662516837</v>
      </c>
      <c r="V17" s="33">
        <v>968.38455893005471</v>
      </c>
      <c r="W17" s="34">
        <v>2058.8337550905258</v>
      </c>
      <c r="X17" s="33">
        <v>965.31094768499281</v>
      </c>
      <c r="Y17" s="34">
        <v>2333.0511766515328</v>
      </c>
      <c r="Z17" s="33">
        <v>962.85068950130085</v>
      </c>
      <c r="AA17" s="34">
        <v>2711.4697702305648</v>
      </c>
      <c r="AB17" s="33">
        <v>961.60668186522298</v>
      </c>
      <c r="AC17" s="34">
        <v>3271.5326177076345</v>
      </c>
      <c r="AD17" s="33">
        <v>962.47837510576574</v>
      </c>
      <c r="AE17" s="34">
        <v>4174.9813206002236</v>
      </c>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28263.499121887231</v>
      </c>
      <c r="E18" s="32">
        <v>1139.4248749874482</v>
      </c>
      <c r="F18" s="31">
        <v>28672.042281376318</v>
      </c>
      <c r="G18" s="32">
        <v>1042.0234456211872</v>
      </c>
      <c r="H18" s="31">
        <v>29083.717268715714</v>
      </c>
      <c r="I18" s="32">
        <v>944.62790496716116</v>
      </c>
      <c r="J18" s="31">
        <v>29499.764400632124</v>
      </c>
      <c r="K18" s="32">
        <v>847.35262680799883</v>
      </c>
      <c r="L18" s="31">
        <v>29921.689489903543</v>
      </c>
      <c r="M18" s="32">
        <v>750.38088360185725</v>
      </c>
      <c r="N18" s="31">
        <v>30351.417591401911</v>
      </c>
      <c r="O18" s="32">
        <v>653.99594102517722</v>
      </c>
      <c r="P18" s="31">
        <v>30791.558039355998</v>
      </c>
      <c r="Q18" s="32">
        <v>558.62264144520896</v>
      </c>
      <c r="R18" s="31">
        <v>31245.837309275747</v>
      </c>
      <c r="S18" s="32">
        <v>464.8906879857492</v>
      </c>
      <c r="T18" s="31">
        <v>31719.856815947209</v>
      </c>
      <c r="U18" s="32">
        <v>373.72959766141059</v>
      </c>
      <c r="V18" s="31">
        <v>32222.435061156815</v>
      </c>
      <c r="W18" s="32">
        <v>286.51291213672511</v>
      </c>
      <c r="X18" s="31">
        <v>32768.019297440842</v>
      </c>
      <c r="Y18" s="32">
        <v>205.27263194545165</v>
      </c>
      <c r="Z18" s="31">
        <v>33380.895089214595</v>
      </c>
      <c r="AA18" s="32">
        <v>132.98006180519033</v>
      </c>
      <c r="AB18" s="31">
        <v>34101.38771796842</v>
      </c>
      <c r="AC18" s="32">
        <v>73.726900149666321</v>
      </c>
      <c r="AD18" s="31">
        <v>34988.982922553834</v>
      </c>
      <c r="AE18" s="32">
        <v>32.030371468188449</v>
      </c>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262.78711299999571</v>
      </c>
      <c r="D19" s="39">
        <v>1900.3932642370448</v>
      </c>
      <c r="E19" s="40">
        <v>280.38012609067994</v>
      </c>
      <c r="F19" s="39">
        <v>1913.8688853894273</v>
      </c>
      <c r="G19" s="40">
        <v>299.75823143980256</v>
      </c>
      <c r="H19" s="39">
        <v>1926.81662518546</v>
      </c>
      <c r="I19" s="40">
        <v>321.11113014388923</v>
      </c>
      <c r="J19" s="39">
        <v>1939.2455989507791</v>
      </c>
      <c r="K19" s="40">
        <v>344.62925162355174</v>
      </c>
      <c r="L19" s="39">
        <v>1951.1916439419247</v>
      </c>
      <c r="M19" s="40">
        <v>370.48950792029342</v>
      </c>
      <c r="N19" s="39">
        <v>1962.7392290745493</v>
      </c>
      <c r="O19" s="40">
        <v>398.83054188705432</v>
      </c>
      <c r="P19" s="39">
        <v>1974.0589711243988</v>
      </c>
      <c r="Q19" s="40">
        <v>429.70882114247996</v>
      </c>
      <c r="R19" s="39">
        <v>1985.4711185965966</v>
      </c>
      <c r="S19" s="40">
        <v>463.02079126471034</v>
      </c>
      <c r="T19" s="39">
        <v>1997.5576902300108</v>
      </c>
      <c r="U19" s="40">
        <v>498.36173988053093</v>
      </c>
      <c r="V19" s="39">
        <v>2011.3648362251088</v>
      </c>
      <c r="W19" s="40">
        <v>534.76336342982177</v>
      </c>
      <c r="X19" s="39">
        <v>2028.7746758174776</v>
      </c>
      <c r="Y19" s="40">
        <v>570.19648174388385</v>
      </c>
      <c r="Z19" s="39">
        <v>2053.175422180444</v>
      </c>
      <c r="AA19" s="40">
        <v>600.64013670401562</v>
      </c>
      <c r="AB19" s="39">
        <v>2090.5048051611502</v>
      </c>
      <c r="AC19" s="40">
        <v>618.53937429716882</v>
      </c>
      <c r="AD19" s="39">
        <v>2149.9388236422501</v>
      </c>
      <c r="AE19" s="40">
        <v>611.46969015337811</v>
      </c>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26912.542990927617</v>
      </c>
      <c r="E20" s="80">
        <v>1338.1147774499941</v>
      </c>
      <c r="F20" s="79">
        <v>27277.382516602323</v>
      </c>
      <c r="G20" s="80">
        <v>1267.6876838999945</v>
      </c>
      <c r="H20" s="79">
        <v>27643.74782102734</v>
      </c>
      <c r="I20" s="80">
        <v>1197.2605903499946</v>
      </c>
      <c r="J20" s="79">
        <v>28012.665929577815</v>
      </c>
      <c r="K20" s="80">
        <v>1126.8334967999949</v>
      </c>
      <c r="L20" s="79">
        <v>28385.427632612485</v>
      </c>
      <c r="M20" s="80">
        <v>1056.4064032499953</v>
      </c>
      <c r="N20" s="79">
        <v>28763.754857532702</v>
      </c>
      <c r="O20" s="80">
        <v>985.97930969999561</v>
      </c>
      <c r="P20" s="79">
        <v>29150.089973446458</v>
      </c>
      <c r="Q20" s="80">
        <v>915.55221614999596</v>
      </c>
      <c r="R20" s="79">
        <v>29548.073860816385</v>
      </c>
      <c r="S20" s="80">
        <v>845.12512259999642</v>
      </c>
      <c r="T20" s="79">
        <v>29963.386711828312</v>
      </c>
      <c r="U20" s="80">
        <v>774.69802904999653</v>
      </c>
      <c r="V20" s="79">
        <v>30405.246745363467</v>
      </c>
      <c r="W20" s="80">
        <v>704.27093549999688</v>
      </c>
      <c r="X20" s="79">
        <v>30889.120824264934</v>
      </c>
      <c r="Y20" s="80">
        <v>633.84384194999734</v>
      </c>
      <c r="Z20" s="79">
        <v>31441.493758558627</v>
      </c>
      <c r="AA20" s="80">
        <v>563.41674839999757</v>
      </c>
      <c r="AB20" s="79">
        <v>32106.98043307638</v>
      </c>
      <c r="AC20" s="80">
        <v>492.98965484999775</v>
      </c>
      <c r="AD20" s="79">
        <v>32952.119576252589</v>
      </c>
      <c r="AE20" s="80">
        <v>422.56256129999804</v>
      </c>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1145.7547579999921</v>
      </c>
      <c r="D21" s="79">
        <v>25012.169643607263</v>
      </c>
      <c r="E21" s="80">
        <v>1058.2906585559656</v>
      </c>
      <c r="F21" s="79">
        <v>25363.59631606477</v>
      </c>
      <c r="G21" s="80">
        <v>970.29920164422208</v>
      </c>
      <c r="H21" s="79">
        <v>25717.124794973806</v>
      </c>
      <c r="I21" s="80">
        <v>881.84141952388165</v>
      </c>
      <c r="J21" s="79">
        <v>26073.779327164208</v>
      </c>
      <c r="K21" s="80">
        <v>793.02562201247963</v>
      </c>
      <c r="L21" s="79">
        <v>26434.822155762853</v>
      </c>
      <c r="M21" s="80">
        <v>704.02746744447745</v>
      </c>
      <c r="N21" s="79">
        <v>26801.898649463103</v>
      </c>
      <c r="O21" s="80">
        <v>615.11827416227175</v>
      </c>
      <c r="P21" s="79">
        <v>27177.288280195153</v>
      </c>
      <c r="Q21" s="80">
        <v>526.70637333800278</v>
      </c>
      <c r="R21" s="79">
        <v>27564.317473592015</v>
      </c>
      <c r="S21" s="80">
        <v>439.39812048255942</v>
      </c>
      <c r="T21" s="79">
        <v>27968.084765454299</v>
      </c>
      <c r="U21" s="80">
        <v>354.0897854636097</v>
      </c>
      <c r="V21" s="79">
        <v>28396.750276085229</v>
      </c>
      <c r="W21" s="80">
        <v>272.10741726980871</v>
      </c>
      <c r="X21" s="79">
        <v>28863.861379909125</v>
      </c>
      <c r="Y21" s="80">
        <v>195.41540887954201</v>
      </c>
      <c r="Z21" s="79">
        <v>29392.428630300219</v>
      </c>
      <c r="AA21" s="80">
        <v>126.89178190312879</v>
      </c>
      <c r="AB21" s="79">
        <v>30020.962425885886</v>
      </c>
      <c r="AC21" s="80">
        <v>70.512459778176762</v>
      </c>
      <c r="AD21" s="79">
        <v>30806.576388900747</v>
      </c>
      <c r="AE21" s="80">
        <v>30.699415243255192</v>
      </c>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6533.6044688320699</v>
      </c>
      <c r="C22" s="40">
        <v>379.90788307663399</v>
      </c>
      <c r="D22" s="39">
        <v>6626.3510132199026</v>
      </c>
      <c r="E22" s="40">
        <v>365.88864987211821</v>
      </c>
      <c r="F22" s="39">
        <v>6718.4500006422904</v>
      </c>
      <c r="G22" s="40">
        <v>351.55003674151953</v>
      </c>
      <c r="H22" s="39">
        <v>6809.996834783853</v>
      </c>
      <c r="I22" s="40">
        <v>336.88696738652629</v>
      </c>
      <c r="J22" s="39">
        <v>6901.0983580303682</v>
      </c>
      <c r="K22" s="40">
        <v>321.88841846402318</v>
      </c>
      <c r="L22" s="39">
        <v>6991.8924883693817</v>
      </c>
      <c r="M22" s="40">
        <v>306.53554507459944</v>
      </c>
      <c r="N22" s="39">
        <v>7082.5785271318146</v>
      </c>
      <c r="O22" s="40">
        <v>290.79877397365379</v>
      </c>
      <c r="P22" s="39">
        <v>7173.4729865800182</v>
      </c>
      <c r="Q22" s="40">
        <v>274.63395225998386</v>
      </c>
      <c r="R22" s="39">
        <v>7265.1039922032087</v>
      </c>
      <c r="S22" s="40">
        <v>257.97667511938351</v>
      </c>
      <c r="T22" s="39">
        <v>7358.3813856852375</v>
      </c>
      <c r="U22" s="40">
        <v>240.73413415184936</v>
      </c>
      <c r="V22" s="39">
        <v>7454.904176597478</v>
      </c>
      <c r="W22" s="40">
        <v>222.77345098707798</v>
      </c>
      <c r="X22" s="39">
        <v>7557.5177944826146</v>
      </c>
      <c r="Y22" s="40">
        <v>203.90602300806958</v>
      </c>
      <c r="Z22" s="39">
        <v>7671.2741348571926</v>
      </c>
      <c r="AA22" s="40">
        <v>183.87177180673424</v>
      </c>
      <c r="AB22" s="39">
        <v>7804.7246114605341</v>
      </c>
      <c r="AC22" s="40">
        <v>162.34646156869891</v>
      </c>
      <c r="AD22" s="39">
        <v>7969.7998349656273</v>
      </c>
      <c r="AE22" s="40">
        <v>139.05439499544065</v>
      </c>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3331.3874946679171</v>
      </c>
      <c r="E23" s="8">
        <v>0</v>
      </c>
      <c r="F23" s="110">
        <v>3384.6237367975973</v>
      </c>
      <c r="G23" s="8">
        <v>0</v>
      </c>
      <c r="H23" s="110">
        <v>3438.3533875206408</v>
      </c>
      <c r="I23" s="8">
        <v>0</v>
      </c>
      <c r="J23" s="110">
        <v>3492.7479859976615</v>
      </c>
      <c r="K23" s="8">
        <v>0</v>
      </c>
      <c r="L23" s="110">
        <v>3548.0262425752676</v>
      </c>
      <c r="M23" s="8">
        <v>0</v>
      </c>
      <c r="N23" s="110">
        <v>3604.4824256919842</v>
      </c>
      <c r="O23" s="8">
        <v>0</v>
      </c>
      <c r="P23" s="110">
        <v>3662.5353930558408</v>
      </c>
      <c r="Q23" s="8">
        <v>0</v>
      </c>
      <c r="R23" s="110">
        <v>3722.8104684574928</v>
      </c>
      <c r="S23" s="8">
        <v>0</v>
      </c>
      <c r="T23" s="110">
        <v>3786.2842533470871</v>
      </c>
      <c r="U23" s="8">
        <v>0</v>
      </c>
      <c r="V23" s="110">
        <v>3854.546000143187</v>
      </c>
      <c r="W23" s="8">
        <v>0</v>
      </c>
      <c r="X23" s="110">
        <v>3930.2795315949515</v>
      </c>
      <c r="Y23" s="8">
        <v>0</v>
      </c>
      <c r="Z23" s="110">
        <v>4018.141609257852</v>
      </c>
      <c r="AA23" s="8">
        <v>0</v>
      </c>
      <c r="AB23" s="110">
        <v>4126.1876716785873</v>
      </c>
      <c r="AC23" s="8">
        <v>0</v>
      </c>
      <c r="AD23" s="110">
        <v>4267.172124047428</v>
      </c>
      <c r="AE23" s="8">
        <v>0</v>
      </c>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3247.9456844172382</v>
      </c>
      <c r="E24" s="8">
        <v>0</v>
      </c>
      <c r="F24" s="93">
        <v>3299.8485082404563</v>
      </c>
      <c r="G24" s="8">
        <v>0</v>
      </c>
      <c r="H24" s="93">
        <v>3352.2323817169963</v>
      </c>
      <c r="I24" s="8">
        <v>0</v>
      </c>
      <c r="J24" s="93">
        <v>3405.2645553075931</v>
      </c>
      <c r="K24" s="8">
        <v>0</v>
      </c>
      <c r="L24" s="93">
        <v>3459.1582493561</v>
      </c>
      <c r="M24" s="8">
        <v>0</v>
      </c>
      <c r="N24" s="93">
        <v>3514.2003647591882</v>
      </c>
      <c r="O24" s="8">
        <v>0</v>
      </c>
      <c r="P24" s="93">
        <v>3570.7992701603698</v>
      </c>
      <c r="Q24" s="8">
        <v>0</v>
      </c>
      <c r="R24" s="93">
        <v>3629.5646259876712</v>
      </c>
      <c r="S24" s="8">
        <v>0</v>
      </c>
      <c r="T24" s="93">
        <v>3691.4485726369576</v>
      </c>
      <c r="U24" s="8">
        <v>0</v>
      </c>
      <c r="V24" s="93">
        <v>3758.0005563880532</v>
      </c>
      <c r="W24" s="8">
        <v>0</v>
      </c>
      <c r="X24" s="93">
        <v>3831.8371777521625</v>
      </c>
      <c r="Y24" s="8">
        <v>0</v>
      </c>
      <c r="Z24" s="93">
        <v>3917.4985595766257</v>
      </c>
      <c r="AA24" s="8">
        <v>0</v>
      </c>
      <c r="AB24" s="93">
        <v>4022.8383746400227</v>
      </c>
      <c r="AC24" s="8">
        <v>0</v>
      </c>
      <c r="AD24" s="93">
        <v>4160.2915663348604</v>
      </c>
      <c r="AE24" s="8">
        <v>0</v>
      </c>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3195.0476039999967</v>
      </c>
      <c r="C25" s="40">
        <v>91.012690000004142</v>
      </c>
      <c r="D25" s="39">
        <v>3251.313291883429</v>
      </c>
      <c r="E25" s="40">
        <v>81.085292486684295</v>
      </c>
      <c r="F25" s="39">
        <v>3308.3783128196828</v>
      </c>
      <c r="G25" s="40">
        <v>71.539401053850497</v>
      </c>
      <c r="H25" s="39">
        <v>3366.4329995164157</v>
      </c>
      <c r="I25" s="40">
        <v>62.396808255641318</v>
      </c>
      <c r="J25" s="39">
        <v>3425.6872807962127</v>
      </c>
      <c r="K25" s="40">
        <v>53.683400085909312</v>
      </c>
      <c r="L25" s="39">
        <v>3486.3775992098713</v>
      </c>
      <c r="M25" s="40">
        <v>45.429846010775307</v>
      </c>
      <c r="N25" s="39">
        <v>3548.7756900380641</v>
      </c>
      <c r="O25" s="40">
        <v>37.672700262592116</v>
      </c>
      <c r="P25" s="39">
        <v>3613.2033321803187</v>
      </c>
      <c r="Q25" s="40">
        <v>30.455642494355192</v>
      </c>
      <c r="R25" s="39">
        <v>3680.0538881814746</v>
      </c>
      <c r="S25" s="40">
        <v>23.831174690718932</v>
      </c>
      <c r="T25" s="39">
        <v>3749.8281554020655</v>
      </c>
      <c r="U25" s="40">
        <v>17.86269499847532</v>
      </c>
      <c r="V25" s="39">
        <v>3823.1935435590481</v>
      </c>
      <c r="W25" s="40">
        <v>12.62671011198332</v>
      </c>
      <c r="X25" s="39">
        <v>3901.0826939198755</v>
      </c>
      <c r="Y25" s="40">
        <v>8.2139987287615277</v>
      </c>
      <c r="Z25" s="39">
        <v>3984.8496807317169</v>
      </c>
      <c r="AA25" s="40">
        <v>4.7255023397041773</v>
      </c>
      <c r="AB25" s="39">
        <v>4076.4655508142096</v>
      </c>
      <c r="AC25" s="40">
        <v>2.250262528142458</v>
      </c>
      <c r="AD25" s="39">
        <v>4178.5352594202923</v>
      </c>
      <c r="AE25" s="40">
        <v>0.79794429966403535</v>
      </c>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5179.1827754267988</v>
      </c>
      <c r="E26" s="32">
        <v>69.848767487733099</v>
      </c>
      <c r="F26" s="31">
        <v>5330.3383254992068</v>
      </c>
      <c r="G26" s="32">
        <v>64.716729391829276</v>
      </c>
      <c r="H26" s="31">
        <v>5491.4005615291708</v>
      </c>
      <c r="I26" s="32">
        <v>59.504643290874711</v>
      </c>
      <c r="J26" s="31">
        <v>5664.4857427981269</v>
      </c>
      <c r="K26" s="32">
        <v>54.209456960107701</v>
      </c>
      <c r="L26" s="31">
        <v>5852.4152739826741</v>
      </c>
      <c r="M26" s="32">
        <v>48.830721302669524</v>
      </c>
      <c r="N26" s="31">
        <v>6059.090698562808</v>
      </c>
      <c r="O26" s="32">
        <v>43.372344090805512</v>
      </c>
      <c r="P26" s="31">
        <v>6290.142775196583</v>
      </c>
      <c r="Q26" s="32">
        <v>37.845198789898603</v>
      </c>
      <c r="R26" s="31">
        <v>6554.1134570543327</v>
      </c>
      <c r="S26" s="32">
        <v>32.271282460446599</v>
      </c>
      <c r="T26" s="31">
        <v>6864.7624466088673</v>
      </c>
      <c r="U26" s="32">
        <v>26.690371511443832</v>
      </c>
      <c r="V26" s="31">
        <v>7245.9485080739605</v>
      </c>
      <c r="W26" s="32">
        <v>21.170892518420104</v>
      </c>
      <c r="X26" s="31">
        <v>7743.1219028330615</v>
      </c>
      <c r="Y26" s="32">
        <v>15.827714172200942</v>
      </c>
      <c r="Z26" s="31">
        <v>8454.638474847623</v>
      </c>
      <c r="AA26" s="32">
        <v>10.849745469175542</v>
      </c>
      <c r="AB26" s="31">
        <v>9638.4852618342211</v>
      </c>
      <c r="AC26" s="32">
        <v>6.5330001883330624</v>
      </c>
      <c r="AD26" s="31">
        <v>12270.513204567194</v>
      </c>
      <c r="AE26" s="32">
        <v>3.2787756769656542</v>
      </c>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6446.7608030247684</v>
      </c>
      <c r="E27" s="34">
        <v>251.66656157841447</v>
      </c>
      <c r="F27" s="33">
        <v>6468.1997436486754</v>
      </c>
      <c r="G27" s="34">
        <v>230.22764713705865</v>
      </c>
      <c r="H27" s="33">
        <v>6489.5255549243966</v>
      </c>
      <c r="I27" s="34">
        <v>208.90187007742171</v>
      </c>
      <c r="J27" s="33">
        <v>6510.7392215842374</v>
      </c>
      <c r="K27" s="34">
        <v>187.68804902282275</v>
      </c>
      <c r="L27" s="33">
        <v>6531.8293934668382</v>
      </c>
      <c r="M27" s="34">
        <v>166.59794676826931</v>
      </c>
      <c r="N27" s="33">
        <v>6552.7646862905185</v>
      </c>
      <c r="O27" s="34">
        <v>145.66261393177393</v>
      </c>
      <c r="P27" s="33">
        <v>6573.4862819309374</v>
      </c>
      <c r="Q27" s="34">
        <v>124.94102410172155</v>
      </c>
      <c r="R27" s="33">
        <v>6593.8934811859117</v>
      </c>
      <c r="S27" s="34">
        <v>104.53382716981217</v>
      </c>
      <c r="T27" s="33">
        <v>6613.8225537308645</v>
      </c>
      <c r="U27" s="34">
        <v>84.604754988780854</v>
      </c>
      <c r="V27" s="33">
        <v>6633.01287976808</v>
      </c>
      <c r="W27" s="34">
        <v>65.414435417232056</v>
      </c>
      <c r="X27" s="33">
        <v>6651.0541902466557</v>
      </c>
      <c r="Y27" s="34">
        <v>47.373125821490724</v>
      </c>
      <c r="Z27" s="33">
        <v>6667.3120122415576</v>
      </c>
      <c r="AA27" s="34">
        <v>31.115303848097501</v>
      </c>
      <c r="AB27" s="33">
        <v>6680.862205753443</v>
      </c>
      <c r="AC27" s="34">
        <v>17.565120942307473</v>
      </c>
      <c r="AD27" s="33">
        <v>6690.6084863805454</v>
      </c>
      <c r="AE27" s="34">
        <v>7.8187940306361119</v>
      </c>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13989.325831679318</v>
      </c>
      <c r="E28" s="40">
        <v>353.40032818096125</v>
      </c>
      <c r="F28" s="39">
        <v>14219.707193500521</v>
      </c>
      <c r="G28" s="40">
        <v>324.38422430727854</v>
      </c>
      <c r="H28" s="39">
        <v>14455.288111366286</v>
      </c>
      <c r="I28" s="40">
        <v>295.3137764927464</v>
      </c>
      <c r="J28" s="39">
        <v>14697.332097290921</v>
      </c>
      <c r="K28" s="40">
        <v>266.1963366326039</v>
      </c>
      <c r="L28" s="39">
        <v>14947.424738559064</v>
      </c>
      <c r="M28" s="40">
        <v>237.05645492226043</v>
      </c>
      <c r="N28" s="39">
        <v>15207.63365962074</v>
      </c>
      <c r="O28" s="40">
        <v>207.94511558681015</v>
      </c>
      <c r="P28" s="39">
        <v>15480.774138414103</v>
      </c>
      <c r="Q28" s="40">
        <v>178.95247421760399</v>
      </c>
      <c r="R28" s="39">
        <v>15770.847900166365</v>
      </c>
      <c r="S28" s="40">
        <v>150.22796611773964</v>
      </c>
      <c r="T28" s="39">
        <v>16083.811148300971</v>
      </c>
      <c r="U28" s="40">
        <v>122.01163691421451</v>
      </c>
      <c r="V28" s="39">
        <v>16428.962474955799</v>
      </c>
      <c r="W28" s="40">
        <v>94.683794917210449</v>
      </c>
      <c r="X28" s="39">
        <v>16821.544853264812</v>
      </c>
      <c r="Y28" s="40">
        <v>68.842954240620941</v>
      </c>
      <c r="Z28" s="39">
        <v>17287.717720602221</v>
      </c>
      <c r="AA28" s="40">
        <v>45.417638592260289</v>
      </c>
      <c r="AB28" s="39">
        <v>17873.740919982985</v>
      </c>
      <c r="AC28" s="40">
        <v>25.769694530893059</v>
      </c>
      <c r="AD28" s="39">
        <v>18660.11274851421</v>
      </c>
      <c r="AE28" s="40">
        <v>11.538345797703441</v>
      </c>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14570.947445585865</v>
      </c>
      <c r="E29" s="34">
        <v>748.33134668288142</v>
      </c>
      <c r="F29" s="33">
        <v>14780.076589127315</v>
      </c>
      <c r="G29" s="34">
        <v>680.04931544746307</v>
      </c>
      <c r="H29" s="33">
        <v>14990.698160426626</v>
      </c>
      <c r="I29" s="34">
        <v>612.47913289422411</v>
      </c>
      <c r="J29" s="33">
        <v>15203.437279454631</v>
      </c>
      <c r="K29" s="34">
        <v>545.71311620418282</v>
      </c>
      <c r="L29" s="33">
        <v>15419.055772059515</v>
      </c>
      <c r="M29" s="34">
        <v>479.88864428882232</v>
      </c>
      <c r="N29" s="33">
        <v>15638.532886934889</v>
      </c>
      <c r="O29" s="34">
        <v>415.20669966535235</v>
      </c>
      <c r="P29" s="33">
        <v>15863.204742191676</v>
      </c>
      <c r="Q29" s="34">
        <v>351.95632307776634</v>
      </c>
      <c r="R29" s="33">
        <v>16094.992713920301</v>
      </c>
      <c r="S29" s="34">
        <v>290.55160788795791</v>
      </c>
      <c r="T29" s="33">
        <v>16336.803968899636</v>
      </c>
      <c r="U29" s="34">
        <v>231.58656668889861</v>
      </c>
      <c r="V29" s="33">
        <v>16593.242042540191</v>
      </c>
      <c r="W29" s="34">
        <v>175.91720428295926</v>
      </c>
      <c r="X29" s="33">
        <v>16871.885430534498</v>
      </c>
      <c r="Y29" s="34">
        <v>124.7806702742438</v>
      </c>
      <c r="Z29" s="33">
        <v>17185.522056033944</v>
      </c>
      <c r="AA29" s="34">
        <v>79.94353243847425</v>
      </c>
      <c r="AB29" s="33">
        <v>17555.444185862692</v>
      </c>
      <c r="AC29" s="34">
        <v>43.770085502489366</v>
      </c>
      <c r="AD29" s="33">
        <v>18013.106615325909</v>
      </c>
      <c r="AE29" s="34">
        <v>18.744990455479165</v>
      </c>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2962766.0877093421</v>
      </c>
      <c r="F30" s="112">
        <v>3000495.5110461684</v>
      </c>
      <c r="H30" s="112">
        <v>3038086.1444751443</v>
      </c>
      <c r="J30" s="112">
        <v>3075631.3767120908</v>
      </c>
      <c r="L30" s="112">
        <v>3113270.8572488753</v>
      </c>
      <c r="N30" s="112">
        <v>3151223.9460100406</v>
      </c>
      <c r="P30" s="112">
        <v>3189846.4955004267</v>
      </c>
      <c r="R30" s="112">
        <v>3229728.1407679869</v>
      </c>
      <c r="T30" s="112">
        <v>3271864.2239629566</v>
      </c>
      <c r="V30" s="112">
        <v>3317968.3108073277</v>
      </c>
      <c r="X30" s="112">
        <v>3371051.7100959467</v>
      </c>
      <c r="Z30" s="112">
        <v>3436485.5439264239</v>
      </c>
      <c r="AB30" s="112">
        <v>3523730.3642181265</v>
      </c>
      <c r="AD30" s="112">
        <v>3647870.2205860848</v>
      </c>
      <c r="AF30" s="112"/>
      <c r="AH30" s="112"/>
      <c r="AJ30" s="112"/>
      <c r="AL30" s="112"/>
      <c r="AN30" s="112"/>
      <c r="AP30" s="112"/>
      <c r="AR30" s="112"/>
      <c r="AT30" s="112"/>
      <c r="AV30" s="112"/>
    </row>
    <row r="31" spans="1:49" x14ac:dyDescent="0.2">
      <c r="A31" t="s">
        <v>47</v>
      </c>
      <c r="B31" s="77">
        <v>1</v>
      </c>
      <c r="D31" s="77">
        <v>1.0112986096159524</v>
      </c>
      <c r="F31" s="77">
        <v>1.0222054037481272</v>
      </c>
      <c r="H31" s="77">
        <v>1.0326961359410609</v>
      </c>
      <c r="J31" s="77">
        <v>1.0427392190536204</v>
      </c>
      <c r="L31" s="77">
        <v>1.0522953745244874</v>
      </c>
      <c r="N31" s="77">
        <v>1.0613171186879689</v>
      </c>
      <c r="P31" s="77">
        <v>1.0697491860342756</v>
      </c>
      <c r="R31" s="77">
        <v>1.0775296769678369</v>
      </c>
      <c r="T31" s="77">
        <v>1.084593389548471</v>
      </c>
      <c r="V31" s="77">
        <v>1.0908784352558614</v>
      </c>
      <c r="X31" s="77">
        <v>1.0963363881604449</v>
      </c>
      <c r="Z31" s="77">
        <v>1.1009356659009153</v>
      </c>
      <c r="AB31" s="77">
        <v>1.1045910899302431</v>
      </c>
      <c r="AD31" s="77">
        <v>1.1067240183449485</v>
      </c>
      <c r="AF31" s="77"/>
      <c r="AH31" s="77"/>
      <c r="AJ31" s="77"/>
      <c r="AL31" s="77"/>
      <c r="AN31" s="77"/>
      <c r="AP31" s="77"/>
      <c r="AR31" s="77"/>
      <c r="AT31" s="77"/>
      <c r="AV31" s="77"/>
    </row>
    <row r="32" spans="1:49" x14ac:dyDescent="0.2">
      <c r="A32" t="s">
        <v>64</v>
      </c>
      <c r="B32" s="83">
        <v>14734457.915000005</v>
      </c>
      <c r="D32" s="83">
        <v>14925569.274965994</v>
      </c>
      <c r="F32" s="83">
        <v>15115639.313838581</v>
      </c>
      <c r="H32" s="83">
        <v>15305010.160725519</v>
      </c>
      <c r="J32" s="83">
        <v>15494152.193028031</v>
      </c>
      <c r="L32" s="83">
        <v>15683769.351102216</v>
      </c>
      <c r="N32" s="83">
        <v>15874966.036045562</v>
      </c>
      <c r="P32" s="83">
        <v>16069535.446964225</v>
      </c>
      <c r="R32" s="83">
        <v>16270447.802273097</v>
      </c>
      <c r="T32" s="83">
        <v>16482717.354065377</v>
      </c>
      <c r="V32" s="83">
        <v>16714976.63681896</v>
      </c>
      <c r="X32" s="83">
        <v>16982395.618238565</v>
      </c>
      <c r="Z32" s="83">
        <v>17312032.619629644</v>
      </c>
      <c r="AB32" s="83">
        <v>17751547.175717101</v>
      </c>
      <c r="AD32" s="83">
        <v>18376928.066822957</v>
      </c>
      <c r="AF32" s="83"/>
      <c r="AH32" s="83"/>
      <c r="AJ32" s="83"/>
      <c r="AL32" s="83"/>
      <c r="AN32" s="83"/>
      <c r="AP32" s="83"/>
      <c r="AR32" s="83"/>
      <c r="AT32" s="83"/>
      <c r="AV32" s="83"/>
    </row>
    <row r="33" spans="1:49 16319:16384" x14ac:dyDescent="0.2">
      <c r="A33" t="s">
        <v>54</v>
      </c>
      <c r="B33" s="111">
        <v>7019665.6909999922</v>
      </c>
      <c r="D33" s="111">
        <v>7110713.3433888163</v>
      </c>
      <c r="F33" s="111">
        <v>7201264.900565804</v>
      </c>
      <c r="H33" s="111">
        <v>7291483.3545006067</v>
      </c>
      <c r="J33" s="111">
        <v>7381592.8137657288</v>
      </c>
      <c r="L33" s="111">
        <v>7471928.607485611</v>
      </c>
      <c r="N33" s="111">
        <v>7563016.9174946286</v>
      </c>
      <c r="P33" s="111">
        <v>7655712.0276689734</v>
      </c>
      <c r="R33" s="111">
        <v>7751428.9903829955</v>
      </c>
      <c r="T33" s="111">
        <v>7852556.6530109029</v>
      </c>
      <c r="V33" s="111">
        <v>7963207.6526498552</v>
      </c>
      <c r="X33" s="111">
        <v>8090609.1385192722</v>
      </c>
      <c r="Z33" s="111">
        <v>8247652.0088568833</v>
      </c>
      <c r="AB33" s="111">
        <v>8457041.8113592714</v>
      </c>
      <c r="AD33" s="111">
        <v>8754980.4844729416</v>
      </c>
      <c r="AF33" s="111"/>
      <c r="AH33" s="111"/>
      <c r="AJ33" s="111"/>
      <c r="AL33" s="111"/>
      <c r="AN33" s="111"/>
      <c r="AP33" s="111"/>
      <c r="AR33" s="111"/>
      <c r="AT33" s="111"/>
      <c r="AV33" s="111"/>
    </row>
    <row r="34" spans="1:49 16319:16384" x14ac:dyDescent="0.2">
      <c r="A34" t="s">
        <v>75</v>
      </c>
      <c r="B34" s="111">
        <v>1136879.4410000131</v>
      </c>
      <c r="D34" s="111">
        <v>1151625.1940423886</v>
      </c>
      <c r="F34" s="111">
        <v>1166290.5970443038</v>
      </c>
      <c r="H34" s="111">
        <v>1180902.0524427078</v>
      </c>
      <c r="J34" s="111">
        <v>1195495.830307791</v>
      </c>
      <c r="L34" s="111">
        <v>1210126.2933584284</v>
      </c>
      <c r="N34" s="111">
        <v>1224878.6193390526</v>
      </c>
      <c r="P34" s="111">
        <v>1239891.1824077955</v>
      </c>
      <c r="R34" s="111">
        <v>1255393.1530108864</v>
      </c>
      <c r="T34" s="111">
        <v>1271771.4202899989</v>
      </c>
      <c r="V34" s="111">
        <v>1289692.0540161007</v>
      </c>
      <c r="X34" s="111">
        <v>1310325.5350872758</v>
      </c>
      <c r="Z34" s="111">
        <v>1335759.6241869614</v>
      </c>
      <c r="AB34" s="111">
        <v>1369671.633884033</v>
      </c>
      <c r="AD34" s="111">
        <v>1417924.6899243281</v>
      </c>
      <c r="AF34" s="111"/>
      <c r="AH34" s="111"/>
      <c r="AJ34" s="111"/>
      <c r="AL34" s="111"/>
      <c r="AN34" s="111"/>
      <c r="AP34" s="111"/>
      <c r="AR34" s="111"/>
      <c r="AT34" s="111"/>
      <c r="AV34" s="111"/>
    </row>
    <row r="35" spans="1:49 16319:16384" x14ac:dyDescent="0.2">
      <c r="A35" t="s">
        <v>78</v>
      </c>
      <c r="B35" s="192">
        <v>1</v>
      </c>
      <c r="D35" s="192">
        <v>1.0016554640991888</v>
      </c>
      <c r="F35" s="192">
        <v>1.0036056173314214</v>
      </c>
      <c r="H35" s="192">
        <v>1.0059106269025733</v>
      </c>
      <c r="J35" s="192">
        <v>1.0086527964205172</v>
      </c>
      <c r="L35" s="192">
        <v>1.0119465992974466</v>
      </c>
      <c r="N35" s="192">
        <v>1.0159545474658136</v>
      </c>
      <c r="P35" s="192">
        <v>1.0209129376822681</v>
      </c>
      <c r="R35" s="192">
        <v>1.0271753651275841</v>
      </c>
      <c r="T35" s="192">
        <v>1.0352894862980124</v>
      </c>
      <c r="V35" s="192">
        <v>1.0461391950888366</v>
      </c>
      <c r="X35" s="192">
        <v>1.0612218721891387</v>
      </c>
      <c r="Z35" s="192">
        <v>1.0832145795922705</v>
      </c>
      <c r="AB35" s="192">
        <v>1.1171533158602569</v>
      </c>
      <c r="AD35" s="192">
        <v>1.172762683268564</v>
      </c>
      <c r="AF35" s="192"/>
      <c r="AH35" s="192"/>
      <c r="AJ35" s="192"/>
      <c r="AL35" s="192"/>
      <c r="AN35" s="192"/>
      <c r="AP35" s="192"/>
      <c r="AR35" s="192"/>
      <c r="AT35" s="192"/>
      <c r="AV35" s="192"/>
    </row>
    <row r="36" spans="1:49 16319:16384" x14ac:dyDescent="0.2">
      <c r="A36" t="s">
        <v>21</v>
      </c>
      <c r="B36" s="35">
        <v>0.47195767671988198</v>
      </c>
      <c r="C36" s="36">
        <v>0.31738834428178964</v>
      </c>
      <c r="D36" s="35">
        <v>0.47200652430646856</v>
      </c>
      <c r="E36" s="36">
        <v>0.32148044201548881</v>
      </c>
      <c r="F36" s="35">
        <v>0.4720577323468334</v>
      </c>
      <c r="G36" s="36">
        <v>0.32590534262181037</v>
      </c>
      <c r="H36" s="35">
        <v>0.47211164331006983</v>
      </c>
      <c r="I36" s="36">
        <v>0.33071610442730059</v>
      </c>
      <c r="J36" s="35">
        <v>0.47216860135530475</v>
      </c>
      <c r="K36" s="36">
        <v>0.33597883223970415</v>
      </c>
      <c r="L36" s="35">
        <v>0.47222892401175376</v>
      </c>
      <c r="M36" s="36">
        <v>0.34177765795956994</v>
      </c>
      <c r="N36" s="35">
        <v>0.47229285071974297</v>
      </c>
      <c r="O36" s="36">
        <v>0.34822235774888122</v>
      </c>
      <c r="P36" s="35">
        <v>0.47236044826975515</v>
      </c>
      <c r="Q36" s="36">
        <v>0.35546029537121598</v>
      </c>
      <c r="R36" s="35">
        <v>0.47243144111390967</v>
      </c>
      <c r="S36" s="36">
        <v>0.36369588059369506</v>
      </c>
      <c r="T36" s="35">
        <v>0.4725049008899655</v>
      </c>
      <c r="U36" s="36">
        <v>0.37322358902215014</v>
      </c>
      <c r="V36" s="35">
        <v>0.47257867534098474</v>
      </c>
      <c r="W36" s="36">
        <v>0.38448645841486256</v>
      </c>
      <c r="X36" s="35">
        <v>0.47264834128412636</v>
      </c>
      <c r="Y36" s="36">
        <v>0.39818436268688651</v>
      </c>
      <c r="Z36" s="35">
        <v>0.4727053813003862</v>
      </c>
      <c r="AA36" s="36">
        <v>0.41548118197255113</v>
      </c>
      <c r="AB36" s="35">
        <v>0.47273466100484368</v>
      </c>
      <c r="AC36" s="36">
        <v>0.43839914878333514</v>
      </c>
      <c r="AD36" s="35">
        <v>0.47271411330933005</v>
      </c>
      <c r="AE36" s="36">
        <v>0.4704914617723458</v>
      </c>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2.0501710207304197E-2</v>
      </c>
      <c r="E37" s="38">
        <v>0.34471429911844848</v>
      </c>
      <c r="F37" s="37">
        <v>1.9604127824482412E-2</v>
      </c>
      <c r="G37" s="38">
        <v>0.339768982165148</v>
      </c>
      <c r="H37" s="37">
        <v>1.8709081990440961E-2</v>
      </c>
      <c r="I37" s="38">
        <v>0.33478149348996733</v>
      </c>
      <c r="J37" s="37">
        <v>1.781493244592941E-2</v>
      </c>
      <c r="K37" s="38">
        <v>0.32974320816908703</v>
      </c>
      <c r="L37" s="37">
        <v>1.6919656645579675E-2</v>
      </c>
      <c r="M37" s="38">
        <v>0.32464333399715734</v>
      </c>
      <c r="N37" s="37">
        <v>1.6020663040095605E-2</v>
      </c>
      <c r="O37" s="38">
        <v>0.31946788846659319</v>
      </c>
      <c r="P37" s="37">
        <v>1.5114531879831408E-2</v>
      </c>
      <c r="Q37" s="38">
        <v>0.3141982892579564</v>
      </c>
      <c r="R37" s="37">
        <v>1.4196638732651911E-2</v>
      </c>
      <c r="S37" s="38">
        <v>0.30880933254303689</v>
      </c>
      <c r="T37" s="37">
        <v>1.3260599226106068E-2</v>
      </c>
      <c r="U37" s="38">
        <v>0.3032662824688408</v>
      </c>
      <c r="V37" s="37">
        <v>1.2297454920676536E-2</v>
      </c>
      <c r="W37" s="38">
        <v>0.29752076705573005</v>
      </c>
      <c r="X37" s="37">
        <v>1.129454049547857E-2</v>
      </c>
      <c r="Y37" s="38">
        <v>0.2915054851763213</v>
      </c>
      <c r="Z37" s="37">
        <v>1.0234249402107256E-2</v>
      </c>
      <c r="AA37" s="38">
        <v>0.28512974181111994</v>
      </c>
      <c r="AB37" s="37">
        <v>9.0942344005675978E-3</v>
      </c>
      <c r="AC37" s="38">
        <v>0.27828621403611198</v>
      </c>
      <c r="AD37" s="37">
        <v>7.8547865421003879E-3</v>
      </c>
      <c r="AE37" s="38">
        <v>0.27090456272958563</v>
      </c>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0.183246340203363</v>
      </c>
      <c r="E38" s="36">
        <v>6.1301775150821192E-2</v>
      </c>
      <c r="F38" s="35">
        <v>0.18590717302902007</v>
      </c>
      <c r="G38" s="36">
        <v>6.2106788157006709E-2</v>
      </c>
      <c r="H38" s="35">
        <v>0.18881357258399939</v>
      </c>
      <c r="I38" s="36">
        <v>6.2992679951523689E-2</v>
      </c>
      <c r="J38" s="35">
        <v>0.19201799939381034</v>
      </c>
      <c r="K38" s="36">
        <v>6.3975085749502253E-2</v>
      </c>
      <c r="L38" s="35">
        <v>0.19559107034906739</v>
      </c>
      <c r="M38" s="36">
        <v>6.5074580616020186E-2</v>
      </c>
      <c r="N38" s="35">
        <v>0.19963122580077627</v>
      </c>
      <c r="O38" s="36">
        <v>6.6318980547213802E-2</v>
      </c>
      <c r="P38" s="35">
        <v>0.20428140619441487</v>
      </c>
      <c r="Q38" s="36">
        <v>6.774734137518941E-2</v>
      </c>
      <c r="R38" s="35">
        <v>0.20975957188091279</v>
      </c>
      <c r="S38" s="36">
        <v>6.9416925945042479E-2</v>
      </c>
      <c r="T38" s="35">
        <v>0.21641845631401455</v>
      </c>
      <c r="U38" s="36">
        <v>7.1416263733076399E-2</v>
      </c>
      <c r="V38" s="35">
        <v>0.22487277868111016</v>
      </c>
      <c r="W38" s="36">
        <v>7.3891582618507853E-2</v>
      </c>
      <c r="X38" s="35">
        <v>0.23630118844069997</v>
      </c>
      <c r="Y38" s="36">
        <v>7.7105817868633048E-2</v>
      </c>
      <c r="Z38" s="35">
        <v>0.25327776418971243</v>
      </c>
      <c r="AA38" s="36">
        <v>8.1589264750605392E-2</v>
      </c>
      <c r="AB38" s="35">
        <v>0.2826420244697429</v>
      </c>
      <c r="AC38" s="36">
        <v>8.8610807928598767E-2</v>
      </c>
      <c r="AD38" s="35">
        <v>0.3506964815675635</v>
      </c>
      <c r="AE38" s="36">
        <v>0.10236458481981799</v>
      </c>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0.22809492820485211</v>
      </c>
      <c r="E39" s="38">
        <v>0.22087157047645359</v>
      </c>
      <c r="F39" s="37">
        <v>0.22559257133385435</v>
      </c>
      <c r="G39" s="38">
        <v>0.22094286659722112</v>
      </c>
      <c r="H39" s="37">
        <v>0.22313260354462808</v>
      </c>
      <c r="I39" s="38">
        <v>0.22114725700876253</v>
      </c>
      <c r="J39" s="37">
        <v>0.2207047871014429</v>
      </c>
      <c r="K39" s="38">
        <v>0.22149934169656016</v>
      </c>
      <c r="L39" s="37">
        <v>0.21829747934757726</v>
      </c>
      <c r="M39" s="38">
        <v>0.22201784508234368</v>
      </c>
      <c r="N39" s="37">
        <v>0.21589649533031419</v>
      </c>
      <c r="O39" s="38">
        <v>0.22272709170555277</v>
      </c>
      <c r="P39" s="37">
        <v>0.21348339286791157</v>
      </c>
      <c r="Q39" s="38">
        <v>0.22365907650733141</v>
      </c>
      <c r="R39" s="37">
        <v>0.21103270224185755</v>
      </c>
      <c r="S39" s="38">
        <v>0.22485678864149794</v>
      </c>
      <c r="T39" s="37">
        <v>0.20850732688067353</v>
      </c>
      <c r="U39" s="38">
        <v>0.22637959508208549</v>
      </c>
      <c r="V39" s="37">
        <v>0.20585076413929931</v>
      </c>
      <c r="W39" s="38">
        <v>0.22831234700520592</v>
      </c>
      <c r="X39" s="37">
        <v>0.20297394633083904</v>
      </c>
      <c r="Y39" s="38">
        <v>0.2307814995721372</v>
      </c>
      <c r="Z39" s="37">
        <v>0.19973436884847864</v>
      </c>
      <c r="AA39" s="38">
        <v>0.23398472993402566</v>
      </c>
      <c r="AB39" s="37">
        <v>0.19591174004432724</v>
      </c>
      <c r="AC39" s="38">
        <v>0.23824575435356848</v>
      </c>
      <c r="AD39" s="37">
        <v>0.1912204336202008</v>
      </c>
      <c r="AE39" s="38">
        <v>0.24410563075740443</v>
      </c>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3.5678509997193283E-2</v>
      </c>
      <c r="E42" s="126"/>
      <c r="F42" s="167">
        <f>6.1%+(1-6.1%)*(1-SUM(F26:G26)/SUM($B$26:$C$26))</f>
        <v>8.8519212267934438E-3</v>
      </c>
      <c r="G42" s="126"/>
      <c r="H42" s="167">
        <f>6.1%+(1-6.1%)*(1-SUM(H26:I26)/SUM($B$26:$C$26))</f>
        <v>-1.9779960210378214E-2</v>
      </c>
      <c r="I42" s="126"/>
      <c r="J42" s="167">
        <f>6.1%+(1-6.1%)*(1-SUM(J26:K26)/SUM($B$26:$C$26))</f>
        <v>-5.0605360401537208E-2</v>
      </c>
      <c r="K42" s="126"/>
      <c r="L42" s="167">
        <f>6.1%+(1-6.1%)*(1-SUM(L26:M26)/SUM($B$26:$C$26))</f>
        <v>-8.4142528868647287E-2</v>
      </c>
      <c r="M42" s="126"/>
      <c r="N42" s="167">
        <f>6.1%+(1-6.1%)*(1-SUM(N26:O26)/SUM($B$26:$C$26))</f>
        <v>-0.12110895235948343</v>
      </c>
      <c r="O42" s="126"/>
      <c r="P42" s="167">
        <f>6.1%+(1-6.1%)*(1-SUM(P26:Q26)/SUM($B$26:$C$26))</f>
        <v>-0.16254107865509662</v>
      </c>
      <c r="Q42" s="126"/>
      <c r="R42" s="167">
        <f>6.1%+(1-6.1%)*(1-SUM(R26:S26)/SUM($B$26:$C$26))</f>
        <v>-0.2100122267914627</v>
      </c>
      <c r="S42" s="126"/>
      <c r="T42" s="167">
        <f>6.1%+(1-6.1%)*(1-SUM(T26:U26)/SUM($B$26:$C$26))</f>
        <v>-0.26605755662193165</v>
      </c>
      <c r="U42" s="126"/>
      <c r="V42" s="167">
        <f>6.1%+(1-6.1%)*(1-SUM(V26:W26)/SUM($B$26:$C$26))</f>
        <v>-0.33507283221933837</v>
      </c>
      <c r="W42" s="126"/>
      <c r="X42" s="167">
        <f>6.1%+(1-6.1%)*(1-SUM(X26:Y26)/SUM($B$26:$C$26))</f>
        <v>-0.42542901378199055</v>
      </c>
      <c r="Y42" s="152"/>
      <c r="Z42" s="167">
        <f>6.1%+(1-6.1%)*(1-SUM(Z26:AA26)/SUM($B$26:$C$26))</f>
        <v>-0.55523016912265222</v>
      </c>
      <c r="AA42" s="126"/>
      <c r="AB42" s="167">
        <f>6.1%+(1-6.1%)*(1-SUM(AB26:AC26)/SUM($B$26:$C$26))</f>
        <v>-0.7719265554981849</v>
      </c>
      <c r="AC42" s="126"/>
      <c r="AD42" s="167">
        <f>6.1%+(1-6.1%)*(1-SUM(AD26:AE26)/SUM($B$26:$C$26))</f>
        <v>-1.2548695456689252</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0.5807654763870489</v>
      </c>
      <c r="E43" s="126"/>
      <c r="F43" s="152">
        <f t="array" ref="F43">SUM(F15:G15*F27:G27)/SUM(F15:G15*F27:G27,F13:G13*F26:G26)</f>
        <v>0.59466927290350347</v>
      </c>
      <c r="G43" s="126"/>
      <c r="H43" s="152">
        <f t="array" ref="H43">SUM(H15:I15*H27:I27)/SUM(H15:I15*H27:I27,H13:I13*H26:I26)</f>
        <v>0.60899283767244183</v>
      </c>
      <c r="I43" s="126"/>
      <c r="J43" s="152">
        <f t="array" ref="J43">SUM(J15:K15*J27:K27)/SUM(J15:K15*J27:K27,J13:K13*J26:K26)</f>
        <v>0.62383660499855997</v>
      </c>
      <c r="K43" s="126"/>
      <c r="L43" s="152">
        <f t="array" ref="L43">SUM(L15:M15*L27:M27)/SUM(L15:M15*L27:M27,L13:M13*L26:M26)</f>
        <v>0.63932975842617545</v>
      </c>
      <c r="M43" s="126"/>
      <c r="N43" s="152">
        <f t="array" ref="N43">SUM(N15:O15*N27:O27)/SUM(N15:O15*N27:O27,N13:O13*N26:O26)</f>
        <v>0.65564468693795408</v>
      </c>
      <c r="O43" s="126"/>
      <c r="P43" s="152">
        <f t="array" ref="P43">SUM(P15:Q15*P27:Q27)/SUM(P15:Q15*P27:Q27,P13:Q13*P26:Q26)</f>
        <v>0.67302035146171058</v>
      </c>
      <c r="Q43" s="126"/>
      <c r="R43" s="152">
        <f t="array" ref="R43">SUM(R15:S15*R27:S27)/SUM(R15:S15*R27:S27,R13:S13*R26:S26)</f>
        <v>0.69180117083706449</v>
      </c>
      <c r="S43" s="126"/>
      <c r="T43" s="152">
        <f t="array" ref="T43">SUM(T15:U15*T27:U27)/SUM(T15:U15*T27:U27,T13:U13*T26:U26)</f>
        <v>0.7125044426224304</v>
      </c>
      <c r="U43" s="126"/>
      <c r="V43" s="152">
        <f t="array" ref="V43">SUM(V15:W15*V27:W27)/SUM(V15:W15*V27:W27,V13:W13*V26:W26)</f>
        <v>0.73594144842526621</v>
      </c>
      <c r="W43" s="126"/>
      <c r="X43" s="152">
        <f t="array" ref="X43">SUM(X15:Y15*X27:Y27)/SUM(X15:Y15*X27:Y27,X13:Y13*X26:Y26)</f>
        <v>0.76344255676783412</v>
      </c>
      <c r="Y43" s="126"/>
      <c r="Z43" s="152">
        <f t="array" ref="Z43">SUM(Z15:AA15*Z27:AA27)/SUM(Z15:AA15*Z27:AA27,Z13:AA13*Z26:AA26)</f>
        <v>0.7972819497812863</v>
      </c>
      <c r="AA43" s="126"/>
      <c r="AB43" s="152">
        <f t="array" ref="AB43">SUM(AB15:AC15*AB27:AC27)/SUM(AB15:AC15*AB27:AC27,AB13:AC13*AB26:AC26)</f>
        <v>0.84144378765200278</v>
      </c>
      <c r="AC43" s="126"/>
      <c r="AD43" s="152">
        <f t="array" ref="AD43">SUM(AD15:AE15*AD27:AE27)/SUM(AD15:AE15*AD27:AE27,AD13:AE13*AD26:AE26)</f>
        <v>0.90272796209155914</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0.29754226190682442</v>
      </c>
      <c r="D44" s="183">
        <f>(SUM(D11:E11*D24:E24)+D34)/D32</f>
        <v>0.29754226215387281</v>
      </c>
      <c r="F44" s="183">
        <f>(SUM(F11:G11*F24:G24)+F34)/F32</f>
        <v>0.29754226225133562</v>
      </c>
      <c r="H44" s="183">
        <f>(SUM(H11:I11*H24:I24)+H34)/H32</f>
        <v>0.2975422623539819</v>
      </c>
      <c r="J44" s="183">
        <f>(SUM(J11:K11*J24:K24)+J34)/J32</f>
        <v>0.29754226147069929</v>
      </c>
      <c r="L44" s="183">
        <f>(SUM(L11:M11*L24:M24)+L34)/L32</f>
        <v>0.29754226194407407</v>
      </c>
      <c r="N44" s="183">
        <f>(SUM(N11:O11*N24:O24)+N34)/N32</f>
        <v>0.29754226168349618</v>
      </c>
      <c r="P44" s="183">
        <f>(SUM(P11:Q11*P24:Q24)+P34)/P32</f>
        <v>0.29754226176455967</v>
      </c>
      <c r="R44" s="183">
        <f>(SUM(R11:S11*R24:S24)+R34)/R32</f>
        <v>0.29754226180218213</v>
      </c>
      <c r="T44" s="183">
        <f>(SUM(T11:U11*T24:U24)+T34)/T32</f>
        <v>0.29754226180734666</v>
      </c>
      <c r="V44" s="183">
        <f>(SUM(V11:W11*V24:W24)+V34)/V32</f>
        <v>0.29754226189451843</v>
      </c>
      <c r="X44" s="183">
        <f>(SUM(X11:Y11*X24:Y24)+X34)/X32</f>
        <v>0.29754226196321809</v>
      </c>
      <c r="Z44" s="183">
        <f>(SUM(Z11:AA11*Z24:AA24)+Z34)/Z32</f>
        <v>0.29754226190455041</v>
      </c>
      <c r="AB44" s="183">
        <f>(SUM(AB11:AC11*AB24:AC24)+AB34)/AB32</f>
        <v>0.29754226197059785</v>
      </c>
      <c r="AD44" s="183">
        <f>(SUM(AD11:AE11*AD24:AE24)+AD34)/AD32</f>
        <v>0.29754226176478354</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0.22038438811727179</v>
      </c>
      <c r="F45" s="183">
        <f>SUM(F11:G11*F24:G24)/F32</f>
        <v>0.22038438802390894</v>
      </c>
      <c r="H45" s="183">
        <f>SUM(H11:I11*H24:I24)/H32</f>
        <v>0.22038438790362422</v>
      </c>
      <c r="J45" s="183">
        <f>SUM(J11:K11*J24:K24)/J32</f>
        <v>0.22038438826704423</v>
      </c>
      <c r="L45" s="183">
        <f>SUM(L11:M11*L24:M24)/L32</f>
        <v>0.22038438833167084</v>
      </c>
      <c r="N45" s="183">
        <f>SUM(N11:O11*N24:O24)/N32</f>
        <v>0.22038438830235921</v>
      </c>
      <c r="P45" s="183">
        <f>SUM(P11:Q11*P24:Q24)/P32</f>
        <v>0.22038438831514209</v>
      </c>
      <c r="R45" s="183">
        <f>SUM(R11:S11*R24:S24)/R32</f>
        <v>0.22038438832094337</v>
      </c>
      <c r="T45" s="183">
        <f>SUM(T11:U11*T24:U24)/T32</f>
        <v>0.22038438832258883</v>
      </c>
      <c r="V45" s="183">
        <f>SUM(V11:W11*V24:W24)/V32</f>
        <v>0.22038438832769408</v>
      </c>
      <c r="X45" s="183">
        <f>SUM(X11:Y11*X24:Y24)/X32</f>
        <v>0.22038438833082979</v>
      </c>
      <c r="Z45" s="183">
        <f>SUM(Z11:AA11*Z24:AA24)/Z32</f>
        <v>0.2203843883298218</v>
      </c>
      <c r="AB45" s="183">
        <f>SUM(AB11:AC11*AB24:AC24)/AB32</f>
        <v>0.22038438833141161</v>
      </c>
      <c r="AD45" s="183">
        <f>SUM(AD11:AE11*AD24:AE24)/AD32</f>
        <v>0.22038438832867874</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7.7157873574883587E-2</v>
      </c>
      <c r="D46" s="183">
        <f>D34/D32</f>
        <v>7.7157874036601015E-2</v>
      </c>
      <c r="F46" s="183">
        <f>F34/F32</f>
        <v>7.7157874227426704E-2</v>
      </c>
      <c r="H46" s="183">
        <f>H34/H32</f>
        <v>7.7157874450357655E-2</v>
      </c>
      <c r="J46" s="183">
        <f>J34/J32</f>
        <v>7.7157873203655081E-2</v>
      </c>
      <c r="L46" s="183">
        <f>L34/L32</f>
        <v>7.7157873612403241E-2</v>
      </c>
      <c r="N46" s="183">
        <f>N34/N32</f>
        <v>7.7157873381136916E-2</v>
      </c>
      <c r="P46" s="183">
        <f>P34/P32</f>
        <v>7.7157873449417574E-2</v>
      </c>
      <c r="R46" s="183">
        <f>R34/R32</f>
        <v>7.7157873481238731E-2</v>
      </c>
      <c r="T46" s="183">
        <f>T34/T32</f>
        <v>7.7157873484757847E-2</v>
      </c>
      <c r="V46" s="183">
        <f>V34/V32</f>
        <v>7.7157873566824381E-2</v>
      </c>
      <c r="X46" s="183">
        <f>X34/X32</f>
        <v>7.7157873632388296E-2</v>
      </c>
      <c r="Z46" s="183">
        <f>Z34/Z32</f>
        <v>7.7157873574728586E-2</v>
      </c>
      <c r="AB46" s="183">
        <f>AB34/AB32</f>
        <v>7.715787363918622E-2</v>
      </c>
      <c r="AD46" s="183">
        <f>AD34/AD32</f>
        <v>7.7157873436104821E-2</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1.0161310520795177</v>
      </c>
      <c r="E48" s="181"/>
      <c r="F48" s="181">
        <f>F24/$B$24</f>
        <v>1.0323690302053272</v>
      </c>
      <c r="G48" s="181"/>
      <c r="H48" s="181">
        <f>H24/$B$24</f>
        <v>1.04875750638062</v>
      </c>
      <c r="I48" s="181"/>
      <c r="J48" s="181">
        <f>J24/$B$24</f>
        <v>1.0653488054910747</v>
      </c>
      <c r="K48" s="181"/>
      <c r="L48" s="181">
        <f>L24/$B$24</f>
        <v>1.0822096342594556</v>
      </c>
      <c r="M48" s="181"/>
      <c r="N48" s="181">
        <f>N24/$B$24</f>
        <v>1.0994297506245658</v>
      </c>
      <c r="O48" s="181"/>
      <c r="P48" s="181">
        <f>P24/$B$24</f>
        <v>1.1171369141303404</v>
      </c>
      <c r="Q48" s="181"/>
      <c r="R48" s="181">
        <f>R24/$B$24</f>
        <v>1.1355218591523928</v>
      </c>
      <c r="S48" s="181"/>
      <c r="T48" s="181">
        <f>T24/$B$24</f>
        <v>1.1548824661099735</v>
      </c>
      <c r="U48" s="181"/>
      <c r="V48" s="181">
        <f>V24/$B$24</f>
        <v>1.1757034846360617</v>
      </c>
      <c r="W48" s="181"/>
      <c r="X48" s="181">
        <f>X24/$B$24</f>
        <v>1.1988035272595181</v>
      </c>
      <c r="Y48" s="181"/>
      <c r="Z48" s="181">
        <f>Z24/$B$24</f>
        <v>1.2256029871314877</v>
      </c>
      <c r="AA48" s="181"/>
      <c r="AB48" s="181">
        <f>AB24/$B$24</f>
        <v>1.2585589129709425</v>
      </c>
      <c r="AC48" s="181"/>
      <c r="AD48" s="181">
        <f>AD24/$B$24</f>
        <v>1.3015616198692332</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0.95387715535291517</v>
      </c>
      <c r="E49" s="181"/>
      <c r="F49" s="181">
        <f>F13/F35/$B$13*$B$35</f>
        <v>0.90694120446957216</v>
      </c>
      <c r="G49" s="181"/>
      <c r="H49" s="181">
        <f>H13/H35/$B$13*$B$35</f>
        <v>0.85900793433287659</v>
      </c>
      <c r="I49" s="181"/>
      <c r="J49" s="181">
        <f>J13/J35/$B$13*$B$35</f>
        <v>0.80985590928441342</v>
      </c>
      <c r="K49" s="181"/>
      <c r="L49" s="181">
        <f>L13/L35/$B$13*$B$35</f>
        <v>0.75920926228468366</v>
      </c>
      <c r="M49" s="181"/>
      <c r="N49" s="181">
        <f>N13/N35/$B$13*$B$35</f>
        <v>0.70671158305309068</v>
      </c>
      <c r="O49" s="181"/>
      <c r="P49" s="181">
        <f>P13/P35/$B$13*$B$35</f>
        <v>0.65188613662593931</v>
      </c>
      <c r="Q49" s="181"/>
      <c r="R49" s="181">
        <f>R13/R35/$B$13*$B$35</f>
        <v>0.59407441966896468</v>
      </c>
      <c r="S49" s="181"/>
      <c r="T49" s="181">
        <f>T13/T35/$B$13*$B$35</f>
        <v>0.53234038197757427</v>
      </c>
      <c r="U49" s="181"/>
      <c r="V49" s="181">
        <f>V13/V35/$B$13*$B$35</f>
        <v>0.4653249016078902</v>
      </c>
      <c r="W49" s="181"/>
      <c r="X49" s="181">
        <f>X13/X35/$B$13*$B$35</f>
        <v>0.39104658797153635</v>
      </c>
      <c r="Y49" s="181"/>
      <c r="Z49" s="181">
        <f>Z13/Z35/$B$13*$B$35</f>
        <v>0.30674396633617562</v>
      </c>
      <c r="AA49" s="181"/>
      <c r="AB49" s="181">
        <f>AB13/AB35/$B$13*$B$35</f>
        <v>0.2093657772306306</v>
      </c>
      <c r="AC49" s="181"/>
      <c r="AD49" s="181">
        <f>AD13/AD35/$B$13*$B$35</f>
        <v>9.9534602514455714E-2</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-411102.19786011521</v>
      </c>
      <c r="F51" s="27">
        <f>F30-F10*F23</f>
        <v>-416337.38541184971</v>
      </c>
      <c r="H51" s="27">
        <f>H30-H10*H23</f>
        <v>-421553.31317681726</v>
      </c>
      <c r="J51" s="27">
        <f>J30-J10*J23</f>
        <v>-426762.91946545523</v>
      </c>
      <c r="L51" s="27">
        <f>L30-L10*L23</f>
        <v>-431985.67783163302</v>
      </c>
      <c r="N51" s="27">
        <f>N30-N10*N23</f>
        <v>-437251.87402721122</v>
      </c>
      <c r="P51" s="27">
        <f>P30-P10*P23</f>
        <v>-442611.00139932474</v>
      </c>
      <c r="R51" s="27">
        <f>R30-R10*R23</f>
        <v>-448144.83149943408</v>
      </c>
      <c r="T51" s="27">
        <f>T30-T10*T23</f>
        <v>-453991.47483170126</v>
      </c>
      <c r="V51" s="27">
        <f>V30-V10*V23</f>
        <v>-460388.71732863272</v>
      </c>
      <c r="X51" s="27">
        <f>X30-X10*X23</f>
        <v>-467754.36381840007</v>
      </c>
      <c r="Z51" s="27">
        <f>Z30-Z10*Z23</f>
        <v>-476833.72303637443</v>
      </c>
      <c r="AB51" s="27">
        <f>AB30-AB10*AB23</f>
        <v>-488939.4999990589</v>
      </c>
      <c r="AD51" s="27">
        <f>AD30-AD10*AD23</f>
        <v>-506164.62047269754</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2034163.5637991528</v>
      </c>
      <c r="F52" s="27">
        <f t="array" ref="F52">Calibration!sL*SUM(F13:G13*F26:G26)</f>
        <v>1991746.0918859339</v>
      </c>
      <c r="H52" s="27">
        <f t="array" ref="H52">Calibration!sL*SUM(H13:I13*H26:I26)</f>
        <v>1945432.9095503408</v>
      </c>
      <c r="J52" s="27">
        <f t="array" ref="J52">Calibration!sL*SUM(J13:K13*J26:K26)</f>
        <v>1894707.9531039654</v>
      </c>
      <c r="L52" s="27">
        <f t="array" ref="L52">Calibration!sL*SUM(L13:M13*L26:M26)</f>
        <v>1838902.4345398212</v>
      </c>
      <c r="N52" s="27">
        <f t="array" ref="N52">Calibration!sL*SUM(N13:O13*N26:O26)</f>
        <v>1777123.1405285951</v>
      </c>
      <c r="P52" s="27">
        <f t="array" ref="P52">Calibration!sL*SUM(P13:Q13*P26:Q26)</f>
        <v>1708134.1436314771</v>
      </c>
      <c r="R52" s="27">
        <f t="array" ref="R52">Calibration!sL*SUM(R13:S13*R26:S26)</f>
        <v>1630153.1956434366</v>
      </c>
      <c r="T52" s="27">
        <f t="array" ref="T52">Calibration!sL*SUM(T13:U13*T26:U26)</f>
        <v>1540486.4357325505</v>
      </c>
      <c r="V52" s="27">
        <f t="array" ref="V52">Calibration!sL*SUM(V13:W13*V26:W26)</f>
        <v>1434841.5347979127</v>
      </c>
      <c r="X52" s="27">
        <f t="array" ref="X52">Calibration!sL*SUM(X13:Y13*X26:Y26)</f>
        <v>1305970.9030226113</v>
      </c>
      <c r="Z52" s="27">
        <f t="array" ref="Z52">Calibration!sL*SUM(Z13:AA13*Z26:AA26)</f>
        <v>1140875.9138113032</v>
      </c>
      <c r="AB52" s="27">
        <f t="array" ref="AB52">Calibration!sL*SUM(AB13:AC13*AB26:AC26)</f>
        <v>914992.22315649339</v>
      </c>
      <c r="AD52" s="27">
        <f t="array" ref="AD52">Calibration!sL*SUM(AD13:AE13*AD26:AE26)</f>
        <v>581110.68286812352</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2817926.2552090478</v>
      </c>
      <c r="F53" s="27">
        <f t="array" ref="F53">Calibration!sK*SUM(F15:G15*F27:G27)</f>
        <v>2922132.7698361916</v>
      </c>
      <c r="H53" s="27">
        <f t="array" ref="H53">Calibration!sK*SUM(H15:I15*H27:I27)</f>
        <v>3030007.6884420677</v>
      </c>
      <c r="J53" s="27">
        <f t="array" ref="J53">Calibration!sK*SUM(J15:K15*J27:K27)</f>
        <v>3142220.0900851185</v>
      </c>
      <c r="L53" s="27">
        <f t="array" ref="L53">Calibration!sK*SUM(L15:M15*L27:M27)</f>
        <v>3259667.4572138418</v>
      </c>
      <c r="N53" s="27">
        <f t="array" ref="N53">Calibration!sK*SUM(N15:O15*N27:O27)</f>
        <v>3383602.0555667337</v>
      </c>
      <c r="P53" s="27">
        <f t="array" ref="P53">Calibration!sK*SUM(P15:Q15*P27:Q27)</f>
        <v>3515842.7958123675</v>
      </c>
      <c r="R53" s="27">
        <f t="array" ref="R53">Calibration!sK*SUM(R15:S15*R27:S27)</f>
        <v>3659137.4874876924</v>
      </c>
      <c r="T53" s="27">
        <f t="array" ref="T53">Calibration!sK*SUM(T15:U15*T27:U27)</f>
        <v>3817810.0533830044</v>
      </c>
      <c r="V53" s="27">
        <f t="array" ref="V53">Calibration!sK*SUM(V15:W15*V27:W27)</f>
        <v>3998959.1364589883</v>
      </c>
      <c r="X53" s="27">
        <f t="array" ref="X53">Calibration!sK*SUM(X15:Y15*X27:Y27)</f>
        <v>4214763.8714942299</v>
      </c>
      <c r="Z53" s="27">
        <f t="array" ref="Z53">Calibration!sK*SUM(Z15:AA15*Z27:AA27)</f>
        <v>4487019.148223904</v>
      </c>
      <c r="AB53" s="27">
        <f t="array" ref="AB53">Calibration!sK*SUM(AB15:AC15*AB27:AC27)</f>
        <v>4855782.7569387658</v>
      </c>
      <c r="AD53" s="27">
        <f t="array" ref="AD53">Calibration!sK*SUM(AD15:AE15*AD27:AE27)</f>
        <v>5392966.7124785753</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0.19850271926838062</v>
      </c>
      <c r="F55" s="183">
        <f>F30/F32</f>
        <v>0.19850271951773635</v>
      </c>
      <c r="H55" s="183">
        <f>H30/H32</f>
        <v>0.1985027198656317</v>
      </c>
      <c r="J55" s="183">
        <f>J30/J32</f>
        <v>0.19850272143938574</v>
      </c>
      <c r="L55" s="183">
        <f>L30/L32</f>
        <v>0.19850271880146481</v>
      </c>
      <c r="N55" s="183">
        <f>N30/N32</f>
        <v>0.19850272050062334</v>
      </c>
      <c r="P55" s="183">
        <f>P30/P32</f>
        <v>0.19850272000881247</v>
      </c>
      <c r="R55" s="183">
        <f>R30/R32</f>
        <v>0.19850271977866343</v>
      </c>
      <c r="T55" s="183">
        <f>T30/T32</f>
        <v>0.19850271976883521</v>
      </c>
      <c r="V55" s="183">
        <f>V30/V32</f>
        <v>0.19850271902257188</v>
      </c>
      <c r="X55" s="183">
        <f>X30/X32</f>
        <v>0.19850271927922478</v>
      </c>
      <c r="Z55" s="183">
        <f>Z30/Z32</f>
        <v>0.19850271885635695</v>
      </c>
      <c r="AB55" s="183">
        <f>AB30/AB32</f>
        <v>0.19850271806382871</v>
      </c>
      <c r="AD55" s="183">
        <f>AD30/AD32</f>
        <v>0.19850272076603587</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3.4286359358742191E-2</v>
      </c>
      <c r="F56" s="183">
        <f>(Model!$C$52*F5*F20+F2*G5*G20)/F32</f>
        <v>3.9476366899201761E-2</v>
      </c>
      <c r="H56" s="183">
        <f>(Model!$C$52*H5*H20+H2*I5*I20)/H32</f>
        <v>4.4821304259297104E-2</v>
      </c>
      <c r="J56" s="183">
        <f>(Model!$C$52*J5*J20+J2*K5*K20)/J32</f>
        <v>5.0358433265718684E-2</v>
      </c>
      <c r="L56" s="183">
        <f>(Model!$C$52*L5*L20+L2*M5*M20)/L32</f>
        <v>5.6135595009475708E-2</v>
      </c>
      <c r="N56" s="183">
        <f>(Model!$C$52*N5*N20+N2*O5*O20)/N32</f>
        <v>6.2216518578200777E-2</v>
      </c>
      <c r="P56" s="183">
        <f>(Model!$C$52*P5*P20+P2*Q5*Q20)/P32</f>
        <v>6.8689365558134777E-2</v>
      </c>
      <c r="R56" s="183">
        <f>(Model!$C$52*R5*R20+R2*S5*S20)/R32</f>
        <v>7.5681005189448397E-2</v>
      </c>
      <c r="T56" s="183">
        <f>(Model!$C$52*T5*T20+T2*U5*U20)/T32</f>
        <v>8.3381698938495646E-2</v>
      </c>
      <c r="V56" s="183">
        <f>(Model!$C$52*V5*V20+V2*W5*W20)/V32</f>
        <v>9.2089453673762603E-2</v>
      </c>
      <c r="X56" s="183">
        <f>(Model!$C$52*X5*X20+X2*Y5*Y20)/X32</f>
        <v>0.1022924447523557</v>
      </c>
      <c r="Z56" s="183">
        <f>(Model!$C$52*Z5*Z20+Z2*AA5*AA20)/Z32</f>
        <v>0.11482450098478852</v>
      </c>
      <c r="AB56" s="183">
        <f>(Model!$C$52*AB5*AB20+AB2*AC5*AC20)/AB32</f>
        <v>0.13114560671395073</v>
      </c>
      <c r="AD56" s="183">
        <f>(Model!$C$52*AD5*AD20+AD2*AE5*AE20)/AD32</f>
        <v>0.15374694305854619</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0.15356015628650133</v>
      </c>
      <c r="F57" s="183">
        <f t="array" ref="F57">SUM(Model!tauL*F13:G13*F26:G26)/F32</f>
        <v>0.14846737582824276</v>
      </c>
      <c r="H57" s="183">
        <f t="array" ref="H57">SUM(Model!tauL*H13:I13*H26:I26)/H32</f>
        <v>0.1432208395042765</v>
      </c>
      <c r="J57" s="183">
        <f t="array" ref="J57">SUM(Model!tauL*J13:K13*J26:K26)/J32</f>
        <v>0.13778376237415768</v>
      </c>
      <c r="L57" s="183">
        <f t="array" ref="L57">SUM(Model!tauL*L13:M13*L26:M26)/L32</f>
        <v>0.13210882198521551</v>
      </c>
      <c r="N57" s="183">
        <f t="array" ref="N57">SUM(Model!tauL*N13:O13*N26:O26)/N32</f>
        <v>0.12613287539276824</v>
      </c>
      <c r="P57" s="183">
        <f t="array" ref="P57">SUM(Model!tauL*P13:Q13*P26:Q26)/P32</f>
        <v>0.11976839534230596</v>
      </c>
      <c r="R57" s="183">
        <f t="array" ref="R57">SUM(Model!tauL*R13:S13*R26:S26)/R32</f>
        <v>0.11288922531989455</v>
      </c>
      <c r="T57" s="183">
        <f t="array" ref="T57">SUM(Model!tauL*T13:U13*T26:U26)/T32</f>
        <v>0.10530588595697064</v>
      </c>
      <c r="V57" s="183">
        <f t="array" ref="V57">SUM(Model!tauL*V13:W13*V26:W26)/V32</f>
        <v>9.6721215346267569E-2</v>
      </c>
      <c r="X57" s="183">
        <f t="array" ref="X57">SUM(Model!tauL*X13:Y13*X26:Y26)/X32</f>
        <v>8.6647916865742455E-2</v>
      </c>
      <c r="Y57" s="183"/>
      <c r="Z57" s="183">
        <f t="array" ref="Z57">SUM(Model!tauL*Z13:AA13*Z26:AA26)/Z32</f>
        <v>7.4252986976996893E-2</v>
      </c>
      <c r="AB57" s="183">
        <f t="array" ref="AB57">SUM(Model!tauL*AB13:AC13*AB26:AC26)/AB32</f>
        <v>5.8077079757626486E-2</v>
      </c>
      <c r="AD57" s="183">
        <f t="array" ref="AD57">SUM(Model!tauL*AD13:AE13*AD26:AE26)/AD32</f>
        <v>3.5629483203349667E-2</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1.0656203623137132E-2</v>
      </c>
      <c r="F58" s="183">
        <f t="array" ref="F58">SUM(Model!tauY/(1+Model!tauY)*F3:G3*F18:G18)/F32</f>
        <v>1.0558976790291816E-2</v>
      </c>
      <c r="H58" s="183">
        <f t="array" ref="H58">SUM(Model!tauY/(1+Model!tauY)*H3:I3*H18:I18)/H32</f>
        <v>1.0460576102058068E-2</v>
      </c>
      <c r="J58" s="183">
        <f t="array" ref="J58">SUM(Model!tauY/(1+Model!tauY)*J3:K3*J18:K18)/J32</f>
        <v>1.036052579950935E-2</v>
      </c>
      <c r="L58" s="183">
        <f t="array" ref="L58">SUM(Model!tauY/(1+Model!tauY)*L3:M3*L18:M18)/L32</f>
        <v>1.0258301806773618E-2</v>
      </c>
      <c r="N58" s="183">
        <f t="array" ref="N58">SUM(Model!tauY/(1+Model!tauY)*N3:O3*N18:O18)/N32</f>
        <v>1.0153326529654267E-2</v>
      </c>
      <c r="P58" s="183">
        <f t="array" ref="P58">SUM(Model!tauY/(1+Model!tauY)*P3:Q3*P18:Q18)/P32</f>
        <v>1.0044959108371757E-2</v>
      </c>
      <c r="R58" s="183">
        <f t="array" ref="R58">SUM(Model!tauY/(1+Model!tauY)*R3:S3*R18:S18)/R32</f>
        <v>9.9324892693204939E-3</v>
      </c>
      <c r="T58" s="183">
        <f t="array" ref="T58">SUM(Model!tauY/(1+Model!tauY)*T3:U3*T18:U18)/T32</f>
        <v>9.8151348733689532E-3</v>
      </c>
      <c r="V58" s="183">
        <f t="array" ref="V58">SUM(Model!tauY/(1+Model!tauY)*V3:W3*V18:W18)/V32</f>
        <v>9.6920500025417262E-3</v>
      </c>
      <c r="X58" s="183">
        <f t="array" ref="X58">SUM(Model!tauY/(1+Model!tauY)*X3:Y3*X18:Y18)/X32</f>
        <v>9.5623576611266036E-3</v>
      </c>
      <c r="Y58" s="183"/>
      <c r="Z58" s="183">
        <f t="array" ref="Z58">SUM(Model!tauY/(1+Model!tauY)*Z3:AA3*Z18:AA18)/Z32</f>
        <v>9.4252308945715294E-3</v>
      </c>
      <c r="AB58" s="183">
        <f t="array" ref="AB58">SUM(Model!tauY/(1+Model!tauY)*AB3:AC3*AB18:AC18)/AB32</f>
        <v>9.2800315922515163E-3</v>
      </c>
      <c r="AD58" s="183">
        <f t="array" ref="AD58">SUM(Model!tauY/(1+Model!tauY)*AD3:AE3*AD18:AE18)/AD32</f>
        <v>9.1262945041400076E-3</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5.6849814865919512E-3</v>
      </c>
      <c r="F59" s="183">
        <f>(F2*G5*G20)/F32</f>
        <v>1.094322025568766E-2</v>
      </c>
      <c r="H59" s="183">
        <f>(H2*I5*I20)/H32</f>
        <v>1.6356789662935307E-2</v>
      </c>
      <c r="J59" s="183">
        <f>(J2*K5*K20)/J32</f>
        <v>2.1963257487771608E-2</v>
      </c>
      <c r="L59" s="183">
        <f>(L2*M5*M20)/L32</f>
        <v>2.7810851339808908E-2</v>
      </c>
      <c r="N59" s="183">
        <f>(N2*O5*O20)/N32</f>
        <v>3.3963813453514131E-2</v>
      </c>
      <c r="P59" s="183">
        <f>(P2*Q5*Q20)/P32</f>
        <v>4.0511023307015608E-2</v>
      </c>
      <c r="R59" s="183">
        <f>(R2*S5*S20)/R32</f>
        <v>4.758040345325714E-2</v>
      </c>
      <c r="T59" s="183">
        <f>(T2*U5*U20)/T32</f>
        <v>5.536383290126505E-2</v>
      </c>
      <c r="V59" s="183">
        <f>(V2*W5*W20)/V32</f>
        <v>6.4161914504109491E-2</v>
      </c>
      <c r="X59" s="183">
        <f>(X2*Y5*Y20)/X32</f>
        <v>7.4467168920444526E-2</v>
      </c>
      <c r="Z59" s="183">
        <f>(Z2*AA5*AA20)/Z32</f>
        <v>8.7120958722703395E-2</v>
      </c>
      <c r="AB59" s="183">
        <f>(AB2*AC5*AC20)/AB32</f>
        <v>0.10359647873242739</v>
      </c>
      <c r="AD59" s="183">
        <f>(AD2*AE5*AE20)/AD32</f>
        <v>0.12640681376777499</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2.8601377872150242E-2</v>
      </c>
      <c r="F60" s="183">
        <f>Model!$C$52*F5*F20/F32</f>
        <v>2.8533146643514095E-2</v>
      </c>
      <c r="H60" s="183">
        <f>Model!$C$52*H5*H20/H32</f>
        <v>2.84645145963618E-2</v>
      </c>
      <c r="J60" s="183">
        <f>Model!$C$52*J5*J20/J32</f>
        <v>2.839517577794708E-2</v>
      </c>
      <c r="L60" s="183">
        <f>Model!$C$52*L5*L20/L32</f>
        <v>2.8324743669666804E-2</v>
      </c>
      <c r="N60" s="183">
        <f>Model!$C$52*N5*N20/N32</f>
        <v>2.8252705124686646E-2</v>
      </c>
      <c r="P60" s="183">
        <f>Model!$C$52*P5*P20/P32</f>
        <v>2.8178342251119176E-2</v>
      </c>
      <c r="R60" s="183">
        <f>Model!$C$52*R5*R20/R32</f>
        <v>2.8100601736191253E-2</v>
      </c>
      <c r="T60" s="183">
        <f>Model!$C$52*T5*T20/T32</f>
        <v>2.8017866037230599E-2</v>
      </c>
      <c r="V60" s="183">
        <f>Model!$C$52*V5*V20/V32</f>
        <v>2.7927539169653105E-2</v>
      </c>
      <c r="X60" s="183">
        <f>Model!$C$52*X5*X20/X32</f>
        <v>2.7825275831911193E-2</v>
      </c>
      <c r="Z60" s="183">
        <f>Model!$C$52*Z5*Z20/Z32</f>
        <v>2.7703542262085126E-2</v>
      </c>
      <c r="AB60" s="183">
        <f>Model!$C$52*AB5*AB20/AB32</f>
        <v>2.7549127981523324E-2</v>
      </c>
      <c r="AD60" s="183">
        <f>Model!$C$52*AD5*AD20/AD32</f>
        <v>2.7340129290771203E-2</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0.92119148991107658</v>
      </c>
      <c r="F62">
        <f>F13/F15</f>
        <v>0.84627400775993145</v>
      </c>
      <c r="H62">
        <f>H13/H15</f>
        <v>0.77478565868914084</v>
      </c>
      <c r="J62">
        <f>J13/J15</f>
        <v>0.70628758709299111</v>
      </c>
      <c r="L62">
        <f>L13/L15</f>
        <v>0.64034573774771353</v>
      </c>
      <c r="N62">
        <f>N13/N15</f>
        <v>0.57650878841680042</v>
      </c>
      <c r="P62">
        <f>P13/P15</f>
        <v>0.51428011114686456</v>
      </c>
      <c r="R62">
        <f>R13/R15</f>
        <v>0.45308057647281275</v>
      </c>
      <c r="T62">
        <f>T13/T15</f>
        <v>0.39219822428538276</v>
      </c>
      <c r="V62">
        <f>V13/V15</f>
        <v>0.33072538212306934</v>
      </c>
      <c r="X62">
        <f>X13/X15</f>
        <v>0.26750393185145138</v>
      </c>
      <c r="Z62">
        <f>Z13/Z15</f>
        <v>0.20118765473085426</v>
      </c>
      <c r="AB62">
        <f>AB13/AB15</f>
        <v>0.13086633803155423</v>
      </c>
      <c r="AD62">
        <f>AD13/AD15</f>
        <v>5.8806483213398396E-2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0.99717190443459613</v>
      </c>
      <c r="E65" s="181"/>
      <c r="F65" s="181">
        <f t="array" ref="F65">SQRT((F9:G9*$B$22:$C$22+F10:G10*$B$23:$C$23+F11:G11*$B$24:$C$24+F4:G4*($B$25:$C$25-$B$19:$C$19))/($B$9:$C$9*$B$22:$C$22+$B$10:$C$10*$B$23:$C$23+$B$11:$C$11*$B$24:$C$24+$B$4:$C$4*($B$25:$C$25-$B$19:$C$19))*(F9:G9*F22:G22+F10:G10*F23:G23+F11:G11*F24:G24+F4:G4*(F25:G25-F19:G19))/($B$9:$C$9*F22:G22+$B$10:$C$10*F23:G23+$B$11:$C$11*F24:G24+$B$4:$C$4*(F25:G25-F19:G19)))</f>
        <v>0.99428082392619155</v>
      </c>
      <c r="G65" s="181"/>
      <c r="H65" s="181">
        <f t="array" ref="H65">SQRT((H9:I9*$B$22:$C$22+H10:I10*$B$23:$C$23+H11:I11*$B$24:$C$24+H4:I4*($B$25:$C$25-$B$19:$C$19))/($B$9:$C$9*$B$22:$C$22+$B$10:$C$10*$B$23:$C$23+$B$11:$C$11*$B$24:$C$24+$B$4:$C$4*($B$25:$C$25-$B$19:$C$19))*(H9:I9*H22:I22+H10:I10*H23:I23+H11:I11*H24:I24+H4:I4*(H25:I25-H19:I19))/($B$9:$C$9*H22:I22+$B$10:$C$10*H23:I23+$B$11:$C$11*H24:I24+$B$4:$C$4*(H25:I25-H19:I19)))</f>
        <v>0.99131387273768212</v>
      </c>
      <c r="I65" s="181"/>
      <c r="J65" s="181">
        <f t="array" ref="J65">SQRT((J9:K9*$B$22:$C$22+J10:K10*$B$23:$C$23+J11:K11*$B$24:$C$24+J4:K4*($B$25:$C$25-$B$19:$C$19))/($B$9:$C$9*$B$22:$C$22+$B$10:$C$10*$B$23:$C$23+$B$11:$C$11*$B$24:$C$24+$B$4:$C$4*($B$25:$C$25-$B$19:$C$19))*(J9:K9*J22:K22+J10:K10*J23:K23+J11:K11*J24:K24+J4:K4*(J25:K25-J19:K19))/($B$9:$C$9*J22:K22+$B$10:$C$10*J23:K23+$B$11:$C$11*J24:K24+$B$4:$C$4*(J25:K25-J19:K19)))</f>
        <v>0.98825967587359509</v>
      </c>
      <c r="K65" s="181"/>
      <c r="L65" s="181">
        <f t="array" ref="L65">SQRT((L9:M9*$B$22:$C$22+L10:M10*$B$23:$C$23+L11:M11*$B$24:$C$24+L4:M4*($B$25:$C$25-$B$19:$C$19))/($B$9:$C$9*$B$22:$C$22+$B$10:$C$10*$B$23:$C$23+$B$11:$C$11*$B$24:$C$24+$B$4:$C$4*($B$25:$C$25-$B$19:$C$19))*(L9:M9*L22:M22+L10:M10*L23:M23+L11:M11*L24:M24+L4:M4*(L25:M25-L19:M19))/($B$9:$C$9*L22:M22+$B$10:$C$10*L23:M23+$B$11:$C$11*L24:M24+$B$4:$C$4*(L25:M25-L19:M19)))</f>
        <v>0.9851097724109682</v>
      </c>
      <c r="M65" s="181"/>
      <c r="N65" s="181">
        <f t="array" ref="N65">SQRT((N9:O9*$B$22:$C$22+N10:O10*$B$23:$C$23+N11:O11*$B$24:$C$24+N4:O4*($B$25:$C$25-$B$19:$C$19))/($B$9:$C$9*$B$22:$C$22+$B$10:$C$10*$B$23:$C$23+$B$11:$C$11*$B$24:$C$24+$B$4:$C$4*($B$25:$C$25-$B$19:$C$19))*(N9:O9*N22:O22+N10:O10*N23:O23+N11:O11*N24:O24+N4:O4*(N25:O25-N19:O19))/($B$9:$C$9*N22:O22+$B$10:$C$10*N23:O23+$B$11:$C$11*N24:O24+$B$4:$C$4*(N25:O25-N19:O19)))</f>
        <v>0.98186098833047453</v>
      </c>
      <c r="O65" s="181"/>
      <c r="P65" s="181">
        <f t="array" ref="P65">SQRT((P9:Q9*$B$22:$C$22+P10:Q10*$B$23:$C$23+P11:Q11*$B$24:$C$24+P4:Q4*($B$25:$C$25-$B$19:$C$19))/($B$9:$C$9*$B$22:$C$22+$B$10:$C$10*$B$23:$C$23+$B$11:$C$11*$B$24:$C$24+$B$4:$C$4*($B$25:$C$25-$B$19:$C$19))*(P9:Q9*P22:Q22+P10:Q10*P23:Q23+P11:Q11*P24:Q24+P4:Q4*(P25:Q25-P19:Q19))/($B$9:$C$9*P22:Q22+$B$10:$C$10*P23:Q23+$B$11:$C$11*P24:Q24+$B$4:$C$4*(P25:Q25-P19:Q19)))</f>
        <v>0.9785194125871608</v>
      </c>
      <c r="Q65" s="181"/>
      <c r="R65" s="181">
        <f t="array" ref="R65">SQRT((R9:S9*$B$22:$C$22+R10:S10*$B$23:$C$23+R11:S11*$B$24:$C$24+R4:S4*($B$25:$C$25-$B$19:$C$19))/($B$9:$C$9*$B$22:$C$22+$B$10:$C$10*$B$23:$C$23+$B$11:$C$11*$B$24:$C$24+$B$4:$C$4*($B$25:$C$25-$B$19:$C$19))*(R9:S9*R22:S22+R10:S10*R23:S23+R11:S11*R24:S24+R4:S4*(R25:S25-R19:S19))/($B$9:$C$9*R22:S22+$B$10:$C$10*R23:S23+$B$11:$C$11*R24:S24+$B$4:$C$4*(R25:S25-R19:S19)))</f>
        <v>0.97510723046322056</v>
      </c>
      <c r="S65" s="181"/>
      <c r="T65" s="181">
        <f t="array" ref="T65">SQRT((T9:U9*$B$22:$C$22+T10:U10*$B$23:$C$23+T11:U11*$B$24:$C$24+T4:U4*($B$25:$C$25-$B$19:$C$19))/($B$9:$C$9*$B$22:$C$22+$B$10:$C$10*$B$23:$C$23+$B$11:$C$11*$B$24:$C$24+$B$4:$C$4*($B$25:$C$25-$B$19:$C$19))*(T9:U9*T22:U22+T10:U10*T23:U23+T11:U11*T24:U24+T4:U4*(T25:U25-T19:U19))/($B$9:$C$9*T22:U22+$B$10:$C$10*T23:U23+$B$11:$C$11*T24:U24+$B$4:$C$4*(T25:U25-T19:U19)))</f>
        <v>0.97167469776916571</v>
      </c>
      <c r="U65" s="181"/>
      <c r="V65" s="181">
        <f t="array" ref="V65">SQRT((V9:W9*$B$22:$C$22+V10:W10*$B$23:$C$23+V11:W11*$B$24:$C$24+V4:W4*($B$25:$C$25-$B$19:$C$19))/($B$9:$C$9*$B$22:$C$22+$B$10:$C$10*$B$23:$C$23+$B$11:$C$11*$B$24:$C$24+$B$4:$C$4*($B$25:$C$25-$B$19:$C$19))*(V9:W9*V22:W22+V10:W10*V23:W23+V11:W11*V24:W24+V4:W4*(V25:W25-V19:W19))/($B$9:$C$9*V22:W22+$B$10:$C$10*V23:W23+$B$11:$C$11*V24:W24+$B$4:$C$4*(V25:W25-V19:W19)))</f>
        <v>0.96832165708344153</v>
      </c>
      <c r="W65" s="181"/>
      <c r="X65" s="181">
        <f t="array" ref="X65">SQRT((X9:Y9*$B$22:$C$22+X10:Y10*$B$23:$C$23+X11:Y11*$B$24:$C$24+X4:Y4*($B$25:$C$25-$B$19:$C$19))/($B$9:$C$9*$B$22:$C$22+$B$10:$C$10*$B$23:$C$23+$B$11:$C$11*$B$24:$C$24+$B$4:$C$4*($B$25:$C$25-$B$19:$C$19))*(X9:Y9*X22:Y22+X10:Y10*X23:Y23+X11:Y11*X24:Y24+X4:Y4*(X25:Y25-X19:Y19))/($B$9:$C$9*X22:Y22+$B$10:$C$10*X23:Y23+$B$11:$C$11*X24:Y24+$B$4:$C$4*(X25:Y25-X19:Y19)))</f>
        <v>0.96523667580218353</v>
      </c>
      <c r="Y65" s="181"/>
      <c r="Z65" s="181">
        <f t="array" ref="Z65">SQRT((Z9:AA9*$B$22:$C$22+Z10:AA10*$B$23:$C$23+Z11:AA11*$B$24:$C$24+Z4:AA4*($B$25:$C$25-$B$19:$C$19))/($B$9:$C$9*$B$22:$C$22+$B$10:$C$10*$B$23:$C$23+$B$11:$C$11*$B$24:$C$24+$B$4:$C$4*($B$25:$C$25-$B$19:$C$19))*(Z9:AA9*Z22:AA22+Z10:AA10*Z23:AA23+Z11:AA11*Z24:AA24+Z4:AA4*(Z25:AA25-Z19:AA19))/($B$9:$C$9*Z22:AA22+$B$10:$C$10*Z23:AA23+$B$11:$C$11*Z24:AA24+$B$4:$C$4*(Z25:AA25-Z19:AA19)))</f>
        <v>0.96276608125381635</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0.96151528184036972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0.96238739245108051</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0.99688949195844967</v>
      </c>
      <c r="E66" s="181"/>
      <c r="F66" s="181">
        <f t="array" ref="F66">SQRT((F9:G9*$B$22:$C$22)/($B$9:$C$9*$B$22:$C$22)*(F9:G9*F22:G22)/($B$9:$C$9*F22:G22))</f>
        <v>0.99370480376490478</v>
      </c>
      <c r="G66" s="181"/>
      <c r="H66" s="181">
        <f t="array" ref="H66">SQRT((H9:I9*$B$22:$C$22)/($B$9:$C$9*$B$22:$C$22)*(H9:I9*H22:I22)/($B$9:$C$9*H22:I22))</f>
        <v>0.99043134525442122</v>
      </c>
      <c r="I66" s="181"/>
      <c r="J66" s="181">
        <f t="array" ref="J66">SQRT((J9:K9*$B$22:$C$22)/($B$9:$C$9*$B$22:$C$22)*(J9:K9*J22:K22)/($B$9:$C$9*J22:K22))</f>
        <v>0.98705608798262023</v>
      </c>
      <c r="K66" s="181"/>
      <c r="L66" s="181">
        <f t="array" ref="L66">SQRT((L9:M9*$B$22:$C$22)/($B$9:$C$9*$B$22:$C$22)*(L9:M9*L22:M22)/($B$9:$C$9*L22:M22))</f>
        <v>0.98356912697565557</v>
      </c>
      <c r="M66" s="181"/>
      <c r="N66" s="181">
        <f t="array" ref="N66">SQRT((N9:O9*$B$22:$C$22)/($B$9:$C$9*$B$22:$C$22)*(N9:O9*N22:O22)/($B$9:$C$9*N22:O22))</f>
        <v>0.97996633665893729</v>
      </c>
      <c r="O66" s="181"/>
      <c r="P66" s="181">
        <f t="array" ref="P66">SQRT((P9:Q9*$B$22:$C$22)/($B$9:$C$9*$B$22:$C$22)*(P9:Q9*P22:Q22)/($B$9:$C$9*P22:Q22))</f>
        <v>0.97625384327063858</v>
      </c>
      <c r="Q66" s="181"/>
      <c r="R66" s="181">
        <f t="array" ref="R66">SQRT((R9:S9*$B$22:$C$22)/($B$9:$C$9*$B$22:$C$22)*(R9:S9*R22:S22)/($B$9:$C$9*R22:S22))</f>
        <v>0.97245574043377547</v>
      </c>
      <c r="S66" s="181"/>
      <c r="T66" s="181">
        <f t="array" ref="T66">SQRT((T9:U9*$B$22:$C$22)/($B$9:$C$9*$B$22:$C$22)*(T9:U9*T22:U22)/($B$9:$C$9*T22:U22))</f>
        <v>0.96862764755286568</v>
      </c>
      <c r="U66" s="181"/>
      <c r="V66" s="181">
        <f t="array" ref="V66">SQRT((V9:W9*$B$22:$C$22)/($B$9:$C$9*$B$22:$C$22)*(V9:W9*V22:W22)/($B$9:$C$9*V22:W22))</f>
        <v>0.96488111393275255</v>
      </c>
      <c r="W66" s="181"/>
      <c r="X66" s="181">
        <f t="array" ref="X66">SQRT((X9:Y9*$B$22:$C$22)/($B$9:$C$9*$B$22:$C$22)*(X9:Y9*X22:Y22)/($B$9:$C$9*X22:Y22))</f>
        <v>0.96142802886662238</v>
      </c>
      <c r="Y66" s="181"/>
      <c r="Z66" s="181">
        <f t="array" ref="Z66">SQRT((Z9:AA9*$B$22:$C$22)/($B$9:$C$9*$B$22:$C$22)*(Z9:AA9*Z22:AA22)/($B$9:$C$9*Z22:AA22))</f>
        <v>0.9586588553152825</v>
      </c>
      <c r="AA66" s="181"/>
      <c r="AB66" s="181">
        <f t="array" ref="AB66">SQRT((AB9:AC9*$B$22:$C$22)/($B$9:$C$9*$B$22:$C$22)*(AB9:AC9*AB22:AC22)/($B$9:$C$9*AB22:AC22))</f>
        <v>0.95725688499452177</v>
      </c>
      <c r="AC66" s="181"/>
      <c r="AD66" s="181">
        <f t="array" ref="AD66">SQRT((AD9:AE9*$B$22:$C$22)/($B$9:$C$9*$B$22:$C$22)*(AD9:AE9*AD22:AE22)/($B$9:$C$9*AD22:AE22))</f>
        <v>0.95823938929000507</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0.99688949195844967</v>
      </c>
      <c r="E68" s="181"/>
      <c r="F68" s="181">
        <f>F66/F67</f>
        <v>0.99370480376490478</v>
      </c>
      <c r="G68" s="181"/>
      <c r="H68" s="181">
        <f>H66/H67</f>
        <v>0.99043134525442122</v>
      </c>
      <c r="I68" s="181"/>
      <c r="J68" s="181">
        <f>J66/J67</f>
        <v>0.98705608798262023</v>
      </c>
      <c r="K68" s="181"/>
      <c r="L68" s="181">
        <f>L66/L67</f>
        <v>0.98356912697565557</v>
      </c>
      <c r="M68" s="181"/>
      <c r="N68" s="181">
        <f>N66/N67</f>
        <v>0.97996633665893729</v>
      </c>
      <c r="O68" s="181"/>
      <c r="P68" s="181">
        <f>P66/P67</f>
        <v>0.97625384327063858</v>
      </c>
      <c r="Q68" s="181"/>
      <c r="R68" s="181">
        <f>R66/R67</f>
        <v>0.97245574043377547</v>
      </c>
      <c r="S68" s="181"/>
      <c r="T68" s="181">
        <f>T66/T67</f>
        <v>0.96862764755286568</v>
      </c>
      <c r="U68" s="181"/>
      <c r="V68" s="181">
        <f>V66/V67</f>
        <v>0.96488111393275255</v>
      </c>
      <c r="W68" s="181"/>
      <c r="X68" s="181">
        <f>X66/X67</f>
        <v>0.96142802886662238</v>
      </c>
      <c r="Y68" s="181"/>
      <c r="Z68" s="181">
        <f>Z66/Z67</f>
        <v>0.9586588553152825</v>
      </c>
      <c r="AA68" s="181"/>
      <c r="AB68" s="181">
        <f>AB66/AB67</f>
        <v>0.95725688499452177</v>
      </c>
      <c r="AC68" s="181"/>
      <c r="AD68" s="181">
        <f>AD66/AD67</f>
        <v>0.95823938929000507</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1.0158432711076204</v>
      </c>
      <c r="E69" s="181"/>
      <c r="F69" s="181">
        <f>F32/F65/($B$32)</f>
        <v>1.0317709457133857</v>
      </c>
      <c r="G69" s="181"/>
      <c r="H69" s="181">
        <f>H32/H65/($B$32)</f>
        <v>1.0478238411416312</v>
      </c>
      <c r="I69" s="181"/>
      <c r="J69" s="181">
        <f>J32/J65/($B$32)</f>
        <v>1.0640513321208618</v>
      </c>
      <c r="K69" s="181"/>
      <c r="L69" s="181">
        <f>L32/L65/($B$32)</f>
        <v>1.0805171311715118</v>
      </c>
      <c r="M69" s="181"/>
      <c r="N69" s="181">
        <f>N32/N65/($B$32)</f>
        <v>1.0973082321052452</v>
      </c>
      <c r="O69" s="181"/>
      <c r="P69" s="181">
        <f>P32/P65/($B$32)</f>
        <v>1.1145504033270597</v>
      </c>
      <c r="Q69" s="181"/>
      <c r="R69" s="181">
        <f>R32/R65/($B$32)</f>
        <v>1.1324341732665788</v>
      </c>
      <c r="S69" s="181"/>
      <c r="T69" s="181">
        <f>T32/T65/($B$32)</f>
        <v>1.1512608993152726</v>
      </c>
      <c r="U69" s="181"/>
      <c r="V69" s="181">
        <f>V32/V65/($B$32)</f>
        <v>1.1715260932497844</v>
      </c>
      <c r="W69" s="181"/>
      <c r="X69" s="181">
        <f>X32/X65/($B$32)</f>
        <v>1.194073268361272</v>
      </c>
      <c r="Y69" s="181"/>
      <c r="Z69" s="181">
        <f>Z32/Z65/($B$32)</f>
        <v>1.2203744809908907</v>
      </c>
      <c r="AA69" s="181"/>
      <c r="AB69" s="181">
        <f>AB32/AB65/($B$32)</f>
        <v>1.2529849575657219</v>
      </c>
      <c r="AC69" s="181"/>
      <c r="AD69" s="181">
        <f>AD32/AD65/($B$32)</f>
        <v>1.2959517358064956</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1.0145919819080336</v>
      </c>
      <c r="E70" s="129"/>
      <c r="F70" s="129">
        <f>F18/$B$18</f>
        <v>1.0292577036607946</v>
      </c>
      <c r="G70" s="129"/>
      <c r="H70" s="129">
        <f>H18/$B$18</f>
        <v>1.0440358505386944</v>
      </c>
      <c r="I70" s="129"/>
      <c r="J70" s="129">
        <f>J18/$B$18</f>
        <v>1.0589709469440554</v>
      </c>
      <c r="K70" s="129"/>
      <c r="L70" s="129">
        <f>L18/$B$18</f>
        <v>1.0741170479520905</v>
      </c>
      <c r="M70" s="129"/>
      <c r="N70" s="129">
        <f>N18/$B$18</f>
        <v>1.0895432584259086</v>
      </c>
      <c r="O70" s="129"/>
      <c r="P70" s="129">
        <f>P18/$B$18</f>
        <v>1.1053432472199998</v>
      </c>
      <c r="Q70" s="129"/>
      <c r="R70" s="129">
        <f>R18/$B$18</f>
        <v>1.1216507858874496</v>
      </c>
      <c r="S70" s="129"/>
      <c r="T70" s="129">
        <f>T18/$B$18</f>
        <v>1.1386669518144927</v>
      </c>
      <c r="U70" s="129"/>
      <c r="V70" s="129">
        <f>V18/$B$18</f>
        <v>1.1567083081119585</v>
      </c>
      <c r="W70" s="129"/>
      <c r="X70" s="129">
        <f>X18/$B$18</f>
        <v>1.1762934765725941</v>
      </c>
      <c r="Y70" s="129"/>
      <c r="Z70" s="129">
        <f>Z18/$B$18</f>
        <v>1.1982942508418228</v>
      </c>
      <c r="AA70" s="129"/>
      <c r="AB70" s="129">
        <f>AB18/$B$18</f>
        <v>1.2241582120238756</v>
      </c>
      <c r="AC70" s="129"/>
      <c r="AD70" s="129">
        <f>AD18/$B$18</f>
        <v>1.2560207557899092</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0.92129274329627076</v>
      </c>
      <c r="E71" s="129"/>
      <c r="F71" s="129">
        <f>G18/$C$18</f>
        <v>0.84253789773191612</v>
      </c>
      <c r="G71" s="129"/>
      <c r="H71" s="129">
        <f>I18/$C$18</f>
        <v>0.76378781354145164</v>
      </c>
      <c r="I71" s="129"/>
      <c r="J71" s="129">
        <f>K18/$C$18</f>
        <v>0.68513496872695723</v>
      </c>
      <c r="K71" s="129"/>
      <c r="L71" s="129">
        <f>M18/$C$18</f>
        <v>0.60672754996528422</v>
      </c>
      <c r="M71" s="129"/>
      <c r="N71" s="129">
        <f>O18/$C$18</f>
        <v>0.52879459439425436</v>
      </c>
      <c r="O71" s="129"/>
      <c r="P71" s="129">
        <f>Q18/$C$18</f>
        <v>0.45167961232208048</v>
      </c>
      <c r="Q71" s="129"/>
      <c r="R71" s="129">
        <f>S18/$C$18</f>
        <v>0.37589175615636761</v>
      </c>
      <c r="S71" s="129"/>
      <c r="T71" s="129">
        <f>U18/$C$18</f>
        <v>0.30218259565755529</v>
      </c>
      <c r="U71" s="129"/>
      <c r="V71" s="129">
        <f>W18/$C$18</f>
        <v>0.23166272091010356</v>
      </c>
      <c r="W71" s="129"/>
      <c r="X71" s="129">
        <f>Y18/$C$18</f>
        <v>0.16597512513561208</v>
      </c>
      <c r="Y71" s="129"/>
      <c r="Z71" s="129">
        <f>AA18/$C$18</f>
        <v>0.10752228482422857</v>
      </c>
      <c r="AA71" s="129"/>
      <c r="AB71" s="129">
        <f>AC18/$C$18</f>
        <v>5.9612581386170427E-2</v>
      </c>
      <c r="AC71" s="129"/>
      <c r="AD71" s="129">
        <f>AE18/$C$18</f>
        <v>2.5898459342526648E-2</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1.0669477771944034</v>
      </c>
      <c r="E72" s="129"/>
      <c r="F72" s="129">
        <f>G19/$C$19</f>
        <v>1.1406884759977078</v>
      </c>
      <c r="G72" s="129"/>
      <c r="H72" s="129">
        <f>I19/$C$19</f>
        <v>1.221943977686206</v>
      </c>
      <c r="I72" s="129"/>
      <c r="J72" s="129">
        <f>K19/$C$19</f>
        <v>1.3114389350727307</v>
      </c>
      <c r="K72" s="129"/>
      <c r="L72" s="129">
        <f>M19/$C$19</f>
        <v>1.409846562454147</v>
      </c>
      <c r="M72" s="129"/>
      <c r="N72" s="129">
        <f>O19/$C$19</f>
        <v>1.5176944460250636</v>
      </c>
      <c r="O72" s="129"/>
      <c r="P72" s="129">
        <f>Q19/$C$19</f>
        <v>1.6351974654955281</v>
      </c>
      <c r="Q72" s="129"/>
      <c r="R72" s="129">
        <f>S19/$C$19</f>
        <v>1.7619615588406647</v>
      </c>
      <c r="S72" s="129"/>
      <c r="T72" s="129">
        <f>U19/$C$19</f>
        <v>1.8964466491191259</v>
      </c>
      <c r="U72" s="129"/>
      <c r="V72" s="129">
        <f>W19/$C$19</f>
        <v>2.0349679911047636</v>
      </c>
      <c r="W72" s="129"/>
      <c r="X72" s="129">
        <f>Y19/$C$19</f>
        <v>2.1698038204175298</v>
      </c>
      <c r="Y72" s="129"/>
      <c r="Z72" s="129">
        <f>AA19/$C$19</f>
        <v>2.2856529372657075</v>
      </c>
      <c r="AA72" s="129"/>
      <c r="AB72" s="129">
        <f>AC19/$C$19</f>
        <v>2.3537660094358541</v>
      </c>
      <c r="AC72" s="129"/>
      <c r="AD72" s="129">
        <f>AE19/$C$19</f>
        <v>2.3268633045692315</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0.47641153352875104</v>
      </c>
      <c r="D73" s="183">
        <f t="array" ref="D73">SUM(D9:E9*D22:E22)/D32</f>
        <v>0.47641153328170271</v>
      </c>
      <c r="E73" s="129"/>
      <c r="F73" s="183">
        <f t="array" ref="F73">SUM(F9:G9*F22:G22)/F32</f>
        <v>0.47641153318423957</v>
      </c>
      <c r="G73" s="129"/>
      <c r="H73" s="183">
        <f t="array" ref="H73">SUM(H9:I9*H22:I22)/H32</f>
        <v>0.47641153308159334</v>
      </c>
      <c r="I73" s="129"/>
      <c r="J73" s="183">
        <f t="array" ref="J73">SUM(J9:K9*J22:K22)/J32</f>
        <v>0.47641153396487579</v>
      </c>
      <c r="K73" s="129"/>
      <c r="L73" s="183">
        <f t="array" ref="L73">SUM(L9:M9*L22:M22)/L32</f>
        <v>0.47641153349150117</v>
      </c>
      <c r="M73" s="129"/>
      <c r="N73" s="183">
        <f t="array" ref="N73">SUM(N9:O9*N22:O22)/N32</f>
        <v>0.47641153375207906</v>
      </c>
      <c r="O73" s="129"/>
      <c r="P73" s="183">
        <f t="array" ref="P73">SUM(P9:Q9*P22:Q22)/P32</f>
        <v>0.47641153367101546</v>
      </c>
      <c r="Q73" s="129"/>
      <c r="R73" s="183">
        <f t="array" ref="R73">SUM(R9:S9*R22:S22)/R32</f>
        <v>0.47641153363339311</v>
      </c>
      <c r="S73" s="129"/>
      <c r="T73" s="183">
        <f t="array" ref="T73">SUM(T9:U9*T22:U22)/T32</f>
        <v>0.47641153362822869</v>
      </c>
      <c r="U73" s="129"/>
      <c r="V73" s="183">
        <f t="array" ref="V73">SUM(V9:W9*V22:W22)/V32</f>
        <v>0.4764115335410567</v>
      </c>
      <c r="W73" s="129"/>
      <c r="X73" s="183">
        <f t="array" ref="X73">SUM(X9:Y9*X22:Y22)/X32</f>
        <v>0.47641153347235726</v>
      </c>
      <c r="Y73" s="129"/>
      <c r="Z73" s="183">
        <f t="array" ref="Z73">SUM(Z9:AA9*Z22:AA22)/Z32</f>
        <v>0.47641153353102494</v>
      </c>
      <c r="AA73" s="129"/>
      <c r="AB73" s="183">
        <f t="array" ref="AB73">SUM(AB9:AC9*AB22:AC22)/AB32</f>
        <v>0.47641153346497722</v>
      </c>
      <c r="AC73" s="129"/>
      <c r="AD73" s="183">
        <f t="array" ref="AD73">SUM(AD9:AE9*AD22:AE22)/AD32</f>
        <v>0.47641153367079164</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0.22604620456442481</v>
      </c>
      <c r="AC74" s="129"/>
      <c r="AD74" s="183">
        <f t="array" ref="AD74">SUM(AD10:AE10*AD23:AE23)/AD32</f>
        <v>0.22604620456442484</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0.22038438811727179</v>
      </c>
      <c r="E75" s="129"/>
      <c r="F75" s="183">
        <f t="array" ref="F75">SUM(F11:G11*F24:G24)/F32</f>
        <v>0.22038438802390894</v>
      </c>
      <c r="G75" s="129"/>
      <c r="H75" s="183">
        <f t="array" ref="H75">SUM(H11:I11*H24:I24)/H32</f>
        <v>0.22038438790362422</v>
      </c>
      <c r="I75" s="129"/>
      <c r="J75" s="183">
        <f t="array" ref="J75">SUM(J11:K11*J24:K24)/J32</f>
        <v>0.22038438826704423</v>
      </c>
      <c r="K75" s="129"/>
      <c r="L75" s="183">
        <f t="array" ref="L75">SUM(L11:M11*L24:M24)/L32</f>
        <v>0.22038438833167084</v>
      </c>
      <c r="M75" s="129"/>
      <c r="N75" s="183">
        <f t="array" ref="N75">SUM(N11:O11*N24:O24)/N32</f>
        <v>0.22038438830235921</v>
      </c>
      <c r="O75" s="129"/>
      <c r="P75" s="183">
        <f t="array" ref="P75">SUM(P11:Q11*P24:Q24)/P32</f>
        <v>0.22038438831514209</v>
      </c>
      <c r="Q75" s="129"/>
      <c r="R75" s="183">
        <f t="array" ref="R75">SUM(R11:S11*R24:S24)/R32</f>
        <v>0.22038438832094337</v>
      </c>
      <c r="S75" s="129"/>
      <c r="T75" s="183">
        <f t="array" ref="T75">SUM(T11:U11*T24:U24)/T32</f>
        <v>0.22038438832258883</v>
      </c>
      <c r="U75" s="129"/>
      <c r="V75" s="183">
        <f t="array" ref="V75">SUM(V11:W11*V24:W24)/V32</f>
        <v>0.22038438832769408</v>
      </c>
      <c r="W75" s="129"/>
      <c r="X75" s="183">
        <f t="array" ref="X75">SUM(X11:Y11*X24:Y24)/X32</f>
        <v>0.22038438833082979</v>
      </c>
      <c r="Y75" s="129"/>
      <c r="Z75" s="183">
        <f t="array" ref="Z75">SUM(Z11:AA11*Z24:AA24)/Z32</f>
        <v>0.2203843883298218</v>
      </c>
      <c r="AA75" s="129"/>
      <c r="AB75" s="183">
        <f t="array" ref="AB75">SUM(AB11:AC11*AB24:AC24)/AB32</f>
        <v>0.22038438833141161</v>
      </c>
      <c r="AC75" s="129"/>
      <c r="AD75" s="183">
        <f t="array" ref="AD75">SUM(AD11:AE11*AD24:AE24)/AD32</f>
        <v>0.22038438832867874</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0.22301874374724831</v>
      </c>
      <c r="D76" s="183">
        <f t="array" ref="D76">SUM(D12:E12*D25:E25)/D32</f>
        <v>0.22326777109663751</v>
      </c>
      <c r="E76" s="129"/>
      <c r="F76" s="183">
        <f t="array" ref="F76">SUM(F12:G12*F25:G25)/F32</f>
        <v>0.22360401989608017</v>
      </c>
      <c r="G76" s="129"/>
      <c r="H76" s="183">
        <f t="array" ref="H76">SUM(H12:I12*H25:I25)/H32</f>
        <v>0.224033161152081</v>
      </c>
      <c r="I76" s="129"/>
      <c r="J76" s="183">
        <f t="array" ref="J76">SUM(J12:K12*J25:K25)/J32</f>
        <v>0.22456024941124234</v>
      </c>
      <c r="K76" s="129"/>
      <c r="L76" s="183">
        <f t="array" ref="L76">SUM(L12:M12*L25:M25)/L32</f>
        <v>0.225188688137169</v>
      </c>
      <c r="M76" s="129"/>
      <c r="N76" s="183">
        <f t="array" ref="N76">SUM(N12:O12*N25:O25)/N32</f>
        <v>0.22591849218179724</v>
      </c>
      <c r="O76" s="129"/>
      <c r="P76" s="183">
        <f t="array" ref="P76">SUM(P12:Q12*P25:Q25)/P32</f>
        <v>0.22674326751387303</v>
      </c>
      <c r="Q76" s="129"/>
      <c r="R76" s="183">
        <f t="array" ref="R76">SUM(R12:S12*R25:S25)/R32</f>
        <v>0.22764493687473888</v>
      </c>
      <c r="S76" s="129"/>
      <c r="T76" s="183">
        <f t="array" ref="T76">SUM(T12:U12*T25:U25)/T32</f>
        <v>0.22858432681133484</v>
      </c>
      <c r="U76" s="129"/>
      <c r="V76" s="183">
        <f t="array" ref="V76">SUM(V12:W12*V25:W25)/V32</f>
        <v>0.22948403321256625</v>
      </c>
      <c r="W76" s="129"/>
      <c r="X76" s="183">
        <f t="array" ref="X76">SUM(X12:Y12*X25:Y25)/X32</f>
        <v>0.23019700992303901</v>
      </c>
      <c r="Y76" s="129"/>
      <c r="Z76" s="183">
        <f t="array" ref="Z76">SUM(Z12:AA12*Z25:AA25)/Z32</f>
        <v>0.23045099733394392</v>
      </c>
      <c r="AA76" s="129"/>
      <c r="AB76" s="183">
        <f t="array" ref="AB76">SUM(AB12:AC12*AB25:AC25)/AB32</f>
        <v>0.22976677880346991</v>
      </c>
      <c r="AC76" s="129"/>
      <c r="AD76" s="183">
        <f t="array" ref="AD76">SUM(AD12:AE12*AD25:AE25)/AD32</f>
        <v>0.2274228417569514</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0.14586087017236474</v>
      </c>
      <c r="D77" s="183">
        <f t="array" ref="D77">SUM(D4:E4*D19:E19)/D32</f>
        <v>0.14610989706003646</v>
      </c>
      <c r="E77" s="129"/>
      <c r="F77" s="183">
        <f t="array" ref="F77">SUM(F4:G4*F19:G19)/F32</f>
        <v>0.14644614566865344</v>
      </c>
      <c r="G77" s="129"/>
      <c r="H77" s="183">
        <f t="array" ref="H77">SUM(H4:I4*H19:I19)/H32</f>
        <v>0.14687528670172331</v>
      </c>
      <c r="I77" s="129"/>
      <c r="J77" s="183">
        <f t="array" ref="J77">SUM(J4:K4*J19:K19)/J32</f>
        <v>0.14740237620758725</v>
      </c>
      <c r="K77" s="129"/>
      <c r="L77" s="183">
        <f t="array" ref="L77">SUM(L4:M4*L19:M19)/L32</f>
        <v>0.14803081452476577</v>
      </c>
      <c r="M77" s="129"/>
      <c r="N77" s="183">
        <f t="array" ref="N77">SUM(N4:O4*N19:O19)/N32</f>
        <v>0.14876061880066033</v>
      </c>
      <c r="O77" s="129"/>
      <c r="P77" s="183">
        <f t="array" ref="P77">SUM(P4:Q4*P19:Q19)/P32</f>
        <v>0.14958539406445545</v>
      </c>
      <c r="Q77" s="129"/>
      <c r="R77" s="183">
        <f t="array" ref="R77">SUM(R4:S4*R19:S19)/R32</f>
        <v>0.15048706339350018</v>
      </c>
      <c r="S77" s="129"/>
      <c r="T77" s="183">
        <f t="array" ref="T77">SUM(T4:U4*T19:U19)/T32</f>
        <v>0.151426453326577</v>
      </c>
      <c r="U77" s="129"/>
      <c r="V77" s="183">
        <f t="array" ref="V77">SUM(V4:W4*V19:W19)/V32</f>
        <v>0.15232615964574187</v>
      </c>
      <c r="W77" s="129"/>
      <c r="X77" s="183">
        <f t="array" ref="X77">SUM(X4:Y4*X19:Y19)/X32</f>
        <v>0.15303913629065072</v>
      </c>
      <c r="Y77" s="129"/>
      <c r="Z77" s="183">
        <f t="array" ref="Z77">SUM(Z4:AA4*Z19:AA19)/Z32</f>
        <v>0.15329312375921531</v>
      </c>
      <c r="AA77" s="129"/>
      <c r="AB77" s="183">
        <f t="array" ref="AB77">SUM(AB4:AC4*AB19:AC19)/AB32</f>
        <v>0.15260890516428371</v>
      </c>
      <c r="AC77" s="129"/>
      <c r="AD77" s="183">
        <f t="array" ref="AD77">SUM(AD4:AE4*AD19:AE19)/AD32</f>
        <v>0.1502649683208466</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0.33601532907024323</v>
      </c>
      <c r="E78" s="129"/>
      <c r="F78" s="183">
        <f t="array" ref="F78">SUM(F13:G13*F26:G26)/F32</f>
        <v>0.32487147285814411</v>
      </c>
      <c r="G78" s="129"/>
      <c r="H78" s="183">
        <f t="array" ref="H78">SUM(H13:I13*H26:I26)/H32</f>
        <v>0.31339117307199776</v>
      </c>
      <c r="I78" s="129"/>
      <c r="J78" s="183">
        <f t="array" ref="J78">SUM(J13:K13*J26:K26)/J32</f>
        <v>0.3014939381040378</v>
      </c>
      <c r="K78" s="129"/>
      <c r="L78" s="183">
        <f t="array" ref="L78">SUM(L13:M13*L26:M26)/L32</f>
        <v>0.28907621850568882</v>
      </c>
      <c r="M78" s="129"/>
      <c r="N78" s="183">
        <f t="array" ref="N78">SUM(N13:O13*N26:O26)/N32</f>
        <v>0.27599984694338736</v>
      </c>
      <c r="O78" s="129"/>
      <c r="P78" s="183">
        <f t="array" ref="P78">SUM(P13:Q13*P26:Q26)/P32</f>
        <v>0.26207329913155064</v>
      </c>
      <c r="Q78" s="129"/>
      <c r="R78" s="183">
        <f t="array" ref="R78">SUM(R13:S13*R26:S26)/R32</f>
        <v>0.24702052349814949</v>
      </c>
      <c r="S78" s="129"/>
      <c r="T78" s="183">
        <f t="array" ref="T78">SUM(T13:U13*T26:U26)/T32</f>
        <v>0.23042690746450786</v>
      </c>
      <c r="U78" s="129"/>
      <c r="V78" s="183">
        <f t="array" ref="V78">SUM(V13:W13*V26:W26)/V32</f>
        <v>0.21164221103040681</v>
      </c>
      <c r="W78" s="129"/>
      <c r="X78" s="183">
        <f t="array" ref="X78">SUM(X13:Y13*X26:Y26)/X32</f>
        <v>0.18960014760972788</v>
      </c>
      <c r="Y78" s="129"/>
      <c r="Z78" s="183">
        <f t="array" ref="Z78">SUM(Z13:AA13*Z26:AA26)/Z32</f>
        <v>0.16247796600945069</v>
      </c>
      <c r="AA78" s="129"/>
      <c r="AB78" s="183">
        <f t="array" ref="AB78">SUM(AB13:AC13*AB26:AC26)/AB32</f>
        <v>0.12708237304596356</v>
      </c>
      <c r="AC78" s="129"/>
      <c r="AD78" s="183">
        <f t="array" ref="AD78">SUM(AD13:AE13*AD26:AE26)/AD32</f>
        <v>7.796327389013373E-2</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0.4654819478583665</v>
      </c>
      <c r="F79" s="183">
        <f t="array" ref="F79">SUM(F15:G15*F27:G27)/F32</f>
        <v>0.47662580119579739</v>
      </c>
      <c r="H79" s="183">
        <f t="array" ref="H79">SUM(H15:I15*H27:I27)/H32</f>
        <v>0.48810609671320565</v>
      </c>
      <c r="J79" s="183">
        <f t="array" ref="J79">SUM(J15:K15*J27:K27)/J32</f>
        <v>0.50000334236070176</v>
      </c>
      <c r="L79" s="183">
        <f t="array" ref="L79">SUM(L15:M15*L27:M27)/L32</f>
        <v>0.51242106400997645</v>
      </c>
      <c r="N79" s="183">
        <f t="array" ref="N79">SUM(N15:O15*N27:O27)/N32</f>
        <v>0.52549743355205758</v>
      </c>
      <c r="P79" s="183">
        <f t="array" ref="P79">SUM(P15:Q15*P27:Q27)/P32</f>
        <v>0.53942398151911886</v>
      </c>
      <c r="R79" s="183">
        <f t="array" ref="R79">SUM(R15:S15*R27:S27)/R32</f>
        <v>0.55447675723148371</v>
      </c>
      <c r="T79" s="183">
        <f t="array" ref="T79">SUM(T15:U15*T27:U27)/T32</f>
        <v>0.5710703732809016</v>
      </c>
      <c r="V79" s="183">
        <f t="array" ref="V79">SUM(V15:W15*V27:W27)/V32</f>
        <v>0.58985506966079615</v>
      </c>
      <c r="X79" s="183">
        <f t="array" ref="X79">SUM(X15:Y15*X27:Y27)/X32</f>
        <v>0.61189713363898601</v>
      </c>
      <c r="Z79" s="183">
        <f t="array" ref="Z79">SUM(Z15:AA15*Z27:AA27)/Z32</f>
        <v>0.63901931474158424</v>
      </c>
      <c r="AB79" s="183">
        <f t="array" ref="AB79">SUM(AB15:AC15*AB27:AC27)/AB32</f>
        <v>0.67441490772310986</v>
      </c>
      <c r="AD79" s="183">
        <f t="array" ref="AD79">SUM(AD15:AE15*AD27:AE27)/AD32</f>
        <v>0.72353400699872916</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0.19850271926838062</v>
      </c>
      <c r="F80" s="195">
        <f>F55</f>
        <v>0.19850271951773635</v>
      </c>
      <c r="H80" s="195">
        <f>H55</f>
        <v>0.1985027198656317</v>
      </c>
      <c r="J80" s="195">
        <f>J55</f>
        <v>0.19850272143938574</v>
      </c>
      <c r="L80" s="195">
        <f>L55</f>
        <v>0.19850271880146481</v>
      </c>
      <c r="N80" s="195">
        <f>N55</f>
        <v>0.19850272050062334</v>
      </c>
      <c r="P80" s="195">
        <f>P55</f>
        <v>0.19850272000881247</v>
      </c>
      <c r="R80" s="195">
        <f>R55</f>
        <v>0.19850271977866343</v>
      </c>
      <c r="T80" s="195">
        <f>T55</f>
        <v>0.19850271976883521</v>
      </c>
      <c r="V80" s="195">
        <f>V55</f>
        <v>0.19850271902257188</v>
      </c>
      <c r="X80" s="195">
        <f>X55</f>
        <v>0.19850271927922478</v>
      </c>
      <c r="Z80" s="195">
        <f>Z55</f>
        <v>0.19850271885635695</v>
      </c>
      <c r="AB80" s="195">
        <f>AB55</f>
        <v>0.19850271806382871</v>
      </c>
      <c r="AD80" s="195">
        <f>AD55</f>
        <v>0.19850272076603587</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-2.7543485296044216E-2</v>
      </c>
      <c r="F81" s="195">
        <f>F51/F$32</f>
        <v>-2.7543485046688496E-2</v>
      </c>
      <c r="H81" s="195">
        <f>H51/H$32</f>
        <v>-2.7543484698793166E-2</v>
      </c>
      <c r="J81" s="195">
        <f>J51/J$32</f>
        <v>-2.7543483125039105E-2</v>
      </c>
      <c r="L81" s="195">
        <f>L51/L$32</f>
        <v>-2.7543485762960045E-2</v>
      </c>
      <c r="N81" s="195">
        <f>N51/N$32</f>
        <v>-2.7543484063801513E-2</v>
      </c>
      <c r="P81" s="195">
        <f>P51/P$32</f>
        <v>-2.7543484555612376E-2</v>
      </c>
      <c r="R81" s="195">
        <f>R51/R$32</f>
        <v>-2.7543484785761404E-2</v>
      </c>
      <c r="T81" s="195">
        <f>T51/T$32</f>
        <v>-2.7543484795589643E-2</v>
      </c>
      <c r="V81" s="195">
        <f>V51/V$32</f>
        <v>-2.754348554185294E-2</v>
      </c>
      <c r="X81" s="195">
        <f>X51/X$32</f>
        <v>-2.7543485285200071E-2</v>
      </c>
      <c r="Z81" s="195">
        <f>Z51/Z$32</f>
        <v>-2.7543485708067902E-2</v>
      </c>
      <c r="AB81" s="195">
        <f>AB51/AB$32</f>
        <v>-2.7543486500596105E-2</v>
      </c>
      <c r="AD81" s="195">
        <f>AD51/AD$32</f>
        <v>-2.7543483798388963E-2</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0.13628716776726008</v>
      </c>
      <c r="F82" s="195">
        <f>F52/F$32</f>
        <v>0.13176724123487535</v>
      </c>
      <c r="H82" s="195">
        <f>H52/H$32</f>
        <v>0.12711085383938872</v>
      </c>
      <c r="J82" s="195">
        <f>J52/J$32</f>
        <v>0.12228535834032501</v>
      </c>
      <c r="L82" s="195">
        <f>L52/L$32</f>
        <v>0.11724875528156041</v>
      </c>
      <c r="N82" s="195">
        <f>N52/N$32</f>
        <v>0.11194500425975554</v>
      </c>
      <c r="P82" s="195">
        <f>P52/P$32</f>
        <v>0.10629642339500045</v>
      </c>
      <c r="R82" s="195">
        <f>R52/R$32</f>
        <v>0.10019104670344062</v>
      </c>
      <c r="T82" s="195">
        <f>T52/T$32</f>
        <v>9.3460708124840683E-2</v>
      </c>
      <c r="V82" s="195">
        <f>V52/V$32</f>
        <v>8.5841671572385661E-2</v>
      </c>
      <c r="X82" s="195">
        <f>X52/X$32</f>
        <v>7.6901453268468145E-2</v>
      </c>
      <c r="Z82" s="195">
        <f>Z52/Z$32</f>
        <v>6.5900748853586086E-2</v>
      </c>
      <c r="AB82" s="195">
        <f>AB52/AB$32</f>
        <v>5.154436478686996E-2</v>
      </c>
      <c r="AD82" s="195">
        <f>AD52/AD$32</f>
        <v>3.1621753143673659E-2</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0.18879857801708325</v>
      </c>
      <c r="F83" s="195">
        <f>F53/F$32</f>
        <v>0.19331850338350809</v>
      </c>
      <c r="H83" s="195">
        <f>H53/H$32</f>
        <v>0.19797488904760277</v>
      </c>
      <c r="J83" s="195">
        <f>J53/J$32</f>
        <v>0.20280038887826574</v>
      </c>
      <c r="L83" s="195">
        <f>L53/L$32</f>
        <v>0.20783699276888185</v>
      </c>
      <c r="N83" s="195">
        <f>N53/N$32</f>
        <v>0.21314074297128924</v>
      </c>
      <c r="P83" s="195">
        <f>P53/P$32</f>
        <v>0.2187893238990031</v>
      </c>
      <c r="R83" s="195">
        <f>R53/R$32</f>
        <v>0.22489470062259043</v>
      </c>
      <c r="T83" s="195">
        <f>T53/T$32</f>
        <v>0.23162503920758923</v>
      </c>
      <c r="V83" s="195">
        <f>V53/V$32</f>
        <v>0.23924407573805817</v>
      </c>
      <c r="X83" s="195">
        <f>X53/X$32</f>
        <v>0.24818429426810107</v>
      </c>
      <c r="Z83" s="195">
        <f>Z53/Z$32</f>
        <v>0.25918499848112547</v>
      </c>
      <c r="AB83" s="195">
        <f>AB53/AB$32</f>
        <v>0.27354138255515797</v>
      </c>
      <c r="AD83" s="195">
        <f>AD53/AD$32</f>
        <v>0.2934639942469407</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G16"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c r="AB1" s="91"/>
      <c r="AD1" s="91"/>
      <c r="AF1" s="91"/>
      <c r="AH1" s="91"/>
      <c r="AJ1" s="91"/>
      <c r="AL1" s="91"/>
      <c r="AN1" s="91"/>
      <c r="AP1" s="91"/>
      <c r="AR1" s="91"/>
      <c r="AT1" s="91"/>
      <c r="AV1" s="91"/>
    </row>
    <row r="2" spans="1:49" x14ac:dyDescent="0.2">
      <c r="A2" s="190" t="s">
        <v>139</v>
      </c>
      <c r="B2" s="188">
        <v>5.7716594496607888E-3</v>
      </c>
      <c r="C2" s="189"/>
      <c r="D2" s="188">
        <v>3.5321047603244171E-2</v>
      </c>
      <c r="E2" s="189"/>
      <c r="F2" s="188">
        <v>6.5893470162731144E-2</v>
      </c>
      <c r="G2" s="189"/>
      <c r="H2" s="188">
        <v>9.7399810094390804E-2</v>
      </c>
      <c r="I2" s="189"/>
      <c r="J2" s="188">
        <v>0.12970297565016586</v>
      </c>
      <c r="K2" s="189"/>
      <c r="L2" s="188">
        <v>0.16260658055301122</v>
      </c>
      <c r="M2" s="189"/>
      <c r="N2" s="188">
        <v>0.1958396776508709</v>
      </c>
      <c r="O2" s="189"/>
      <c r="P2" s="188">
        <v>0.22904087415042632</v>
      </c>
      <c r="Q2" s="189"/>
      <c r="R2" s="188">
        <v>0.26173496471689095</v>
      </c>
      <c r="S2" s="189"/>
      <c r="T2" s="188">
        <v>0.29329058291344895</v>
      </c>
      <c r="U2" s="189"/>
      <c r="V2" s="188">
        <v>0.32281544199785661</v>
      </c>
      <c r="W2" s="189"/>
      <c r="X2" s="188">
        <v>0.34878813634059186</v>
      </c>
      <c r="Y2" s="189"/>
      <c r="Z2" s="188"/>
      <c r="AA2" s="189"/>
      <c r="AB2" s="188"/>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998.96847092351254</v>
      </c>
      <c r="E3" s="82">
        <v>1012.4030668654298</v>
      </c>
      <c r="F3" s="81">
        <v>997.96825760302397</v>
      </c>
      <c r="G3" s="82">
        <v>1024.9673842062534</v>
      </c>
      <c r="H3" s="81">
        <v>997.00458059178686</v>
      </c>
      <c r="I3" s="82">
        <v>1037.6204553116586</v>
      </c>
      <c r="J3" s="81">
        <v>996.0827939349042</v>
      </c>
      <c r="K3" s="82">
        <v>1050.2763874267619</v>
      </c>
      <c r="L3" s="81">
        <v>995.20761454638307</v>
      </c>
      <c r="M3" s="82">
        <v>1062.8419307845438</v>
      </c>
      <c r="N3" s="81">
        <v>994.38152934140214</v>
      </c>
      <c r="O3" s="82">
        <v>1075.2332104251839</v>
      </c>
      <c r="P3" s="81">
        <v>993.60153690317804</v>
      </c>
      <c r="Q3" s="82">
        <v>1087.4133587948211</v>
      </c>
      <c r="R3" s="81">
        <v>992.85212135765539</v>
      </c>
      <c r="S3" s="82">
        <v>1099.4783106692244</v>
      </c>
      <c r="T3" s="81">
        <v>992.08888241040438</v>
      </c>
      <c r="U3" s="82">
        <v>1111.8611152047279</v>
      </c>
      <c r="V3" s="81">
        <v>991.19468139615697</v>
      </c>
      <c r="W3" s="82">
        <v>1125.8837042724333</v>
      </c>
      <c r="X3" s="81">
        <v>989.83481903467873</v>
      </c>
      <c r="Y3" s="82">
        <v>1145.5886190492261</v>
      </c>
      <c r="Z3" s="81"/>
      <c r="AA3" s="82"/>
      <c r="AB3" s="81"/>
      <c r="AC3" s="82"/>
      <c r="AD3" s="81"/>
      <c r="AE3" s="82"/>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c r="AA4" s="96"/>
      <c r="AB4" s="95"/>
      <c r="AC4" s="96"/>
      <c r="AD4" s="95"/>
      <c r="AE4" s="96"/>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998.91746135909523</v>
      </c>
      <c r="E5" s="40">
        <v>1010.8306783942378</v>
      </c>
      <c r="F5" s="39">
        <v>997.86747712836586</v>
      </c>
      <c r="G5" s="40">
        <v>1021.6800200750333</v>
      </c>
      <c r="H5" s="39">
        <v>996.85555807588378</v>
      </c>
      <c r="I5" s="40">
        <v>1032.4815475896826</v>
      </c>
      <c r="J5" s="39">
        <v>995.88736027031655</v>
      </c>
      <c r="K5" s="40">
        <v>1043.1604160595887</v>
      </c>
      <c r="L5" s="39">
        <v>994.96787516873417</v>
      </c>
      <c r="M5" s="40">
        <v>1053.6390859496582</v>
      </c>
      <c r="N5" s="39">
        <v>994.09975372453061</v>
      </c>
      <c r="O5" s="40">
        <v>1063.8514216561259</v>
      </c>
      <c r="P5" s="39">
        <v>993.279877779206</v>
      </c>
      <c r="Q5" s="40">
        <v>1073.7725749426024</v>
      </c>
      <c r="R5" s="39">
        <v>992.49196560503231</v>
      </c>
      <c r="S5" s="40">
        <v>1083.4853582684618</v>
      </c>
      <c r="T5" s="39">
        <v>991.6893417773972</v>
      </c>
      <c r="U5" s="40">
        <v>1093.3355189181177</v>
      </c>
      <c r="V5" s="39">
        <v>990.74876887828759</v>
      </c>
      <c r="W5" s="40">
        <v>1104.3452222714561</v>
      </c>
      <c r="X5" s="39">
        <v>989.31791149584217</v>
      </c>
      <c r="Y5" s="40">
        <v>1119.5566728643314</v>
      </c>
      <c r="Z5" s="39"/>
      <c r="AA5" s="40"/>
      <c r="AB5" s="39"/>
      <c r="AC5" s="40"/>
      <c r="AD5" s="39"/>
      <c r="AE5" s="40"/>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999.99999999999886</v>
      </c>
      <c r="D6" s="39">
        <v>998.83475452792197</v>
      </c>
      <c r="E6" s="40">
        <v>1013.381786140858</v>
      </c>
      <c r="F6" s="39">
        <v>997.70473489407107</v>
      </c>
      <c r="G6" s="40">
        <v>1026.9246109232802</v>
      </c>
      <c r="H6" s="39">
        <v>996.61585363323331</v>
      </c>
      <c r="I6" s="40">
        <v>1040.5504566944439</v>
      </c>
      <c r="J6" s="39">
        <v>995.57417667638708</v>
      </c>
      <c r="K6" s="40">
        <v>1054.1671809974487</v>
      </c>
      <c r="L6" s="39">
        <v>994.58505214414913</v>
      </c>
      <c r="M6" s="40">
        <v>1067.6750421389283</v>
      </c>
      <c r="N6" s="39">
        <v>993.65130905897286</v>
      </c>
      <c r="O6" s="40">
        <v>1080.9846639151629</v>
      </c>
      <c r="P6" s="39">
        <v>992.76957216874882</v>
      </c>
      <c r="Q6" s="40">
        <v>1094.0573362488246</v>
      </c>
      <c r="R6" s="39">
        <v>991.92231491621453</v>
      </c>
      <c r="S6" s="40">
        <v>1106.9967832422906</v>
      </c>
      <c r="T6" s="39">
        <v>991.05934287115667</v>
      </c>
      <c r="U6" s="40">
        <v>1120.2675471994564</v>
      </c>
      <c r="V6" s="39">
        <v>990.0481842985406</v>
      </c>
      <c r="W6" s="40">
        <v>1135.2843980803088</v>
      </c>
      <c r="X6" s="39">
        <v>988.51022645609635</v>
      </c>
      <c r="Y6" s="40">
        <v>1156.3670857403238</v>
      </c>
      <c r="Z6" s="39"/>
      <c r="AA6" s="40"/>
      <c r="AB6" s="39"/>
      <c r="AC6" s="40"/>
      <c r="AD6" s="39"/>
      <c r="AE6" s="40"/>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1014.8119188906484</v>
      </c>
      <c r="E7" s="32">
        <v>1014.8119188906484</v>
      </c>
      <c r="F7" s="31">
        <v>1013.7452276441647</v>
      </c>
      <c r="G7" s="32">
        <v>1013.7452276441647</v>
      </c>
      <c r="H7" s="31">
        <v>1012.7172072569606</v>
      </c>
      <c r="I7" s="32">
        <v>1012.7172072569606</v>
      </c>
      <c r="J7" s="31">
        <v>1011.7336037952725</v>
      </c>
      <c r="K7" s="32">
        <v>1011.7336037952725</v>
      </c>
      <c r="L7" s="31">
        <v>1010.799488138651</v>
      </c>
      <c r="M7" s="32">
        <v>1010.799488138651</v>
      </c>
      <c r="N7" s="31">
        <v>1009.9175534216188</v>
      </c>
      <c r="O7" s="32">
        <v>1009.9175534216188</v>
      </c>
      <c r="P7" s="31">
        <v>1009.0846318705277</v>
      </c>
      <c r="Q7" s="32">
        <v>1009.0846318705277</v>
      </c>
      <c r="R7" s="31">
        <v>1008.284182687967</v>
      </c>
      <c r="S7" s="32">
        <v>1008.284182687967</v>
      </c>
      <c r="T7" s="31">
        <v>1007.4687877647854</v>
      </c>
      <c r="U7" s="32">
        <v>1007.4687877647854</v>
      </c>
      <c r="V7" s="31">
        <v>1006.5132487682968</v>
      </c>
      <c r="W7" s="32">
        <v>1006.5132487682968</v>
      </c>
      <c r="X7" s="31">
        <v>1005.059624037418</v>
      </c>
      <c r="Y7" s="32">
        <v>1005.059624037418</v>
      </c>
      <c r="Z7" s="31"/>
      <c r="AA7" s="32"/>
      <c r="AB7" s="31"/>
      <c r="AC7" s="32"/>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1046.5342769046204</v>
      </c>
      <c r="E8" s="34">
        <v>1046.5342769046204</v>
      </c>
      <c r="F8" s="33">
        <v>1089.0020619937061</v>
      </c>
      <c r="G8" s="34">
        <v>1089.0020619937061</v>
      </c>
      <c r="H8" s="33">
        <v>1133.0450542508804</v>
      </c>
      <c r="I8" s="34">
        <v>1133.0450542508804</v>
      </c>
      <c r="J8" s="33">
        <v>1178.4614261029826</v>
      </c>
      <c r="K8" s="34">
        <v>1178.4614261029826</v>
      </c>
      <c r="L8" s="33">
        <v>1224.9677348529324</v>
      </c>
      <c r="M8" s="34">
        <v>1224.9677348529324</v>
      </c>
      <c r="N8" s="33">
        <v>1272.1957411416822</v>
      </c>
      <c r="O8" s="34">
        <v>1272.1957411416822</v>
      </c>
      <c r="P8" s="33">
        <v>1319.7103841462103</v>
      </c>
      <c r="Q8" s="34">
        <v>1319.7103841462103</v>
      </c>
      <c r="R8" s="33">
        <v>1367.0713602861256</v>
      </c>
      <c r="S8" s="34">
        <v>1367.0713602861256</v>
      </c>
      <c r="T8" s="33">
        <v>1414.0005305815905</v>
      </c>
      <c r="U8" s="34">
        <v>1414.0005305815905</v>
      </c>
      <c r="V8" s="33">
        <v>1460.8449133172373</v>
      </c>
      <c r="W8" s="34">
        <v>1460.8449133172373</v>
      </c>
      <c r="X8" s="33">
        <v>1510.0447583203552</v>
      </c>
      <c r="Y8" s="34">
        <v>1510.0447583203552</v>
      </c>
      <c r="Z8" s="33"/>
      <c r="AA8" s="34"/>
      <c r="AB8" s="33"/>
      <c r="AC8" s="34"/>
      <c r="AD8" s="33"/>
      <c r="AE8" s="34"/>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1014.8119188906484</v>
      </c>
      <c r="E9" s="40">
        <v>1046.5342769046204</v>
      </c>
      <c r="F9" s="39">
        <v>1013.7452276441647</v>
      </c>
      <c r="G9" s="40">
        <v>1089.0020619937061</v>
      </c>
      <c r="H9" s="39">
        <v>1012.7172072569606</v>
      </c>
      <c r="I9" s="40">
        <v>1133.0450542508804</v>
      </c>
      <c r="J9" s="39">
        <v>1011.7336037952725</v>
      </c>
      <c r="K9" s="40">
        <v>1178.4614261029826</v>
      </c>
      <c r="L9" s="39">
        <v>1010.799488138651</v>
      </c>
      <c r="M9" s="40">
        <v>1224.9677348529324</v>
      </c>
      <c r="N9" s="39">
        <v>1009.9175534216188</v>
      </c>
      <c r="O9" s="40">
        <v>1272.1957411416822</v>
      </c>
      <c r="P9" s="39">
        <v>1009.0846318705277</v>
      </c>
      <c r="Q9" s="40">
        <v>1319.7103841462103</v>
      </c>
      <c r="R9" s="39">
        <v>1008.284182687967</v>
      </c>
      <c r="S9" s="40">
        <v>1367.0713602861256</v>
      </c>
      <c r="T9" s="39">
        <v>1007.4687877647854</v>
      </c>
      <c r="U9" s="40">
        <v>1414.0005305815905</v>
      </c>
      <c r="V9" s="39">
        <v>1006.5132487682968</v>
      </c>
      <c r="W9" s="40">
        <v>1460.8449133172373</v>
      </c>
      <c r="X9" s="39">
        <v>1005.059624037418</v>
      </c>
      <c r="Y9" s="40">
        <v>1510.0447583203552</v>
      </c>
      <c r="Z9" s="39"/>
      <c r="AA9" s="40"/>
      <c r="AB9" s="39"/>
      <c r="AC9" s="40"/>
      <c r="AD9" s="39"/>
      <c r="AE9" s="40"/>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1014.8119188906484</v>
      </c>
      <c r="E10" s="40">
        <v>1046.5342769046204</v>
      </c>
      <c r="F10" s="39">
        <v>1013.7452276441647</v>
      </c>
      <c r="G10" s="40">
        <v>1089.0020619937061</v>
      </c>
      <c r="H10" s="39">
        <v>1012.7172072569606</v>
      </c>
      <c r="I10" s="40">
        <v>1133.0450542508804</v>
      </c>
      <c r="J10" s="39">
        <v>1011.7336037952725</v>
      </c>
      <c r="K10" s="40">
        <v>1178.4614261029826</v>
      </c>
      <c r="L10" s="39">
        <v>1010.799488138651</v>
      </c>
      <c r="M10" s="40">
        <v>1224.9677348529324</v>
      </c>
      <c r="N10" s="39">
        <v>1009.9175534216188</v>
      </c>
      <c r="O10" s="40">
        <v>1272.1957411416822</v>
      </c>
      <c r="P10" s="39">
        <v>1009.0846318705277</v>
      </c>
      <c r="Q10" s="40">
        <v>1319.7103841462103</v>
      </c>
      <c r="R10" s="39">
        <v>1008.284182687967</v>
      </c>
      <c r="S10" s="40">
        <v>1367.0713602861256</v>
      </c>
      <c r="T10" s="39">
        <v>1007.4687877647854</v>
      </c>
      <c r="U10" s="40">
        <v>1414.0005305815905</v>
      </c>
      <c r="V10" s="39">
        <v>1006.5132487682968</v>
      </c>
      <c r="W10" s="40">
        <v>1460.8449133172373</v>
      </c>
      <c r="X10" s="39">
        <v>1005.059624037418</v>
      </c>
      <c r="Y10" s="40">
        <v>1510.0447583203552</v>
      </c>
      <c r="Z10" s="39"/>
      <c r="AA10" s="40"/>
      <c r="AB10" s="39"/>
      <c r="AC10" s="40"/>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1014.8119188906484</v>
      </c>
      <c r="E11" s="40">
        <v>1046.5342769046204</v>
      </c>
      <c r="F11" s="39">
        <v>1013.7452276441647</v>
      </c>
      <c r="G11" s="40">
        <v>1089.0020619937061</v>
      </c>
      <c r="H11" s="39">
        <v>1012.7172072569606</v>
      </c>
      <c r="I11" s="40">
        <v>1133.0450542508804</v>
      </c>
      <c r="J11" s="39">
        <v>1011.7336037952725</v>
      </c>
      <c r="K11" s="40">
        <v>1178.4614261029826</v>
      </c>
      <c r="L11" s="39">
        <v>1010.799488138651</v>
      </c>
      <c r="M11" s="40">
        <v>1224.9677348529324</v>
      </c>
      <c r="N11" s="39">
        <v>1009.9175534216188</v>
      </c>
      <c r="O11" s="40">
        <v>1272.1957411416822</v>
      </c>
      <c r="P11" s="39">
        <v>1009.0846318705277</v>
      </c>
      <c r="Q11" s="40">
        <v>1319.7103841462103</v>
      </c>
      <c r="R11" s="39">
        <v>1008.284182687967</v>
      </c>
      <c r="S11" s="40">
        <v>1367.0713602861256</v>
      </c>
      <c r="T11" s="39">
        <v>1007.4687877647854</v>
      </c>
      <c r="U11" s="40">
        <v>1414.0005305815905</v>
      </c>
      <c r="V11" s="39">
        <v>1006.5132487682968</v>
      </c>
      <c r="W11" s="40">
        <v>1460.8449133172373</v>
      </c>
      <c r="X11" s="39">
        <v>1005.059624037418</v>
      </c>
      <c r="Y11" s="40">
        <v>1510.0447583203552</v>
      </c>
      <c r="Z11" s="39"/>
      <c r="AA11" s="40"/>
      <c r="AB11" s="39"/>
      <c r="AC11" s="40"/>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c r="AA12" s="40"/>
      <c r="AB12" s="39"/>
      <c r="AC12" s="40"/>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1001.1565407338885</v>
      </c>
      <c r="E13" s="94">
        <v>1001.1565407338885</v>
      </c>
      <c r="F13" s="93">
        <v>1002.3833193041484</v>
      </c>
      <c r="G13" s="94">
        <v>1002.3833193041484</v>
      </c>
      <c r="H13" s="93">
        <v>1003.6777374221698</v>
      </c>
      <c r="I13" s="94">
        <v>1003.6777374221698</v>
      </c>
      <c r="J13" s="93">
        <v>1005.034552397506</v>
      </c>
      <c r="K13" s="94">
        <v>1005.034552397506</v>
      </c>
      <c r="L13" s="93">
        <v>1006.4448811240088</v>
      </c>
      <c r="M13" s="94">
        <v>1006.4448811240088</v>
      </c>
      <c r="N13" s="93">
        <v>1007.894664480272</v>
      </c>
      <c r="O13" s="94">
        <v>1007.894664480272</v>
      </c>
      <c r="P13" s="93">
        <v>1009.3624040960506</v>
      </c>
      <c r="Q13" s="94">
        <v>1009.3624040960506</v>
      </c>
      <c r="R13" s="93">
        <v>1010.8149503157027</v>
      </c>
      <c r="S13" s="94">
        <v>1010.8149503157027</v>
      </c>
      <c r="T13" s="93">
        <v>1012.1983660365382</v>
      </c>
      <c r="U13" s="94">
        <v>1012.1983660365382</v>
      </c>
      <c r="V13" s="93">
        <v>1013.4136541117325</v>
      </c>
      <c r="W13" s="94">
        <v>1013.4136541117325</v>
      </c>
      <c r="X13" s="93">
        <v>1014.2332393154899</v>
      </c>
      <c r="Y13" s="94">
        <v>1014.2332393154899</v>
      </c>
      <c r="Z13" s="93"/>
      <c r="AA13" s="94"/>
      <c r="AB13" s="93"/>
      <c r="AC13" s="94"/>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1458.6885089561192</v>
      </c>
      <c r="E14" s="40">
        <v>1458.6885089561194</v>
      </c>
      <c r="F14" s="39">
        <v>1460.4759295348829</v>
      </c>
      <c r="G14" s="40">
        <v>1460.4759295348831</v>
      </c>
      <c r="H14" s="39">
        <v>1462.3619011664105</v>
      </c>
      <c r="I14" s="40">
        <v>1462.3619011664107</v>
      </c>
      <c r="J14" s="39">
        <v>1464.3387852327642</v>
      </c>
      <c r="K14" s="40">
        <v>1464.3387852327644</v>
      </c>
      <c r="L14" s="39">
        <v>1466.3936390178599</v>
      </c>
      <c r="M14" s="40">
        <v>1466.3936390178601</v>
      </c>
      <c r="N14" s="39">
        <v>1468.5059783336544</v>
      </c>
      <c r="O14" s="40">
        <v>1468.5059783336546</v>
      </c>
      <c r="P14" s="39">
        <v>1470.6444799810654</v>
      </c>
      <c r="Q14" s="40">
        <v>1470.6444799810656</v>
      </c>
      <c r="R14" s="39">
        <v>1472.7608447982809</v>
      </c>
      <c r="S14" s="40">
        <v>1472.7608447982811</v>
      </c>
      <c r="T14" s="39">
        <v>1474.7764862419383</v>
      </c>
      <c r="U14" s="40">
        <v>1474.7764862419385</v>
      </c>
      <c r="V14" s="39">
        <v>1476.547165130035</v>
      </c>
      <c r="W14" s="40">
        <v>1476.5471651300352</v>
      </c>
      <c r="X14" s="39">
        <v>1477.741303579108</v>
      </c>
      <c r="Y14" s="40">
        <v>1477.7413035791083</v>
      </c>
      <c r="Z14" s="39"/>
      <c r="AA14" s="40"/>
      <c r="AB14" s="39"/>
      <c r="AC14" s="40"/>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991.45332591748456</v>
      </c>
      <c r="E15" s="145">
        <v>991.45332591748456</v>
      </c>
      <c r="F15" s="144">
        <v>980.00366451713171</v>
      </c>
      <c r="G15" s="145">
        <v>980.00366451713171</v>
      </c>
      <c r="H15" s="144">
        <v>965.27656268325404</v>
      </c>
      <c r="I15" s="145">
        <v>965.27656268325404</v>
      </c>
      <c r="J15" s="144">
        <v>946.86808696420781</v>
      </c>
      <c r="K15" s="145">
        <v>946.86808696420781</v>
      </c>
      <c r="L15" s="144">
        <v>924.35946302352693</v>
      </c>
      <c r="M15" s="145">
        <v>924.35946302352693</v>
      </c>
      <c r="N15" s="144">
        <v>897.33292381597767</v>
      </c>
      <c r="O15" s="145">
        <v>897.33292381597767</v>
      </c>
      <c r="P15" s="144">
        <v>865.40740601883533</v>
      </c>
      <c r="Q15" s="145">
        <v>865.40740601883533</v>
      </c>
      <c r="R15" s="144">
        <v>828.29072821169234</v>
      </c>
      <c r="S15" s="145">
        <v>828.29072821169234</v>
      </c>
      <c r="T15" s="144">
        <v>785.87027045912134</v>
      </c>
      <c r="U15" s="145">
        <v>785.87027045912134</v>
      </c>
      <c r="V15" s="144">
        <v>738.40045601235386</v>
      </c>
      <c r="W15" s="145">
        <v>738.40045601235386</v>
      </c>
      <c r="X15" s="144">
        <v>686.99439824602382</v>
      </c>
      <c r="Y15" s="145">
        <v>686.99439824602382</v>
      </c>
      <c r="Z15" s="144"/>
      <c r="AA15" s="145"/>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997.22637028320344</v>
      </c>
      <c r="E16" s="40">
        <v>994.66428998066613</v>
      </c>
      <c r="F16" s="39">
        <v>994.45032686404465</v>
      </c>
      <c r="G16" s="40">
        <v>988.27612135268123</v>
      </c>
      <c r="H16" s="39">
        <v>991.68452477354822</v>
      </c>
      <c r="I16" s="40">
        <v>980.77936076064032</v>
      </c>
      <c r="J16" s="39">
        <v>988.94400795880154</v>
      </c>
      <c r="K16" s="40">
        <v>972.15013554376787</v>
      </c>
      <c r="L16" s="39">
        <v>986.24556212310733</v>
      </c>
      <c r="M16" s="40">
        <v>962.42376227190823</v>
      </c>
      <c r="N16" s="39">
        <v>983.60601130002522</v>
      </c>
      <c r="O16" s="40">
        <v>951.74745346237307</v>
      </c>
      <c r="P16" s="39">
        <v>981.03811027666688</v>
      </c>
      <c r="Q16" s="40">
        <v>940.47563213097669</v>
      </c>
      <c r="R16" s="39">
        <v>978.541275674703</v>
      </c>
      <c r="S16" s="40">
        <v>929.37012600019546</v>
      </c>
      <c r="T16" s="39">
        <v>976.0796226532018</v>
      </c>
      <c r="U16" s="40">
        <v>920.06152558753854</v>
      </c>
      <c r="V16" s="39">
        <v>973.52319540708811</v>
      </c>
      <c r="W16" s="40">
        <v>916.29666611432719</v>
      </c>
      <c r="X16" s="39">
        <v>970.45688138377625</v>
      </c>
      <c r="Y16" s="40">
        <v>928.19652006686761</v>
      </c>
      <c r="Z16" s="39"/>
      <c r="AA16" s="40"/>
      <c r="AB16" s="39"/>
      <c r="AC16" s="40"/>
      <c r="AD16" s="39"/>
      <c r="AE16" s="40"/>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999.01590927591633</v>
      </c>
      <c r="E17" s="34">
        <v>1019.0062436559723</v>
      </c>
      <c r="F17" s="33">
        <v>998.06198464329066</v>
      </c>
      <c r="G17" s="34">
        <v>1038.282667526302</v>
      </c>
      <c r="H17" s="33">
        <v>997.14317651532372</v>
      </c>
      <c r="I17" s="34">
        <v>1057.7182657508085</v>
      </c>
      <c r="J17" s="33">
        <v>996.26455953617403</v>
      </c>
      <c r="K17" s="34">
        <v>1077.1807920143401</v>
      </c>
      <c r="L17" s="33">
        <v>995.43059365826514</v>
      </c>
      <c r="M17" s="34">
        <v>1096.5261465541221</v>
      </c>
      <c r="N17" s="33">
        <v>994.64361399740562</v>
      </c>
      <c r="O17" s="34">
        <v>1115.6243907495277</v>
      </c>
      <c r="P17" s="33">
        <v>993.90072650459808</v>
      </c>
      <c r="Q17" s="34">
        <v>1134.4185955075211</v>
      </c>
      <c r="R17" s="33">
        <v>993.18712687029836</v>
      </c>
      <c r="S17" s="34">
        <v>1153.0592825678511</v>
      </c>
      <c r="T17" s="33">
        <v>992.4605327055383</v>
      </c>
      <c r="U17" s="34">
        <v>1172.225035711997</v>
      </c>
      <c r="V17" s="33">
        <v>991.60947971882774</v>
      </c>
      <c r="W17" s="34">
        <v>1193.9897428574452</v>
      </c>
      <c r="X17" s="33">
        <v>990.31568218598761</v>
      </c>
      <c r="Y17" s="34">
        <v>1224.7097986699564</v>
      </c>
      <c r="Z17" s="33"/>
      <c r="AA17" s="34"/>
      <c r="AB17" s="33"/>
      <c r="AC17" s="34"/>
      <c r="AD17" s="33"/>
      <c r="AE17" s="34"/>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27272.735968231129</v>
      </c>
      <c r="E18" s="32">
        <v>1162.0183038713608</v>
      </c>
      <c r="F18" s="31">
        <v>26624.733078042802</v>
      </c>
      <c r="G18" s="32">
        <v>1088.4454291661632</v>
      </c>
      <c r="H18" s="31">
        <v>25906.312678159051</v>
      </c>
      <c r="I18" s="32">
        <v>1016.1498068200591</v>
      </c>
      <c r="J18" s="31">
        <v>25110.493286670506</v>
      </c>
      <c r="K18" s="32">
        <v>945.22882998949672</v>
      </c>
      <c r="L18" s="31">
        <v>24230.333640203338</v>
      </c>
      <c r="M18" s="32">
        <v>875.76590362201603</v>
      </c>
      <c r="N18" s="31">
        <v>23259.380509187409</v>
      </c>
      <c r="O18" s="32">
        <v>807.81643034308593</v>
      </c>
      <c r="P18" s="31">
        <v>22192.500153632227</v>
      </c>
      <c r="Q18" s="32">
        <v>741.3823468222439</v>
      </c>
      <c r="R18" s="31">
        <v>21027.201916900587</v>
      </c>
      <c r="S18" s="32">
        <v>676.36853286109556</v>
      </c>
      <c r="T18" s="31">
        <v>19766.060122081548</v>
      </c>
      <c r="U18" s="32">
        <v>612.49572073598983</v>
      </c>
      <c r="V18" s="31">
        <v>18422.084310055929</v>
      </c>
      <c r="W18" s="32">
        <v>549.09065903655801</v>
      </c>
      <c r="X18" s="31">
        <v>17034.251453897556</v>
      </c>
      <c r="Y18" s="32">
        <v>484.42990432701248</v>
      </c>
      <c r="Z18" s="31"/>
      <c r="AA18" s="32"/>
      <c r="AB18" s="31"/>
      <c r="AC18" s="32"/>
      <c r="AD18" s="31"/>
      <c r="AE18" s="32"/>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262.78711299999571</v>
      </c>
      <c r="D19" s="39">
        <v>1842.2800467857967</v>
      </c>
      <c r="E19" s="40">
        <v>260.64014875817242</v>
      </c>
      <c r="F19" s="39">
        <v>1794.2062453786846</v>
      </c>
      <c r="G19" s="40">
        <v>257.69510466997957</v>
      </c>
      <c r="H19" s="39">
        <v>1741.7647566844812</v>
      </c>
      <c r="I19" s="40">
        <v>253.83540169473525</v>
      </c>
      <c r="J19" s="39">
        <v>1684.5282499885273</v>
      </c>
      <c r="K19" s="40">
        <v>248.94215980724908</v>
      </c>
      <c r="L19" s="39">
        <v>1622.0680132974614</v>
      </c>
      <c r="M19" s="40">
        <v>242.90297321551608</v>
      </c>
      <c r="N19" s="39">
        <v>1553.9772170602312</v>
      </c>
      <c r="O19" s="40">
        <v>235.62752376821268</v>
      </c>
      <c r="P19" s="39">
        <v>1479.9152003498348</v>
      </c>
      <c r="Q19" s="40">
        <v>227.07360220985234</v>
      </c>
      <c r="R19" s="39">
        <v>1399.6754207216454</v>
      </c>
      <c r="S19" s="40">
        <v>217.29388327442467</v>
      </c>
      <c r="T19" s="39">
        <v>1313.3059223837872</v>
      </c>
      <c r="U19" s="40">
        <v>206.52878097598526</v>
      </c>
      <c r="V19" s="39">
        <v>1221.3668806677586</v>
      </c>
      <c r="W19" s="40">
        <v>195.43101936347324</v>
      </c>
      <c r="X19" s="39">
        <v>1125.6440756515381</v>
      </c>
      <c r="Y19" s="40">
        <v>185.78084183450559</v>
      </c>
      <c r="Z19" s="39"/>
      <c r="AA19" s="40"/>
      <c r="AB19" s="39"/>
      <c r="AC19" s="40"/>
      <c r="AD19" s="39"/>
      <c r="AE19" s="40"/>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25983.744032808481</v>
      </c>
      <c r="E20" s="80">
        <v>1338.1147774499941</v>
      </c>
      <c r="F20" s="79">
        <v>25358.988002127109</v>
      </c>
      <c r="G20" s="80">
        <v>1267.6876838999945</v>
      </c>
      <c r="H20" s="79">
        <v>24667.794392265605</v>
      </c>
      <c r="I20" s="80">
        <v>1197.2605903499946</v>
      </c>
      <c r="J20" s="79">
        <v>23903.590954337582</v>
      </c>
      <c r="K20" s="80">
        <v>1126.8334967999951</v>
      </c>
      <c r="L20" s="79">
        <v>23059.837004988312</v>
      </c>
      <c r="M20" s="80">
        <v>1056.4064032499953</v>
      </c>
      <c r="N20" s="79">
        <v>22130.437794914036</v>
      </c>
      <c r="O20" s="80">
        <v>985.97930969999561</v>
      </c>
      <c r="P20" s="79">
        <v>21110.515887764919</v>
      </c>
      <c r="Q20" s="80">
        <v>915.55221614999596</v>
      </c>
      <c r="R20" s="79">
        <v>19997.634533916706</v>
      </c>
      <c r="S20" s="80">
        <v>845.12512259999642</v>
      </c>
      <c r="T20" s="79">
        <v>18794.029402523185</v>
      </c>
      <c r="U20" s="80">
        <v>774.69802904999653</v>
      </c>
      <c r="V20" s="79">
        <v>17511.54026569055</v>
      </c>
      <c r="W20" s="80">
        <v>704.27093549999688</v>
      </c>
      <c r="X20" s="79">
        <v>16185.817395895674</v>
      </c>
      <c r="Y20" s="80">
        <v>633.84384194999711</v>
      </c>
      <c r="Z20" s="79"/>
      <c r="AA20" s="80"/>
      <c r="AB20" s="79"/>
      <c r="AC20" s="80"/>
      <c r="AD20" s="79"/>
      <c r="AE20" s="80"/>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1145.7547579999921</v>
      </c>
      <c r="D21" s="79">
        <v>24141.466315149843</v>
      </c>
      <c r="E21" s="80">
        <v>1077.5477969227932</v>
      </c>
      <c r="F21" s="79">
        <v>23564.790577873944</v>
      </c>
      <c r="G21" s="80">
        <v>1010.2748126696608</v>
      </c>
      <c r="H21" s="79">
        <v>22926.048291738152</v>
      </c>
      <c r="I21" s="80">
        <v>944.03309753600809</v>
      </c>
      <c r="J21" s="79">
        <v>22219.093629312476</v>
      </c>
      <c r="K21" s="80">
        <v>878.91746288729848</v>
      </c>
      <c r="L21" s="79">
        <v>21437.813656322702</v>
      </c>
      <c r="M21" s="80">
        <v>815.01213125925597</v>
      </c>
      <c r="N21" s="79">
        <v>20576.519507657882</v>
      </c>
      <c r="O21" s="80">
        <v>752.3769718085257</v>
      </c>
      <c r="P21" s="79">
        <v>19630.673609302856</v>
      </c>
      <c r="Q21" s="80">
        <v>691.0252624060555</v>
      </c>
      <c r="R21" s="79">
        <v>18598.04533872001</v>
      </c>
      <c r="S21" s="80">
        <v>630.88422970078784</v>
      </c>
      <c r="T21" s="79">
        <v>17480.822767841451</v>
      </c>
      <c r="U21" s="80">
        <v>571.71707966540964</v>
      </c>
      <c r="V21" s="79">
        <v>16290.28802289638</v>
      </c>
      <c r="W21" s="80">
        <v>512.93510739673945</v>
      </c>
      <c r="X21" s="79">
        <v>15060.314590812179</v>
      </c>
      <c r="Y21" s="80">
        <v>453.00776429471483</v>
      </c>
      <c r="Z21" s="79"/>
      <c r="AA21" s="80"/>
      <c r="AB21" s="79"/>
      <c r="AC21" s="80"/>
      <c r="AD21" s="79"/>
      <c r="AE21" s="80"/>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6533.6044688320699</v>
      </c>
      <c r="C22" s="40">
        <v>379.90788307663399</v>
      </c>
      <c r="D22" s="39">
        <v>6396.4837198419191</v>
      </c>
      <c r="E22" s="40">
        <v>362.93770557393327</v>
      </c>
      <c r="F22" s="39">
        <v>6244.2869559235487</v>
      </c>
      <c r="G22" s="40">
        <v>345.72792089671714</v>
      </c>
      <c r="H22" s="39">
        <v>6075.4653001417464</v>
      </c>
      <c r="I22" s="40">
        <v>328.27338987472831</v>
      </c>
      <c r="J22" s="39">
        <v>5888.4047030150368</v>
      </c>
      <c r="K22" s="40">
        <v>310.57011448691105</v>
      </c>
      <c r="L22" s="39">
        <v>5681.502511350739</v>
      </c>
      <c r="M22" s="40">
        <v>292.61659366304104</v>
      </c>
      <c r="N22" s="39">
        <v>5453.2692154201777</v>
      </c>
      <c r="O22" s="40">
        <v>274.41488035454887</v>
      </c>
      <c r="P22" s="39">
        <v>5202.5174248968087</v>
      </c>
      <c r="Q22" s="40">
        <v>255.97317043456349</v>
      </c>
      <c r="R22" s="39">
        <v>4928.6602618167008</v>
      </c>
      <c r="S22" s="40">
        <v>237.30969085671921</v>
      </c>
      <c r="T22" s="39">
        <v>4632.25442551998</v>
      </c>
      <c r="U22" s="40">
        <v>218.46061444726439</v>
      </c>
      <c r="V22" s="39">
        <v>4316.1985647153679</v>
      </c>
      <c r="W22" s="40">
        <v>199.49966702941848</v>
      </c>
      <c r="X22" s="39">
        <v>3989.1791996295083</v>
      </c>
      <c r="Y22" s="40">
        <v>180.59938995332504</v>
      </c>
      <c r="Z22" s="39"/>
      <c r="AA22" s="40"/>
      <c r="AB22" s="39"/>
      <c r="AC22" s="40"/>
      <c r="AD22" s="39"/>
      <c r="AE22" s="40"/>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3212.5714330947321</v>
      </c>
      <c r="E23" s="8">
        <v>0</v>
      </c>
      <c r="F23" s="110">
        <v>3138.9866632973008</v>
      </c>
      <c r="G23" s="8">
        <v>0</v>
      </c>
      <c r="H23" s="110">
        <v>3056.931919770554</v>
      </c>
      <c r="I23" s="8">
        <v>0</v>
      </c>
      <c r="J23" s="110">
        <v>2965.553329735018</v>
      </c>
      <c r="K23" s="8">
        <v>0</v>
      </c>
      <c r="L23" s="110">
        <v>2863.99810954747</v>
      </c>
      <c r="M23" s="8">
        <v>0</v>
      </c>
      <c r="N23" s="110">
        <v>2751.4672194851141</v>
      </c>
      <c r="O23" s="8">
        <v>0</v>
      </c>
      <c r="P23" s="110">
        <v>2627.3138569513289</v>
      </c>
      <c r="Q23" s="8">
        <v>0</v>
      </c>
      <c r="R23" s="110">
        <v>2491.1995015951661</v>
      </c>
      <c r="S23" s="8">
        <v>0</v>
      </c>
      <c r="T23" s="110">
        <v>2343.3780397416017</v>
      </c>
      <c r="U23" s="8">
        <v>0</v>
      </c>
      <c r="V23" s="110">
        <v>2185.321710972144</v>
      </c>
      <c r="W23" s="8">
        <v>0</v>
      </c>
      <c r="X23" s="110">
        <v>2021.5175033074804</v>
      </c>
      <c r="Y23" s="8">
        <v>0</v>
      </c>
      <c r="Z23" s="110"/>
      <c r="AA23" s="8"/>
      <c r="AB23" s="110"/>
      <c r="AC23" s="8"/>
      <c r="AD23" s="110"/>
      <c r="AE23" s="8"/>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3132.1056368632417</v>
      </c>
      <c r="E24" s="8">
        <v>0</v>
      </c>
      <c r="F24" s="93">
        <v>3060.3639543864847</v>
      </c>
      <c r="G24" s="8">
        <v>0</v>
      </c>
      <c r="H24" s="93">
        <v>2980.3644442724963</v>
      </c>
      <c r="I24" s="8">
        <v>0</v>
      </c>
      <c r="J24" s="93">
        <v>2891.2746286269066</v>
      </c>
      <c r="K24" s="8">
        <v>0</v>
      </c>
      <c r="L24" s="93">
        <v>2792.2630768240315</v>
      </c>
      <c r="M24" s="8">
        <v>0</v>
      </c>
      <c r="N24" s="93">
        <v>2682.550769467382</v>
      </c>
      <c r="O24" s="8">
        <v>0</v>
      </c>
      <c r="P24" s="93">
        <v>2561.507099085859</v>
      </c>
      <c r="Q24" s="8">
        <v>0</v>
      </c>
      <c r="R24" s="93">
        <v>2428.8020193163088</v>
      </c>
      <c r="S24" s="8">
        <v>0</v>
      </c>
      <c r="T24" s="93">
        <v>2284.6830672426431</v>
      </c>
      <c r="U24" s="8">
        <v>0</v>
      </c>
      <c r="V24" s="93">
        <v>2130.5855999763253</v>
      </c>
      <c r="W24" s="8">
        <v>0</v>
      </c>
      <c r="X24" s="93">
        <v>1970.8842192665838</v>
      </c>
      <c r="Y24" s="8">
        <v>0</v>
      </c>
      <c r="Z24" s="93"/>
      <c r="AA24" s="8"/>
      <c r="AB24" s="93"/>
      <c r="AC24" s="8"/>
      <c r="AD24" s="93"/>
      <c r="AE24" s="8"/>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3195.0476039999967</v>
      </c>
      <c r="C25" s="40">
        <v>91.012690000004142</v>
      </c>
      <c r="D25" s="39">
        <v>3131.2677559429726</v>
      </c>
      <c r="E25" s="40">
        <v>84.463304431138383</v>
      </c>
      <c r="F25" s="39">
        <v>3059.935336592906</v>
      </c>
      <c r="G25" s="40">
        <v>78.144750479428779</v>
      </c>
      <c r="H25" s="39">
        <v>2980.2492218032253</v>
      </c>
      <c r="I25" s="40">
        <v>72.063786927562532</v>
      </c>
      <c r="J25" s="39">
        <v>2891.3744678813387</v>
      </c>
      <c r="K25" s="40">
        <v>66.225608712741433</v>
      </c>
      <c r="L25" s="39">
        <v>2792.4835363620823</v>
      </c>
      <c r="M25" s="40">
        <v>60.632683396592149</v>
      </c>
      <c r="N25" s="39">
        <v>2682.8128192604931</v>
      </c>
      <c r="O25" s="40">
        <v>55.283103335611358</v>
      </c>
      <c r="P25" s="39">
        <v>2561.7668163561912</v>
      </c>
      <c r="Q25" s="40">
        <v>50.167803514479324</v>
      </c>
      <c r="R25" s="39">
        <v>2429.0858465077813</v>
      </c>
      <c r="S25" s="40">
        <v>45.265721386335244</v>
      </c>
      <c r="T25" s="39">
        <v>2285.1557704483412</v>
      </c>
      <c r="U25" s="40">
        <v>40.534084724830485</v>
      </c>
      <c r="V25" s="39">
        <v>2131.7019114673326</v>
      </c>
      <c r="W25" s="40">
        <v>35.884998592978221</v>
      </c>
      <c r="X25" s="39">
        <v>1973.8202282814093</v>
      </c>
      <c r="Y25" s="40">
        <v>31.114091911224993</v>
      </c>
      <c r="Z25" s="39"/>
      <c r="AA25" s="40"/>
      <c r="AB25" s="39"/>
      <c r="AC25" s="40"/>
      <c r="AD25" s="39"/>
      <c r="AE25" s="40"/>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4843.4150613377651</v>
      </c>
      <c r="E26" s="32">
        <v>69.334000286673344</v>
      </c>
      <c r="F26" s="31">
        <v>4643.2802092069614</v>
      </c>
      <c r="G26" s="32">
        <v>63.978385445989481</v>
      </c>
      <c r="H26" s="31">
        <v>4435.6697386375745</v>
      </c>
      <c r="I26" s="32">
        <v>58.842783463299497</v>
      </c>
      <c r="J26" s="31">
        <v>4220.433767828159</v>
      </c>
      <c r="K26" s="32">
        <v>53.93054394299142</v>
      </c>
      <c r="L26" s="31">
        <v>3997.5349750320688</v>
      </c>
      <c r="M26" s="32">
        <v>49.242999810912359</v>
      </c>
      <c r="N26" s="31">
        <v>3767.1050157672571</v>
      </c>
      <c r="O26" s="32">
        <v>44.778639744853052</v>
      </c>
      <c r="P26" s="31">
        <v>3529.5334534583117</v>
      </c>
      <c r="Q26" s="32">
        <v>40.531082644429745</v>
      </c>
      <c r="R26" s="31">
        <v>3285.6194964916813</v>
      </c>
      <c r="S26" s="32">
        <v>36.486042043443319</v>
      </c>
      <c r="T26" s="31">
        <v>3036.875037017157</v>
      </c>
      <c r="U26" s="32">
        <v>32.615204551062931</v>
      </c>
      <c r="V26" s="31">
        <v>2786.269653905239</v>
      </c>
      <c r="W26" s="32">
        <v>28.861579778290601</v>
      </c>
      <c r="X26" s="31">
        <v>2540.6120408251613</v>
      </c>
      <c r="Y26" s="32">
        <v>25.095158579254996</v>
      </c>
      <c r="Z26" s="31"/>
      <c r="AA26" s="32"/>
      <c r="AB26" s="31"/>
      <c r="AC26" s="32"/>
      <c r="AD26" s="31"/>
      <c r="AE26" s="32"/>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6438.6528295985181</v>
      </c>
      <c r="E27" s="34">
        <v>259.77233250976286</v>
      </c>
      <c r="F27" s="33">
        <v>6451.7542126500157</v>
      </c>
      <c r="G27" s="34">
        <v>246.67030029576449</v>
      </c>
      <c r="H27" s="33">
        <v>6464.4611623499131</v>
      </c>
      <c r="I27" s="34">
        <v>233.96692488752137</v>
      </c>
      <c r="J27" s="33">
        <v>6476.7152449272844</v>
      </c>
      <c r="K27" s="34">
        <v>221.71325167301183</v>
      </c>
      <c r="L27" s="33">
        <v>6488.4610876697343</v>
      </c>
      <c r="M27" s="34">
        <v>209.97008602868462</v>
      </c>
      <c r="N27" s="33">
        <v>6499.6176415363943</v>
      </c>
      <c r="O27" s="34">
        <v>198.81110899209386</v>
      </c>
      <c r="P27" s="33">
        <v>6510.0943101432613</v>
      </c>
      <c r="Q27" s="34">
        <v>188.33097821934527</v>
      </c>
      <c r="R27" s="33">
        <v>6519.7674854033176</v>
      </c>
      <c r="S27" s="34">
        <v>178.66174643929847</v>
      </c>
      <c r="T27" s="33">
        <v>6528.4143739432966</v>
      </c>
      <c r="U27" s="34">
        <v>170.01261708970148</v>
      </c>
      <c r="V27" s="33">
        <v>6535.6486912150895</v>
      </c>
      <c r="W27" s="34">
        <v>162.77918853980484</v>
      </c>
      <c r="X27" s="33">
        <v>6540.5412830069627</v>
      </c>
      <c r="Y27" s="34">
        <v>157.88305127548173</v>
      </c>
      <c r="Z27" s="33"/>
      <c r="AA27" s="34"/>
      <c r="AB27" s="33"/>
      <c r="AC27" s="34"/>
      <c r="AD27" s="33"/>
      <c r="AE27" s="34"/>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13486.066193228431</v>
      </c>
      <c r="E28" s="40">
        <v>360.61320528717289</v>
      </c>
      <c r="F28" s="39">
        <v>13177.275072220929</v>
      </c>
      <c r="G28" s="40">
        <v>339.15311069381863</v>
      </c>
      <c r="H28" s="39">
        <v>12833.261029496774</v>
      </c>
      <c r="I28" s="40">
        <v>318.00442142427926</v>
      </c>
      <c r="J28" s="39">
        <v>12450.389925458412</v>
      </c>
      <c r="K28" s="40">
        <v>297.18219790713755</v>
      </c>
      <c r="L28" s="39">
        <v>12025.023653021357</v>
      </c>
      <c r="M28" s="40">
        <v>276.69438927493934</v>
      </c>
      <c r="N28" s="39">
        <v>11553.747726819927</v>
      </c>
      <c r="O28" s="40">
        <v>256.53590118581428</v>
      </c>
      <c r="P28" s="39">
        <v>11033.796217105508</v>
      </c>
      <c r="Q28" s="40">
        <v>236.67801519462327</v>
      </c>
      <c r="R28" s="39">
        <v>10463.731367340544</v>
      </c>
      <c r="S28" s="40">
        <v>217.04918171561681</v>
      </c>
      <c r="T28" s="39">
        <v>9844.6875650275033</v>
      </c>
      <c r="U28" s="40">
        <v>197.49549686963402</v>
      </c>
      <c r="V28" s="39">
        <v>9183.1238964305212</v>
      </c>
      <c r="W28" s="40">
        <v>177.68447031563656</v>
      </c>
      <c r="X28" s="39">
        <v>8498.7645801756862</v>
      </c>
      <c r="Y28" s="40">
        <v>156.80844519243499</v>
      </c>
      <c r="Z28" s="39"/>
      <c r="AA28" s="40"/>
      <c r="AB28" s="39"/>
      <c r="AC28" s="40"/>
      <c r="AD28" s="39"/>
      <c r="AE28" s="40"/>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14061.05581552966</v>
      </c>
      <c r="E29" s="34">
        <v>766.12641640412608</v>
      </c>
      <c r="F29" s="33">
        <v>13726.517639148604</v>
      </c>
      <c r="G29" s="34">
        <v>716.01211398313501</v>
      </c>
      <c r="H29" s="33">
        <v>13355.710768467334</v>
      </c>
      <c r="I29" s="34">
        <v>666.9870127340505</v>
      </c>
      <c r="J29" s="33">
        <v>12945.041120554491</v>
      </c>
      <c r="K29" s="34">
        <v>619.11006759676832</v>
      </c>
      <c r="L29" s="33">
        <v>12490.93500053034</v>
      </c>
      <c r="M29" s="34">
        <v>572.42827816776094</v>
      </c>
      <c r="N29" s="33">
        <v>11990.069173673133</v>
      </c>
      <c r="O29" s="34">
        <v>526.96645835163088</v>
      </c>
      <c r="P29" s="33">
        <v>11439.798220932129</v>
      </c>
      <c r="Q29" s="34">
        <v>482.70896202897251</v>
      </c>
      <c r="R29" s="33">
        <v>10838.834513426609</v>
      </c>
      <c r="S29" s="34">
        <v>439.56824582647783</v>
      </c>
      <c r="T29" s="33">
        <v>10188.491994244303</v>
      </c>
      <c r="U29" s="34">
        <v>397.32194965066219</v>
      </c>
      <c r="V29" s="33">
        <v>9495.4429938427002</v>
      </c>
      <c r="W29" s="34">
        <v>355.46123090020228</v>
      </c>
      <c r="X29" s="33">
        <v>8779.6876038029131</v>
      </c>
      <c r="Y29" s="34">
        <v>312.71954485527118</v>
      </c>
      <c r="Z29" s="33"/>
      <c r="AA29" s="34"/>
      <c r="AB29" s="33"/>
      <c r="AC29" s="34"/>
      <c r="AD29" s="33"/>
      <c r="AE29" s="34"/>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2862909.5495805885</v>
      </c>
      <c r="F30" s="112">
        <v>2794393.5611671824</v>
      </c>
      <c r="H30" s="112">
        <v>2718586.6829485595</v>
      </c>
      <c r="J30" s="112">
        <v>2634760.4692751393</v>
      </c>
      <c r="L30" s="112">
        <v>2542183.7549281595</v>
      </c>
      <c r="N30" s="112">
        <v>2440166.6719658356</v>
      </c>
      <c r="P30" s="112">
        <v>2328138.4584893752</v>
      </c>
      <c r="R30" s="112">
        <v>2205772.3617533506</v>
      </c>
      <c r="T30" s="112">
        <v>2073209.538812004</v>
      </c>
      <c r="V30" s="112">
        <v>1931541.8099183729</v>
      </c>
      <c r="X30" s="112">
        <v>1784179.6494593725</v>
      </c>
      <c r="Z30" s="112"/>
      <c r="AB30" s="112"/>
      <c r="AD30" s="112"/>
      <c r="AF30" s="112"/>
      <c r="AH30" s="112"/>
      <c r="AJ30" s="112"/>
      <c r="AL30" s="112"/>
      <c r="AN30" s="112"/>
      <c r="AP30" s="112"/>
      <c r="AR30" s="112"/>
      <c r="AT30" s="112"/>
      <c r="AV30" s="112"/>
    </row>
    <row r="31" spans="1:49" x14ac:dyDescent="0.2">
      <c r="A31" t="s">
        <v>47</v>
      </c>
      <c r="B31" s="77">
        <v>1</v>
      </c>
      <c r="D31" s="77">
        <v>0.97769882610947667</v>
      </c>
      <c r="F31" s="77">
        <v>0.95313400068404119</v>
      </c>
      <c r="H31" s="77">
        <v>0.92608586209399102</v>
      </c>
      <c r="J31" s="77">
        <v>0.89632717222323022</v>
      </c>
      <c r="L31" s="77">
        <v>0.86363445613485001</v>
      </c>
      <c r="N31" s="77">
        <v>0.82780276759861049</v>
      </c>
      <c r="P31" s="77">
        <v>0.78867298702707789</v>
      </c>
      <c r="R31" s="77">
        <v>0.74617464374592357</v>
      </c>
      <c r="T31" s="77">
        <v>0.70040384382478971</v>
      </c>
      <c r="V31" s="77">
        <v>0.65179573038998551</v>
      </c>
      <c r="X31" s="77">
        <v>0.60162191090227546</v>
      </c>
      <c r="Z31" s="77"/>
      <c r="AB31" s="77"/>
      <c r="AD31" s="77"/>
      <c r="AF31" s="77"/>
      <c r="AH31" s="77"/>
      <c r="AJ31" s="77"/>
      <c r="AL31" s="77"/>
      <c r="AN31" s="77"/>
      <c r="AP31" s="77"/>
      <c r="AR31" s="77"/>
      <c r="AT31" s="77"/>
      <c r="AV31" s="77"/>
    </row>
    <row r="32" spans="1:49" x14ac:dyDescent="0.2">
      <c r="A32" t="s">
        <v>64</v>
      </c>
      <c r="B32" s="83">
        <v>14734457.915000005</v>
      </c>
      <c r="D32" s="83">
        <v>14422519.444085499</v>
      </c>
      <c r="F32" s="83">
        <v>14077355.360547042</v>
      </c>
      <c r="H32" s="83">
        <v>13695463.555913705</v>
      </c>
      <c r="J32" s="83">
        <v>13273171.134730369</v>
      </c>
      <c r="L32" s="83">
        <v>12806796.861460114</v>
      </c>
      <c r="N32" s="83">
        <v>12292863.08069917</v>
      </c>
      <c r="P32" s="83">
        <v>11728496.133163171</v>
      </c>
      <c r="R32" s="83">
        <v>11112051.441954914</v>
      </c>
      <c r="T32" s="83">
        <v>10444237.440404454</v>
      </c>
      <c r="V32" s="83">
        <v>9730556.0124437995</v>
      </c>
      <c r="X32" s="83">
        <v>8988187.2857556138</v>
      </c>
      <c r="Z32" s="83"/>
      <c r="AB32" s="83"/>
      <c r="AD32" s="83"/>
      <c r="AF32" s="83"/>
      <c r="AH32" s="83"/>
      <c r="AJ32" s="83"/>
      <c r="AL32" s="83"/>
      <c r="AN32" s="83"/>
      <c r="AP32" s="83"/>
      <c r="AR32" s="83"/>
      <c r="AT32" s="83"/>
      <c r="AV32" s="83"/>
    </row>
    <row r="33" spans="1:49 16319:16384" x14ac:dyDescent="0.2">
      <c r="A33" t="s">
        <v>54</v>
      </c>
      <c r="B33" s="111">
        <v>7019665.6909999922</v>
      </c>
      <c r="D33" s="111">
        <v>6871054.6671498092</v>
      </c>
      <c r="F33" s="111">
        <v>6706614.5203535277</v>
      </c>
      <c r="H33" s="111">
        <v>6524676.7923858538</v>
      </c>
      <c r="J33" s="111">
        <v>6323491.8108096467</v>
      </c>
      <c r="L33" s="111">
        <v>6101305.7162515838</v>
      </c>
      <c r="N33" s="111">
        <v>5856461.7462795405</v>
      </c>
      <c r="P33" s="111">
        <v>5587590.8315873221</v>
      </c>
      <c r="R33" s="111">
        <v>5293909.4657210875</v>
      </c>
      <c r="T33" s="111">
        <v>4975755.1754362881</v>
      </c>
      <c r="V33" s="111">
        <v>4635749.1134891333</v>
      </c>
      <c r="X33" s="111">
        <v>4282076.1087523941</v>
      </c>
      <c r="Z33" s="111"/>
      <c r="AB33" s="111"/>
      <c r="AD33" s="111"/>
      <c r="AF33" s="111"/>
      <c r="AH33" s="111"/>
      <c r="AJ33" s="111"/>
      <c r="AL33" s="111"/>
      <c r="AN33" s="111"/>
      <c r="AP33" s="111"/>
      <c r="AR33" s="111"/>
      <c r="AT33" s="111"/>
      <c r="AV33" s="111"/>
    </row>
    <row r="34" spans="1:49 16319:16384" x14ac:dyDescent="0.2">
      <c r="A34" t="s">
        <v>75</v>
      </c>
      <c r="B34" s="111">
        <v>1136879.4410000131</v>
      </c>
      <c r="D34" s="111">
        <v>1112810.8648301417</v>
      </c>
      <c r="F34" s="111">
        <v>1086178.7370236709</v>
      </c>
      <c r="H34" s="111">
        <v>1056712.8503515711</v>
      </c>
      <c r="J34" s="111">
        <v>1024129.6667983037</v>
      </c>
      <c r="L34" s="111">
        <v>988145.23324569687</v>
      </c>
      <c r="N34" s="111">
        <v>948491.18176766043</v>
      </c>
      <c r="P34" s="111">
        <v>904945.8173109832</v>
      </c>
      <c r="R34" s="111">
        <v>857382.26389804622</v>
      </c>
      <c r="T34" s="111">
        <v>805855.15181339916</v>
      </c>
      <c r="V34" s="111">
        <v>750789.01002907869</v>
      </c>
      <c r="X34" s="111">
        <v>693509.4027065906</v>
      </c>
      <c r="Z34" s="111"/>
      <c r="AB34" s="111"/>
      <c r="AD34" s="111"/>
      <c r="AF34" s="111"/>
      <c r="AH34" s="111"/>
      <c r="AJ34" s="111"/>
      <c r="AL34" s="111"/>
      <c r="AN34" s="111"/>
      <c r="AP34" s="111"/>
      <c r="AR34" s="111"/>
      <c r="AT34" s="111"/>
      <c r="AV34" s="111"/>
    </row>
    <row r="35" spans="1:49 16319:16384" x14ac:dyDescent="0.2">
      <c r="A35" t="s">
        <v>78</v>
      </c>
      <c r="B35" s="192">
        <v>1</v>
      </c>
      <c r="D35" s="192">
        <v>1.0011565421289623</v>
      </c>
      <c r="F35" s="192">
        <v>1.0023833204824057</v>
      </c>
      <c r="H35" s="192">
        <v>1.003677737165108</v>
      </c>
      <c r="J35" s="192">
        <v>1.0050345520968837</v>
      </c>
      <c r="L35" s="192">
        <v>1.0064448804087993</v>
      </c>
      <c r="N35" s="192">
        <v>1.0078946642886404</v>
      </c>
      <c r="P35" s="192">
        <v>1.0093624042998803</v>
      </c>
      <c r="R35" s="192">
        <v>1.0108149501888135</v>
      </c>
      <c r="T35" s="192">
        <v>1.0121983660533669</v>
      </c>
      <c r="V35" s="192">
        <v>1.0134136540859615</v>
      </c>
      <c r="X35" s="192">
        <v>1.0142332392571178</v>
      </c>
      <c r="Z35" s="192"/>
      <c r="AB35" s="192"/>
      <c r="AD35" s="192"/>
      <c r="AF35" s="192"/>
      <c r="AH35" s="192"/>
      <c r="AJ35" s="192"/>
      <c r="AL35" s="192"/>
      <c r="AN35" s="192"/>
      <c r="AP35" s="192"/>
      <c r="AR35" s="192"/>
      <c r="AT35" s="192"/>
      <c r="AV35" s="192"/>
    </row>
    <row r="36" spans="1:49 16319:16384" x14ac:dyDescent="0.2">
      <c r="A36" t="s">
        <v>21</v>
      </c>
      <c r="B36" s="35">
        <v>0.47195767671988198</v>
      </c>
      <c r="C36" s="36">
        <v>0.31738834428178964</v>
      </c>
      <c r="D36" s="35">
        <v>0.47197454704553554</v>
      </c>
      <c r="E36" s="36">
        <v>0.31888149639551877</v>
      </c>
      <c r="F36" s="35">
        <v>0.4719910423819656</v>
      </c>
      <c r="G36" s="36">
        <v>0.3203789581602729</v>
      </c>
      <c r="H36" s="35">
        <v>0.47200706349947102</v>
      </c>
      <c r="I36" s="36">
        <v>0.321871982566864</v>
      </c>
      <c r="J36" s="35">
        <v>0.47202250689328529</v>
      </c>
      <c r="K36" s="36">
        <v>0.323350589477852</v>
      </c>
      <c r="L36" s="35">
        <v>0.47203727709761989</v>
      </c>
      <c r="M36" s="36">
        <v>0.32480435286404874</v>
      </c>
      <c r="N36" s="35">
        <v>0.47205131553949864</v>
      </c>
      <c r="O36" s="36">
        <v>0.32622438418660515</v>
      </c>
      <c r="P36" s="35">
        <v>0.4720646571597088</v>
      </c>
      <c r="Q36" s="36">
        <v>0.32760764897735073</v>
      </c>
      <c r="R36" s="35">
        <v>0.47207755506187155</v>
      </c>
      <c r="S36" s="36">
        <v>0.3289666385115077</v>
      </c>
      <c r="T36" s="35">
        <v>0.47209077123854298</v>
      </c>
      <c r="U36" s="36">
        <v>0.33035218793264137</v>
      </c>
      <c r="V36" s="35">
        <v>0.47210635854875782</v>
      </c>
      <c r="W36" s="36">
        <v>0.3319146876134163</v>
      </c>
      <c r="X36" s="35">
        <v>0.47213027802946478</v>
      </c>
      <c r="Y36" s="36">
        <v>0.33410537293334475</v>
      </c>
      <c r="Z36" s="35"/>
      <c r="AA36" s="36"/>
      <c r="AB36" s="35"/>
      <c r="AC36" s="36"/>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2.0971225005217045E-2</v>
      </c>
      <c r="E37" s="38">
        <v>0.34701200979870861</v>
      </c>
      <c r="F37" s="37">
        <v>2.0547766323347386E-2</v>
      </c>
      <c r="G37" s="38">
        <v>0.34441862301946391</v>
      </c>
      <c r="H37" s="37">
        <v>2.0134538318517244E-2</v>
      </c>
      <c r="I37" s="38">
        <v>0.34185468435897132</v>
      </c>
      <c r="J37" s="37">
        <v>1.973344670165051E-2</v>
      </c>
      <c r="K37" s="38">
        <v>0.3393324592669591</v>
      </c>
      <c r="L37" s="37">
        <v>1.9346563077965746E-2</v>
      </c>
      <c r="M37" s="38">
        <v>0.33686649912098626</v>
      </c>
      <c r="N37" s="37">
        <v>1.8976033044088545E-2</v>
      </c>
      <c r="O37" s="38">
        <v>0.33447410258169608</v>
      </c>
      <c r="P37" s="37">
        <v>1.8623848151115667E-2</v>
      </c>
      <c r="Q37" s="38">
        <v>0.33217579834933847</v>
      </c>
      <c r="R37" s="37">
        <v>1.8291366472860216E-2</v>
      </c>
      <c r="S37" s="38">
        <v>0.32999641399613999</v>
      </c>
      <c r="T37" s="37">
        <v>1.7978221841248386E-2</v>
      </c>
      <c r="U37" s="38">
        <v>0.32796767760541046</v>
      </c>
      <c r="V37" s="37">
        <v>1.7679494613495106E-2</v>
      </c>
      <c r="W37" s="38">
        <v>0.3261358165014715</v>
      </c>
      <c r="X37" s="37">
        <v>1.7376929122344925E-2</v>
      </c>
      <c r="Y37" s="38">
        <v>0.3245907311344689</v>
      </c>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0.17759182895986883</v>
      </c>
      <c r="E38" s="36">
        <v>5.9666874485265288E-2</v>
      </c>
      <c r="F38" s="35">
        <v>0.17439724918918478</v>
      </c>
      <c r="G38" s="36">
        <v>5.877959861984268E-2</v>
      </c>
      <c r="H38" s="35">
        <v>0.171219648034943</v>
      </c>
      <c r="I38" s="36">
        <v>5.7907587117929198E-2</v>
      </c>
      <c r="J38" s="35">
        <v>0.16807450652785491</v>
      </c>
      <c r="K38" s="36">
        <v>5.705554277644144E-2</v>
      </c>
      <c r="L38" s="35">
        <v>0.16498059970578771</v>
      </c>
      <c r="M38" s="36">
        <v>5.6228496230844159E-2</v>
      </c>
      <c r="N38" s="35">
        <v>0.16196067708162984</v>
      </c>
      <c r="O38" s="36">
        <v>5.5431702132915539E-2</v>
      </c>
      <c r="P38" s="35">
        <v>0.15904172261008798</v>
      </c>
      <c r="Q38" s="36">
        <v>5.4669608493048728E-2</v>
      </c>
      <c r="R38" s="35">
        <v>0.15625566870363616</v>
      </c>
      <c r="S38" s="36">
        <v>5.394402647489277E-2</v>
      </c>
      <c r="T38" s="35">
        <v>0.15364088838445494</v>
      </c>
      <c r="U38" s="36">
        <v>5.3249685584532254E-2</v>
      </c>
      <c r="V38" s="35">
        <v>0.1512461677522732</v>
      </c>
      <c r="W38" s="36">
        <v>5.2562503665481257E-2</v>
      </c>
      <c r="X38" s="35">
        <v>0.14914726647667584</v>
      </c>
      <c r="Y38" s="36">
        <v>5.1803487677165791E-2</v>
      </c>
      <c r="Z38" s="35"/>
      <c r="AA38" s="36"/>
      <c r="AB38" s="35"/>
      <c r="AC38" s="36"/>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0.23608386181344754</v>
      </c>
      <c r="E39" s="38">
        <v>0.2235527027795601</v>
      </c>
      <c r="F39" s="37">
        <v>0.24232183638192881</v>
      </c>
      <c r="G39" s="38">
        <v>0.22662624481296575</v>
      </c>
      <c r="H39" s="37">
        <v>0.24953227588424556</v>
      </c>
      <c r="I39" s="38">
        <v>0.23024845678975017</v>
      </c>
      <c r="J39" s="37">
        <v>0.25792863449501974</v>
      </c>
      <c r="K39" s="38">
        <v>0.23456039917389684</v>
      </c>
      <c r="L39" s="37">
        <v>0.2677825730349821</v>
      </c>
      <c r="M39" s="38">
        <v>0.23975594980380571</v>
      </c>
      <c r="N39" s="37">
        <v>0.27944070303029173</v>
      </c>
      <c r="O39" s="38">
        <v>0.2461092663189052</v>
      </c>
      <c r="P39" s="37">
        <v>0.29334659299654259</v>
      </c>
      <c r="Q39" s="38">
        <v>0.25402679066554584</v>
      </c>
      <c r="R39" s="37">
        <v>0.31006348401320399</v>
      </c>
      <c r="S39" s="38">
        <v>0.26414851927475735</v>
      </c>
      <c r="T39" s="37">
        <v>0.330284049204632</v>
      </c>
      <c r="U39" s="38">
        <v>0.27757355902080455</v>
      </c>
      <c r="V39" s="37">
        <v>0.35477248834690883</v>
      </c>
      <c r="W39" s="38">
        <v>0.29645229956273417</v>
      </c>
      <c r="X39" s="37">
        <v>0.38396411493094645</v>
      </c>
      <c r="Y39" s="38">
        <v>0.32591516309220953</v>
      </c>
      <c r="Z39" s="37"/>
      <c r="AA39" s="38"/>
      <c r="AB39" s="37"/>
      <c r="AC39" s="38"/>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9.7458368008761731E-2</v>
      </c>
      <c r="E42" s="126"/>
      <c r="F42" s="167">
        <f>6.1%+(1-6.1%)*(1-SUM(F26:G26)/SUM($B$26:$C$26))</f>
        <v>0.13520987924873606</v>
      </c>
      <c r="G42" s="126"/>
      <c r="H42" s="167">
        <f>6.1%+(1-6.1%)*(1-SUM(H26:I26)/SUM($B$26:$C$26))</f>
        <v>0.17429434806900745</v>
      </c>
      <c r="I42" s="126"/>
      <c r="J42" s="167">
        <f>6.1%+(1-6.1%)*(1-SUM(J26:K26)/SUM($B$26:$C$26))</f>
        <v>0.21473869451100527</v>
      </c>
      <c r="K42" s="126"/>
      <c r="L42" s="167">
        <f>6.1%+(1-6.1%)*(1-SUM(L26:M26)/SUM($B$26:$C$26))</f>
        <v>0.25654953023118737</v>
      </c>
      <c r="M42" s="126"/>
      <c r="N42" s="167">
        <f>6.1%+(1-6.1%)*(1-SUM(N26:O26)/SUM($B$26:$C$26))</f>
        <v>0.2997029458962357</v>
      </c>
      <c r="O42" s="126"/>
      <c r="P42" s="167">
        <f>6.1%+(1-6.1%)*(1-SUM(P26:Q26)/SUM($B$26:$C$26))</f>
        <v>0.34412854548227462</v>
      </c>
      <c r="Q42" s="126"/>
      <c r="R42" s="167">
        <f>6.1%+(1-6.1%)*(1-SUM(R26:S26)/SUM($B$26:$C$26))</f>
        <v>0.38968212770769961</v>
      </c>
      <c r="S42" s="126"/>
      <c r="T42" s="167">
        <f>6.1%+(1-6.1%)*(1-SUM(T26:U26)/SUM($B$26:$C$26))</f>
        <v>0.43609113812743239</v>
      </c>
      <c r="U42" s="126"/>
      <c r="V42" s="167">
        <f>6.1%+(1-6.1%)*(1-SUM(V26:W26)/SUM($B$26:$C$26))</f>
        <v>0.48282049295672469</v>
      </c>
      <c r="W42" s="126"/>
      <c r="X42" s="167">
        <f>6.1%+(1-6.1%)*(1-SUM(X26:Y26)/SUM($B$26:$C$26))</f>
        <v>0.52864322319030865</v>
      </c>
      <c r="Y42" s="152"/>
      <c r="Z42" s="167">
        <f>6.1%+(1-6.1%)*(1-SUM(Z26:AA26)/SUM($B$26:$C$26))</f>
        <v>1</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0.57451572899101488</v>
      </c>
      <c r="E43" s="126"/>
      <c r="F43" s="152">
        <f t="array" ref="F43">SUM(F15:G15*F27:G27)/SUM(F15:G15*F27:G27,F13:G13*F26:G26)</f>
        <v>0.58180492490347402</v>
      </c>
      <c r="G43" s="126"/>
      <c r="H43" s="152">
        <f t="array" ref="H43">SUM(H15:I15*H27:I27)/SUM(H15:I15*H27:I27,H13:I13*H26:I26)</f>
        <v>0.58904141579820468</v>
      </c>
      <c r="I43" s="126"/>
      <c r="J43" s="152">
        <f t="array" ref="J43">SUM(J15:K15*J27:K27)/SUM(J15:K15*J27:K27,J13:K13*J26:K26)</f>
        <v>0.59619125267706374</v>
      </c>
      <c r="K43" s="126"/>
      <c r="L43" s="152">
        <f t="array" ref="L43">SUM(L15:M15*L27:M27)/SUM(L15:M15*L27:M27,L13:M13*L26:M26)</f>
        <v>0.60321374969209363</v>
      </c>
      <c r="M43" s="126"/>
      <c r="N43" s="152">
        <f t="array" ref="N43">SUM(N15:O15*N27:O27)/SUM(N15:O15*N27:O27,N13:O13*N26:O26)</f>
        <v>0.6100583560908247</v>
      </c>
      <c r="O43" s="126"/>
      <c r="P43" s="152">
        <f t="array" ref="P43">SUM(P15:Q15*P27:Q27)/SUM(P15:Q15*P27:Q27,P13:Q13*P26:Q26)</f>
        <v>0.6166646232602534</v>
      </c>
      <c r="Q43" s="126"/>
      <c r="R43" s="152">
        <f t="array" ref="R43">SUM(R15:S15*R27:S27)/SUM(R15:S15*R27:S27,R13:S13*R26:S26)</f>
        <v>0.62295889483537792</v>
      </c>
      <c r="S43" s="126"/>
      <c r="T43" s="152">
        <f t="array" ref="T43">SUM(T15:U15*T27:U27)/SUM(T15:U15*T27:U27,T13:U13*T26:U26)</f>
        <v>0.62884688220213658</v>
      </c>
      <c r="U43" s="126"/>
      <c r="V43" s="152">
        <f t="array" ref="V43">SUM(V15:W15*V27:W27)/SUM(V15:W15*V27:W27,V13:W13*V26:W26)</f>
        <v>0.6341983487402737</v>
      </c>
      <c r="W43" s="126"/>
      <c r="X43" s="152">
        <f t="array" ref="X43">SUM(X15:Y15*X27:Y27)/SUM(X15:Y15*X27:Y27,X13:Y13*X26:Y26)</f>
        <v>0.6387807425706169</v>
      </c>
      <c r="Y43" s="126"/>
      <c r="Z43" s="152" t="e">
        <f t="array" ref="Z43">SUM(Z15:AA15*Z27:AA27)/SUM(Z15:AA15*Z27:AA27,Z13:AA13*Z26:AA26)</f>
        <v>#DIV/0!</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0.29754226190682442</v>
      </c>
      <c r="D44" s="183">
        <f>(SUM(D11:E11*D24:E24)+D34)/D32</f>
        <v>0.29754225764648623</v>
      </c>
      <c r="F44" s="183">
        <f>(SUM(F11:G11*F24:G24)+F34)/F32</f>
        <v>0.29754225728904427</v>
      </c>
      <c r="H44" s="183">
        <f>(SUM(H11:I11*H24:I24)+H34)/H32</f>
        <v>0.29754226210207974</v>
      </c>
      <c r="J44" s="183">
        <f>(SUM(J11:K11*J24:K24)+J34)/J32</f>
        <v>0.29754226222903807</v>
      </c>
      <c r="L44" s="183">
        <f>(SUM(L11:M11*L24:M24)+L34)/L32</f>
        <v>0.29754226316458005</v>
      </c>
      <c r="N44" s="183">
        <f>(SUM(N11:O11*N24:O24)+N34)/N32</f>
        <v>0.29754226235060344</v>
      </c>
      <c r="P44" s="183">
        <f>(SUM(P11:Q11*P24:Q24)+P34)/P32</f>
        <v>0.29754226166800157</v>
      </c>
      <c r="R44" s="183">
        <f>(SUM(R11:S11*R24:S24)+R34)/R32</f>
        <v>0.29754226212199797</v>
      </c>
      <c r="T44" s="183">
        <f>(SUM(T11:U11*T24:U24)+T34)/T32</f>
        <v>0.29754226191498134</v>
      </c>
      <c r="V44" s="183">
        <f>(SUM(V11:W11*V24:W24)+V34)/V32</f>
        <v>0.29754226175129606</v>
      </c>
      <c r="X44" s="183">
        <f>(SUM(X11:Y11*X24:Y24)+X34)/X32</f>
        <v>0.29754225964808839</v>
      </c>
      <c r="Z44" s="183" t="e">
        <f>(SUM(Z11:AA11*Z24:AA24)+Z34)/Z32</f>
        <v>#DIV/0!</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0.22038438872182395</v>
      </c>
      <c r="F45" s="183">
        <f>SUM(F11:G11*F24:G24)/F32</f>
        <v>0.22038438855556203</v>
      </c>
      <c r="H45" s="183">
        <f>SUM(H11:I11*H24:I24)/H32</f>
        <v>0.22038438818000414</v>
      </c>
      <c r="J45" s="183">
        <f>SUM(J11:K11*J24:K24)/J32</f>
        <v>0.22038438816843908</v>
      </c>
      <c r="L45" s="183">
        <f>SUM(L11:M11*L24:M24)/L32</f>
        <v>0.22038438801944107</v>
      </c>
      <c r="N45" s="183">
        <f>SUM(N11:O11*N24:O24)/N32</f>
        <v>0.22038438826211129</v>
      </c>
      <c r="P45" s="183">
        <f>SUM(P11:Q11*P24:Q24)/P32</f>
        <v>0.22038438848149955</v>
      </c>
      <c r="R45" s="183">
        <f>SUM(R11:S11*R24:S24)/R32</f>
        <v>0.22038438822475392</v>
      </c>
      <c r="T45" s="183">
        <f>SUM(T11:U11*T24:U24)/T32</f>
        <v>0.220384388359189</v>
      </c>
      <c r="V45" s="183">
        <f>SUM(V11:W11*V24:W24)/V32</f>
        <v>0.22038438823729115</v>
      </c>
      <c r="X45" s="183">
        <f>SUM(X11:Y11*X24:Y24)/X32</f>
        <v>0.22038438780382261</v>
      </c>
      <c r="Z45" s="183" t="e">
        <f>SUM(Z11:AA11*Z24:AA24)/Z32</f>
        <v>#DIV/0!</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7.7157873574883587E-2</v>
      </c>
      <c r="D46" s="183">
        <f>D34/D32</f>
        <v>7.7157868924662254E-2</v>
      </c>
      <c r="F46" s="183">
        <f>F34/F32</f>
        <v>7.7157868733482224E-2</v>
      </c>
      <c r="H46" s="183">
        <f>H34/H32</f>
        <v>7.7157873922075612E-2</v>
      </c>
      <c r="J46" s="183">
        <f>J34/J32</f>
        <v>7.7157874060598999E-2</v>
      </c>
      <c r="L46" s="183">
        <f>L34/L32</f>
        <v>7.7157875145138957E-2</v>
      </c>
      <c r="N46" s="183">
        <f>N34/N32</f>
        <v>7.7157874088492159E-2</v>
      </c>
      <c r="P46" s="183">
        <f>P34/P32</f>
        <v>7.715787318650201E-2</v>
      </c>
      <c r="R46" s="183">
        <f>R34/R32</f>
        <v>7.7157873897244045E-2</v>
      </c>
      <c r="T46" s="183">
        <f>T34/T32</f>
        <v>7.7157873555792345E-2</v>
      </c>
      <c r="V46" s="183">
        <f>V34/V32</f>
        <v>7.715787351400491E-2</v>
      </c>
      <c r="X46" s="183">
        <f>X34/X32</f>
        <v>7.7157871844265771E-2</v>
      </c>
      <c r="Z46" s="183" t="e">
        <f>Z34/Z32</f>
        <v>#DIV/0!</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0.9798900921525342</v>
      </c>
      <c r="E48" s="181"/>
      <c r="F48" s="181">
        <f>F24/$B$24</f>
        <v>0.95744545841287187</v>
      </c>
      <c r="G48" s="181"/>
      <c r="H48" s="181">
        <f>H24/$B$24</f>
        <v>0.93241733470748478</v>
      </c>
      <c r="I48" s="181"/>
      <c r="J48" s="181">
        <f>J24/$B$24</f>
        <v>0.90454527744499824</v>
      </c>
      <c r="K48" s="181"/>
      <c r="L48" s="181">
        <f>L24/$B$24</f>
        <v>0.87356917067567186</v>
      </c>
      <c r="M48" s="181"/>
      <c r="N48" s="181">
        <f>N24/$B$24</f>
        <v>0.83924529548427185</v>
      </c>
      <c r="O48" s="181"/>
      <c r="P48" s="181">
        <f>P24/$B$24</f>
        <v>0.80137636414023916</v>
      </c>
      <c r="Q48" s="181"/>
      <c r="R48" s="181">
        <f>R24/$B$24</f>
        <v>0.7598591204962083</v>
      </c>
      <c r="S48" s="181"/>
      <c r="T48" s="181">
        <f>T24/$B$24</f>
        <v>0.71477100738587862</v>
      </c>
      <c r="U48" s="181"/>
      <c r="V48" s="181">
        <f>V24/$B$24</f>
        <v>0.66656108125092006</v>
      </c>
      <c r="W48" s="181"/>
      <c r="X48" s="181">
        <f>X24/$B$24</f>
        <v>0.61659795139388307</v>
      </c>
      <c r="Y48" s="181"/>
      <c r="Z48" s="181">
        <f>Z24/$B$24</f>
        <v>0</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0.99999999860653777</v>
      </c>
      <c r="E49" s="181"/>
      <c r="F49" s="181">
        <f>F13/F35/$B$13*$B$35</f>
        <v>0.99999999882454416</v>
      </c>
      <c r="G49" s="181"/>
      <c r="H49" s="181">
        <f>H13/H35/$B$13*$B$35</f>
        <v>1.0000000002561198</v>
      </c>
      <c r="I49" s="181"/>
      <c r="J49" s="181">
        <f>J13/J35/$B$13*$B$35</f>
        <v>1.0000000002991163</v>
      </c>
      <c r="K49" s="181"/>
      <c r="L49" s="181">
        <f>L13/L35/$B$13*$B$35</f>
        <v>1.0000000007106296</v>
      </c>
      <c r="M49" s="181"/>
      <c r="N49" s="181">
        <f>N13/N35/$B$13*$B$35</f>
        <v>1.0000000001901306</v>
      </c>
      <c r="O49" s="181"/>
      <c r="P49" s="181">
        <f>P13/P35/$B$13*$B$35</f>
        <v>0.99999999979806087</v>
      </c>
      <c r="Q49" s="181"/>
      <c r="R49" s="181">
        <f>R13/R35/$B$13*$B$35</f>
        <v>1.0000000001255316</v>
      </c>
      <c r="S49" s="181"/>
      <c r="T49" s="181">
        <f>T13/T35/$B$13*$B$35</f>
        <v>0.99999999998337419</v>
      </c>
      <c r="U49" s="181"/>
      <c r="V49" s="181">
        <f>V13/V35/$B$13*$B$35</f>
        <v>1.0000000000254299</v>
      </c>
      <c r="W49" s="181"/>
      <c r="X49" s="181">
        <f>X13/X35/$B$13*$B$35</f>
        <v>1.0000000000575529</v>
      </c>
      <c r="Y49" s="181"/>
      <c r="Z49" s="181" t="e">
        <f>Z13/Z35/$B$13*$B$35</f>
        <v>#DIV/0!</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-397246.23101155693</v>
      </c>
      <c r="F51" s="27">
        <f>F30-F10*F23</f>
        <v>-387739.18838913692</v>
      </c>
      <c r="H51" s="27">
        <f>H30-H10*H23</f>
        <v>-377220.87361613521</v>
      </c>
      <c r="J51" s="27">
        <f>J30-J10*J23</f>
        <v>-365589.48826474044</v>
      </c>
      <c r="L51" s="27">
        <f>L30-L10*L23</f>
        <v>-352744.06823248742</v>
      </c>
      <c r="N51" s="27">
        <f>N30-N10*N23</f>
        <v>-338588.37065635482</v>
      </c>
      <c r="P51" s="27">
        <f>P30-P10*P23</f>
        <v>-323043.57766069286</v>
      </c>
      <c r="R51" s="27">
        <f>R30-R10*R23</f>
        <v>-306064.69162520207</v>
      </c>
      <c r="T51" s="27">
        <f>T30-T10*T23</f>
        <v>-287670.69416108634</v>
      </c>
      <c r="V51" s="27">
        <f>V30-V10*V23</f>
        <v>-268013.44499609247</v>
      </c>
      <c r="X51" s="27">
        <f>X30-X10*X23</f>
        <v>-247565.97239990346</v>
      </c>
      <c r="Z51" s="27">
        <f>Z30-Z10*Z23</f>
        <v>0</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1994906.0451561816</v>
      </c>
      <c r="F52" s="27">
        <f t="array" ref="F52">Calibration!sL*SUM(F13:G13*F26:G26)</f>
        <v>1913805.3485152111</v>
      </c>
      <c r="H52" s="27">
        <f t="array" ref="H52">Calibration!sL*SUM(H13:I13*H26:I26)</f>
        <v>1829669.9773479572</v>
      </c>
      <c r="J52" s="27">
        <f t="array" ref="J52">Calibration!sL*SUM(J13:K13*J26:K26)</f>
        <v>1742402.1722325666</v>
      </c>
      <c r="L52" s="27">
        <f t="array" ref="L52">Calibration!sL*SUM(L13:M13*L26:M26)</f>
        <v>1651943.7263153533</v>
      </c>
      <c r="N52" s="27">
        <f t="array" ref="N52">Calibration!sL*SUM(N13:O13*N26:O26)</f>
        <v>1558298.5228443118</v>
      </c>
      <c r="P52" s="27">
        <f t="array" ref="P52">Calibration!sL*SUM(P13:Q13*P26:Q26)</f>
        <v>1461568.1396051624</v>
      </c>
      <c r="R52" s="27">
        <f t="array" ref="R52">Calibration!sL*SUM(R13:S13*R26:S26)</f>
        <v>1362012.0751040403</v>
      </c>
      <c r="T52" s="27">
        <f t="array" ref="T52">Calibration!sL*SUM(T13:U13*T26:U26)</f>
        <v>1260166.020250502</v>
      </c>
      <c r="V52" s="27">
        <f t="array" ref="V52">Calibration!sL*SUM(V13:W13*V26:W26)</f>
        <v>1157127.6535221022</v>
      </c>
      <c r="X52" s="27">
        <f t="array" ref="X52">Calibration!sL*SUM(X13:Y13*X26:Y26)</f>
        <v>1055457.6409867471</v>
      </c>
      <c r="Z52" s="27">
        <f t="array" ref="Z52">Calibration!sL*SUM(Z13:AA13*Z26:AA26)</f>
        <v>0</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2693648.1061535734</v>
      </c>
      <c r="F53" s="27">
        <f t="array" ref="F53">Calibration!sK*SUM(F15:G15*F27:G27)</f>
        <v>2662540.6260840246</v>
      </c>
      <c r="H53" s="27">
        <f t="array" ref="H53">Calibration!sK*SUM(H15:I15*H27:I27)</f>
        <v>2622530.4333131919</v>
      </c>
      <c r="J53" s="27">
        <f t="array" ref="J53">Calibration!sK*SUM(J15:K15*J27:K27)</f>
        <v>2572517.1646661037</v>
      </c>
      <c r="L53" s="27">
        <f t="array" ref="L53">Calibration!sK*SUM(L15:M15*L27:M27)</f>
        <v>2511365.1711916635</v>
      </c>
      <c r="N53" s="27">
        <f t="array" ref="N53">Calibration!sK*SUM(N15:O15*N27:O27)</f>
        <v>2437936.6758954986</v>
      </c>
      <c r="P53" s="27">
        <f t="array" ref="P53">Calibration!sK*SUM(P15:Q15*P27:Q27)</f>
        <v>2351197.9871106818</v>
      </c>
      <c r="R53" s="27">
        <f t="array" ref="R53">Calibration!sK*SUM(R15:S15*R27:S27)</f>
        <v>2250358.1849220232</v>
      </c>
      <c r="T53" s="27">
        <f t="array" ref="T53">Calibration!sK*SUM(T15:U15*T27:U27)</f>
        <v>2135106.6039628042</v>
      </c>
      <c r="V53" s="27">
        <f t="array" ref="V53">Calibration!sK*SUM(V15:W15*V27:W27)</f>
        <v>2006137.6011241083</v>
      </c>
      <c r="X53" s="27">
        <f t="array" ref="X53">Calibration!sK*SUM(X15:Y15*X27:Y27)</f>
        <v>1866473.0680732066</v>
      </c>
      <c r="Z53" s="27">
        <f t="array" ref="Z53">Calibration!sK*SUM(Z15:AA15*Z27:AA27)</f>
        <v>0</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0.19850273460748449</v>
      </c>
      <c r="F55" s="183">
        <f>F30/F32</f>
        <v>0.19850273645849012</v>
      </c>
      <c r="H55" s="183">
        <f>H30/H32</f>
        <v>0.19850271382560636</v>
      </c>
      <c r="J55" s="183">
        <f>J30/J32</f>
        <v>0.19850271216507312</v>
      </c>
      <c r="L55" s="183">
        <f>L30/L32</f>
        <v>0.19850269996695513</v>
      </c>
      <c r="N55" s="183">
        <f>N30/N32</f>
        <v>0.19850271299263902</v>
      </c>
      <c r="P55" s="183">
        <f>P30/P32</f>
        <v>0.19850272635605817</v>
      </c>
      <c r="R55" s="183">
        <f>R30/R32</f>
        <v>0.19850271331764954</v>
      </c>
      <c r="T55" s="183">
        <f>T30/T32</f>
        <v>0.19850271986268811</v>
      </c>
      <c r="V55" s="183">
        <f>V30/V32</f>
        <v>0.19850271736252736</v>
      </c>
      <c r="X55" s="183">
        <f>X30/X32</f>
        <v>0.19850272282231168</v>
      </c>
      <c r="Z55" s="183" t="e">
        <f>Z30/Z32</f>
        <v>#DIV/0!</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3.1948164854377389E-2</v>
      </c>
      <c r="F56" s="183">
        <f>(Model!$C$52*F5*F20+F2*G5*G20)/F32</f>
        <v>3.4664679247484002E-2</v>
      </c>
      <c r="H56" s="183">
        <f>(Model!$C$52*H5*H20+H2*I5*I20)/H32</f>
        <v>3.7360737881191541E-2</v>
      </c>
      <c r="J56" s="183">
        <f>(Model!$C$52*J5*J20+J2*K5*K20)/J32</f>
        <v>4.0023881878618682E-2</v>
      </c>
      <c r="L56" s="183">
        <f>(Model!$C$52*L5*L20+L2*M5*M20)/L32</f>
        <v>4.2638850469880474E-2</v>
      </c>
      <c r="N56" s="183">
        <f>(Model!$C$52*N5*N20+N2*O5*O20)/N32</f>
        <v>4.5187033883689165E-2</v>
      </c>
      <c r="P56" s="183">
        <f>(Model!$C$52*P5*P20+P2*Q5*Q20)/P32</f>
        <v>4.7645956672860451E-2</v>
      </c>
      <c r="R56" s="183">
        <f>(Model!$C$52*R5*R20+R2*S5*S20)/R32</f>
        <v>4.9988307139253431E-2</v>
      </c>
      <c r="T56" s="183">
        <f>(Model!$C$52*T5*T20+T2*U5*U20)/T32</f>
        <v>5.21797716179059E-2</v>
      </c>
      <c r="V56" s="183">
        <f>(Model!$C$52*V5*V20+V2*W5*W20)/V32</f>
        <v>5.4172926460288678E-2</v>
      </c>
      <c r="X56" s="183">
        <f>(Model!$C$52*X5*X20+X2*Y5*Y20)/X32</f>
        <v>5.5884566826262416E-2</v>
      </c>
      <c r="Z56" s="183" t="e">
        <f>(Model!$C$52*Z5*Z20+Z2*AA5*AA20)/Z32</f>
        <v>#DIV/0!</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0.15584931303169205</v>
      </c>
      <c r="F57" s="183">
        <f t="array" ref="F57">SUM(Model!tauL*F13:G13*F26:G26)/F32</f>
        <v>0.15317936653776665</v>
      </c>
      <c r="H57" s="183">
        <f t="array" ref="H57">SUM(Model!tauL*H13:I13*H26:I26)/H32</f>
        <v>0.15052880168832802</v>
      </c>
      <c r="J57" s="183">
        <f t="array" ref="J57">SUM(Model!tauL*J13:K13*J26:K26)/J32</f>
        <v>0.14790991550914978</v>
      </c>
      <c r="L57" s="183">
        <f t="array" ref="L57">SUM(Model!tauL*L13:M13*L26:M26)/L32</f>
        <v>0.14533770802615931</v>
      </c>
      <c r="N57" s="183">
        <f t="array" ref="N57">SUM(Model!tauL*N13:O13*N26:O26)/N32</f>
        <v>0.14283057797808027</v>
      </c>
      <c r="P57" s="183">
        <f t="array" ref="P57">SUM(Model!tauL*P13:Q13*P26:Q26)/P32</f>
        <v>0.14041073651382124</v>
      </c>
      <c r="R57" s="183">
        <f t="array" ref="R57">SUM(Model!tauL*R13:S13*R26:S26)/R32</f>
        <v>0.1381052834915738</v>
      </c>
      <c r="T57" s="183">
        <f t="array" ref="T57">SUM(Model!tauL*T13:U13*T26:U26)/T32</f>
        <v>0.13594855862243416</v>
      </c>
      <c r="V57" s="183">
        <f t="array" ref="V57">SUM(Model!tauL*V13:W13*V26:W26)/V32</f>
        <v>0.13398839804897206</v>
      </c>
      <c r="X57" s="183">
        <f t="array" ref="X57">SUM(Model!tauL*X13:Y13*X26:Y26)/X32</f>
        <v>0.13230987958471258</v>
      </c>
      <c r="Y57" s="183"/>
      <c r="Z57" s="183" t="e">
        <f t="array" ref="Z57">SUM(Model!tauL*Z13:AA13*Z26:AA26)/Z32</f>
        <v>#DIV/0!</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1.0705256721415028E-2</v>
      </c>
      <c r="F58" s="183">
        <f t="array" ref="F58">SUM(Model!tauY/(1+Model!tauY)*F3:G3*F18:G18)/F32</f>
        <v>1.0658690673239449E-2</v>
      </c>
      <c r="H58" s="183">
        <f t="array" ref="H58">SUM(Model!tauY/(1+Model!tauY)*H3:I3*H18:I18)/H32</f>
        <v>1.0613174256086801E-2</v>
      </c>
      <c r="J58" s="183">
        <f t="array" ref="J58">SUM(Model!tauY/(1+Model!tauY)*J3:K3*J18:K18)/J32</f>
        <v>1.0568914777304657E-2</v>
      </c>
      <c r="L58" s="183">
        <f t="array" ref="L58">SUM(Model!tauY/(1+Model!tauY)*L3:M3*L18:M18)/L32</f>
        <v>1.0526141470915339E-2</v>
      </c>
      <c r="N58" s="183">
        <f t="array" ref="N58">SUM(Model!tauY/(1+Model!tauY)*N3:O3*N18:O18)/N32</f>
        <v>1.0485101130869591E-2</v>
      </c>
      <c r="P58" s="183">
        <f t="array" ref="P58">SUM(Model!tauY/(1+Model!tauY)*P3:Q3*P18:Q18)/P32</f>
        <v>1.0446033169376461E-2</v>
      </c>
      <c r="R58" s="183">
        <f t="array" ref="R58">SUM(Model!tauY/(1+Model!tauY)*R3:S3*R18:S18)/R32</f>
        <v>1.0409122686822316E-2</v>
      </c>
      <c r="T58" s="183">
        <f t="array" ref="T58">SUM(Model!tauY/(1+Model!tauY)*T3:U3*T18:U18)/T32</f>
        <v>1.0374389622348053E-2</v>
      </c>
      <c r="V58" s="183">
        <f t="array" ref="V58">SUM(Model!tauY/(1+Model!tauY)*V3:W3*V18:W18)/V32</f>
        <v>1.0341392853266627E-2</v>
      </c>
      <c r="X58" s="183">
        <f t="array" ref="X58">SUM(Model!tauY/(1+Model!tauY)*X3:Y3*X18:Y18)/X32</f>
        <v>1.0308276411336676E-2</v>
      </c>
      <c r="Y58" s="183"/>
      <c r="Z58" s="183" t="e">
        <f t="array" ref="Z58">SUM(Model!tauY/(1+Model!tauY)*Z3:AA3*Z18:AA18)/Z32</f>
        <v>#DIV/0!</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3.3125635891915225E-3</v>
      </c>
      <c r="F59" s="183">
        <f>(F2*G5*G20)/F32</f>
        <v>6.0624542898506609E-3</v>
      </c>
      <c r="H59" s="183">
        <f>(H2*I5*I20)/H32</f>
        <v>8.7912850018765695E-3</v>
      </c>
      <c r="J59" s="183">
        <f>(J2*K5*K20)/J32</f>
        <v>1.1486457058392E-2</v>
      </c>
      <c r="L59" s="183">
        <f>(L2*M5*M20)/L32</f>
        <v>1.4132548811346885E-2</v>
      </c>
      <c r="N59" s="183">
        <f>(N2*O5*O20)/N32</f>
        <v>1.6710768431872962E-2</v>
      </c>
      <c r="P59" s="183">
        <f>(P2*Q5*Q20)/P32</f>
        <v>1.9198446560830307E-2</v>
      </c>
      <c r="R59" s="183">
        <f>(R2*S5*S20)/R32</f>
        <v>2.1568083622969369E-2</v>
      </c>
      <c r="T59" s="183">
        <f>(T2*U5*U20)/T32</f>
        <v>2.3785226440750717E-2</v>
      </c>
      <c r="V59" s="183">
        <f>(V2*W5*W20)/V32</f>
        <v>2.5802469108362515E-2</v>
      </c>
      <c r="X59" s="183">
        <f>(X2*Y5*Y20)/X32</f>
        <v>2.7537084002843798E-2</v>
      </c>
      <c r="Z59" s="183" t="e">
        <f>(Z2*AA5*AA20)/Z32</f>
        <v>#DIV/0!</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2.8635601265185866E-2</v>
      </c>
      <c r="F60" s="183">
        <f>Model!$C$52*F5*F20/F32</f>
        <v>2.8602224957633343E-2</v>
      </c>
      <c r="H60" s="183">
        <f>Model!$C$52*H5*H20/H32</f>
        <v>2.8569452879314974E-2</v>
      </c>
      <c r="J60" s="183">
        <f>Model!$C$52*J5*J20/J32</f>
        <v>2.8537424820226687E-2</v>
      </c>
      <c r="L60" s="183">
        <f>Model!$C$52*L5*L20/L32</f>
        <v>2.8506301658533587E-2</v>
      </c>
      <c r="N60" s="183">
        <f>Model!$C$52*N5*N20/N32</f>
        <v>2.84762654518162E-2</v>
      </c>
      <c r="P60" s="183">
        <f>Model!$C$52*P5*P20/P32</f>
        <v>2.8447510112030141E-2</v>
      </c>
      <c r="R60" s="183">
        <f>Model!$C$52*R5*R20/R32</f>
        <v>2.8420223516284059E-2</v>
      </c>
      <c r="T60" s="183">
        <f>Model!$C$52*T5*T20/T32</f>
        <v>2.8394545177155176E-2</v>
      </c>
      <c r="V60" s="183">
        <f>Model!$C$52*V5*V20/V32</f>
        <v>2.8370457351926164E-2</v>
      </c>
      <c r="X60" s="183">
        <f>Model!$C$52*X5*X20/X32</f>
        <v>2.8347482823418618E-2</v>
      </c>
      <c r="Z60" s="183" t="e">
        <f>Model!$C$52*Z5*Z20/Z32</f>
        <v>#DIV/0!</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1.0097868599184179</v>
      </c>
      <c r="F62">
        <f>F13/F15</f>
        <v>1.0228362970438927</v>
      </c>
      <c r="H62">
        <f>H13/H15</f>
        <v>1.0397825620381469</v>
      </c>
      <c r="J62">
        <f>J13/J15</f>
        <v>1.0614303789874131</v>
      </c>
      <c r="L62">
        <f>L13/L15</f>
        <v>1.0888024858121592</v>
      </c>
      <c r="N62">
        <f>N13/N15</f>
        <v>1.123211505707516</v>
      </c>
      <c r="P62">
        <f>P13/P15</f>
        <v>1.1663436169785704</v>
      </c>
      <c r="R62">
        <f>R13/R15</f>
        <v>1.2203625078577016</v>
      </c>
      <c r="T62">
        <f>T13/T15</f>
        <v>1.2879967649688433</v>
      </c>
      <c r="V62">
        <f>V13/V15</f>
        <v>1.3724445128115923</v>
      </c>
      <c r="X62">
        <f>X13/X15</f>
        <v>1.4763340747827707</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0.99901525038048811</v>
      </c>
      <c r="E65" s="181"/>
      <c r="F65" s="181">
        <f t="array" ref="F65">SQRT((F9:G9*$B$22:$C$22+F10:G10*$B$23:$C$23+F11:G11*$B$24:$C$24+F4:G4*($B$25:$C$25-$B$19:$C$19))/($B$9:$C$9*$B$22:$C$22+$B$10:$C$10*$B$23:$C$23+$B$11:$C$11*$B$24:$C$24+$B$4:$C$4*($B$25:$C$25-$B$19:$C$19))*(F9:G9*F22:G22+F10:G10*F23:G23+F11:G11*F24:G24+F4:G4*(F25:G25-F19:G19))/($B$9:$C$9*F22:G22+$B$10:$C$10*F23:G23+$B$11:$C$11*F24:G24+$B$4:$C$4*(F25:G25-F19:G19)))</f>
        <v>0.99806059142116343</v>
      </c>
      <c r="G65" s="181"/>
      <c r="H65" s="181">
        <f t="array" ref="H65">SQRT((H9:I9*$B$22:$C$22+H10:I10*$B$23:$C$23+H11:I11*$B$24:$C$24+H4:I4*($B$25:$C$25-$B$19:$C$19))/($B$9:$C$9*$B$22:$C$22+$B$10:$C$10*$B$23:$C$23+$B$11:$C$11*$B$24:$C$24+$B$4:$C$4*($B$25:$C$25-$B$19:$C$19))*(H9:I9*H22:I22+H10:I10*H23:I23+H11:I11*H24:I24+H4:I4*(H25:I25-H19:I19))/($B$9:$C$9*H22:I22+$B$10:$C$10*H23:I23+$B$11:$C$11*H24:I24+$B$4:$C$4*(H25:I25-H19:I19)))</f>
        <v>0.99714098492691405</v>
      </c>
      <c r="I65" s="181"/>
      <c r="J65" s="181">
        <f t="array" ref="J65">SQRT((J9:K9*$B$22:$C$22+J10:K10*$B$23:$C$23+J11:K11*$B$24:$C$24+J4:K4*($B$25:$C$25-$B$19:$C$19))/($B$9:$C$9*$B$22:$C$22+$B$10:$C$10*$B$23:$C$23+$B$11:$C$11*$B$24:$C$24+$B$4:$C$4*($B$25:$C$25-$B$19:$C$19))*(J9:K9*J22:K22+J10:K10*J23:K23+J11:K11*J24:K24+J4:K4*(J25:K25-J19:K19))/($B$9:$C$9*J22:K22+$B$10:$C$10*J23:K23+$B$11:$C$11*J24:K24+$B$4:$C$4*(J25:K25-J19:K19)))</f>
        <v>0.99626151690115639</v>
      </c>
      <c r="K65" s="181"/>
      <c r="L65" s="181">
        <f t="array" ref="L65">SQRT((L9:M9*$B$22:$C$22+L10:M10*$B$23:$C$23+L11:M11*$B$24:$C$24+L4:M4*($B$25:$C$25-$B$19:$C$19))/($B$9:$C$9*$B$22:$C$22+$B$10:$C$10*$B$23:$C$23+$B$11:$C$11*$B$24:$C$24+$B$4:$C$4*($B$25:$C$25-$B$19:$C$19))*(L9:M9*L22:M22+L10:M10*L23:M23+L11:M11*L24:M24+L4:M4*(L25:M25-L19:M19))/($B$9:$C$9*L22:M22+$B$10:$C$10*L23:M23+$B$11:$C$11*L24:M24+$B$4:$C$4*(L25:M25-L19:M19)))</f>
        <v>0.99542666320786666</v>
      </c>
      <c r="M65" s="181"/>
      <c r="N65" s="181">
        <f t="array" ref="N65">SQRT((N9:O9*$B$22:$C$22+N10:O10*$B$23:$C$23+N11:O11*$B$24:$C$24+N4:O4*($B$25:$C$25-$B$19:$C$19))/($B$9:$C$9*$B$22:$C$22+$B$10:$C$10*$B$23:$C$23+$B$11:$C$11*$B$24:$C$24+$B$4:$C$4*($B$25:$C$25-$B$19:$C$19))*(N9:O9*N22:O22+N10:O10*N23:O23+N11:O11*N24:O24+N4:O4*(N25:O25-N19:O19))/($B$9:$C$9*N22:O22+$B$10:$C$10*N23:O23+$B$11:$C$11*N24:O24+$B$4:$C$4*(N25:O25-N19:O19)))</f>
        <v>0.99463877166511672</v>
      </c>
      <c r="O65" s="181"/>
      <c r="P65" s="181">
        <f t="array" ref="P65">SQRT((P9:Q9*$B$22:$C$22+P10:Q10*$B$23:$C$23+P11:Q11*$B$24:$C$24+P4:Q4*($B$25:$C$25-$B$19:$C$19))/($B$9:$C$9*$B$22:$C$22+$B$10:$C$10*$B$23:$C$23+$B$11:$C$11*$B$24:$C$24+$B$4:$C$4*($B$25:$C$25-$B$19:$C$19))*(P9:Q9*P22:Q22+P10:Q10*P23:Q23+P11:Q11*P24:Q24+P4:Q4*(P25:Q25-P19:Q19))/($B$9:$C$9*P22:Q22+$B$10:$C$10*P23:Q23+$B$11:$C$11*P24:Q24+$B$4:$C$4*(P25:Q25-P19:Q19)))</f>
        <v>0.99389495817471796</v>
      </c>
      <c r="Q65" s="181"/>
      <c r="R65" s="181">
        <f t="array" ref="R65">SQRT((R9:S9*$B$22:$C$22+R10:S10*$B$23:$C$23+R11:S11*$B$24:$C$24+R4:S4*($B$25:$C$25-$B$19:$C$19))/($B$9:$C$9*$B$22:$C$22+$B$10:$C$10*$B$23:$C$23+$B$11:$C$11*$B$24:$C$24+$B$4:$C$4*($B$25:$C$25-$B$19:$C$19))*(R9:S9*R22:S22+R10:S10*R23:S23+R11:S11*R24:S24+R4:S4*(R25:S25-R19:S19))/($B$9:$C$9*R22:S22+$B$10:$C$10*R23:S23+$B$11:$C$11*R24:S24+$B$4:$C$4*(R25:S25-R19:S19)))</f>
        <v>0.9931804141313374</v>
      </c>
      <c r="S65" s="181"/>
      <c r="T65" s="181">
        <f t="array" ref="T65">SQRT((T9:U9*$B$22:$C$22+T10:U10*$B$23:$C$23+T11:U11*$B$24:$C$24+T4:U4*($B$25:$C$25-$B$19:$C$19))/($B$9:$C$9*$B$22:$C$22+$B$10:$C$10*$B$23:$C$23+$B$11:$C$11*$B$24:$C$24+$B$4:$C$4*($B$25:$C$25-$B$19:$C$19))*(T9:U9*T22:U22+T10:U10*T23:U23+T11:U11*T24:U24+T4:U4*(T25:U25-T19:U19))/($B$9:$C$9*T22:U22+$B$10:$C$10*T23:U23+$B$11:$C$11*T24:U24+$B$4:$C$4*(T25:U25-T19:U19)))</f>
        <v>0.99245281519257578</v>
      </c>
      <c r="U65" s="181"/>
      <c r="V65" s="181">
        <f t="array" ref="V65">SQRT((V9:W9*$B$22:$C$22+V10:W10*$B$23:$C$23+V11:W11*$B$24:$C$24+V4:W4*($B$25:$C$25-$B$19:$C$19))/($B$9:$C$9*$B$22:$C$22+$B$10:$C$10*$B$23:$C$23+$B$11:$C$11*$B$24:$C$24+$B$4:$C$4*($B$25:$C$25-$B$19:$C$19))*(V9:W9*V22:W22+V10:W10*V23:W23+V11:W11*V24:W24+V4:W4*(V25:W25-V19:W19))/($B$9:$C$9*V22:W22+$B$10:$C$10*V23:W23+$B$11:$C$11*V24:W24+$B$4:$C$4*(V25:W25-V19:W19)))</f>
        <v>0.99160056162050358</v>
      </c>
      <c r="W65" s="181"/>
      <c r="X65" s="181">
        <f t="array" ref="X65">SQRT((X9:Y9*$B$22:$C$22+X10:Y10*$B$23:$C$23+X11:Y11*$B$24:$C$24+X4:Y4*($B$25:$C$25-$B$19:$C$19))/($B$9:$C$9*$B$22:$C$22+$B$10:$C$10*$B$23:$C$23+$B$11:$C$11*$B$24:$C$24+$B$4:$C$4*($B$25:$C$25-$B$19:$C$19))*(X9:Y9*X22:Y22+X10:Y10*X23:Y23+X11:Y11*X24:Y24+X4:Y4*(X25:Y25-X19:Y19))/($B$9:$C$9*X22:Y22+$B$10:$C$10*X23:Y23+$B$11:$C$11*X24:Y24+$B$4:$C$4*(X25:Y25-X19:Y19)))</f>
        <v>0.99030492989083652</v>
      </c>
      <c r="Y65" s="181"/>
      <c r="Z65" s="181" t="e">
        <f t="array" ref="Z65">SQRT((Z9:AA9*$B$22:$C$22+Z10:AA10*$B$23:$C$23+Z11:AA11*$B$24:$C$24+Z4:AA4*($B$25:$C$25-$B$19:$C$19))/($B$9:$C$9*$B$22:$C$22+$B$10:$C$10*$B$23:$C$23+$B$11:$C$11*$B$24:$C$24+$B$4:$C$4*($B$25:$C$25-$B$19:$C$19))*(Z9:AA9*Z22:AA22+Z10:AA10*Z23:AA23+Z11:AA11*Z24:AA24+Z4:AA4*(Z25:AA25-Z19:AA19))/($B$9:$C$9*Z22:AA22+$B$10:$C$10*Z23:AA23+$B$11:$C$11*Z24:AA24+$B$4:$C$4*(Z25:AA25-Z19:AA19)))</f>
        <v>#DIV/0!</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0.9989174613590952</v>
      </c>
      <c r="E66" s="181"/>
      <c r="F66" s="181">
        <f t="array" ref="F66">SQRT((F9:G9*$B$22:$C$22)/($B$9:$C$9*$B$22:$C$22)*(F9:G9*F22:G22)/($B$9:$C$9*F22:G22))</f>
        <v>0.99786747712836577</v>
      </c>
      <c r="G66" s="181"/>
      <c r="H66" s="181">
        <f t="array" ref="H66">SQRT((H9:I9*$B$22:$C$22)/($B$9:$C$9*$B$22:$C$22)*(H9:I9*H22:I22)/($B$9:$C$9*H22:I22))</f>
        <v>0.99685555807588377</v>
      </c>
      <c r="I66" s="181"/>
      <c r="J66" s="181">
        <f t="array" ref="J66">SQRT((J9:K9*$B$22:$C$22)/($B$9:$C$9*$B$22:$C$22)*(J9:K9*J22:K22)/($B$9:$C$9*J22:K22))</f>
        <v>0.99588736027031644</v>
      </c>
      <c r="K66" s="181"/>
      <c r="L66" s="181">
        <f t="array" ref="L66">SQRT((L9:M9*$B$22:$C$22)/($B$9:$C$9*$B$22:$C$22)*(L9:M9*L22:M22)/($B$9:$C$9*L22:M22))</f>
        <v>0.99496787516873408</v>
      </c>
      <c r="M66" s="181"/>
      <c r="N66" s="181">
        <f t="array" ref="N66">SQRT((N9:O9*$B$22:$C$22)/($B$9:$C$9*$B$22:$C$22)*(N9:O9*N22:O22)/($B$9:$C$9*N22:O22))</f>
        <v>0.99409975372453052</v>
      </c>
      <c r="O66" s="181"/>
      <c r="P66" s="181">
        <f t="array" ref="P66">SQRT((P9:Q9*$B$22:$C$22)/($B$9:$C$9*$B$22:$C$22)*(P9:Q9*P22:Q22)/($B$9:$C$9*P22:Q22))</f>
        <v>0.99327987777920601</v>
      </c>
      <c r="Q66" s="181"/>
      <c r="R66" s="181">
        <f t="array" ref="R66">SQRT((R9:S9*$B$22:$C$22)/($B$9:$C$9*$B$22:$C$22)*(R9:S9*R22:S22)/($B$9:$C$9*R22:S22))</f>
        <v>0.99249196560503239</v>
      </c>
      <c r="S66" s="181"/>
      <c r="T66" s="181">
        <f t="array" ref="T66">SQRT((T9:U9*$B$22:$C$22)/($B$9:$C$9*$B$22:$C$22)*(T9:U9*T22:U22)/($B$9:$C$9*T22:U22))</f>
        <v>0.99168934177739732</v>
      </c>
      <c r="U66" s="181"/>
      <c r="V66" s="181">
        <f t="array" ref="V66">SQRT((V9:W9*$B$22:$C$22)/($B$9:$C$9*$B$22:$C$22)*(V9:W9*V22:W22)/($B$9:$C$9*V22:W22))</f>
        <v>0.99074876887828756</v>
      </c>
      <c r="W66" s="181"/>
      <c r="X66" s="181">
        <f t="array" ref="X66">SQRT((X9:Y9*$B$22:$C$22)/($B$9:$C$9*$B$22:$C$22)*(X9:Y9*X22:Y22)/($B$9:$C$9*X22:Y22))</f>
        <v>0.98931791149584214</v>
      </c>
      <c r="Y66" s="181"/>
      <c r="Z66" s="181" t="e">
        <f t="array" ref="Z66">SQRT((Z9:AA9*$B$22:$C$22)/($B$9:$C$9*$B$22:$C$22)*(Z9:AA9*Z22:AA22)/($B$9:$C$9*Z22:AA22))</f>
        <v>#DIV/0!</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t="e">
        <f t="array" ref="Z67">SQRT((Z4:AA4*$B$19:$C$19)/($B$4:$C$4*$B$19:$C$19)*(Z4:AA4*Z19:AA19)/($B$4:$C$4*Z19:AA19))</f>
        <v>#DIV/0!</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0.9989174613590952</v>
      </c>
      <c r="E68" s="181"/>
      <c r="F68" s="181">
        <f>F66/F67</f>
        <v>0.99786747712836577</v>
      </c>
      <c r="G68" s="181"/>
      <c r="H68" s="181">
        <f>H66/H67</f>
        <v>0.99685555807588377</v>
      </c>
      <c r="I68" s="181"/>
      <c r="J68" s="181">
        <f>J66/J67</f>
        <v>0.99588736027031644</v>
      </c>
      <c r="K68" s="181"/>
      <c r="L68" s="181">
        <f>L66/L67</f>
        <v>0.99496787516873408</v>
      </c>
      <c r="M68" s="181"/>
      <c r="N68" s="181">
        <f>N66/N67</f>
        <v>0.99409975372453052</v>
      </c>
      <c r="O68" s="181"/>
      <c r="P68" s="181">
        <f>P66/P67</f>
        <v>0.99327987777920601</v>
      </c>
      <c r="Q68" s="181"/>
      <c r="R68" s="181">
        <f>R66/R67</f>
        <v>0.99249196560503239</v>
      </c>
      <c r="S68" s="181"/>
      <c r="T68" s="181">
        <f>T66/T67</f>
        <v>0.99168934177739732</v>
      </c>
      <c r="U68" s="181"/>
      <c r="V68" s="181">
        <f>V66/V67</f>
        <v>0.99074876887828756</v>
      </c>
      <c r="W68" s="181"/>
      <c r="X68" s="181">
        <f>X66/X67</f>
        <v>0.98931791149584214</v>
      </c>
      <c r="Y68" s="181"/>
      <c r="Z68" s="181" t="e">
        <f>Z66/Z67</f>
        <v>#DIV/0!</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0.97979417347181397</v>
      </c>
      <c r="E69" s="181"/>
      <c r="F69" s="181">
        <f>F32/F65/($B$32)</f>
        <v>0.95726020175248594</v>
      </c>
      <c r="G69" s="181"/>
      <c r="H69" s="181">
        <f>H32/H65/($B$32)</f>
        <v>0.93215043533526776</v>
      </c>
      <c r="I69" s="181"/>
      <c r="J69" s="181">
        <f>J32/J65/($B$32)</f>
        <v>0.90420556649622308</v>
      </c>
      <c r="K69" s="181"/>
      <c r="L69" s="181">
        <f>L32/L65/($B$32)</f>
        <v>0.87316654748984845</v>
      </c>
      <c r="M69" s="181"/>
      <c r="N69" s="181">
        <f>N32/N65/($B$32)</f>
        <v>0.83879048915723453</v>
      </c>
      <c r="O69" s="181"/>
      <c r="P69" s="181">
        <f>P32/P65/($B$32)</f>
        <v>0.80088042497973144</v>
      </c>
      <c r="Q69" s="181"/>
      <c r="R69" s="181">
        <f>R32/R65/($B$32)</f>
        <v>0.75933240498967092</v>
      </c>
      <c r="S69" s="181"/>
      <c r="T69" s="181">
        <f>T32/T65/($B$32)</f>
        <v>0.7142211487514275</v>
      </c>
      <c r="U69" s="181"/>
      <c r="V69" s="181">
        <f>V32/V65/($B$32)</f>
        <v>0.66598850028474732</v>
      </c>
      <c r="W69" s="181"/>
      <c r="X69" s="181">
        <f>X32/X65/($B$32)</f>
        <v>0.61598340122840267</v>
      </c>
      <c r="Y69" s="181"/>
      <c r="Z69" s="181" t="e">
        <f>Z32/Z65/($B$32)</f>
        <v>#DIV/0!</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0.97902595565861716</v>
      </c>
      <c r="E70" s="129"/>
      <c r="F70" s="129">
        <f>F18/$B$18</f>
        <v>0.95576420261795514</v>
      </c>
      <c r="G70" s="129"/>
      <c r="H70" s="129">
        <f>H18/$B$18</f>
        <v>0.92997462949334664</v>
      </c>
      <c r="I70" s="129"/>
      <c r="J70" s="129">
        <f>J18/$B$18</f>
        <v>0.90140661779142928</v>
      </c>
      <c r="K70" s="129"/>
      <c r="L70" s="129">
        <f>L18/$B$18</f>
        <v>0.86981099276802032</v>
      </c>
      <c r="M70" s="129"/>
      <c r="N70" s="129">
        <f>N18/$B$18</f>
        <v>0.83495609892459011</v>
      </c>
      <c r="O70" s="129"/>
      <c r="P70" s="129">
        <f>P18/$B$18</f>
        <v>0.79665764728088573</v>
      </c>
      <c r="Q70" s="129"/>
      <c r="R70" s="129">
        <f>R18/$B$18</f>
        <v>0.75482622922395026</v>
      </c>
      <c r="S70" s="129"/>
      <c r="T70" s="129">
        <f>T18/$B$18</f>
        <v>0.70955425679214246</v>
      </c>
      <c r="U70" s="129"/>
      <c r="V70" s="129">
        <f>V18/$B$18</f>
        <v>0.66130874137032514</v>
      </c>
      <c r="W70" s="129"/>
      <c r="X70" s="129">
        <f>X18/$B$18</f>
        <v>0.61148886301717409</v>
      </c>
      <c r="Y70" s="129"/>
      <c r="Z70" s="129">
        <f>Z18/$B$18</f>
        <v>0</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0.93956087359065144</v>
      </c>
      <c r="E71" s="129"/>
      <c r="F71" s="129">
        <f>G18/$C$18</f>
        <v>0.88007283093220845</v>
      </c>
      <c r="G71" s="129"/>
      <c r="H71" s="129">
        <f>I18/$C$18</f>
        <v>0.821617522730966</v>
      </c>
      <c r="I71" s="129"/>
      <c r="J71" s="129">
        <f>K18/$C$18</f>
        <v>0.76427369714334237</v>
      </c>
      <c r="K71" s="129"/>
      <c r="L71" s="129">
        <f>M18/$C$18</f>
        <v>0.70810879202733978</v>
      </c>
      <c r="M71" s="129"/>
      <c r="N71" s="129">
        <f>O18/$C$18</f>
        <v>0.65316760369899851</v>
      </c>
      <c r="O71" s="129"/>
      <c r="P71" s="129">
        <f>Q18/$C$18</f>
        <v>0.59945169807076271</v>
      </c>
      <c r="Q71" s="129"/>
      <c r="R71" s="129">
        <f>S18/$C$18</f>
        <v>0.54688416480791413</v>
      </c>
      <c r="S71" s="129"/>
      <c r="T71" s="129">
        <f>U18/$C$18</f>
        <v>0.49523919935511568</v>
      </c>
      <c r="U71" s="129"/>
      <c r="V71" s="129">
        <f>W18/$C$18</f>
        <v>0.44397243792638846</v>
      </c>
      <c r="W71" s="129"/>
      <c r="X71" s="129">
        <f>Y18/$C$18</f>
        <v>0.39169037405568291</v>
      </c>
      <c r="Y71" s="129"/>
      <c r="Z71" s="129">
        <f>AA18/$C$18</f>
        <v>0</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0.99183002462596659</v>
      </c>
      <c r="E72" s="129"/>
      <c r="F72" s="129">
        <f>G19/$C$19</f>
        <v>0.98062306681676503</v>
      </c>
      <c r="G72" s="129"/>
      <c r="H72" s="129">
        <f>I19/$C$19</f>
        <v>0.96593550116264415</v>
      </c>
      <c r="I72" s="129"/>
      <c r="J72" s="129">
        <f>K19/$C$19</f>
        <v>0.94731494617566403</v>
      </c>
      <c r="K72" s="129"/>
      <c r="L72" s="129">
        <f>M19/$C$19</f>
        <v>0.92433365716651428</v>
      </c>
      <c r="M72" s="129"/>
      <c r="N72" s="129">
        <f>O19/$C$19</f>
        <v>0.89664794090651057</v>
      </c>
      <c r="O72" s="129"/>
      <c r="P72" s="129">
        <f>Q19/$C$19</f>
        <v>0.8640971759138586</v>
      </c>
      <c r="Q72" s="129"/>
      <c r="R72" s="129">
        <f>S19/$C$19</f>
        <v>0.82688180860082061</v>
      </c>
      <c r="S72" s="129"/>
      <c r="T72" s="129">
        <f>U19/$C$19</f>
        <v>0.78591670123484569</v>
      </c>
      <c r="U72" s="129"/>
      <c r="V72" s="129">
        <f>W19/$C$19</f>
        <v>0.74368570487501962</v>
      </c>
      <c r="W72" s="129"/>
      <c r="X72" s="129">
        <f>Y19/$C$19</f>
        <v>0.70696328946126297</v>
      </c>
      <c r="Y72" s="129"/>
      <c r="Z72" s="129">
        <f>AA19/$C$19</f>
        <v>0</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0.47641153352875104</v>
      </c>
      <c r="D73" s="183">
        <f t="array" ref="D73">SUM(D9:E9*D22:E22)/D32</f>
        <v>0.47641153778908896</v>
      </c>
      <c r="E73" s="129"/>
      <c r="F73" s="183">
        <f t="array" ref="F73">SUM(F9:G9*F22:G22)/F32</f>
        <v>0.47641153814653092</v>
      </c>
      <c r="G73" s="129"/>
      <c r="H73" s="183">
        <f t="array" ref="H73">SUM(H9:I9*H22:I22)/H32</f>
        <v>0.47641153333349534</v>
      </c>
      <c r="I73" s="129"/>
      <c r="J73" s="183">
        <f t="array" ref="J73">SUM(J9:K9*J22:K22)/J32</f>
        <v>0.47641153320653712</v>
      </c>
      <c r="K73" s="129"/>
      <c r="L73" s="183">
        <f t="array" ref="L73">SUM(L9:M9*L22:M22)/L32</f>
        <v>0.47641153227099509</v>
      </c>
      <c r="M73" s="129"/>
      <c r="N73" s="183">
        <f t="array" ref="N73">SUM(N9:O9*N22:O22)/N32</f>
        <v>0.47641153308497153</v>
      </c>
      <c r="O73" s="129"/>
      <c r="P73" s="183">
        <f t="array" ref="P73">SUM(P9:Q9*P22:Q22)/P32</f>
        <v>0.47641153376757372</v>
      </c>
      <c r="Q73" s="129"/>
      <c r="R73" s="183">
        <f t="array" ref="R73">SUM(R9:S9*R22:S22)/R32</f>
        <v>0.47641153331357738</v>
      </c>
      <c r="S73" s="129"/>
      <c r="T73" s="183">
        <f t="array" ref="T73">SUM(T9:U9*T22:U22)/T32</f>
        <v>0.47641153352059395</v>
      </c>
      <c r="U73" s="129"/>
      <c r="V73" s="183">
        <f t="array" ref="V73">SUM(V9:W9*V22:W22)/V32</f>
        <v>0.47641153368427896</v>
      </c>
      <c r="W73" s="129"/>
      <c r="X73" s="183">
        <f t="array" ref="X73">SUM(X9:Y9*X22:Y22)/X32</f>
        <v>0.47641153578748674</v>
      </c>
      <c r="Y73" s="129"/>
      <c r="Z73" s="183" t="e">
        <f t="array" ref="Z73">SUM(Z9:AA9*Z22:AA22)/Z32</f>
        <v>#DIV/0!</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0.22604620456442481</v>
      </c>
      <c r="E74" s="129"/>
      <c r="F74" s="183">
        <f t="array" ref="F74">SUM(F10:G10*F23:G23)/F32</f>
        <v>0.22604620456442484</v>
      </c>
      <c r="G74" s="129"/>
      <c r="H74" s="183">
        <f t="array" ref="H74">SUM(H10:I10*H23:I23)/H32</f>
        <v>0.22604620456442484</v>
      </c>
      <c r="I74" s="129"/>
      <c r="J74" s="183">
        <f t="array" ref="J74">SUM(J10:K10*J23:K23)/J32</f>
        <v>0.22604620456442481</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0.22604620456442487</v>
      </c>
      <c r="U74" s="129"/>
      <c r="V74" s="183">
        <f t="array" ref="V74">SUM(V10:W10*V23:W23)/V32</f>
        <v>0.22604620456442487</v>
      </c>
      <c r="W74" s="129"/>
      <c r="X74" s="183">
        <f t="array" ref="X74">SUM(X10:Y10*X23:Y23)/X32</f>
        <v>0.22604620456442484</v>
      </c>
      <c r="Y74" s="129"/>
      <c r="Z74" s="183" t="e">
        <f t="array" ref="Z74">SUM(Z10:AA10*Z23:AA23)/Z32</f>
        <v>#DIV/0!</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0.22038438872182395</v>
      </c>
      <c r="E75" s="129"/>
      <c r="F75" s="183">
        <f t="array" ref="F75">SUM(F11:G11*F24:G24)/F32</f>
        <v>0.22038438855556203</v>
      </c>
      <c r="G75" s="129"/>
      <c r="H75" s="183">
        <f t="array" ref="H75">SUM(H11:I11*H24:I24)/H32</f>
        <v>0.22038438818000414</v>
      </c>
      <c r="I75" s="129"/>
      <c r="J75" s="183">
        <f t="array" ref="J75">SUM(J11:K11*J24:K24)/J32</f>
        <v>0.22038438816843908</v>
      </c>
      <c r="K75" s="129"/>
      <c r="L75" s="183">
        <f t="array" ref="L75">SUM(L11:M11*L24:M24)/L32</f>
        <v>0.22038438801944107</v>
      </c>
      <c r="M75" s="129"/>
      <c r="N75" s="183">
        <f t="array" ref="N75">SUM(N11:O11*N24:O24)/N32</f>
        <v>0.22038438826211129</v>
      </c>
      <c r="O75" s="129"/>
      <c r="P75" s="183">
        <f t="array" ref="P75">SUM(P11:Q11*P24:Q24)/P32</f>
        <v>0.22038438848149955</v>
      </c>
      <c r="Q75" s="129"/>
      <c r="R75" s="183">
        <f t="array" ref="R75">SUM(R11:S11*R24:S24)/R32</f>
        <v>0.22038438822475392</v>
      </c>
      <c r="S75" s="129"/>
      <c r="T75" s="183">
        <f t="array" ref="T75">SUM(T11:U11*T24:U24)/T32</f>
        <v>0.220384388359189</v>
      </c>
      <c r="U75" s="129"/>
      <c r="V75" s="183">
        <f t="array" ref="V75">SUM(V11:W11*V24:W24)/V32</f>
        <v>0.22038438823729115</v>
      </c>
      <c r="W75" s="129"/>
      <c r="X75" s="183">
        <f t="array" ref="X75">SUM(X11:Y11*X24:Y24)/X32</f>
        <v>0.22038438780382261</v>
      </c>
      <c r="Y75" s="129"/>
      <c r="Z75" s="183" t="e">
        <f t="array" ref="Z75">SUM(Z11:AA11*Z24:AA24)/Z32</f>
        <v>#DIV/0!</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0.22301874374724831</v>
      </c>
      <c r="D76" s="183">
        <f t="array" ref="D76">SUM(D12:E12*D25:E25)/D32</f>
        <v>0.22296597157252185</v>
      </c>
      <c r="E76" s="129"/>
      <c r="F76" s="183">
        <f t="array" ref="F76">SUM(F12:G12*F25:G25)/F32</f>
        <v>0.22291687655105055</v>
      </c>
      <c r="G76" s="129"/>
      <c r="H76" s="183">
        <f t="array" ref="H76">SUM(H12:I12*H25:I25)/H32</f>
        <v>0.22287036844494382</v>
      </c>
      <c r="I76" s="129"/>
      <c r="J76" s="183">
        <f t="array" ref="J76">SUM(J12:K12*J25:K25)/J32</f>
        <v>0.22282543083131587</v>
      </c>
      <c r="K76" s="129"/>
      <c r="L76" s="183">
        <f t="array" ref="L76">SUM(L12:M12*L25:M25)/L32</f>
        <v>0.22278140667200277</v>
      </c>
      <c r="M76" s="129"/>
      <c r="N76" s="183">
        <f t="array" ref="N76">SUM(N12:O12*N25:O25)/N32</f>
        <v>0.222738665892663</v>
      </c>
      <c r="O76" s="129"/>
      <c r="P76" s="183">
        <f t="array" ref="P76">SUM(P12:Q12*P25:Q25)/P32</f>
        <v>0.22269987475079914</v>
      </c>
      <c r="Q76" s="129"/>
      <c r="R76" s="183">
        <f t="array" ref="R76">SUM(R12:S12*R25:S25)/R32</f>
        <v>0.22267279636160595</v>
      </c>
      <c r="S76" s="129"/>
      <c r="T76" s="183">
        <f t="array" ref="T76">SUM(T12:U12*T25:U25)/T32</f>
        <v>0.22267684629382659</v>
      </c>
      <c r="U76" s="129"/>
      <c r="V76" s="183">
        <f t="array" ref="V76">SUM(V12:W12*V25:W25)/V32</f>
        <v>0.22276084812505262</v>
      </c>
      <c r="W76" s="129"/>
      <c r="X76" s="183">
        <f t="array" ref="X76">SUM(X12:Y12*X25:Y25)/X32</f>
        <v>0.2230632558547187</v>
      </c>
      <c r="Y76" s="129"/>
      <c r="Z76" s="183" t="e">
        <f t="array" ref="Z76">SUM(Z12:AA12*Z25:AA25)/Z32</f>
        <v>#DIV/0!</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0.14586087017236474</v>
      </c>
      <c r="D77" s="183">
        <f t="array" ref="D77">SUM(D4:E4*D19:E19)/D32</f>
        <v>0.14580810264785957</v>
      </c>
      <c r="E77" s="129"/>
      <c r="F77" s="183">
        <f t="array" ref="F77">SUM(F4:G4*F19:G19)/F32</f>
        <v>0.14575900781756834</v>
      </c>
      <c r="G77" s="129"/>
      <c r="H77" s="183">
        <f t="array" ref="H77">SUM(H4:I4*H19:I19)/H32</f>
        <v>0.14571249452286816</v>
      </c>
      <c r="I77" s="129"/>
      <c r="J77" s="183">
        <f t="array" ref="J77">SUM(J4:K4*J19:K19)/J32</f>
        <v>0.14566755677071688</v>
      </c>
      <c r="K77" s="129"/>
      <c r="L77" s="183">
        <f t="array" ref="L77">SUM(L4:M4*L19:M19)/L32</f>
        <v>0.14562353152686383</v>
      </c>
      <c r="M77" s="129"/>
      <c r="N77" s="183">
        <f t="array" ref="N77">SUM(N4:O4*N19:O19)/N32</f>
        <v>0.14558079180417083</v>
      </c>
      <c r="O77" s="129"/>
      <c r="P77" s="183">
        <f t="array" ref="P77">SUM(P4:Q4*P19:Q19)/P32</f>
        <v>0.14554200156429714</v>
      </c>
      <c r="Q77" s="129"/>
      <c r="R77" s="183">
        <f t="array" ref="R77">SUM(R4:S4*R19:S19)/R32</f>
        <v>0.14551492246436187</v>
      </c>
      <c r="S77" s="129"/>
      <c r="T77" s="183">
        <f t="array" ref="T77">SUM(T4:U4*T19:U19)/T32</f>
        <v>0.14551897273803427</v>
      </c>
      <c r="U77" s="129"/>
      <c r="V77" s="183">
        <f t="array" ref="V77">SUM(V4:W4*V19:W19)/V32</f>
        <v>0.14560297461104768</v>
      </c>
      <c r="W77" s="129"/>
      <c r="X77" s="183">
        <f t="array" ref="X77">SUM(X4:Y4*X19:Y19)/X32</f>
        <v>0.14590538401045294</v>
      </c>
      <c r="Y77" s="129"/>
      <c r="Z77" s="183" t="e">
        <f t="array" ref="Z77">SUM(Z4:AA4*Z19:AA19)/Z32</f>
        <v>#DIV/0!</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0.34102438725063172</v>
      </c>
      <c r="E78" s="129"/>
      <c r="F78" s="183">
        <f t="array" ref="F78">SUM(F13:G13*F26:G26)/F32</f>
        <v>0.33518209735296806</v>
      </c>
      <c r="G78" s="129"/>
      <c r="H78" s="183">
        <f t="array" ref="H78">SUM(H13:I13*H26:I26)/H32</f>
        <v>0.32938221773807325</v>
      </c>
      <c r="I78" s="129"/>
      <c r="J78" s="183">
        <f t="array" ref="J78">SUM(J13:K13*J26:K26)/J32</f>
        <v>0.32365165635695381</v>
      </c>
      <c r="K78" s="129"/>
      <c r="L78" s="183">
        <f t="array" ref="L78">SUM(L13:M13*L26:M26)/L32</f>
        <v>0.31802323577745506</v>
      </c>
      <c r="M78" s="129"/>
      <c r="N78" s="183">
        <f t="array" ref="N78">SUM(N13:O13*N26:O26)/N32</f>
        <v>0.31253721551999047</v>
      </c>
      <c r="O78" s="129"/>
      <c r="P78" s="183">
        <f t="array" ref="P78">SUM(P13:Q13*P26:Q26)/P32</f>
        <v>0.30724219729668401</v>
      </c>
      <c r="Q78" s="129"/>
      <c r="R78" s="183">
        <f t="array" ref="R78">SUM(R13:S13*R26:S26)/R32</f>
        <v>0.30219748013397718</v>
      </c>
      <c r="S78" s="129"/>
      <c r="T78" s="183">
        <f t="array" ref="T78">SUM(T13:U13*T26:U26)/T32</f>
        <v>0.29747820506847217</v>
      </c>
      <c r="U78" s="129"/>
      <c r="V78" s="183">
        <f t="array" ref="V78">SUM(V13:W13*V26:W26)/V32</f>
        <v>0.29318904558823872</v>
      </c>
      <c r="W78" s="129"/>
      <c r="X78" s="183">
        <f t="array" ref="X78">SUM(X13:Y13*X26:Y26)/X32</f>
        <v>0.28951616619192999</v>
      </c>
      <c r="Y78" s="129"/>
      <c r="Z78" s="183" t="e">
        <f t="array" ref="Z78">SUM(Z13:AA13*Z26:AA26)/Z32</f>
        <v>#DIV/0!</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0.46047266090565658</v>
      </c>
      <c r="F79" s="183">
        <f t="array" ref="F79">SUM(F15:G15*F27:G27)/F32</f>
        <v>0.46631490084961202</v>
      </c>
      <c r="H79" s="183">
        <f t="array" ref="H79">SUM(H15:I15*H27:I27)/H32</f>
        <v>0.47211513601068039</v>
      </c>
      <c r="J79" s="183">
        <f t="array" ref="J79">SUM(J15:K15*J27:K27)/J32</f>
        <v>0.47784573195524455</v>
      </c>
      <c r="L79" s="183">
        <f t="array" ref="L79">SUM(L15:M15*L27:M27)/L32</f>
        <v>0.48347438550016919</v>
      </c>
      <c r="N79" s="183">
        <f t="array" ref="N79">SUM(N15:O15*N27:O27)/N32</f>
        <v>0.48896018903212801</v>
      </c>
      <c r="P79" s="183">
        <f t="array" ref="P79">SUM(P15:Q15*P27:Q27)/P32</f>
        <v>0.49425491447465225</v>
      </c>
      <c r="R79" s="183">
        <f t="array" ref="R79">SUM(R15:S15*R27:S27)/R32</f>
        <v>0.49929995872493177</v>
      </c>
      <c r="T79" s="183">
        <f t="array" ref="T79">SUM(T15:U15*T27:U27)/T32</f>
        <v>0.50401904984744661</v>
      </c>
      <c r="V79" s="183">
        <f t="array" ref="V79">SUM(V15:W15*V27:W27)/V32</f>
        <v>0.50830828111482962</v>
      </c>
      <c r="X79" s="183">
        <f t="array" ref="X79">SUM(X15:Y15*X27:Y27)/X32</f>
        <v>0.51198087538960657</v>
      </c>
      <c r="Z79" s="183" t="e">
        <f t="array" ref="Z79">SUM(Z15:AA15*Z27:AA27)/Z32</f>
        <v>#DIV/0!</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0.19850273460748449</v>
      </c>
      <c r="F80" s="195">
        <f>F55</f>
        <v>0.19850273645849012</v>
      </c>
      <c r="H80" s="195">
        <f>H55</f>
        <v>0.19850271382560636</v>
      </c>
      <c r="J80" s="195">
        <f>J55</f>
        <v>0.19850271216507312</v>
      </c>
      <c r="L80" s="195">
        <f>L55</f>
        <v>0.19850269996695513</v>
      </c>
      <c r="N80" s="195">
        <f>N55</f>
        <v>0.19850271299263902</v>
      </c>
      <c r="P80" s="195">
        <f>P55</f>
        <v>0.19850272635605817</v>
      </c>
      <c r="R80" s="195">
        <f>R55</f>
        <v>0.19850271331764954</v>
      </c>
      <c r="T80" s="195">
        <f>T55</f>
        <v>0.19850271986268811</v>
      </c>
      <c r="V80" s="195">
        <f>V55</f>
        <v>0.19850271736252736</v>
      </c>
      <c r="X80" s="195">
        <f>X55</f>
        <v>0.19850272282231168</v>
      </c>
      <c r="Z80" s="195" t="e">
        <f>Z55</f>
        <v>#DIV/0!</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-2.7543469956940347E-2</v>
      </c>
      <c r="F81" s="195">
        <f>F51/F$32</f>
        <v>-2.7543468105934742E-2</v>
      </c>
      <c r="H81" s="195">
        <f>H51/H$32</f>
        <v>-2.7543490738818486E-2</v>
      </c>
      <c r="J81" s="195">
        <f>J51/J$32</f>
        <v>-2.7543492399351711E-2</v>
      </c>
      <c r="L81" s="195">
        <f>L51/L$32</f>
        <v>-2.7543504597469719E-2</v>
      </c>
      <c r="N81" s="195">
        <f>N51/N$32</f>
        <v>-2.7543491571785834E-2</v>
      </c>
      <c r="P81" s="195">
        <f>P51/P$32</f>
        <v>-2.7543478208366695E-2</v>
      </c>
      <c r="R81" s="195">
        <f>R51/R$32</f>
        <v>-2.7543491246775305E-2</v>
      </c>
      <c r="T81" s="195">
        <f>T51/T$32</f>
        <v>-2.7543484701736756E-2</v>
      </c>
      <c r="V81" s="195">
        <f>V51/V$32</f>
        <v>-2.754348720189749E-2</v>
      </c>
      <c r="X81" s="195">
        <f>X51/X$32</f>
        <v>-2.7543481742113168E-2</v>
      </c>
      <c r="Z81" s="195" t="e">
        <f>Z51/Z$32</f>
        <v>#DIV/0!</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0.13831883207994344</v>
      </c>
      <c r="F82" s="195">
        <f>F52/F$32</f>
        <v>0.13594921059383142</v>
      </c>
      <c r="H82" s="195">
        <f>H52/H$32</f>
        <v>0.13359679063640786</v>
      </c>
      <c r="J82" s="195">
        <f>J52/J$32</f>
        <v>0.13127248602057309</v>
      </c>
      <c r="L82" s="195">
        <f>L52/L$32</f>
        <v>0.12898960951638097</v>
      </c>
      <c r="N82" s="195">
        <f>N52/N$32</f>
        <v>0.12676449030746723</v>
      </c>
      <c r="P82" s="195">
        <f>P52/P$32</f>
        <v>0.12461684115429537</v>
      </c>
      <c r="R82" s="195">
        <f>R52/R$32</f>
        <v>0.12257071362733225</v>
      </c>
      <c r="T82" s="195">
        <f>T52/T$32</f>
        <v>0.12065658478573443</v>
      </c>
      <c r="V82" s="195">
        <f>V52/V$32</f>
        <v>0.11891690999387126</v>
      </c>
      <c r="X82" s="195">
        <f>X52/X$32</f>
        <v>0.11742719721243743</v>
      </c>
      <c r="Z82" s="195" t="e">
        <f>Z52/Z$32</f>
        <v>#DIV/0!</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0.18676682091478863</v>
      </c>
      <c r="F83" s="195">
        <f>F53/F$32</f>
        <v>0.18913642213977322</v>
      </c>
      <c r="H83" s="195">
        <f>H53/H$32</f>
        <v>0.19148898630603725</v>
      </c>
      <c r="J83" s="195">
        <f>J53/J$32</f>
        <v>0.1938133049407384</v>
      </c>
      <c r="L83" s="195">
        <f>L53/L$32</f>
        <v>0.19609627593525683</v>
      </c>
      <c r="N83" s="195">
        <f>N53/N$32</f>
        <v>0.19832130724072444</v>
      </c>
      <c r="P83" s="195">
        <f>P53/P$32</f>
        <v>0.20046883764257717</v>
      </c>
      <c r="R83" s="195">
        <f>R53/R$32</f>
        <v>0.20251509783562732</v>
      </c>
      <c r="T83" s="195">
        <f>T53/T$32</f>
        <v>0.20442915207030393</v>
      </c>
      <c r="V83" s="195">
        <f>V53/V$32</f>
        <v>0.2061688559788962</v>
      </c>
      <c r="X83" s="195">
        <f>X53/X$32</f>
        <v>0.20765845311558803</v>
      </c>
      <c r="Z83" s="195" t="e">
        <f>Z53/Z$32</f>
        <v>#DIV/0!</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6.1692434892421988E-2</v>
      </c>
      <c r="E2" s="189"/>
      <c r="F2" s="188">
        <v>0.12244159806063513</v>
      </c>
      <c r="G2" s="189"/>
      <c r="H2" s="188">
        <v>0.18877164195265397</v>
      </c>
      <c r="I2" s="189"/>
      <c r="J2" s="188">
        <v>0.26161832174956012</v>
      </c>
      <c r="K2" s="189"/>
      <c r="L2" s="188">
        <v>0.34216561729218048</v>
      </c>
      <c r="M2" s="189"/>
      <c r="N2" s="188">
        <v>0.4319494489535422</v>
      </c>
      <c r="O2" s="189"/>
      <c r="P2" s="188">
        <v>0.53301192704299349</v>
      </c>
      <c r="Q2" s="189"/>
      <c r="R2" s="188">
        <v>0.64814794055571545</v>
      </c>
      <c r="S2" s="189"/>
      <c r="T2" s="188">
        <v>0.78130786476492908</v>
      </c>
      <c r="U2" s="189"/>
      <c r="V2" s="188">
        <v>0.93828320210320515</v>
      </c>
      <c r="W2" s="189"/>
      <c r="X2" s="188">
        <v>1.1279187643426889</v>
      </c>
      <c r="Y2" s="189"/>
      <c r="Z2" s="188">
        <v>1.3643588651128182</v>
      </c>
      <c r="AA2" s="189"/>
      <c r="AB2" s="188">
        <v>1.671381869689512</v>
      </c>
      <c r="AC2" s="189"/>
      <c r="AD2" s="188">
        <v>2.0910386981846805</v>
      </c>
      <c r="AE2" s="189"/>
      <c r="AF2" s="188">
        <v>2.7006940334751128</v>
      </c>
      <c r="AG2" s="189"/>
      <c r="AH2" s="188">
        <v>3.6426014450345385</v>
      </c>
      <c r="AI2" s="189"/>
      <c r="AJ2" s="188">
        <v>5.1512404591900003</v>
      </c>
      <c r="AK2" s="189"/>
      <c r="AL2" s="188">
        <v>7.4618729343776664</v>
      </c>
      <c r="AM2" s="189"/>
      <c r="AN2" s="188"/>
      <c r="AO2" s="189"/>
      <c r="AP2" s="188"/>
      <c r="AQ2" s="189"/>
      <c r="AR2" s="188"/>
      <c r="AS2" s="189"/>
      <c r="AT2" s="188"/>
      <c r="AU2" s="189"/>
      <c r="AV2" s="188"/>
      <c r="AW2" s="189"/>
    </row>
    <row r="3" spans="1:49" x14ac:dyDescent="0.2">
      <c r="A3" t="s">
        <v>12</v>
      </c>
      <c r="B3" s="81">
        <v>1000</v>
      </c>
      <c r="C3" s="82">
        <v>1000</v>
      </c>
      <c r="D3" s="81">
        <v>998.03503440847942</v>
      </c>
      <c r="E3" s="82">
        <v>1023.9331441469486</v>
      </c>
      <c r="F3" s="81">
        <v>996.00326988417874</v>
      </c>
      <c r="G3" s="82">
        <v>1050.439317216393</v>
      </c>
      <c r="H3" s="81">
        <v>993.89197889469222</v>
      </c>
      <c r="I3" s="82">
        <v>1079.9671772834433</v>
      </c>
      <c r="J3" s="81">
        <v>991.68788010326159</v>
      </c>
      <c r="K3" s="82">
        <v>1113.0732311948052</v>
      </c>
      <c r="L3" s="81">
        <v>989.37743796390203</v>
      </c>
      <c r="M3" s="82">
        <v>1150.4562667212856</v>
      </c>
      <c r="N3" s="81">
        <v>986.94746369238226</v>
      </c>
      <c r="O3" s="82">
        <v>1193.0123781150412</v>
      </c>
      <c r="P3" s="81">
        <v>984.3863166823254</v>
      </c>
      <c r="Q3" s="82">
        <v>1241.9134655950063</v>
      </c>
      <c r="R3" s="81">
        <v>981.68606441679538</v>
      </c>
      <c r="S3" s="82">
        <v>1298.7302728933421</v>
      </c>
      <c r="T3" s="81">
        <v>978.84632760746842</v>
      </c>
      <c r="U3" s="82">
        <v>1365.6275271660681</v>
      </c>
      <c r="V3" s="81">
        <v>975.88100596293907</v>
      </c>
      <c r="W3" s="82">
        <v>1445.6889241435347</v>
      </c>
      <c r="X3" s="81">
        <v>972.83011392209164</v>
      </c>
      <c r="Y3" s="82">
        <v>1543.4757398833722</v>
      </c>
      <c r="Z3" s="81">
        <v>969.78050831952703</v>
      </c>
      <c r="AA3" s="82">
        <v>1666.0326112390253</v>
      </c>
      <c r="AB3" s="81">
        <v>966.90131108941591</v>
      </c>
      <c r="AC3" s="82">
        <v>1824.7698665195173</v>
      </c>
      <c r="AD3" s="81">
        <v>964.49950746312732</v>
      </c>
      <c r="AE3" s="82">
        <v>2039.0767712484096</v>
      </c>
      <c r="AF3" s="81">
        <v>963.08220414953735</v>
      </c>
      <c r="AG3" s="82">
        <v>2343.1388217349268</v>
      </c>
      <c r="AH3" s="81">
        <v>963.32646094194365</v>
      </c>
      <c r="AI3" s="82">
        <v>2797.0628228750961</v>
      </c>
      <c r="AJ3" s="81">
        <v>965.69044436683282</v>
      </c>
      <c r="AK3" s="82">
        <v>3495.5067024391437</v>
      </c>
      <c r="AL3" s="81">
        <v>969.59866914572081</v>
      </c>
      <c r="AM3" s="82">
        <v>4527.7563198000043</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997.93758616806031</v>
      </c>
      <c r="E5" s="40">
        <v>1020.7914862561669</v>
      </c>
      <c r="F5" s="39">
        <v>995.80381982634083</v>
      </c>
      <c r="G5" s="40">
        <v>1043.2969324583139</v>
      </c>
      <c r="H5" s="39">
        <v>993.58519289147603</v>
      </c>
      <c r="I5" s="40">
        <v>1067.7211744293008</v>
      </c>
      <c r="J5" s="39">
        <v>991.26757465762819</v>
      </c>
      <c r="K5" s="40">
        <v>1094.2932360712964</v>
      </c>
      <c r="L5" s="39">
        <v>988.83652280008209</v>
      </c>
      <c r="M5" s="40">
        <v>1123.2675936322607</v>
      </c>
      <c r="N5" s="39">
        <v>986.27790943237642</v>
      </c>
      <c r="O5" s="40">
        <v>1154.9267205221831</v>
      </c>
      <c r="P5" s="39">
        <v>983.57918406966269</v>
      </c>
      <c r="Q5" s="40">
        <v>1189.580360752057</v>
      </c>
      <c r="R5" s="39">
        <v>980.73165258949666</v>
      </c>
      <c r="S5" s="40">
        <v>1227.5623518651657</v>
      </c>
      <c r="T5" s="39">
        <v>977.7345480491648</v>
      </c>
      <c r="U5" s="40">
        <v>1269.2194621391848</v>
      </c>
      <c r="V5" s="39">
        <v>974.60216976945333</v>
      </c>
      <c r="W5" s="40">
        <v>1314.8874420492466</v>
      </c>
      <c r="X5" s="39">
        <v>971.3764729835251</v>
      </c>
      <c r="Y5" s="40">
        <v>1364.8375609012</v>
      </c>
      <c r="Z5" s="39">
        <v>968.14915129790734</v>
      </c>
      <c r="AA5" s="40">
        <v>1419.1625120607173</v>
      </c>
      <c r="AB5" s="39">
        <v>965.09941314053287</v>
      </c>
      <c r="AC5" s="40">
        <v>1477.5459192219905</v>
      </c>
      <c r="AD5" s="39">
        <v>962.55328673220811</v>
      </c>
      <c r="AE5" s="40">
        <v>1538.8016946143268</v>
      </c>
      <c r="AF5" s="39">
        <v>961.04993598788269</v>
      </c>
      <c r="AG5" s="40">
        <v>1600.0836292027354</v>
      </c>
      <c r="AH5" s="39">
        <v>961.30906895191254</v>
      </c>
      <c r="AI5" s="40">
        <v>1656.0362830636898</v>
      </c>
      <c r="AJ5" s="39">
        <v>963.81602097406062</v>
      </c>
      <c r="AK5" s="40">
        <v>1699.5471101277258</v>
      </c>
      <c r="AL5" s="39">
        <v>967.95662073337076</v>
      </c>
      <c r="AM5" s="40">
        <v>1726.1707690082146</v>
      </c>
      <c r="AN5" s="39"/>
      <c r="AO5" s="40"/>
      <c r="AP5" s="39"/>
      <c r="AQ5" s="40"/>
      <c r="AR5" s="39"/>
      <c r="AS5" s="40"/>
      <c r="AT5" s="39"/>
      <c r="AU5" s="40"/>
      <c r="AV5" s="39"/>
      <c r="AW5" s="40"/>
    </row>
    <row r="6" spans="1:49" x14ac:dyDescent="0.2">
      <c r="A6" t="s">
        <v>77</v>
      </c>
      <c r="B6" s="39">
        <v>999.99999999999943</v>
      </c>
      <c r="C6" s="40">
        <v>999.99999999999886</v>
      </c>
      <c r="D6" s="39">
        <v>997.78018249314243</v>
      </c>
      <c r="E6" s="40">
        <v>1025.810303752982</v>
      </c>
      <c r="F6" s="39">
        <v>995.48430358767916</v>
      </c>
      <c r="G6" s="40">
        <v>1054.3424023256248</v>
      </c>
      <c r="H6" s="39">
        <v>993.09791087744156</v>
      </c>
      <c r="I6" s="40">
        <v>1086.0666990083182</v>
      </c>
      <c r="J6" s="39">
        <v>990.6059061296819</v>
      </c>
      <c r="K6" s="40">
        <v>1121.5660745244197</v>
      </c>
      <c r="L6" s="39">
        <v>987.99288114093406</v>
      </c>
      <c r="M6" s="40">
        <v>1161.5717150041992</v>
      </c>
      <c r="N6" s="39">
        <v>985.24379475637966</v>
      </c>
      <c r="O6" s="40">
        <v>1207.0205258478063</v>
      </c>
      <c r="P6" s="39">
        <v>982.34533047747016</v>
      </c>
      <c r="Q6" s="40">
        <v>1259.1369123879074</v>
      </c>
      <c r="R6" s="39">
        <v>979.28834212621666</v>
      </c>
      <c r="S6" s="40">
        <v>1319.5609921804553</v>
      </c>
      <c r="T6" s="39">
        <v>976.07221447195536</v>
      </c>
      <c r="U6" s="40">
        <v>1390.5518530079794</v>
      </c>
      <c r="V6" s="39">
        <v>972.71250038939468</v>
      </c>
      <c r="W6" s="40">
        <v>1475.3259652864629</v>
      </c>
      <c r="X6" s="39">
        <v>969.25437401670638</v>
      </c>
      <c r="Y6" s="40">
        <v>1578.6385471022472</v>
      </c>
      <c r="Z6" s="39">
        <v>965.79620929741498</v>
      </c>
      <c r="AA6" s="40">
        <v>1707.829711620916</v>
      </c>
      <c r="AB6" s="39">
        <v>962.52989510953546</v>
      </c>
      <c r="AC6" s="40">
        <v>1874.7809419564828</v>
      </c>
      <c r="AD6" s="39">
        <v>959.80412033129119</v>
      </c>
      <c r="AE6" s="40">
        <v>2099.6673968313712</v>
      </c>
      <c r="AF6" s="39">
        <v>958.19519390458777</v>
      </c>
      <c r="AG6" s="40">
        <v>2418.0299431659805</v>
      </c>
      <c r="AH6" s="39">
        <v>958.47249866207028</v>
      </c>
      <c r="AI6" s="40">
        <v>2892.2983091641477</v>
      </c>
      <c r="AJ6" s="39">
        <v>961.15581763080206</v>
      </c>
      <c r="AK6" s="40">
        <v>3620.6834656922488</v>
      </c>
      <c r="AL6" s="39">
        <v>965.58996130839887</v>
      </c>
      <c r="AM6" s="40">
        <v>4695.6274382704241</v>
      </c>
      <c r="AN6" s="39"/>
      <c r="AO6" s="40"/>
      <c r="AP6" s="39"/>
      <c r="AQ6" s="40"/>
      <c r="AR6" s="39"/>
      <c r="AS6" s="40"/>
      <c r="AT6" s="39"/>
      <c r="AU6" s="40"/>
      <c r="AV6" s="39"/>
      <c r="AW6" s="40"/>
    </row>
    <row r="7" spans="1:49" x14ac:dyDescent="0.2">
      <c r="A7" t="s">
        <v>13</v>
      </c>
      <c r="B7" s="31">
        <v>1015.9116825427475</v>
      </c>
      <c r="C7" s="32">
        <v>1015.9116825427475</v>
      </c>
      <c r="D7" s="31">
        <v>1013.8164522366421</v>
      </c>
      <c r="E7" s="32">
        <v>1013.8164522366421</v>
      </c>
      <c r="F7" s="31">
        <v>1011.6487340822729</v>
      </c>
      <c r="G7" s="32">
        <v>1011.6487340822729</v>
      </c>
      <c r="H7" s="31">
        <v>1009.3948050599397</v>
      </c>
      <c r="I7" s="32">
        <v>1009.3948050599397</v>
      </c>
      <c r="J7" s="31">
        <v>1007.0403096204996</v>
      </c>
      <c r="K7" s="32">
        <v>1007.0403096204996</v>
      </c>
      <c r="L7" s="31">
        <v>1004.5705756375512</v>
      </c>
      <c r="M7" s="32">
        <v>1004.5705756375512</v>
      </c>
      <c r="N7" s="31">
        <v>1001.971250426189</v>
      </c>
      <c r="O7" s="32">
        <v>1001.971250426189</v>
      </c>
      <c r="P7" s="31">
        <v>999.22958380223372</v>
      </c>
      <c r="Q7" s="32">
        <v>999.22958380223372</v>
      </c>
      <c r="R7" s="31">
        <v>996.33674330512486</v>
      </c>
      <c r="S7" s="32">
        <v>996.33674330512486</v>
      </c>
      <c r="T7" s="31">
        <v>993.2919497887998</v>
      </c>
      <c r="U7" s="32">
        <v>993.2919497887998</v>
      </c>
      <c r="V7" s="31">
        <v>990.10973010029772</v>
      </c>
      <c r="W7" s="32">
        <v>990.10973010029772</v>
      </c>
      <c r="X7" s="31">
        <v>986.83270705113262</v>
      </c>
      <c r="Y7" s="32">
        <v>986.83270705113262</v>
      </c>
      <c r="Z7" s="31">
        <v>983.55403324738995</v>
      </c>
      <c r="AA7" s="32">
        <v>983.55403324738995</v>
      </c>
      <c r="AB7" s="31">
        <v>980.45576862461689</v>
      </c>
      <c r="AC7" s="32">
        <v>980.45576862461689</v>
      </c>
      <c r="AD7" s="31">
        <v>977.86912906116913</v>
      </c>
      <c r="AE7" s="32">
        <v>977.86912906116913</v>
      </c>
      <c r="AF7" s="31">
        <v>976.34185747704964</v>
      </c>
      <c r="AG7" s="32">
        <v>976.34185747704964</v>
      </c>
      <c r="AH7" s="31">
        <v>976.60511368253947</v>
      </c>
      <c r="AI7" s="32">
        <v>976.60511368253947</v>
      </c>
      <c r="AJ7" s="31">
        <v>979.15195552941384</v>
      </c>
      <c r="AK7" s="32">
        <v>979.15195552941384</v>
      </c>
      <c r="AL7" s="31">
        <v>983.35843919763079</v>
      </c>
      <c r="AM7" s="32">
        <v>983.35843919763079</v>
      </c>
      <c r="AN7" s="31"/>
      <c r="AO7" s="32"/>
      <c r="AP7" s="31"/>
      <c r="AQ7" s="32"/>
      <c r="AR7" s="31"/>
      <c r="AS7" s="32"/>
      <c r="AT7" s="31"/>
      <c r="AU7" s="32"/>
      <c r="AV7" s="31"/>
      <c r="AW7" s="32"/>
    </row>
    <row r="8" spans="1:49" x14ac:dyDescent="0.2">
      <c r="B8" s="33">
        <v>1005.7716594496609</v>
      </c>
      <c r="C8" s="34">
        <v>1005.7716594496609</v>
      </c>
      <c r="D8" s="33">
        <v>1083.7665985607641</v>
      </c>
      <c r="E8" s="34">
        <v>1083.7665985607641</v>
      </c>
      <c r="F8" s="33">
        <v>1171.0398761202682</v>
      </c>
      <c r="G8" s="34">
        <v>1171.0398761202682</v>
      </c>
      <c r="H8" s="33">
        <v>1269.2766536739359</v>
      </c>
      <c r="I8" s="34">
        <v>1269.2766536739359</v>
      </c>
      <c r="J8" s="33">
        <v>1380.5803959941643</v>
      </c>
      <c r="K8" s="34">
        <v>1380.5803959941643</v>
      </c>
      <c r="L8" s="33">
        <v>1507.6111431917454</v>
      </c>
      <c r="M8" s="34">
        <v>1507.6111431917454</v>
      </c>
      <c r="N8" s="33">
        <v>1653.7966810334619</v>
      </c>
      <c r="O8" s="34">
        <v>1653.7966810334619</v>
      </c>
      <c r="P8" s="33">
        <v>1823.6408812090103</v>
      </c>
      <c r="Q8" s="34">
        <v>1823.6408812090103</v>
      </c>
      <c r="R8" s="33">
        <v>2023.2043621303033</v>
      </c>
      <c r="S8" s="34">
        <v>2023.2043621303033</v>
      </c>
      <c r="T8" s="33">
        <v>2260.870610021243</v>
      </c>
      <c r="U8" s="34">
        <v>2260.870610021243</v>
      </c>
      <c r="V8" s="33">
        <v>2548.6242415805064</v>
      </c>
      <c r="W8" s="34">
        <v>2548.6242415805064</v>
      </c>
      <c r="X8" s="33">
        <v>2904.2634561213708</v>
      </c>
      <c r="Y8" s="34">
        <v>2904.2634561213708</v>
      </c>
      <c r="Z8" s="33">
        <v>3355.4094664265335</v>
      </c>
      <c r="AA8" s="34">
        <v>3355.4094664265335</v>
      </c>
      <c r="AB8" s="33">
        <v>3947.0893802433493</v>
      </c>
      <c r="AC8" s="34">
        <v>3947.0893802433493</v>
      </c>
      <c r="AD8" s="33">
        <v>4756.4955868850493</v>
      </c>
      <c r="AE8" s="34">
        <v>4756.4955868850493</v>
      </c>
      <c r="AF8" s="33">
        <v>5921.4199396517679</v>
      </c>
      <c r="AG8" s="34">
        <v>5921.4199396517679</v>
      </c>
      <c r="AH8" s="33">
        <v>7688.3164407811119</v>
      </c>
      <c r="AI8" s="34">
        <v>7688.3164407811119</v>
      </c>
      <c r="AJ8" s="33">
        <v>10454.32294611711</v>
      </c>
      <c r="AK8" s="34">
        <v>10454.32294611711</v>
      </c>
      <c r="AL8" s="33">
        <v>14606.637710384493</v>
      </c>
      <c r="AM8" s="34">
        <v>14606.637710384493</v>
      </c>
      <c r="AN8" s="33"/>
      <c r="AO8" s="34"/>
      <c r="AP8" s="33"/>
      <c r="AQ8" s="34"/>
      <c r="AR8" s="33"/>
      <c r="AS8" s="34"/>
      <c r="AT8" s="33"/>
      <c r="AU8" s="34"/>
      <c r="AV8" s="33"/>
      <c r="AW8" s="34"/>
    </row>
    <row r="9" spans="1:49" x14ac:dyDescent="0.2">
      <c r="A9" t="s">
        <v>14</v>
      </c>
      <c r="B9" s="39">
        <v>1015.9116825427475</v>
      </c>
      <c r="C9" s="40">
        <v>1005.7716594496609</v>
      </c>
      <c r="D9" s="39">
        <v>1013.8164522366421</v>
      </c>
      <c r="E9" s="40">
        <v>1083.7665985607641</v>
      </c>
      <c r="F9" s="39">
        <v>1011.6487340822729</v>
      </c>
      <c r="G9" s="40">
        <v>1171.0398761202682</v>
      </c>
      <c r="H9" s="39">
        <v>1009.3948050599397</v>
      </c>
      <c r="I9" s="40">
        <v>1269.2766536739359</v>
      </c>
      <c r="J9" s="39">
        <v>1007.0403096204996</v>
      </c>
      <c r="K9" s="40">
        <v>1380.5803959941643</v>
      </c>
      <c r="L9" s="39">
        <v>1004.5705756375512</v>
      </c>
      <c r="M9" s="40">
        <v>1507.6111431917454</v>
      </c>
      <c r="N9" s="39">
        <v>1001.971250426189</v>
      </c>
      <c r="O9" s="40">
        <v>1653.7966810334619</v>
      </c>
      <c r="P9" s="39">
        <v>999.22958380223372</v>
      </c>
      <c r="Q9" s="40">
        <v>1823.6408812090103</v>
      </c>
      <c r="R9" s="39">
        <v>996.33674330512486</v>
      </c>
      <c r="S9" s="40">
        <v>2023.2043621303033</v>
      </c>
      <c r="T9" s="39">
        <v>993.2919497887998</v>
      </c>
      <c r="U9" s="40">
        <v>2260.870610021243</v>
      </c>
      <c r="V9" s="39">
        <v>990.10973010029772</v>
      </c>
      <c r="W9" s="40">
        <v>2548.6242415805064</v>
      </c>
      <c r="X9" s="39">
        <v>986.83270705113262</v>
      </c>
      <c r="Y9" s="40">
        <v>2904.2634561213708</v>
      </c>
      <c r="Z9" s="39">
        <v>983.55403324738995</v>
      </c>
      <c r="AA9" s="40">
        <v>3355.4094664265335</v>
      </c>
      <c r="AB9" s="39">
        <v>980.45576862461689</v>
      </c>
      <c r="AC9" s="40">
        <v>3947.0893802433493</v>
      </c>
      <c r="AD9" s="39">
        <v>977.86912906116913</v>
      </c>
      <c r="AE9" s="40">
        <v>4756.4955868850493</v>
      </c>
      <c r="AF9" s="39">
        <v>976.34185747704964</v>
      </c>
      <c r="AG9" s="40">
        <v>5921.4199396517679</v>
      </c>
      <c r="AH9" s="39">
        <v>976.60511368253947</v>
      </c>
      <c r="AI9" s="40">
        <v>7688.3164407811119</v>
      </c>
      <c r="AJ9" s="39">
        <v>979.15195552941384</v>
      </c>
      <c r="AK9" s="40">
        <v>10454.32294611711</v>
      </c>
      <c r="AL9" s="39">
        <v>983.35843919763079</v>
      </c>
      <c r="AM9" s="40">
        <v>14606.637710384493</v>
      </c>
      <c r="AN9" s="39"/>
      <c r="AO9" s="40"/>
      <c r="AP9" s="39"/>
      <c r="AQ9" s="40"/>
      <c r="AR9" s="39"/>
      <c r="AS9" s="40"/>
      <c r="AT9" s="39"/>
      <c r="AU9" s="40"/>
      <c r="AV9" s="39"/>
      <c r="AW9" s="40"/>
    </row>
    <row r="10" spans="1:49" x14ac:dyDescent="0.2">
      <c r="A10" t="s">
        <v>15</v>
      </c>
      <c r="B10" s="39">
        <v>1015.9116825427475</v>
      </c>
      <c r="C10" s="40">
        <v>1005.7716594496609</v>
      </c>
      <c r="D10" s="39">
        <v>1013.8164522366421</v>
      </c>
      <c r="E10" s="40">
        <v>1083.7665985607641</v>
      </c>
      <c r="F10" s="39">
        <v>1011.6487340822729</v>
      </c>
      <c r="G10" s="40">
        <v>1171.0398761202682</v>
      </c>
      <c r="H10" s="39">
        <v>1009.3948050599397</v>
      </c>
      <c r="I10" s="40">
        <v>1269.2766536739359</v>
      </c>
      <c r="J10" s="39">
        <v>1007.0403096204996</v>
      </c>
      <c r="K10" s="40">
        <v>1380.5803959941643</v>
      </c>
      <c r="L10" s="39">
        <v>1004.5705756375512</v>
      </c>
      <c r="M10" s="40">
        <v>1507.6111431917454</v>
      </c>
      <c r="N10" s="39">
        <v>1001.971250426189</v>
      </c>
      <c r="O10" s="40">
        <v>1653.7966810334619</v>
      </c>
      <c r="P10" s="39">
        <v>999.22958380223372</v>
      </c>
      <c r="Q10" s="40">
        <v>1823.6408812090103</v>
      </c>
      <c r="R10" s="39">
        <v>996.33674330512486</v>
      </c>
      <c r="S10" s="40">
        <v>2023.2043621303033</v>
      </c>
      <c r="T10" s="39">
        <v>993.2919497887998</v>
      </c>
      <c r="U10" s="40">
        <v>2260.870610021243</v>
      </c>
      <c r="V10" s="39">
        <v>990.10973010029772</v>
      </c>
      <c r="W10" s="40">
        <v>2548.6242415805064</v>
      </c>
      <c r="X10" s="39">
        <v>986.83270705113262</v>
      </c>
      <c r="Y10" s="40">
        <v>2904.2634561213708</v>
      </c>
      <c r="Z10" s="39">
        <v>983.55403324738995</v>
      </c>
      <c r="AA10" s="40">
        <v>3355.4094664265335</v>
      </c>
      <c r="AB10" s="39">
        <v>980.45576862461689</v>
      </c>
      <c r="AC10" s="40">
        <v>3947.0893802433493</v>
      </c>
      <c r="AD10" s="39">
        <v>977.86912906116913</v>
      </c>
      <c r="AE10" s="40">
        <v>4756.4955868850493</v>
      </c>
      <c r="AF10" s="39">
        <v>976.34185747704964</v>
      </c>
      <c r="AG10" s="40">
        <v>5921.4199396517679</v>
      </c>
      <c r="AH10" s="39">
        <v>976.60511368253947</v>
      </c>
      <c r="AI10" s="40">
        <v>7688.3164407811119</v>
      </c>
      <c r="AJ10" s="39">
        <v>979.15195552941384</v>
      </c>
      <c r="AK10" s="40">
        <v>10454.32294611711</v>
      </c>
      <c r="AL10" s="39">
        <v>983.35843919763079</v>
      </c>
      <c r="AM10" s="40">
        <v>14606.637710384493</v>
      </c>
      <c r="AN10" s="39"/>
      <c r="AO10" s="40"/>
      <c r="AP10" s="39"/>
      <c r="AQ10" s="40"/>
      <c r="AR10" s="39"/>
      <c r="AS10" s="40"/>
      <c r="AT10" s="39"/>
      <c r="AU10" s="40"/>
      <c r="AV10" s="39"/>
      <c r="AW10" s="40"/>
    </row>
    <row r="11" spans="1:49" x14ac:dyDescent="0.2">
      <c r="A11" t="s">
        <v>29</v>
      </c>
      <c r="B11" s="39">
        <v>1015.9116825427475</v>
      </c>
      <c r="C11" s="40">
        <v>1005.7716594496609</v>
      </c>
      <c r="D11" s="39">
        <v>1013.8164522366421</v>
      </c>
      <c r="E11" s="40">
        <v>1083.7665985607641</v>
      </c>
      <c r="F11" s="39">
        <v>1011.6487340822729</v>
      </c>
      <c r="G11" s="40">
        <v>1171.0398761202682</v>
      </c>
      <c r="H11" s="39">
        <v>1009.3948050599397</v>
      </c>
      <c r="I11" s="40">
        <v>1269.2766536739359</v>
      </c>
      <c r="J11" s="39">
        <v>1007.0403096204996</v>
      </c>
      <c r="K11" s="40">
        <v>1380.5803959941643</v>
      </c>
      <c r="L11" s="39">
        <v>1004.5705756375512</v>
      </c>
      <c r="M11" s="40">
        <v>1507.6111431917454</v>
      </c>
      <c r="N11" s="39">
        <v>1001.971250426189</v>
      </c>
      <c r="O11" s="40">
        <v>1653.7966810334619</v>
      </c>
      <c r="P11" s="39">
        <v>999.22958380223372</v>
      </c>
      <c r="Q11" s="40">
        <v>1823.6408812090103</v>
      </c>
      <c r="R11" s="39">
        <v>996.33674330512486</v>
      </c>
      <c r="S11" s="40">
        <v>2023.2043621303033</v>
      </c>
      <c r="T11" s="39">
        <v>993.2919497887998</v>
      </c>
      <c r="U11" s="40">
        <v>2260.870610021243</v>
      </c>
      <c r="V11" s="39">
        <v>990.10973010029772</v>
      </c>
      <c r="W11" s="40">
        <v>2548.6242415805064</v>
      </c>
      <c r="X11" s="39">
        <v>986.83270705113262</v>
      </c>
      <c r="Y11" s="40">
        <v>2904.2634561213708</v>
      </c>
      <c r="Z11" s="39">
        <v>983.55403324738995</v>
      </c>
      <c r="AA11" s="40">
        <v>3355.4094664265335</v>
      </c>
      <c r="AB11" s="39">
        <v>980.45576862461689</v>
      </c>
      <c r="AC11" s="40">
        <v>3947.0893802433493</v>
      </c>
      <c r="AD11" s="39">
        <v>977.86912906116913</v>
      </c>
      <c r="AE11" s="40">
        <v>4756.4955868850493</v>
      </c>
      <c r="AF11" s="39">
        <v>976.34185747704964</v>
      </c>
      <c r="AG11" s="40">
        <v>5921.4199396517679</v>
      </c>
      <c r="AH11" s="39">
        <v>976.60511368253947</v>
      </c>
      <c r="AI11" s="40">
        <v>7688.3164407811119</v>
      </c>
      <c r="AJ11" s="39">
        <v>979.15195552941384</v>
      </c>
      <c r="AK11" s="40">
        <v>10454.32294611711</v>
      </c>
      <c r="AL11" s="39">
        <v>983.35843919763079</v>
      </c>
      <c r="AM11" s="40">
        <v>14606.637710384493</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1002.1785250269277</v>
      </c>
      <c r="E13" s="94">
        <v>1002.1785250269277</v>
      </c>
      <c r="F13" s="93">
        <v>1004.5863264377319</v>
      </c>
      <c r="G13" s="94">
        <v>1004.5863264377319</v>
      </c>
      <c r="H13" s="93">
        <v>1007.2649540638647</v>
      </c>
      <c r="I13" s="94">
        <v>1007.2649540638647</v>
      </c>
      <c r="J13" s="93">
        <v>1010.2678228575672</v>
      </c>
      <c r="K13" s="94">
        <v>1010.2678228575672</v>
      </c>
      <c r="L13" s="93">
        <v>1013.6646532866599</v>
      </c>
      <c r="M13" s="94">
        <v>1013.6646532866599</v>
      </c>
      <c r="N13" s="93">
        <v>1017.5483160198104</v>
      </c>
      <c r="O13" s="94">
        <v>1017.5483160198104</v>
      </c>
      <c r="P13" s="93">
        <v>1022.0450906753803</v>
      </c>
      <c r="Q13" s="94">
        <v>1022.0450906753803</v>
      </c>
      <c r="R13" s="93">
        <v>1027.3308234251149</v>
      </c>
      <c r="S13" s="94">
        <v>1027.3308234251149</v>
      </c>
      <c r="T13" s="93">
        <v>1033.656842937658</v>
      </c>
      <c r="U13" s="94">
        <v>1033.656842937658</v>
      </c>
      <c r="V13" s="93">
        <v>1041.3931052286896</v>
      </c>
      <c r="W13" s="94">
        <v>1041.3931052286896</v>
      </c>
      <c r="X13" s="93">
        <v>1051.1019990928087</v>
      </c>
      <c r="Y13" s="94">
        <v>1051.1019990928087</v>
      </c>
      <c r="Z13" s="93">
        <v>1063.6690855010545</v>
      </c>
      <c r="AA13" s="94">
        <v>1063.6690855010545</v>
      </c>
      <c r="AB13" s="93">
        <v>1080.5404907846848</v>
      </c>
      <c r="AC13" s="94">
        <v>1080.5404907846848</v>
      </c>
      <c r="AD13" s="93">
        <v>1104.1547281326691</v>
      </c>
      <c r="AE13" s="94">
        <v>1104.1547281326691</v>
      </c>
      <c r="AF13" s="93">
        <v>1138.6778107860589</v>
      </c>
      <c r="AG13" s="94">
        <v>1138.6778107860589</v>
      </c>
      <c r="AH13" s="93">
        <v>1190.9389516788842</v>
      </c>
      <c r="AI13" s="94">
        <v>1190.9389516788842</v>
      </c>
      <c r="AJ13" s="93">
        <v>1270.2676280485546</v>
      </c>
      <c r="AK13" s="94">
        <v>1270.2676280485546</v>
      </c>
      <c r="AL13" s="93">
        <v>1382.1332908828979</v>
      </c>
      <c r="AM13" s="94">
        <v>1382.1332908828979</v>
      </c>
      <c r="AN13" s="93"/>
      <c r="AO13" s="94"/>
      <c r="AP13" s="93"/>
      <c r="AQ13" s="94"/>
      <c r="AR13" s="93"/>
      <c r="AS13" s="94"/>
      <c r="AT13" s="93"/>
      <c r="AU13" s="94"/>
      <c r="AV13" s="93"/>
      <c r="AW13" s="94"/>
    </row>
    <row r="14" spans="1:49" x14ac:dyDescent="0.2">
      <c r="A14" t="s">
        <v>36</v>
      </c>
      <c r="B14" s="39">
        <v>1457.0034251455234</v>
      </c>
      <c r="C14" s="40">
        <v>1457.0034251455236</v>
      </c>
      <c r="D14" s="39">
        <v>1460.1775435715222</v>
      </c>
      <c r="E14" s="40">
        <v>1460.1775435715224</v>
      </c>
      <c r="F14" s="39">
        <v>1463.6857184741341</v>
      </c>
      <c r="G14" s="40">
        <v>1463.6857184741343</v>
      </c>
      <c r="H14" s="39">
        <v>1467.5884881000991</v>
      </c>
      <c r="I14" s="40">
        <v>1467.5884881000993</v>
      </c>
      <c r="J14" s="39">
        <v>1471.9636782177863</v>
      </c>
      <c r="K14" s="40">
        <v>1471.9636782177865</v>
      </c>
      <c r="L14" s="39">
        <v>1476.9128717876129</v>
      </c>
      <c r="M14" s="40">
        <v>1476.9128717876131</v>
      </c>
      <c r="N14" s="39">
        <v>1482.5713816919231</v>
      </c>
      <c r="O14" s="40">
        <v>1482.5713816919233</v>
      </c>
      <c r="P14" s="39">
        <v>1489.123197767196</v>
      </c>
      <c r="Q14" s="40">
        <v>1489.1231977671962</v>
      </c>
      <c r="R14" s="39">
        <v>1496.8245284879631</v>
      </c>
      <c r="S14" s="40">
        <v>1496.8245284879633</v>
      </c>
      <c r="T14" s="39">
        <v>1506.0415605852759</v>
      </c>
      <c r="U14" s="40">
        <v>1506.0415605852761</v>
      </c>
      <c r="V14" s="39">
        <v>1517.3133212411331</v>
      </c>
      <c r="W14" s="40">
        <v>1517.3133212411333</v>
      </c>
      <c r="X14" s="39">
        <v>1531.4592128555289</v>
      </c>
      <c r="Y14" s="40">
        <v>1531.4592128555291</v>
      </c>
      <c r="Z14" s="39">
        <v>1549.7695007964428</v>
      </c>
      <c r="AA14" s="40">
        <v>1549.769500796443</v>
      </c>
      <c r="AB14" s="39">
        <v>1574.3511960817104</v>
      </c>
      <c r="AC14" s="40">
        <v>1574.3511960817107</v>
      </c>
      <c r="AD14" s="39">
        <v>1608.757220779923</v>
      </c>
      <c r="AE14" s="40">
        <v>1608.7572207799233</v>
      </c>
      <c r="AF14" s="39">
        <v>1659.0574704524938</v>
      </c>
      <c r="AG14" s="40">
        <v>1659.057470452494</v>
      </c>
      <c r="AH14" s="39">
        <v>1735.2021317353531</v>
      </c>
      <c r="AI14" s="40">
        <v>1735.2021317353533</v>
      </c>
      <c r="AJ14" s="39">
        <v>1850.7842849182236</v>
      </c>
      <c r="AK14" s="40">
        <v>1850.7842849182239</v>
      </c>
      <c r="AL14" s="39">
        <v>2013.7729388240361</v>
      </c>
      <c r="AM14" s="40">
        <v>2013.7729388240364</v>
      </c>
      <c r="AN14" s="39"/>
      <c r="AO14" s="40"/>
      <c r="AP14" s="39"/>
      <c r="AQ14" s="40"/>
      <c r="AR14" s="39"/>
      <c r="AS14" s="40"/>
      <c r="AT14" s="39"/>
      <c r="AU14" s="40"/>
      <c r="AV14" s="39"/>
      <c r="AW14" s="40"/>
    </row>
    <row r="15" spans="1:49" x14ac:dyDescent="0.2">
      <c r="A15" t="s">
        <v>18</v>
      </c>
      <c r="B15" s="144">
        <v>1000</v>
      </c>
      <c r="C15" s="145">
        <v>1000</v>
      </c>
      <c r="D15" s="144">
        <v>986.10708555392591</v>
      </c>
      <c r="E15" s="145">
        <v>986.10708555392591</v>
      </c>
      <c r="F15" s="144">
        <v>971.0757093945648</v>
      </c>
      <c r="G15" s="145">
        <v>971.0757093945648</v>
      </c>
      <c r="H15" s="144">
        <v>954.80923016161944</v>
      </c>
      <c r="I15" s="145">
        <v>954.80923016161944</v>
      </c>
      <c r="J15" s="144">
        <v>937.18506325857572</v>
      </c>
      <c r="K15" s="145">
        <v>937.18506325857572</v>
      </c>
      <c r="L15" s="144">
        <v>918.04888389992561</v>
      </c>
      <c r="M15" s="145">
        <v>918.04888389992561</v>
      </c>
      <c r="N15" s="144">
        <v>897.20490053417052</v>
      </c>
      <c r="O15" s="145">
        <v>897.20490053417052</v>
      </c>
      <c r="P15" s="144">
        <v>874.40226931558084</v>
      </c>
      <c r="Q15" s="145">
        <v>874.40226931558084</v>
      </c>
      <c r="R15" s="144">
        <v>849.3139409780066</v>
      </c>
      <c r="S15" s="145">
        <v>849.3139409780066</v>
      </c>
      <c r="T15" s="144">
        <v>821.50402294508365</v>
      </c>
      <c r="U15" s="145">
        <v>821.50402294508365</v>
      </c>
      <c r="V15" s="144">
        <v>790.37504321741471</v>
      </c>
      <c r="W15" s="145">
        <v>790.37504321741471</v>
      </c>
      <c r="X15" s="144">
        <v>755.08188640529977</v>
      </c>
      <c r="Y15" s="145">
        <v>755.08188640529977</v>
      </c>
      <c r="Z15" s="144">
        <v>714.38756473520652</v>
      </c>
      <c r="AA15" s="145">
        <v>714.38756473520652</v>
      </c>
      <c r="AB15" s="144">
        <v>666.42069910360829</v>
      </c>
      <c r="AC15" s="145">
        <v>666.42069910360829</v>
      </c>
      <c r="AD15" s="144">
        <v>608.28722776231382</v>
      </c>
      <c r="AE15" s="145">
        <v>608.28722776231382</v>
      </c>
      <c r="AF15" s="144">
        <v>535.56921905192814</v>
      </c>
      <c r="AG15" s="145">
        <v>535.56921905192814</v>
      </c>
      <c r="AH15" s="144">
        <v>442.26166562255133</v>
      </c>
      <c r="AI15" s="145">
        <v>442.26166562255133</v>
      </c>
      <c r="AJ15" s="144">
        <v>323.46708957018251</v>
      </c>
      <c r="AK15" s="145">
        <v>323.46708957018251</v>
      </c>
      <c r="AL15" s="144">
        <v>186.03383624535357</v>
      </c>
      <c r="AM15" s="145">
        <v>186.03383624535357</v>
      </c>
      <c r="AN15" s="144"/>
      <c r="AO15" s="145"/>
      <c r="AP15" s="144"/>
      <c r="AQ15" s="145"/>
      <c r="AR15" s="144"/>
      <c r="AS15" s="145"/>
      <c r="AT15" s="144"/>
      <c r="AU15" s="145"/>
      <c r="AV15" s="144"/>
      <c r="AW15" s="145"/>
    </row>
    <row r="16" spans="1:49" s="27" customFormat="1" x14ac:dyDescent="0.2">
      <c r="A16" t="s">
        <v>61</v>
      </c>
      <c r="B16" s="39">
        <v>1000</v>
      </c>
      <c r="C16" s="40">
        <v>1000</v>
      </c>
      <c r="D16" s="39">
        <v>994.73430590281703</v>
      </c>
      <c r="E16" s="40">
        <v>990.73003328129187</v>
      </c>
      <c r="F16" s="39">
        <v>989.16106793692074</v>
      </c>
      <c r="G16" s="40">
        <v>980.77257211096446</v>
      </c>
      <c r="H16" s="39">
        <v>983.23367608516321</v>
      </c>
      <c r="I16" s="40">
        <v>970.0545288369658</v>
      </c>
      <c r="J16" s="39">
        <v>976.89831080119484</v>
      </c>
      <c r="K16" s="40">
        <v>958.48760785194145</v>
      </c>
      <c r="L16" s="39">
        <v>970.09224190835801</v>
      </c>
      <c r="M16" s="40">
        <v>945.96386395981222</v>
      </c>
      <c r="N16" s="39">
        <v>962.74135315335275</v>
      </c>
      <c r="O16" s="40">
        <v>932.35065147404885</v>
      </c>
      <c r="P16" s="39">
        <v>954.75699559402585</v>
      </c>
      <c r="Q16" s="40">
        <v>917.48229089846382</v>
      </c>
      <c r="R16" s="39">
        <v>946.03147946824822</v>
      </c>
      <c r="S16" s="40">
        <v>901.1481722567919</v>
      </c>
      <c r="T16" s="39">
        <v>936.43160091137349</v>
      </c>
      <c r="U16" s="40">
        <v>883.07439302978332</v>
      </c>
      <c r="V16" s="39">
        <v>925.78869817248926</v>
      </c>
      <c r="W16" s="40">
        <v>862.89479810204284</v>
      </c>
      <c r="X16" s="39">
        <v>913.88300004860037</v>
      </c>
      <c r="Y16" s="40">
        <v>840.10395410666126</v>
      </c>
      <c r="Z16" s="39">
        <v>900.41762692374266</v>
      </c>
      <c r="AA16" s="40">
        <v>813.97902946686327</v>
      </c>
      <c r="AB16" s="39">
        <v>884.9733818463219</v>
      </c>
      <c r="AC16" s="40">
        <v>783.44910406409952</v>
      </c>
      <c r="AD16" s="39">
        <v>866.92832158967121</v>
      </c>
      <c r="AE16" s="40">
        <v>746.88562771241288</v>
      </c>
      <c r="AF16" s="39">
        <v>845.3178664052698</v>
      </c>
      <c r="AG16" s="40">
        <v>701.83000719413519</v>
      </c>
      <c r="AH16" s="39">
        <v>818.64358551056739</v>
      </c>
      <c r="AI16" s="40">
        <v>644.9605001883956</v>
      </c>
      <c r="AJ16" s="39">
        <v>784.93413457817871</v>
      </c>
      <c r="AK16" s="40">
        <v>573.70596675606498</v>
      </c>
      <c r="AL16" s="39">
        <v>743.6504016301493</v>
      </c>
      <c r="AM16" s="40">
        <v>494.48664393338794</v>
      </c>
      <c r="AN16" s="39"/>
      <c r="AO16" s="40"/>
      <c r="AP16" s="39"/>
      <c r="AQ16" s="40"/>
      <c r="AR16" s="39"/>
      <c r="AS16" s="40"/>
      <c r="AT16" s="39"/>
      <c r="AU16" s="40"/>
      <c r="AV16" s="39"/>
      <c r="AW16" s="40"/>
    </row>
    <row r="17" spans="1:49" x14ac:dyDescent="0.2">
      <c r="A17" t="s">
        <v>62</v>
      </c>
      <c r="B17" s="33">
        <v>1000.0000000000002</v>
      </c>
      <c r="C17" s="34">
        <v>999.99999999999977</v>
      </c>
      <c r="D17" s="33">
        <v>998.12566830758328</v>
      </c>
      <c r="E17" s="34">
        <v>1036.7021807606097</v>
      </c>
      <c r="F17" s="33">
        <v>996.18878090136127</v>
      </c>
      <c r="G17" s="34">
        <v>1077.4671589439224</v>
      </c>
      <c r="H17" s="33">
        <v>994.17733155366602</v>
      </c>
      <c r="I17" s="34">
        <v>1123.024289373408</v>
      </c>
      <c r="J17" s="33">
        <v>992.07885361476201</v>
      </c>
      <c r="K17" s="34">
        <v>1174.2807575254374</v>
      </c>
      <c r="L17" s="33">
        <v>989.88064342084874</v>
      </c>
      <c r="M17" s="34">
        <v>1232.3798865630051</v>
      </c>
      <c r="N17" s="33">
        <v>987.57039585218695</v>
      </c>
      <c r="O17" s="34">
        <v>1298.7916832477279</v>
      </c>
      <c r="P17" s="33">
        <v>985.13731915758785</v>
      </c>
      <c r="Q17" s="34">
        <v>1375.4438302557671</v>
      </c>
      <c r="R17" s="33">
        <v>982.57419619227619</v>
      </c>
      <c r="S17" s="34">
        <v>1464.9263838829906</v>
      </c>
      <c r="T17" s="33">
        <v>979.88101120194392</v>
      </c>
      <c r="U17" s="34">
        <v>1570.8174634469324</v>
      </c>
      <c r="V17" s="33">
        <v>977.07130171116205</v>
      </c>
      <c r="W17" s="34">
        <v>1698.2262358489843</v>
      </c>
      <c r="X17" s="33">
        <v>974.1832831196748</v>
      </c>
      <c r="Y17" s="34">
        <v>1854.7307444712421</v>
      </c>
      <c r="Z17" s="33">
        <v>971.29930331793241</v>
      </c>
      <c r="AA17" s="34">
        <v>2052.073509494187</v>
      </c>
      <c r="AB17" s="33">
        <v>968.57908132313412</v>
      </c>
      <c r="AC17" s="34">
        <v>2309.3589038235173</v>
      </c>
      <c r="AD17" s="33">
        <v>966.31184534615431</v>
      </c>
      <c r="AE17" s="34">
        <v>2659.2527139883414</v>
      </c>
      <c r="AF17" s="33">
        <v>964.97479607462765</v>
      </c>
      <c r="AG17" s="34">
        <v>3159.8699811468082</v>
      </c>
      <c r="AH17" s="33">
        <v>965.20517397389926</v>
      </c>
      <c r="AI17" s="34">
        <v>3914.7626481945708</v>
      </c>
      <c r="AJ17" s="33">
        <v>967.43583577365462</v>
      </c>
      <c r="AK17" s="34">
        <v>5090.3729021835097</v>
      </c>
      <c r="AL17" s="33">
        <v>971.1274261387224</v>
      </c>
      <c r="AM17" s="34">
        <v>6851.1302603825961</v>
      </c>
      <c r="AN17" s="33"/>
      <c r="AO17" s="34"/>
      <c r="AP17" s="33"/>
      <c r="AQ17" s="34"/>
      <c r="AR17" s="33"/>
      <c r="AS17" s="34"/>
      <c r="AT17" s="33"/>
      <c r="AU17" s="34"/>
      <c r="AV17" s="33"/>
      <c r="AW17" s="34"/>
    </row>
    <row r="18" spans="1:49" x14ac:dyDescent="0.2">
      <c r="A18" t="s">
        <v>19</v>
      </c>
      <c r="B18" s="31">
        <v>27857.010133999996</v>
      </c>
      <c r="C18" s="32">
        <v>1236.7674480000003</v>
      </c>
      <c r="D18" s="31">
        <v>28007.251840991983</v>
      </c>
      <c r="E18" s="32">
        <v>1149.9944077570613</v>
      </c>
      <c r="F18" s="31">
        <v>28139.1305103095</v>
      </c>
      <c r="G18" s="32">
        <v>1063.221733067626</v>
      </c>
      <c r="H18" s="31">
        <v>28251.462102585116</v>
      </c>
      <c r="I18" s="32">
        <v>976.4815211820619</v>
      </c>
      <c r="J18" s="31">
        <v>28342.51853390336</v>
      </c>
      <c r="K18" s="32">
        <v>889.83435025082963</v>
      </c>
      <c r="L18" s="31">
        <v>28409.900487295155</v>
      </c>
      <c r="M18" s="32">
        <v>803.374501753088</v>
      </c>
      <c r="N18" s="31">
        <v>28450.333608502846</v>
      </c>
      <c r="O18" s="32">
        <v>717.24979643861866</v>
      </c>
      <c r="P18" s="31">
        <v>28459.374397959658</v>
      </c>
      <c r="Q18" s="32">
        <v>631.68003168187579</v>
      </c>
      <c r="R18" s="31">
        <v>28430.958865099357</v>
      </c>
      <c r="S18" s="32">
        <v>546.98877612822253</v>
      </c>
      <c r="T18" s="31">
        <v>28356.70061542956</v>
      </c>
      <c r="U18" s="32">
        <v>463.645594703043</v>
      </c>
      <c r="V18" s="31">
        <v>28224.766010258078</v>
      </c>
      <c r="W18" s="32">
        <v>382.33008559680053</v>
      </c>
      <c r="X18" s="31">
        <v>28017.985993966497</v>
      </c>
      <c r="Y18" s="32">
        <v>304.0192263489181</v>
      </c>
      <c r="Z18" s="31">
        <v>27710.554754410383</v>
      </c>
      <c r="AA18" s="32">
        <v>230.10529046603452</v>
      </c>
      <c r="AB18" s="31">
        <v>27261.921996490859</v>
      </c>
      <c r="AC18" s="32">
        <v>162.54129419428028</v>
      </c>
      <c r="AD18" s="31">
        <v>26604.88323085475</v>
      </c>
      <c r="AE18" s="32">
        <v>103.9460761791976</v>
      </c>
      <c r="AF18" s="31">
        <v>25621.182964046806</v>
      </c>
      <c r="AG18" s="32">
        <v>57.448012988102697</v>
      </c>
      <c r="AH18" s="31">
        <v>24090.46431138695</v>
      </c>
      <c r="AI18" s="32">
        <v>25.708083172160713</v>
      </c>
      <c r="AJ18" s="31">
        <v>21587.387718193921</v>
      </c>
      <c r="AK18" s="32">
        <v>8.6946914996251135</v>
      </c>
      <c r="AL18" s="31">
        <v>17309.846670606497</v>
      </c>
      <c r="AM18" s="32">
        <v>2.1778214324229204</v>
      </c>
      <c r="AN18" s="31"/>
      <c r="AO18" s="32"/>
      <c r="AP18" s="31"/>
      <c r="AQ18" s="32"/>
      <c r="AR18" s="31"/>
      <c r="AS18" s="32"/>
      <c r="AT18" s="31"/>
      <c r="AU18" s="32"/>
      <c r="AV18" s="31"/>
      <c r="AW18" s="32"/>
    </row>
    <row r="19" spans="1:49" x14ac:dyDescent="0.2">
      <c r="A19" t="s">
        <v>3</v>
      </c>
      <c r="B19" s="39">
        <v>1886.3937399999918</v>
      </c>
      <c r="C19" s="40">
        <v>262.78711299999571</v>
      </c>
      <c r="D19" s="39">
        <v>1887.67430551352</v>
      </c>
      <c r="E19" s="40">
        <v>271.06660020997145</v>
      </c>
      <c r="F19" s="39">
        <v>1887.3427481219157</v>
      </c>
      <c r="G19" s="40">
        <v>280.2067175771013</v>
      </c>
      <c r="H19" s="39">
        <v>1885.2781982860245</v>
      </c>
      <c r="I19" s="40">
        <v>290.30496330509817</v>
      </c>
      <c r="J19" s="39">
        <v>1881.3237705877279</v>
      </c>
      <c r="K19" s="40">
        <v>301.45949629652517</v>
      </c>
      <c r="L19" s="39">
        <v>1875.2811680091957</v>
      </c>
      <c r="M19" s="40">
        <v>313.76055882323959</v>
      </c>
      <c r="N19" s="39">
        <v>1866.9021115613648</v>
      </c>
      <c r="O19" s="40">
        <v>327.28042630616613</v>
      </c>
      <c r="P19" s="39">
        <v>1855.8773829706936</v>
      </c>
      <c r="Q19" s="40">
        <v>342.05258479225489</v>
      </c>
      <c r="R19" s="39">
        <v>1841.8209853468356</v>
      </c>
      <c r="S19" s="40">
        <v>358.03854120542644</v>
      </c>
      <c r="T19" s="39">
        <v>1824.2470143390674</v>
      </c>
      <c r="U19" s="40">
        <v>375.07118936548926</v>
      </c>
      <c r="V19" s="39">
        <v>1802.5337630077283</v>
      </c>
      <c r="W19" s="40">
        <v>392.76102200740564</v>
      </c>
      <c r="X19" s="39">
        <v>1775.8630125062225</v>
      </c>
      <c r="Y19" s="40">
        <v>410.33648292246056</v>
      </c>
      <c r="Z19" s="39">
        <v>1743.1080764740818</v>
      </c>
      <c r="AA19" s="40">
        <v>426.3757782313383</v>
      </c>
      <c r="AB19" s="39">
        <v>1702.6009816500475</v>
      </c>
      <c r="AC19" s="40">
        <v>438.36534663689287</v>
      </c>
      <c r="AD19" s="39">
        <v>1651.5924993373681</v>
      </c>
      <c r="AE19" s="40">
        <v>442.03453663040528</v>
      </c>
      <c r="AF19" s="39">
        <v>1584.8691775299656</v>
      </c>
      <c r="AG19" s="40">
        <v>430.64029075147744</v>
      </c>
      <c r="AH19" s="39">
        <v>1491.0983854922824</v>
      </c>
      <c r="AI19" s="40">
        <v>395.28783555141501</v>
      </c>
      <c r="AJ19" s="39">
        <v>1344.1240590497389</v>
      </c>
      <c r="AK19" s="40">
        <v>328.87295280528906</v>
      </c>
      <c r="AL19" s="39">
        <v>1088.3672909645306</v>
      </c>
      <c r="AM19" s="40">
        <v>233.31307966237677</v>
      </c>
      <c r="AN19" s="39"/>
      <c r="AO19" s="40"/>
      <c r="AP19" s="39"/>
      <c r="AQ19" s="40"/>
      <c r="AR19" s="39"/>
      <c r="AS19" s="40"/>
      <c r="AT19" s="39"/>
      <c r="AU19" s="40"/>
      <c r="AV19" s="39"/>
      <c r="AW19" s="40"/>
    </row>
    <row r="20" spans="1:49" x14ac:dyDescent="0.2">
      <c r="A20" t="s">
        <v>114</v>
      </c>
      <c r="B20" s="79">
        <v>26548.356269999993</v>
      </c>
      <c r="C20" s="80">
        <v>1408.5418709999938</v>
      </c>
      <c r="D20" s="79">
        <v>26676.300102528159</v>
      </c>
      <c r="E20" s="80">
        <v>1338.1147774499941</v>
      </c>
      <c r="F20" s="79">
        <v>26786.038663744199</v>
      </c>
      <c r="G20" s="80">
        <v>1267.6876838999945</v>
      </c>
      <c r="H20" s="79">
        <v>26876.364004971121</v>
      </c>
      <c r="I20" s="80">
        <v>1197.2605903499946</v>
      </c>
      <c r="J20" s="79">
        <v>26945.548778351149</v>
      </c>
      <c r="K20" s="80">
        <v>1126.8334967999949</v>
      </c>
      <c r="L20" s="79">
        <v>26991.230585667359</v>
      </c>
      <c r="M20" s="80">
        <v>1056.4064032499953</v>
      </c>
      <c r="N20" s="79">
        <v>27010.226469146724</v>
      </c>
      <c r="O20" s="80">
        <v>985.97930969999561</v>
      </c>
      <c r="P20" s="79">
        <v>26998.268476091263</v>
      </c>
      <c r="Q20" s="80">
        <v>915.55221614999596</v>
      </c>
      <c r="R20" s="79">
        <v>26949.599976345318</v>
      </c>
      <c r="S20" s="80">
        <v>845.12512259999642</v>
      </c>
      <c r="T20" s="79">
        <v>26856.351498008844</v>
      </c>
      <c r="U20" s="80">
        <v>774.69802904999653</v>
      </c>
      <c r="V20" s="79">
        <v>26707.543897036783</v>
      </c>
      <c r="W20" s="80">
        <v>704.27093549999688</v>
      </c>
      <c r="X20" s="79">
        <v>26487.415936868394</v>
      </c>
      <c r="Y20" s="80">
        <v>633.84384194999711</v>
      </c>
      <c r="Z20" s="79">
        <v>26172.491506837647</v>
      </c>
      <c r="AA20" s="80">
        <v>563.41674839999746</v>
      </c>
      <c r="AB20" s="79">
        <v>25726.106721988177</v>
      </c>
      <c r="AC20" s="80">
        <v>492.98965484999781</v>
      </c>
      <c r="AD20" s="79">
        <v>25087.571880698935</v>
      </c>
      <c r="AE20" s="80">
        <v>422.56256129999809</v>
      </c>
      <c r="AF20" s="79">
        <v>24149.425391277437</v>
      </c>
      <c r="AG20" s="80">
        <v>352.13546774999827</v>
      </c>
      <c r="AH20" s="79">
        <v>22708.346460528239</v>
      </c>
      <c r="AI20" s="80">
        <v>281.70837419999856</v>
      </c>
      <c r="AJ20" s="79">
        <v>20363.684661189054</v>
      </c>
      <c r="AK20" s="80">
        <v>211.28128064999876</v>
      </c>
      <c r="AL20" s="79">
        <v>16348.163874895985</v>
      </c>
      <c r="AM20" s="80">
        <v>140.85418709999905</v>
      </c>
      <c r="AN20" s="79"/>
      <c r="AO20" s="80"/>
      <c r="AP20" s="79"/>
      <c r="AQ20" s="80"/>
      <c r="AR20" s="79"/>
      <c r="AS20" s="80"/>
      <c r="AT20" s="79"/>
      <c r="AU20" s="80"/>
      <c r="AV20" s="79"/>
      <c r="AW20" s="80"/>
    </row>
    <row r="21" spans="1:49" x14ac:dyDescent="0.2">
      <c r="A21" t="s">
        <v>76</v>
      </c>
      <c r="B21" s="79">
        <v>24661.962529999968</v>
      </c>
      <c r="C21" s="80">
        <v>1145.7547579999921</v>
      </c>
      <c r="D21" s="79">
        <v>24788.634476257816</v>
      </c>
      <c r="E21" s="80">
        <v>1067.3218157293948</v>
      </c>
      <c r="F21" s="79">
        <v>24898.731991874425</v>
      </c>
      <c r="G21" s="80">
        <v>988.64291204974245</v>
      </c>
      <c r="H21" s="79">
        <v>24991.17040124409</v>
      </c>
      <c r="I21" s="80">
        <v>909.73745691758199</v>
      </c>
      <c r="J21" s="79">
        <v>25064.382174814447</v>
      </c>
      <c r="K21" s="80">
        <v>830.64818077697964</v>
      </c>
      <c r="L21" s="79">
        <v>25116.206709714312</v>
      </c>
      <c r="M21" s="80">
        <v>751.4530351703163</v>
      </c>
      <c r="N21" s="79">
        <v>25143.713378993183</v>
      </c>
      <c r="O21" s="80">
        <v>672.27818028164165</v>
      </c>
      <c r="P21" s="79">
        <v>25142.947932691695</v>
      </c>
      <c r="Q21" s="80">
        <v>593.31955095396847</v>
      </c>
      <c r="R21" s="79">
        <v>25108.544316124269</v>
      </c>
      <c r="S21" s="80">
        <v>514.8722786111108</v>
      </c>
      <c r="T21" s="79">
        <v>25033.122875144883</v>
      </c>
      <c r="U21" s="80">
        <v>437.37359338484271</v>
      </c>
      <c r="V21" s="79">
        <v>24906.327880602461</v>
      </c>
      <c r="W21" s="80">
        <v>361.46316200992629</v>
      </c>
      <c r="X21" s="79">
        <v>24713.212857514307</v>
      </c>
      <c r="Y21" s="80">
        <v>288.06926510298007</v>
      </c>
      <c r="Z21" s="79">
        <v>24431.414345606503</v>
      </c>
      <c r="AA21" s="80">
        <v>218.52537362133003</v>
      </c>
      <c r="AB21" s="79">
        <v>24025.902609011995</v>
      </c>
      <c r="AC21" s="80">
        <v>154.71118077255881</v>
      </c>
      <c r="AD21" s="79">
        <v>23438.670239195402</v>
      </c>
      <c r="AE21" s="80">
        <v>99.161203624815968</v>
      </c>
      <c r="AF21" s="79">
        <v>22567.358599176223</v>
      </c>
      <c r="AG21" s="80">
        <v>54.923166464261108</v>
      </c>
      <c r="AH21" s="79">
        <v>21219.848286003416</v>
      </c>
      <c r="AI21" s="80">
        <v>24.62797593975602</v>
      </c>
      <c r="AJ21" s="79">
        <v>19021.599961319345</v>
      </c>
      <c r="AK21" s="80">
        <v>8.3436010163675842</v>
      </c>
      <c r="AL21" s="79">
        <v>15261.08054044763</v>
      </c>
      <c r="AM21" s="80">
        <v>2.0924359122245577</v>
      </c>
      <c r="AN21" s="79"/>
      <c r="AO21" s="80"/>
      <c r="AP21" s="79"/>
      <c r="AQ21" s="80"/>
      <c r="AR21" s="79"/>
      <c r="AS21" s="80"/>
      <c r="AT21" s="79"/>
      <c r="AU21" s="80"/>
      <c r="AV21" s="79"/>
      <c r="AW21" s="80"/>
    </row>
    <row r="22" spans="1:49" x14ac:dyDescent="0.2">
      <c r="A22" t="s">
        <v>28</v>
      </c>
      <c r="B22" s="39">
        <v>6533.6044688320699</v>
      </c>
      <c r="C22" s="40">
        <v>379.90788307663399</v>
      </c>
      <c r="D22" s="39">
        <v>6568.4243512352559</v>
      </c>
      <c r="E22" s="40">
        <v>364.74292399299543</v>
      </c>
      <c r="F22" s="39">
        <v>6598.1023692782128</v>
      </c>
      <c r="G22" s="40">
        <v>349.3054918056763</v>
      </c>
      <c r="H22" s="39">
        <v>6622.272877333573</v>
      </c>
      <c r="I22" s="40">
        <v>333.5964846823523</v>
      </c>
      <c r="J22" s="39">
        <v>6640.4293562153071</v>
      </c>
      <c r="K22" s="40">
        <v>317.61337423090157</v>
      </c>
      <c r="L22" s="39">
        <v>6651.8937102260916</v>
      </c>
      <c r="M22" s="40">
        <v>301.35021040707983</v>
      </c>
      <c r="N22" s="39">
        <v>6655.7670875236372</v>
      </c>
      <c r="O22" s="40">
        <v>284.79576816525775</v>
      </c>
      <c r="P22" s="39">
        <v>6650.8611079796065</v>
      </c>
      <c r="Q22" s="40">
        <v>267.93224693008113</v>
      </c>
      <c r="R22" s="39">
        <v>6635.5935848834633</v>
      </c>
      <c r="S22" s="40">
        <v>250.73279635348464</v>
      </c>
      <c r="T22" s="39">
        <v>6607.8293948430055</v>
      </c>
      <c r="U22" s="40">
        <v>233.15840475253279</v>
      </c>
      <c r="V22" s="39">
        <v>6564.62901708561</v>
      </c>
      <c r="W22" s="40">
        <v>215.15340751065762</v>
      </c>
      <c r="X22" s="39">
        <v>6501.8316725312416</v>
      </c>
      <c r="Y22" s="40">
        <v>196.63995489303639</v>
      </c>
      <c r="Z22" s="39">
        <v>6413.3344349133904</v>
      </c>
      <c r="AA22" s="40">
        <v>177.51172148305395</v>
      </c>
      <c r="AB22" s="39">
        <v>6289.7624909627866</v>
      </c>
      <c r="AC22" s="40">
        <v>157.62910243332377</v>
      </c>
      <c r="AD22" s="39">
        <v>6115.8720546084432</v>
      </c>
      <c r="AE22" s="40">
        <v>136.82520363583464</v>
      </c>
      <c r="AF22" s="39">
        <v>5865.1693487029625</v>
      </c>
      <c r="AG22" s="40">
        <v>114.94701920510153</v>
      </c>
      <c r="AH22" s="39">
        <v>5488.4794945660633</v>
      </c>
      <c r="AI22" s="40">
        <v>91.98059649109851</v>
      </c>
      <c r="AJ22" s="39">
        <v>4890.9457522238235</v>
      </c>
      <c r="AK22" s="40">
        <v>68.271097648860092</v>
      </c>
      <c r="AL22" s="39">
        <v>3896.0093547132869</v>
      </c>
      <c r="AM22" s="40">
        <v>44.609615015855184</v>
      </c>
      <c r="AN22" s="39"/>
      <c r="AO22" s="40"/>
      <c r="AP22" s="39"/>
      <c r="AQ22" s="40"/>
      <c r="AR22" s="39"/>
      <c r="AS22" s="40"/>
      <c r="AT22" s="39"/>
      <c r="AU22" s="40"/>
      <c r="AV22" s="39"/>
      <c r="AW22" s="40"/>
    </row>
    <row r="23" spans="1:49" x14ac:dyDescent="0.2">
      <c r="A23" t="s">
        <v>7</v>
      </c>
      <c r="B23" s="110">
        <v>3278.5018080150408</v>
      </c>
      <c r="C23" s="8">
        <v>0</v>
      </c>
      <c r="D23" s="110">
        <v>3301.5674720485058</v>
      </c>
      <c r="E23" s="8">
        <v>0</v>
      </c>
      <c r="F23" s="110">
        <v>3322.4964256540097</v>
      </c>
      <c r="G23" s="8">
        <v>0</v>
      </c>
      <c r="H23" s="110">
        <v>3341.1506310101568</v>
      </c>
      <c r="I23" s="8">
        <v>0</v>
      </c>
      <c r="J23" s="110">
        <v>3357.3286127747247</v>
      </c>
      <c r="K23" s="8">
        <v>0</v>
      </c>
      <c r="L23" s="110">
        <v>3370.7520335693134</v>
      </c>
      <c r="M23" s="8">
        <v>0</v>
      </c>
      <c r="N23" s="110">
        <v>3381.0430356239663</v>
      </c>
      <c r="O23" s="8">
        <v>0</v>
      </c>
      <c r="P23" s="110">
        <v>3387.6929517587178</v>
      </c>
      <c r="Q23" s="8">
        <v>0</v>
      </c>
      <c r="R23" s="110">
        <v>3390.0142576796038</v>
      </c>
      <c r="S23" s="8">
        <v>0</v>
      </c>
      <c r="T23" s="110">
        <v>3387.0667983502403</v>
      </c>
      <c r="U23" s="8">
        <v>0</v>
      </c>
      <c r="V23" s="110">
        <v>3377.5399360785668</v>
      </c>
      <c r="W23" s="8">
        <v>0</v>
      </c>
      <c r="X23" s="110">
        <v>3359.5545919315718</v>
      </c>
      <c r="Y23" s="8">
        <v>0</v>
      </c>
      <c r="Z23" s="110">
        <v>3330.3136865577894</v>
      </c>
      <c r="AA23" s="8">
        <v>0</v>
      </c>
      <c r="AB23" s="110">
        <v>3285.4389295742903</v>
      </c>
      <c r="AC23" s="8">
        <v>0</v>
      </c>
      <c r="AD23" s="110">
        <v>3217.6212335707551</v>
      </c>
      <c r="AE23" s="8">
        <v>0</v>
      </c>
      <c r="AF23" s="110">
        <v>3113.6645927169889</v>
      </c>
      <c r="AG23" s="8">
        <v>0</v>
      </c>
      <c r="AH23" s="110">
        <v>2947.7324939734085</v>
      </c>
      <c r="AI23" s="8">
        <v>0</v>
      </c>
      <c r="AJ23" s="110">
        <v>2666.4979952665071</v>
      </c>
      <c r="AK23" s="8">
        <v>0</v>
      </c>
      <c r="AL23" s="110">
        <v>2162.9654182116483</v>
      </c>
      <c r="AM23" s="8">
        <v>0</v>
      </c>
      <c r="AN23" s="110"/>
      <c r="AO23" s="8"/>
      <c r="AP23" s="110"/>
      <c r="AQ23" s="8"/>
      <c r="AR23" s="110"/>
      <c r="AS23" s="8"/>
      <c r="AT23" s="110"/>
      <c r="AU23" s="8"/>
      <c r="AV23" s="110"/>
      <c r="AW23" s="8"/>
    </row>
    <row r="24" spans="1:49" x14ac:dyDescent="0.2">
      <c r="A24" t="s">
        <v>8</v>
      </c>
      <c r="B24" s="93">
        <v>3196.3846373657216</v>
      </c>
      <c r="C24" s="8">
        <v>0</v>
      </c>
      <c r="D24" s="93">
        <v>3218.8725891375771</v>
      </c>
      <c r="E24" s="8">
        <v>0</v>
      </c>
      <c r="F24" s="93">
        <v>3239.2773339280157</v>
      </c>
      <c r="G24" s="8">
        <v>0</v>
      </c>
      <c r="H24" s="93">
        <v>3257.4642847536375</v>
      </c>
      <c r="I24" s="8">
        <v>0</v>
      </c>
      <c r="J24" s="93">
        <v>3273.2370574907895</v>
      </c>
      <c r="K24" s="8">
        <v>0</v>
      </c>
      <c r="L24" s="93">
        <v>3286.3242556401979</v>
      </c>
      <c r="M24" s="8">
        <v>0</v>
      </c>
      <c r="N24" s="93">
        <v>3296.3574963922342</v>
      </c>
      <c r="O24" s="8">
        <v>0</v>
      </c>
      <c r="P24" s="93">
        <v>3302.8408501647937</v>
      </c>
      <c r="Q24" s="8">
        <v>0</v>
      </c>
      <c r="R24" s="93">
        <v>3305.1040142969136</v>
      </c>
      <c r="S24" s="8">
        <v>0</v>
      </c>
      <c r="T24" s="93">
        <v>3302.2303821358837</v>
      </c>
      <c r="U24" s="8">
        <v>0</v>
      </c>
      <c r="V24" s="93">
        <v>3292.9421412272382</v>
      </c>
      <c r="W24" s="8">
        <v>0</v>
      </c>
      <c r="X24" s="93">
        <v>3275.4072806789045</v>
      </c>
      <c r="Y24" s="8">
        <v>0</v>
      </c>
      <c r="Z24" s="93">
        <v>3246.8987766261002</v>
      </c>
      <c r="AA24" s="8">
        <v>0</v>
      </c>
      <c r="AB24" s="93">
        <v>3203.1480031888209</v>
      </c>
      <c r="AC24" s="8">
        <v>0</v>
      </c>
      <c r="AD24" s="93">
        <v>3137.0289477488341</v>
      </c>
      <c r="AE24" s="8">
        <v>0</v>
      </c>
      <c r="AF24" s="93">
        <v>3035.6761278103204</v>
      </c>
      <c r="AG24" s="8">
        <v>0</v>
      </c>
      <c r="AH24" s="93">
        <v>2873.9001564003252</v>
      </c>
      <c r="AI24" s="8">
        <v>0</v>
      </c>
      <c r="AJ24" s="93">
        <v>2599.7097841459513</v>
      </c>
      <c r="AK24" s="8">
        <v>0</v>
      </c>
      <c r="AL24" s="93">
        <v>2108.789269848462</v>
      </c>
      <c r="AM24" s="8">
        <v>0</v>
      </c>
      <c r="AN24" s="93"/>
      <c r="AO24" s="8"/>
      <c r="AP24" s="93"/>
      <c r="AQ24" s="8"/>
      <c r="AR24" s="93"/>
      <c r="AS24" s="8"/>
      <c r="AT24" s="93"/>
      <c r="AU24" s="8"/>
      <c r="AV24" s="93"/>
      <c r="AW24" s="8"/>
    </row>
    <row r="25" spans="1:49" x14ac:dyDescent="0.2">
      <c r="A25" t="s">
        <v>0</v>
      </c>
      <c r="B25" s="39">
        <v>3195.0476039999967</v>
      </c>
      <c r="C25" s="40">
        <v>91.012690000004142</v>
      </c>
      <c r="D25" s="39">
        <v>3218.6102876310815</v>
      </c>
      <c r="E25" s="40">
        <v>82.647126875387983</v>
      </c>
      <c r="F25" s="39">
        <v>3240.3690829159273</v>
      </c>
      <c r="G25" s="40">
        <v>74.480984804080435</v>
      </c>
      <c r="H25" s="39">
        <v>3260.2224602659235</v>
      </c>
      <c r="I25" s="40">
        <v>66.532519028860023</v>
      </c>
      <c r="J25" s="39">
        <v>3278.0070993137583</v>
      </c>
      <c r="K25" s="40">
        <v>58.823763843877607</v>
      </c>
      <c r="L25" s="39">
        <v>3293.4811275986362</v>
      </c>
      <c r="M25" s="40">
        <v>51.380812079214571</v>
      </c>
      <c r="N25" s="39">
        <v>3306.2970148621034</v>
      </c>
      <c r="O25" s="40">
        <v>44.234665111729626</v>
      </c>
      <c r="P25" s="39">
        <v>3315.9612464720449</v>
      </c>
      <c r="Q25" s="40">
        <v>37.421882069311408</v>
      </c>
      <c r="R25" s="39">
        <v>3321.7713837015895</v>
      </c>
      <c r="S25" s="40">
        <v>30.985594767129662</v>
      </c>
      <c r="T25" s="39">
        <v>3322.7165816225806</v>
      </c>
      <c r="U25" s="40">
        <v>24.976549916925727</v>
      </c>
      <c r="V25" s="39">
        <v>3317.316578944512</v>
      </c>
      <c r="W25" s="40">
        <v>19.454382485350997</v>
      </c>
      <c r="X25" s="39">
        <v>3303.3508460569747</v>
      </c>
      <c r="Y25" s="40">
        <v>14.48860747577638</v>
      </c>
      <c r="Z25" s="39">
        <v>3277.3885108013906</v>
      </c>
      <c r="AA25" s="40">
        <v>10.158634311477869</v>
      </c>
      <c r="AB25" s="39">
        <v>3233.9386039820729</v>
      </c>
      <c r="AC25" s="40">
        <v>6.5510107097359427</v>
      </c>
      <c r="AD25" s="39">
        <v>3163.8645032488603</v>
      </c>
      <c r="AE25" s="40">
        <v>3.7486853918282868</v>
      </c>
      <c r="AF25" s="39">
        <v>3051.3708107804277</v>
      </c>
      <c r="AG25" s="40">
        <v>1.8026902050806377</v>
      </c>
      <c r="AH25" s="39">
        <v>2868.3407196118878</v>
      </c>
      <c r="AI25" s="40">
        <v>0.67567006440606148</v>
      </c>
      <c r="AJ25" s="39">
        <v>2564.0125748346322</v>
      </c>
      <c r="AK25" s="40">
        <v>0.18281609690053008</v>
      </c>
      <c r="AL25" s="39">
        <v>2047.6581263625199</v>
      </c>
      <c r="AM25" s="40">
        <v>3.5342498131688035E-2</v>
      </c>
      <c r="AN25" s="39"/>
      <c r="AO25" s="40"/>
      <c r="AP25" s="39"/>
      <c r="AQ25" s="40"/>
      <c r="AR25" s="39"/>
      <c r="AS25" s="40"/>
      <c r="AT25" s="39"/>
      <c r="AU25" s="40"/>
      <c r="AV25" s="39"/>
      <c r="AW25" s="40"/>
    </row>
    <row r="26" spans="1:49" x14ac:dyDescent="0.2">
      <c r="A26" t="s">
        <v>27</v>
      </c>
      <c r="B26" s="31">
        <v>5036.2953101960647</v>
      </c>
      <c r="C26" s="32">
        <v>74.905331803938267</v>
      </c>
      <c r="D26" s="31">
        <v>5090.8744454340122</v>
      </c>
      <c r="E26" s="32">
        <v>70.403580114462812</v>
      </c>
      <c r="F26" s="31">
        <v>5141.0599468205382</v>
      </c>
      <c r="G26" s="32">
        <v>65.808225034817042</v>
      </c>
      <c r="H26" s="31">
        <v>5186.4509638394156</v>
      </c>
      <c r="I26" s="32">
        <v>61.119651375539291</v>
      </c>
      <c r="J26" s="31">
        <v>5226.5033966139426</v>
      </c>
      <c r="K26" s="32">
        <v>56.339214548222529</v>
      </c>
      <c r="L26" s="31">
        <v>5260.4951681623379</v>
      </c>
      <c r="M26" s="32">
        <v>51.469997458187748</v>
      </c>
      <c r="N26" s="31">
        <v>5287.4767726748496</v>
      </c>
      <c r="O26" s="32">
        <v>46.517806859111346</v>
      </c>
      <c r="P26" s="31">
        <v>5306.1999087326203</v>
      </c>
      <c r="Q26" s="32">
        <v>41.49270222140516</v>
      </c>
      <c r="R26" s="31">
        <v>5315.0132758022828</v>
      </c>
      <c r="S26" s="32">
        <v>36.411227467487954</v>
      </c>
      <c r="T26" s="31">
        <v>5311.7046974713558</v>
      </c>
      <c r="U26" s="32">
        <v>31.299637268313273</v>
      </c>
      <c r="V26" s="31">
        <v>5293.2575951178378</v>
      </c>
      <c r="W26" s="32">
        <v>26.198698605522345</v>
      </c>
      <c r="X26" s="31">
        <v>5255.4506121303848</v>
      </c>
      <c r="Y26" s="32">
        <v>21.170592813056906</v>
      </c>
      <c r="Z26" s="31">
        <v>5192.1738429343304</v>
      </c>
      <c r="AA26" s="32">
        <v>16.308588648030003</v>
      </c>
      <c r="AB26" s="31">
        <v>5094.1852579420001</v>
      </c>
      <c r="AC26" s="32">
        <v>11.749669515646351</v>
      </c>
      <c r="AD26" s="31">
        <v>4946.7242150643278</v>
      </c>
      <c r="AE26" s="32">
        <v>7.6864979223443726</v>
      </c>
      <c r="AF26" s="31">
        <v>4724.7569466840105</v>
      </c>
      <c r="AG26" s="32">
        <v>4.3637162500944493</v>
      </c>
      <c r="AH26" s="31">
        <v>4383.776648863648</v>
      </c>
      <c r="AI26" s="32">
        <v>2.0167070490952415</v>
      </c>
      <c r="AJ26" s="31">
        <v>3845.2386337376688</v>
      </c>
      <c r="AK26" s="32">
        <v>0.70804542810656501</v>
      </c>
      <c r="AL26" s="31">
        <v>2986.3087485705164</v>
      </c>
      <c r="AM26" s="32">
        <v>0.18402684921035808</v>
      </c>
      <c r="AN26" s="31"/>
      <c r="AO26" s="32"/>
      <c r="AP26" s="31"/>
      <c r="AQ26" s="32"/>
      <c r="AR26" s="31"/>
      <c r="AS26" s="32"/>
      <c r="AT26" s="31"/>
      <c r="AU26" s="32"/>
      <c r="AV26" s="31"/>
      <c r="AW26" s="32"/>
    </row>
    <row r="27" spans="1:49" x14ac:dyDescent="0.2">
      <c r="A27" t="s">
        <v>2</v>
      </c>
      <c r="B27" s="33">
        <v>6425.1981590000414</v>
      </c>
      <c r="C27" s="34">
        <v>273.22915400000028</v>
      </c>
      <c r="D27" s="33">
        <v>6442.9614703022071</v>
      </c>
      <c r="E27" s="34">
        <v>255.46573831712067</v>
      </c>
      <c r="F27" s="33">
        <v>6460.7365916021718</v>
      </c>
      <c r="G27" s="34">
        <v>237.69063866374353</v>
      </c>
      <c r="H27" s="33">
        <v>6478.5436434653684</v>
      </c>
      <c r="I27" s="34">
        <v>219.88366846153409</v>
      </c>
      <c r="J27" s="33">
        <v>6496.3979315291444</v>
      </c>
      <c r="K27" s="34">
        <v>202.02937769644956</v>
      </c>
      <c r="L27" s="33">
        <v>6514.3104531711824</v>
      </c>
      <c r="M27" s="34">
        <v>184.1168602910756</v>
      </c>
      <c r="N27" s="33">
        <v>6532.2833953330446</v>
      </c>
      <c r="O27" s="34">
        <v>166.14391854562368</v>
      </c>
      <c r="P27" s="33">
        <v>6550.3071295773871</v>
      </c>
      <c r="Q27" s="34">
        <v>148.12018260055422</v>
      </c>
      <c r="R27" s="33">
        <v>6568.3535074679276</v>
      </c>
      <c r="S27" s="34">
        <v>130.07380871376517</v>
      </c>
      <c r="T27" s="33">
        <v>6586.3665649008108</v>
      </c>
      <c r="U27" s="34">
        <v>112.06074725657433</v>
      </c>
      <c r="V27" s="33">
        <v>6604.247176688933</v>
      </c>
      <c r="W27" s="34">
        <v>94.180136213637411</v>
      </c>
      <c r="X27" s="33">
        <v>6621.8305140868679</v>
      </c>
      <c r="Y27" s="34">
        <v>76.596818513865543</v>
      </c>
      <c r="Z27" s="33">
        <v>6638.8524346434342</v>
      </c>
      <c r="AA27" s="34">
        <v>59.57490184387553</v>
      </c>
      <c r="AB27" s="33">
        <v>6654.9012339742949</v>
      </c>
      <c r="AC27" s="34">
        <v>43.526062830943602</v>
      </c>
      <c r="AD27" s="33">
        <v>6669.3639101904982</v>
      </c>
      <c r="AE27" s="34">
        <v>29.063373327362665</v>
      </c>
      <c r="AF27" s="33">
        <v>6681.4107765691397</v>
      </c>
      <c r="AG27" s="34">
        <v>17.016582024240787</v>
      </c>
      <c r="AH27" s="33">
        <v>6690.1661908832457</v>
      </c>
      <c r="AI27" s="34">
        <v>8.2611224597347661</v>
      </c>
      <c r="AJ27" s="33">
        <v>6695.2643685698622</v>
      </c>
      <c r="AK27" s="34">
        <v>3.162942083761382</v>
      </c>
      <c r="AL27" s="33">
        <v>6697.4324721719222</v>
      </c>
      <c r="AM27" s="34">
        <v>0.99485355355668836</v>
      </c>
      <c r="AN27" s="33"/>
      <c r="AO27" s="34"/>
      <c r="AP27" s="33"/>
      <c r="AQ27" s="34"/>
      <c r="AR27" s="33"/>
      <c r="AS27" s="34"/>
      <c r="AT27" s="33"/>
      <c r="AU27" s="34"/>
      <c r="AV27" s="33"/>
      <c r="AW27" s="34"/>
    </row>
    <row r="28" spans="1:49" x14ac:dyDescent="0.2">
      <c r="A28" t="s">
        <v>35</v>
      </c>
      <c r="B28" s="39">
        <v>13763.097676000029</v>
      </c>
      <c r="C28" s="40">
        <v>382.36647899999997</v>
      </c>
      <c r="D28" s="39">
        <v>13860.013249585299</v>
      </c>
      <c r="E28" s="40">
        <v>358.03733150527495</v>
      </c>
      <c r="F28" s="39">
        <v>13949.963245503079</v>
      </c>
      <c r="G28" s="40">
        <v>333.55154440704376</v>
      </c>
      <c r="H28" s="39">
        <v>14032.624531493231</v>
      </c>
      <c r="I28" s="40">
        <v>308.89546831451958</v>
      </c>
      <c r="J28" s="39">
        <v>14107.456362611638</v>
      </c>
      <c r="K28" s="40">
        <v>284.06021977332597</v>
      </c>
      <c r="L28" s="39">
        <v>14173.650580612002</v>
      </c>
      <c r="M28" s="40">
        <v>259.04263619343863</v>
      </c>
      <c r="N28" s="39">
        <v>14230.050853637864</v>
      </c>
      <c r="O28" s="40">
        <v>233.85096149071788</v>
      </c>
      <c r="P28" s="39">
        <v>14275.034218920604</v>
      </c>
      <c r="Q28" s="40">
        <v>208.51013534994217</v>
      </c>
      <c r="R28" s="39">
        <v>14306.327756151521</v>
      </c>
      <c r="S28" s="40">
        <v>183.07168618450069</v>
      </c>
      <c r="T28" s="39">
        <v>14320.719891976411</v>
      </c>
      <c r="U28" s="40">
        <v>157.62761313898395</v>
      </c>
      <c r="V28" s="39">
        <v>14313.592761901014</v>
      </c>
      <c r="W28" s="40">
        <v>132.33277551921245</v>
      </c>
      <c r="X28" s="39">
        <v>14278.121534073169</v>
      </c>
      <c r="Y28" s="40">
        <v>107.43762743598381</v>
      </c>
      <c r="Z28" s="39">
        <v>14203.838209654648</v>
      </c>
      <c r="AA28" s="40">
        <v>83.336451015878922</v>
      </c>
      <c r="AB28" s="39">
        <v>14073.870282637454</v>
      </c>
      <c r="AC28" s="40">
        <v>60.635431593761822</v>
      </c>
      <c r="AD28" s="39">
        <v>13859.23942578986</v>
      </c>
      <c r="AE28" s="40">
        <v>40.226488911254563</v>
      </c>
      <c r="AF28" s="39">
        <v>13506.163442819239</v>
      </c>
      <c r="AG28" s="40">
        <v>23.300818916424397</v>
      </c>
      <c r="AH28" s="39">
        <v>12906.156984598767</v>
      </c>
      <c r="AI28" s="40">
        <v>11.090558488453347</v>
      </c>
      <c r="AJ28" s="39">
        <v>11825.711872085712</v>
      </c>
      <c r="AK28" s="40">
        <v>4.0674965219938368</v>
      </c>
      <c r="AL28" s="39">
        <v>9762.2441734249096</v>
      </c>
      <c r="AM28" s="40">
        <v>1.1237203232724648</v>
      </c>
      <c r="AN28" s="39"/>
      <c r="AO28" s="40"/>
      <c r="AP28" s="39"/>
      <c r="AQ28" s="40"/>
      <c r="AR28" s="39"/>
      <c r="AS28" s="40"/>
      <c r="AT28" s="39"/>
      <c r="AU28" s="40"/>
      <c r="AV28" s="39"/>
      <c r="AW28" s="40"/>
    </row>
    <row r="29" spans="1:49" x14ac:dyDescent="0.2">
      <c r="A29" t="s">
        <v>53</v>
      </c>
      <c r="B29" s="33">
        <v>14362.768558000025</v>
      </c>
      <c r="C29" s="34">
        <v>817.26650999999993</v>
      </c>
      <c r="D29" s="33">
        <v>14439.313693236758</v>
      </c>
      <c r="E29" s="34">
        <v>756.63692480064969</v>
      </c>
      <c r="F29" s="33">
        <v>14506.335508962466</v>
      </c>
      <c r="G29" s="34">
        <v>696.36657032488802</v>
      </c>
      <c r="H29" s="33">
        <v>14563.216955600588</v>
      </c>
      <c r="I29" s="34">
        <v>636.49819637126973</v>
      </c>
      <c r="J29" s="33">
        <v>14609.059868013885</v>
      </c>
      <c r="K29" s="34">
        <v>577.09584712026128</v>
      </c>
      <c r="L29" s="33">
        <v>14642.620004320946</v>
      </c>
      <c r="M29" s="34">
        <v>518.24799214750931</v>
      </c>
      <c r="N29" s="33">
        <v>14662.202199297628</v>
      </c>
      <c r="O29" s="34">
        <v>460.07961972729737</v>
      </c>
      <c r="P29" s="33">
        <v>14665.50988958044</v>
      </c>
      <c r="Q29" s="34">
        <v>402.76318702626753</v>
      </c>
      <c r="R29" s="33">
        <v>14649.414159177471</v>
      </c>
      <c r="S29" s="34">
        <v>346.53744879894583</v>
      </c>
      <c r="T29" s="33">
        <v>14609.595110523438</v>
      </c>
      <c r="U29" s="34">
        <v>291.7320090494058</v>
      </c>
      <c r="V29" s="33">
        <v>14539.967498495869</v>
      </c>
      <c r="W29" s="34">
        <v>238.80416025816643</v>
      </c>
      <c r="X29" s="33">
        <v>14431.717117619506</v>
      </c>
      <c r="Y29" s="34">
        <v>188.38804509359022</v>
      </c>
      <c r="Z29" s="33">
        <v>14271.615696177163</v>
      </c>
      <c r="AA29" s="34">
        <v>141.35916396311973</v>
      </c>
      <c r="AB29" s="33">
        <v>14038.899840528338</v>
      </c>
      <c r="AC29" s="34">
        <v>98.91000021340561</v>
      </c>
      <c r="AD29" s="33">
        <v>13699.171784409416</v>
      </c>
      <c r="AE29" s="34">
        <v>62.592117113203962</v>
      </c>
      <c r="AF29" s="33">
        <v>13191.859286620915</v>
      </c>
      <c r="AG29" s="34">
        <v>34.189736642493088</v>
      </c>
      <c r="AH29" s="33">
        <v>12403.850540785179</v>
      </c>
      <c r="AI29" s="34">
        <v>15.102339458742881</v>
      </c>
      <c r="AJ29" s="33">
        <v>11116.15992655943</v>
      </c>
      <c r="AK29" s="34">
        <v>5.0372792016857257</v>
      </c>
      <c r="AL29" s="33">
        <v>8914.9299493379167</v>
      </c>
      <c r="AM29" s="34">
        <v>1.2449164669607276</v>
      </c>
      <c r="AN29" s="33"/>
      <c r="AO29" s="34"/>
      <c r="AP29" s="33"/>
      <c r="AQ29" s="34"/>
      <c r="AR29" s="33"/>
      <c r="AS29" s="34"/>
      <c r="AT29" s="33"/>
      <c r="AU29" s="34"/>
      <c r="AV29" s="33"/>
      <c r="AW29" s="34"/>
    </row>
    <row r="30" spans="1:49" x14ac:dyDescent="0.2">
      <c r="A30" t="s">
        <v>48</v>
      </c>
      <c r="B30" s="112">
        <v>2924829.9599999995</v>
      </c>
      <c r="D30" s="112">
        <v>3029630.7809660705</v>
      </c>
      <c r="F30" s="112">
        <v>3134095.5260218643</v>
      </c>
      <c r="H30" s="112">
        <v>3238279.2769781332</v>
      </c>
      <c r="J30" s="112">
        <v>3342213.6251015617</v>
      </c>
      <c r="L30" s="112">
        <v>3445903.703530449</v>
      </c>
      <c r="N30" s="112">
        <v>3549334.9562871633</v>
      </c>
      <c r="P30" s="112">
        <v>3652478.6759795337</v>
      </c>
      <c r="R30" s="112">
        <v>3755308.225698831</v>
      </c>
      <c r="T30" s="112">
        <v>3857826.7397695254</v>
      </c>
      <c r="V30" s="112">
        <v>3960118.7563975654</v>
      </c>
      <c r="X30" s="112">
        <v>4062423.7539865258</v>
      </c>
      <c r="Z30" s="112">
        <v>4165217.8374504526</v>
      </c>
      <c r="AB30" s="112">
        <v>4269165.7754801419</v>
      </c>
      <c r="AD30" s="112">
        <v>4374329.4518496227</v>
      </c>
      <c r="AF30" s="112">
        <v>4476166.5698045082</v>
      </c>
      <c r="AH30" s="112">
        <v>4549649.6964658303</v>
      </c>
      <c r="AJ30" s="112">
        <v>4498220.8712799707</v>
      </c>
      <c r="AL30" s="112">
        <v>4035584.0668891883</v>
      </c>
      <c r="AN30" s="112"/>
      <c r="AP30" s="112"/>
      <c r="AR30" s="112"/>
      <c r="AT30" s="112"/>
      <c r="AV30" s="112"/>
    </row>
    <row r="31" spans="1:49" x14ac:dyDescent="0.2">
      <c r="A31" t="s">
        <v>47</v>
      </c>
      <c r="B31" s="77">
        <v>1</v>
      </c>
      <c r="D31" s="77">
        <v>1.0027756281775111</v>
      </c>
      <c r="F31" s="77">
        <v>1.0045738425733204</v>
      </c>
      <c r="H31" s="77">
        <v>1.0053207321185449</v>
      </c>
      <c r="J31" s="77">
        <v>1.0049180870405912</v>
      </c>
      <c r="L31" s="77">
        <v>1.0032382592258045</v>
      </c>
      <c r="N31" s="77">
        <v>1.0001157844814981</v>
      </c>
      <c r="P31" s="77">
        <v>0.99533591411020861</v>
      </c>
      <c r="R31" s="77">
        <v>0.98861727680147471</v>
      </c>
      <c r="T31" s="77">
        <v>0.9795857345771477</v>
      </c>
      <c r="V31" s="77">
        <v>0.96773349518965968</v>
      </c>
      <c r="X31" s="77">
        <v>0.95235264879402348</v>
      </c>
      <c r="Z31" s="77">
        <v>0.93242314659715342</v>
      </c>
      <c r="AB31" s="77">
        <v>0.90641390343058592</v>
      </c>
      <c r="AD31" s="77">
        <v>0.87191598655320002</v>
      </c>
      <c r="AF31" s="77">
        <v>0.82494442120374989</v>
      </c>
      <c r="AH31" s="77">
        <v>0.75862832480268994</v>
      </c>
      <c r="AJ31" s="77">
        <v>0.66099970343096981</v>
      </c>
      <c r="AL31" s="77">
        <v>0.51239709132760769</v>
      </c>
      <c r="AN31" s="77"/>
      <c r="AP31" s="77"/>
      <c r="AR31" s="77"/>
      <c r="AT31" s="77"/>
      <c r="AV31" s="77"/>
    </row>
    <row r="32" spans="1:49" x14ac:dyDescent="0.2">
      <c r="A32" t="s">
        <v>64</v>
      </c>
      <c r="B32" s="83">
        <v>14734457.915000005</v>
      </c>
      <c r="D32" s="83">
        <v>14807518.789275417</v>
      </c>
      <c r="F32" s="83">
        <v>14869523.28831422</v>
      </c>
      <c r="H32" s="83">
        <v>14919693.504091518</v>
      </c>
      <c r="J32" s="83">
        <v>14956965.334681479</v>
      </c>
      <c r="L32" s="83">
        <v>14979938.80153423</v>
      </c>
      <c r="N32" s="83">
        <v>14986794.070162686</v>
      </c>
      <c r="P32" s="83">
        <v>14975181.842838023</v>
      </c>
      <c r="R32" s="83">
        <v>14942059.176630843</v>
      </c>
      <c r="T32" s="83">
        <v>14883444.695216523</v>
      </c>
      <c r="V32" s="83">
        <v>14794033.639970377</v>
      </c>
      <c r="X32" s="83">
        <v>14666551.729237311</v>
      </c>
      <c r="Z32" s="83">
        <v>14490592.596786307</v>
      </c>
      <c r="AB32" s="83">
        <v>14250305.848629836</v>
      </c>
      <c r="AD32" s="83">
        <v>13919333.347726298</v>
      </c>
      <c r="AF32" s="83">
        <v>13448582.681897689</v>
      </c>
      <c r="AH32" s="83">
        <v>12735319.457939163</v>
      </c>
      <c r="AJ32" s="83">
        <v>11550323.224897742</v>
      </c>
      <c r="AL32" s="83">
        <v>9409449.2840062473</v>
      </c>
      <c r="AN32" s="83"/>
      <c r="AP32" s="83"/>
      <c r="AR32" s="83"/>
      <c r="AT32" s="83"/>
      <c r="AV32" s="83"/>
    </row>
    <row r="33" spans="1:49 16319:16384" x14ac:dyDescent="0.2">
      <c r="A33" t="s">
        <v>54</v>
      </c>
      <c r="B33" s="111">
        <v>7019665.6909999922</v>
      </c>
      <c r="D33" s="111">
        <v>7054472.8706390904</v>
      </c>
      <c r="F33" s="111">
        <v>7084012.5690777972</v>
      </c>
      <c r="H33" s="111">
        <v>7107914.069824852</v>
      </c>
      <c r="J33" s="111">
        <v>7125670.8328648582</v>
      </c>
      <c r="L33" s="111">
        <v>7136615.6287745219</v>
      </c>
      <c r="N33" s="111">
        <v>7139881.5673956107</v>
      </c>
      <c r="P33" s="111">
        <v>7134349.3757488085</v>
      </c>
      <c r="R33" s="111">
        <v>7118569.3895706674</v>
      </c>
      <c r="T33" s="111">
        <v>7090644.7282597907</v>
      </c>
      <c r="V33" s="111">
        <v>7048048.2543555247</v>
      </c>
      <c r="X33" s="111">
        <v>6987314.3852039948</v>
      </c>
      <c r="Z33" s="111">
        <v>6903485.4606893435</v>
      </c>
      <c r="AB33" s="111">
        <v>6789010.0737750661</v>
      </c>
      <c r="AD33" s="111">
        <v>6631330.9567579962</v>
      </c>
      <c r="AF33" s="111">
        <v>6407059.9078547312</v>
      </c>
      <c r="AH33" s="111">
        <v>6067253.0729703419</v>
      </c>
      <c r="AJ33" s="111">
        <v>5502707.2003853172</v>
      </c>
      <c r="AL33" s="111">
        <v>4482770.1630865503</v>
      </c>
      <c r="AN33" s="111"/>
      <c r="AP33" s="111"/>
      <c r="AR33" s="111"/>
      <c r="AT33" s="111"/>
      <c r="AV33" s="111"/>
    </row>
    <row r="34" spans="1:49 16319:16384" x14ac:dyDescent="0.2">
      <c r="A34" t="s">
        <v>75</v>
      </c>
      <c r="B34" s="111">
        <v>1136879.4410000131</v>
      </c>
      <c r="D34" s="111">
        <v>1142516.5087829779</v>
      </c>
      <c r="F34" s="111">
        <v>1147300.6020209906</v>
      </c>
      <c r="H34" s="111">
        <v>1151171.8177036608</v>
      </c>
      <c r="J34" s="111">
        <v>1154047.5962733829</v>
      </c>
      <c r="L34" s="111">
        <v>1155820.2128454156</v>
      </c>
      <c r="N34" s="111">
        <v>1156349.1421063021</v>
      </c>
      <c r="P34" s="111">
        <v>1155453.1607784079</v>
      </c>
      <c r="R34" s="111">
        <v>1152897.4519164572</v>
      </c>
      <c r="T34" s="111">
        <v>1148374.9278349495</v>
      </c>
      <c r="V34" s="111">
        <v>1141476.1764147291</v>
      </c>
      <c r="X34" s="111">
        <v>1131639.9581040677</v>
      </c>
      <c r="Z34" s="111">
        <v>1118063.2904074485</v>
      </c>
      <c r="AB34" s="111">
        <v>1099523.2864048684</v>
      </c>
      <c r="AD34" s="111">
        <v>1073986.1526729153</v>
      </c>
      <c r="AF34" s="111">
        <v>1037664.0327040656</v>
      </c>
      <c r="AH34" s="111">
        <v>982630.1686325965</v>
      </c>
      <c r="AJ34" s="111">
        <v>891198.37907650485</v>
      </c>
      <c r="AL34" s="111">
        <v>726013.09823374415</v>
      </c>
      <c r="AN34" s="111"/>
      <c r="AP34" s="111"/>
      <c r="AR34" s="111"/>
      <c r="AT34" s="111"/>
      <c r="AV34" s="111"/>
    </row>
    <row r="35" spans="1:49 16319:16384" x14ac:dyDescent="0.2">
      <c r="A35" t="s">
        <v>78</v>
      </c>
      <c r="B35" s="192">
        <v>1</v>
      </c>
      <c r="D35" s="192">
        <v>1.0021785361689999</v>
      </c>
      <c r="F35" s="192">
        <v>1.0045863397059018</v>
      </c>
      <c r="H35" s="192">
        <v>1.0072649544769889</v>
      </c>
      <c r="J35" s="192">
        <v>1.0102678256836837</v>
      </c>
      <c r="L35" s="192">
        <v>1.0136646536427849</v>
      </c>
      <c r="N35" s="192">
        <v>1.0175483163063717</v>
      </c>
      <c r="P35" s="192">
        <v>1.0220450904736331</v>
      </c>
      <c r="R35" s="192">
        <v>1.0273308225626769</v>
      </c>
      <c r="T35" s="192">
        <v>1.0336568426524781</v>
      </c>
      <c r="V35" s="192">
        <v>1.0413931052155647</v>
      </c>
      <c r="X35" s="192">
        <v>1.0511020055464146</v>
      </c>
      <c r="Z35" s="192">
        <v>1.0636690906184552</v>
      </c>
      <c r="AB35" s="192">
        <v>1.0805404890379751</v>
      </c>
      <c r="AD35" s="192">
        <v>1.1041547222201928</v>
      </c>
      <c r="AF35" s="192">
        <v>1.1386778192316229</v>
      </c>
      <c r="AH35" s="192">
        <v>1.1909389517252349</v>
      </c>
      <c r="AJ35" s="192">
        <v>1.2702676279080667</v>
      </c>
      <c r="AL35" s="192">
        <v>1.3821332912687798</v>
      </c>
      <c r="AN35" s="192"/>
      <c r="AP35" s="192"/>
      <c r="AR35" s="192"/>
      <c r="AT35" s="192"/>
      <c r="AV35" s="192"/>
    </row>
    <row r="36" spans="1:49 16319:16384" x14ac:dyDescent="0.2">
      <c r="A36" t="s">
        <v>21</v>
      </c>
      <c r="B36" s="35">
        <v>0.47195767671988198</v>
      </c>
      <c r="C36" s="36">
        <v>0.31738834428178964</v>
      </c>
      <c r="D36" s="35">
        <v>0.4719899379628984</v>
      </c>
      <c r="E36" s="36">
        <v>0.32025789244709857</v>
      </c>
      <c r="F36" s="35">
        <v>0.4720238463578097</v>
      </c>
      <c r="G36" s="36">
        <v>0.32337763074510295</v>
      </c>
      <c r="H36" s="35">
        <v>0.47205967941360483</v>
      </c>
      <c r="I36" s="36">
        <v>0.32678557586711643</v>
      </c>
      <c r="J36" s="35">
        <v>0.47209774792170828</v>
      </c>
      <c r="K36" s="36">
        <v>0.33052739797808395</v>
      </c>
      <c r="L36" s="35">
        <v>0.47213838178534651</v>
      </c>
      <c r="M36" s="36">
        <v>0.33465855971728914</v>
      </c>
      <c r="N36" s="35">
        <v>0.4721819324885404</v>
      </c>
      <c r="O36" s="36">
        <v>0.33924772701883621</v>
      </c>
      <c r="P36" s="35">
        <v>0.47222874797704062</v>
      </c>
      <c r="Q36" s="36">
        <v>0.34438138872831181</v>
      </c>
      <c r="R36" s="35">
        <v>0.47227913439190911</v>
      </c>
      <c r="S36" s="36">
        <v>0.35017088912854694</v>
      </c>
      <c r="T36" s="35">
        <v>0.47233327610183062</v>
      </c>
      <c r="U36" s="36">
        <v>0.35676309923848948</v>
      </c>
      <c r="V36" s="35">
        <v>0.47239109098814352</v>
      </c>
      <c r="W36" s="36">
        <v>0.36435739773461778</v>
      </c>
      <c r="X36" s="35">
        <v>0.47245195749867336</v>
      </c>
      <c r="Y36" s="36">
        <v>0.37323319165331043</v>
      </c>
      <c r="Z36" s="35">
        <v>0.47251421959652401</v>
      </c>
      <c r="AA36" s="36">
        <v>0.38379596706623581</v>
      </c>
      <c r="AB36" s="35">
        <v>0.47257432515647418</v>
      </c>
      <c r="AC36" s="36">
        <v>0.39665559990975985</v>
      </c>
      <c r="AD36" s="35">
        <v>0.47262546143315987</v>
      </c>
      <c r="AE36" s="36">
        <v>0.41275662136396191</v>
      </c>
      <c r="AF36" s="35">
        <v>0.47265606837953283</v>
      </c>
      <c r="AG36" s="36">
        <v>0.43356997686571902</v>
      </c>
      <c r="AH36" s="35">
        <v>0.47265077008602824</v>
      </c>
      <c r="AI36" s="36">
        <v>0.46124820309452275</v>
      </c>
      <c r="AJ36" s="35">
        <v>0.47259999168271577</v>
      </c>
      <c r="AK36" s="36">
        <v>0.49822047683705795</v>
      </c>
      <c r="AL36" s="35">
        <v>0.47251797686380032</v>
      </c>
      <c r="AM36" s="36">
        <v>0.54462864135580835</v>
      </c>
      <c r="AN36" s="35"/>
      <c r="AO36" s="36"/>
      <c r="AP36" s="35"/>
      <c r="AQ36" s="36"/>
      <c r="AR36" s="35"/>
      <c r="AS36" s="36"/>
      <c r="AT36" s="35"/>
      <c r="AU36" s="36"/>
      <c r="AV36" s="35"/>
      <c r="AW36" s="36"/>
    </row>
    <row r="37" spans="1:49 16319:16384" x14ac:dyDescent="0.2">
      <c r="B37" s="37">
        <v>2.1403217525954466E-2</v>
      </c>
      <c r="C37" s="38">
        <v>0.3496246130199252</v>
      </c>
      <c r="D37" s="37">
        <v>2.0598039576892442E-2</v>
      </c>
      <c r="E37" s="38">
        <v>0.34476451223288562</v>
      </c>
      <c r="F37" s="37">
        <v>1.9795073903738959E-2</v>
      </c>
      <c r="G37" s="38">
        <v>0.33987823074136847</v>
      </c>
      <c r="H37" s="37">
        <v>1.8993074644793578E-2</v>
      </c>
      <c r="I37" s="38">
        <v>0.33495969543144166</v>
      </c>
      <c r="J37" s="37">
        <v>1.8190773944617124E-2</v>
      </c>
      <c r="K37" s="38">
        <v>0.33000273043319145</v>
      </c>
      <c r="L37" s="37">
        <v>1.738685083607671E-2</v>
      </c>
      <c r="M37" s="38">
        <v>0.32500092029180788</v>
      </c>
      <c r="N37" s="37">
        <v>1.6579824020666527E-2</v>
      </c>
      <c r="O37" s="38">
        <v>0.31994704110609845</v>
      </c>
      <c r="P37" s="37">
        <v>1.5767964962910556E-2</v>
      </c>
      <c r="Q37" s="38">
        <v>0.31483259987296014</v>
      </c>
      <c r="R37" s="37">
        <v>1.4949155297039333E-2</v>
      </c>
      <c r="S37" s="38">
        <v>0.30964706030774186</v>
      </c>
      <c r="T37" s="37">
        <v>1.4120705676725225E-2</v>
      </c>
      <c r="U37" s="38">
        <v>0.30437686435715572</v>
      </c>
      <c r="V37" s="37">
        <v>1.3279092974186963E-2</v>
      </c>
      <c r="W37" s="38">
        <v>0.2990040280133443</v>
      </c>
      <c r="X37" s="37">
        <v>1.2419626265876711E-2</v>
      </c>
      <c r="Y37" s="38">
        <v>0.29350445360922284</v>
      </c>
      <c r="Z37" s="37">
        <v>1.1536041252308419E-2</v>
      </c>
      <c r="AA37" s="38">
        <v>0.2878461345085328</v>
      </c>
      <c r="AB37" s="37">
        <v>1.0620152893351687E-2</v>
      </c>
      <c r="AC37" s="38">
        <v>0.28198843539614354</v>
      </c>
      <c r="AD37" s="37">
        <v>9.662136292694086E-3</v>
      </c>
      <c r="AE37" s="38">
        <v>0.27588676076192731</v>
      </c>
      <c r="AF37" s="37">
        <v>8.6532049250694597E-3</v>
      </c>
      <c r="AG37" s="38">
        <v>0.26951489498761921</v>
      </c>
      <c r="AH37" s="37">
        <v>7.5950502560339023E-3</v>
      </c>
      <c r="AI37" s="38">
        <v>0.26293249856369466</v>
      </c>
      <c r="AJ37" s="37">
        <v>6.5214313382860271E-3</v>
      </c>
      <c r="AK37" s="38">
        <v>0.25642269366706133</v>
      </c>
      <c r="AL37" s="37">
        <v>5.5285698013266575E-3</v>
      </c>
      <c r="AM37" s="38">
        <v>0.25065254946422005</v>
      </c>
      <c r="AN37" s="37"/>
      <c r="AO37" s="38"/>
      <c r="AP37" s="37"/>
      <c r="AQ37" s="38"/>
      <c r="AR37" s="37"/>
      <c r="AS37" s="38"/>
      <c r="AT37" s="37"/>
      <c r="AU37" s="38"/>
      <c r="AV37" s="37"/>
      <c r="AW37" s="38"/>
    </row>
    <row r="38" spans="1:49 16319:16384" x14ac:dyDescent="0.2">
      <c r="A38" t="s">
        <v>22</v>
      </c>
      <c r="B38" s="35">
        <v>0.18079094942242827</v>
      </c>
      <c r="C38" s="36">
        <v>6.0565413429233668E-2</v>
      </c>
      <c r="D38" s="35">
        <v>0.18176986711644821</v>
      </c>
      <c r="E38" s="36">
        <v>6.1220802153096832E-2</v>
      </c>
      <c r="F38" s="35">
        <v>0.18270145003012717</v>
      </c>
      <c r="G38" s="36">
        <v>6.1895108976888567E-2</v>
      </c>
      <c r="H38" s="35">
        <v>0.18358168313578488</v>
      </c>
      <c r="I38" s="36">
        <v>6.259171325797544E-2</v>
      </c>
      <c r="J38" s="35">
        <v>0.18440504468090907</v>
      </c>
      <c r="K38" s="36">
        <v>6.3314272518633877E-2</v>
      </c>
      <c r="L38" s="35">
        <v>0.18516415326814747</v>
      </c>
      <c r="M38" s="36">
        <v>6.406725300077637E-2</v>
      </c>
      <c r="N38" s="35">
        <v>0.18584937686265307</v>
      </c>
      <c r="O38" s="36">
        <v>6.4855796530145518E-2</v>
      </c>
      <c r="P38" s="35">
        <v>0.1864482273761098</v>
      </c>
      <c r="Q38" s="36">
        <v>6.5686265419739515E-2</v>
      </c>
      <c r="R38" s="35">
        <v>0.18694456634478018</v>
      </c>
      <c r="S38" s="36">
        <v>6.6566681176201334E-2</v>
      </c>
      <c r="T38" s="35">
        <v>0.18731744463180353</v>
      </c>
      <c r="U38" s="36">
        <v>6.7507677471539768E-2</v>
      </c>
      <c r="V38" s="35">
        <v>0.18753946775658098</v>
      </c>
      <c r="W38" s="36">
        <v>6.8523769361825984E-2</v>
      </c>
      <c r="X38" s="35">
        <v>0.18757417514813929</v>
      </c>
      <c r="Y38" s="36">
        <v>6.9635703857622966E-2</v>
      </c>
      <c r="Z38" s="35">
        <v>0.18737170327158281</v>
      </c>
      <c r="AA38" s="36">
        <v>7.0874461925669152E-2</v>
      </c>
      <c r="AB38" s="35">
        <v>0.18686082582870428</v>
      </c>
      <c r="AC38" s="36">
        <v>7.2287289047928679E-2</v>
      </c>
      <c r="AD38" s="35">
        <v>0.18593294216482084</v>
      </c>
      <c r="AE38" s="36">
        <v>7.3946975247947327E-2</v>
      </c>
      <c r="AF38" s="35">
        <v>0.1844082278837037</v>
      </c>
      <c r="AG38" s="36">
        <v>7.5959393948023257E-2</v>
      </c>
      <c r="AH38" s="35">
        <v>0.18197144696756834</v>
      </c>
      <c r="AI38" s="36">
        <v>7.8446418412055463E-2</v>
      </c>
      <c r="AJ38" s="35">
        <v>0.17812431424932851</v>
      </c>
      <c r="AK38" s="36">
        <v>8.1434220884903583E-2</v>
      </c>
      <c r="AL38" s="35">
        <v>0.17252080884352991</v>
      </c>
      <c r="AM38" s="36">
        <v>8.4500430783996952E-2</v>
      </c>
      <c r="AN38" s="35"/>
      <c r="AO38" s="36"/>
      <c r="AP38" s="35"/>
      <c r="AQ38" s="36"/>
      <c r="AR38" s="35"/>
      <c r="AS38" s="36"/>
      <c r="AT38" s="35"/>
      <c r="AU38" s="36"/>
      <c r="AV38" s="35"/>
      <c r="AW38" s="36"/>
    </row>
    <row r="39" spans="1:49 16319:16384" x14ac:dyDescent="0.2">
      <c r="A39" t="s">
        <v>23</v>
      </c>
      <c r="B39" s="37">
        <v>0.23064923795098771</v>
      </c>
      <c r="C39" s="38">
        <v>0.22092201281804777</v>
      </c>
      <c r="D39" s="37">
        <v>0.23004618614069652</v>
      </c>
      <c r="E39" s="38">
        <v>0.22214520052786929</v>
      </c>
      <c r="F39" s="37">
        <v>0.22959972374537704</v>
      </c>
      <c r="G39" s="38">
        <v>0.22355697901128707</v>
      </c>
      <c r="H39" s="37">
        <v>0.22931711002923835</v>
      </c>
      <c r="I39" s="38">
        <v>0.22517954891287437</v>
      </c>
      <c r="J39" s="37">
        <v>0.22921032666021349</v>
      </c>
      <c r="K39" s="38">
        <v>0.22704155850973926</v>
      </c>
      <c r="L39" s="37">
        <v>0.22929719363446444</v>
      </c>
      <c r="M39" s="38">
        <v>0.22917936764149721</v>
      </c>
      <c r="N39" s="37">
        <v>0.22960305088938449</v>
      </c>
      <c r="O39" s="38">
        <v>0.23164024496149449</v>
      </c>
      <c r="P39" s="37">
        <v>0.23016342657367053</v>
      </c>
      <c r="Q39" s="38">
        <v>0.23448609291349251</v>
      </c>
      <c r="R39" s="37">
        <v>0.23102820902502028</v>
      </c>
      <c r="S39" s="38">
        <v>0.23779977650450709</v>
      </c>
      <c r="T39" s="37">
        <v>0.23226843821586957</v>
      </c>
      <c r="U39" s="38">
        <v>0.24169483876655251</v>
      </c>
      <c r="V39" s="37">
        <v>0.23398766793278886</v>
      </c>
      <c r="W39" s="38">
        <v>0.24633200410223102</v>
      </c>
      <c r="X39" s="37">
        <v>0.23634213092664258</v>
      </c>
      <c r="Y39" s="38">
        <v>0.2519472844982395</v>
      </c>
      <c r="Z39" s="37">
        <v>0.23957847446510616</v>
      </c>
      <c r="AA39" s="38">
        <v>0.25890279064517768</v>
      </c>
      <c r="AB39" s="37">
        <v>0.24410975993662187</v>
      </c>
      <c r="AC39" s="38">
        <v>0.2677846454139729</v>
      </c>
      <c r="AD39" s="37">
        <v>0.2506819463299042</v>
      </c>
      <c r="AE39" s="38">
        <v>0.27960048513287722</v>
      </c>
      <c r="AF39" s="37">
        <v>0.26077682618889608</v>
      </c>
      <c r="AG39" s="38">
        <v>0.29620836542710133</v>
      </c>
      <c r="AH39" s="37">
        <v>0.27771013893331126</v>
      </c>
      <c r="AI39" s="38">
        <v>0.32134338466279494</v>
      </c>
      <c r="AJ39" s="37">
        <v>0.31014703844537295</v>
      </c>
      <c r="AK39" s="38">
        <v>0.3637785289906787</v>
      </c>
      <c r="AL39" s="37">
        <v>0.3869146041336517</v>
      </c>
      <c r="AM39" s="38">
        <v>0.456811352274126</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5.1800074885415839E-2</v>
      </c>
      <c r="E42" s="126"/>
      <c r="F42" s="167">
        <f>6.1%+(1-6.1%)*(1-SUM(F26:G26)/SUM($B$26:$C$26))</f>
        <v>4.3424518850618862E-2</v>
      </c>
      <c r="G42" s="126"/>
      <c r="H42" s="167">
        <f>6.1%+(1-6.1%)*(1-SUM(H26:I26)/SUM($B$26:$C$26))</f>
        <v>3.5946903121624713E-2</v>
      </c>
      <c r="I42" s="126"/>
      <c r="J42" s="167">
        <f>6.1%+(1-6.1%)*(1-SUM(J26:K26)/SUM($B$26:$C$26))</f>
        <v>2.9466937549099299E-2</v>
      </c>
      <c r="K42" s="126"/>
      <c r="L42" s="167">
        <f>6.1%+(1-6.1%)*(1-SUM(L26:M26)/SUM($B$26:$C$26))</f>
        <v>2.4116711535334255E-2</v>
      </c>
      <c r="M42" s="126"/>
      <c r="N42" s="167">
        <f>6.1%+(1-6.1%)*(1-SUM(N26:O26)/SUM($B$26:$C$26))</f>
        <v>2.0069595972165698E-2</v>
      </c>
      <c r="O42" s="126"/>
      <c r="P42" s="167">
        <f>6.1%+(1-6.1%)*(1-SUM(P26:Q26)/SUM($B$26:$C$26))</f>
        <v>1.7553073455372548E-2</v>
      </c>
      <c r="Q42" s="126"/>
      <c r="R42" s="167">
        <f>6.1%+(1-6.1%)*(1-SUM(R26:S26)/SUM($B$26:$C$26))</f>
        <v>1.6867471944117085E-2</v>
      </c>
      <c r="S42" s="126"/>
      <c r="T42" s="167">
        <f>6.1%+(1-6.1%)*(1-SUM(T26:U26)/SUM($B$26:$C$26))</f>
        <v>1.8414376243822368E-2</v>
      </c>
      <c r="U42" s="126"/>
      <c r="V42" s="167">
        <f>6.1%+(1-6.1%)*(1-SUM(V26:W26)/SUM($B$26:$C$26))</f>
        <v>2.2740485129593174E-2</v>
      </c>
      <c r="W42" s="126"/>
      <c r="X42" s="167">
        <f>6.1%+(1-6.1%)*(1-SUM(X26:Y26)/SUM($B$26:$C$26))</f>
        <v>3.0609898048708149E-2</v>
      </c>
      <c r="Y42" s="152"/>
      <c r="Z42" s="167">
        <f>6.1%+(1-6.1%)*(1-SUM(Z26:AA26)/SUM($B$26:$C$26))</f>
        <v>4.3127956459543475E-2</v>
      </c>
      <c r="AA42" s="126"/>
      <c r="AB42" s="167">
        <f>6.1%+(1-6.1%)*(1-SUM(AB26:AC26)/SUM($B$26:$C$26))</f>
        <v>6.1967386393451916E-2</v>
      </c>
      <c r="AC42" s="126"/>
      <c r="AD42" s="167">
        <f>6.1%+(1-6.1%)*(1-SUM(AD26:AE26)/SUM($B$26:$C$26))</f>
        <v>8.9804532174637672E-2</v>
      </c>
      <c r="AE42" s="126"/>
      <c r="AF42" s="167">
        <f>6.1%+(1-6.1%)*(1-SUM(AF26:AG26)/SUM($B$26:$C$26))</f>
        <v>0.13119350745004041</v>
      </c>
      <c r="AG42" s="126"/>
      <c r="AH42" s="167">
        <f>6.1%+(1-6.1%)*(1-SUM(AH26:AI26)/SUM($B$26:$C$26))</f>
        <v>0.1942675997961609</v>
      </c>
      <c r="AI42" s="126"/>
      <c r="AJ42" s="167">
        <f>6.1%+(1-6.1%)*(1-SUM(AJ26:AK26)/SUM($B$26:$C$26))</f>
        <v>0.29344508566903937</v>
      </c>
      <c r="AK42" s="126"/>
      <c r="AL42" s="167">
        <f>6.1%+(1-6.1%)*(1-SUM(AL26:AM26)/SUM($B$26:$C$26))</f>
        <v>0.45133894899852744</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0.5608277336710451</v>
      </c>
      <c r="E43" s="126"/>
      <c r="F43" s="152">
        <f t="array" ref="F43">SUM(F15:G15*F27:G27)/SUM(F15:G15*F27:G27,F13:G13*F26:G26)</f>
        <v>0.55427715744380268</v>
      </c>
      <c r="G43" s="126"/>
      <c r="H43" s="152">
        <f t="array" ref="H43">SUM(H15:I15*H27:I27)/SUM(H15:I15*H27:I27,H13:I13*H26:I26)</f>
        <v>0.54751249426391857</v>
      </c>
      <c r="I43" s="126"/>
      <c r="J43" s="152">
        <f t="array" ref="J43">SUM(J15:K15*J27:K27)/SUM(J15:K15*J27:K27,J13:K13*J26:K26)</f>
        <v>0.54049075367002108</v>
      </c>
      <c r="K43" s="126"/>
      <c r="L43" s="152">
        <f t="array" ref="L43">SUM(L15:M15*L27:M27)/SUM(L15:M15*L27:M27,L13:M13*L26:M26)</f>
        <v>0.53315979134880553</v>
      </c>
      <c r="M43" s="126"/>
      <c r="N43" s="152">
        <f t="array" ref="N43">SUM(N15:O15*N27:O27)/SUM(N15:O15*N27:O27,N13:O13*N26:O26)</f>
        <v>0.52545428180814713</v>
      </c>
      <c r="O43" s="126"/>
      <c r="P43" s="152">
        <f t="array" ref="P43">SUM(P15:Q15*P27:Q27)/SUM(P15:Q15*P27:Q27,P13:Q13*P26:Q26)</f>
        <v>0.51728991135702118</v>
      </c>
      <c r="Q43" s="126"/>
      <c r="R43" s="152">
        <f t="array" ref="R43">SUM(R15:S15*R27:S27)/SUM(R15:S15*R27:S27,R13:S13*R26:S26)</f>
        <v>0.50855406364510425</v>
      </c>
      <c r="S43" s="126"/>
      <c r="T43" s="152">
        <f t="array" ref="T43">SUM(T15:U15*T27:U27)/SUM(T15:U15*T27:U27,T13:U13*T26:U26)</f>
        <v>0.4990908442434287</v>
      </c>
      <c r="U43" s="126"/>
      <c r="V43" s="152">
        <f t="array" ref="V43">SUM(V15:W15*V27:W27)/SUM(V15:W15*V27:W27,V13:W13*V26:W26)</f>
        <v>0.48867559263966243</v>
      </c>
      <c r="W43" s="126"/>
      <c r="X43" s="152">
        <f t="array" ref="X43">SUM(X15:Y15*X27:Y27)/SUM(X15:Y15*X27:Y27,X13:Y13*X26:Y26)</f>
        <v>0.47697095227819297</v>
      </c>
      <c r="Y43" s="126"/>
      <c r="Z43" s="152">
        <f t="array" ref="Z43">SUM(Z15:AA15*Z27:AA27)/SUM(Z15:AA15*Z27:AA27,Z13:AA13*Z26:AA26)</f>
        <v>0.46344788654344748</v>
      </c>
      <c r="AA43" s="126"/>
      <c r="AB43" s="152">
        <f t="array" ref="AB43">SUM(AB15:AC15*AB27:AC27)/SUM(AB15:AC15*AB27:AC27,AB13:AC13*AB26:AC26)</f>
        <v>0.44724055434741006</v>
      </c>
      <c r="AC43" s="126"/>
      <c r="AD43" s="152">
        <f t="array" ref="AD43">SUM(AD15:AE15*AD27:AE27)/SUM(AD15:AE15*AD27:AE27,AD13:AE13*AD26:AE26)</f>
        <v>0.42687963861096218</v>
      </c>
      <c r="AE43" s="126"/>
      <c r="AF43" s="152">
        <f t="array" ref="AF43">SUM(AF15:AG15*AF27:AG27)/SUM(AF15:AG15*AF27:AG27,AF13:AG13*AF26:AG26)</f>
        <v>0.39983337824182802</v>
      </c>
      <c r="AG43" s="126"/>
      <c r="AH43" s="152">
        <f t="array" ref="AH43">SUM(AH15:AI15*AH27:AI27)/SUM(AH15:AI15*AH27:AI27,AH13:AI13*AH26:AI26)</f>
        <v>0.3619077860095159</v>
      </c>
      <c r="AI43" s="126"/>
      <c r="AJ43" s="152">
        <f t="array" ref="AJ43">SUM(AJ15:AK15*AJ27:AK27)/SUM(AJ15:AK15*AJ27:AK27,AJ13:AK13*AJ26:AK26)</f>
        <v>0.30724465961128178</v>
      </c>
      <c r="AK43" s="126"/>
      <c r="AL43" s="152">
        <f t="array" ref="AL43">SUM(AL15:AM15*AL27:AM27)/SUM(AL15:AM15*AL27:AM27,AL13:AM13*AL26:AM26)</f>
        <v>0.23188786491210767</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0.29754226190682442</v>
      </c>
      <c r="D44" s="183">
        <f>(SUM(D11:E11*D24:E24)+D34)/D32</f>
        <v>0.29754225268957468</v>
      </c>
      <c r="F44" s="183">
        <f>(SUM(F11:G11*F24:G24)+F34)/F32</f>
        <v>0.29754225004023371</v>
      </c>
      <c r="H44" s="183">
        <f>(SUM(H11:I11*H24:I24)+H34)/H32</f>
        <v>0.29754226138659456</v>
      </c>
      <c r="J44" s="183">
        <f>(SUM(J11:K11*J24:K24)+J34)/J32</f>
        <v>0.29754225917679938</v>
      </c>
      <c r="L44" s="183">
        <f>(SUM(L11:M11*L24:M24)+L34)/L32</f>
        <v>0.29754226109448711</v>
      </c>
      <c r="N44" s="183">
        <f>(SUM(N11:O11*N24:O24)+N34)/N32</f>
        <v>0.29754226045555887</v>
      </c>
      <c r="P44" s="183">
        <f>(SUM(P11:Q11*P24:Q24)+P34)/P32</f>
        <v>0.29754225996157646</v>
      </c>
      <c r="R44" s="183">
        <f>(SUM(R11:S11*R24:S24)+R34)/R32</f>
        <v>0.29754225768018983</v>
      </c>
      <c r="T44" s="183">
        <f>(SUM(T11:U11*T24:U24)+T34)/T32</f>
        <v>0.29754226077661994</v>
      </c>
      <c r="V44" s="183">
        <f>(SUM(V11:W11*V24:W24)+V34)/V32</f>
        <v>0.29754226184860427</v>
      </c>
      <c r="X44" s="183">
        <f>(SUM(X11:Y11*X24:Y24)+X34)/X32</f>
        <v>0.29754226297733533</v>
      </c>
      <c r="Z44" s="183">
        <f>(SUM(Z11:AA11*Z24:AA24)+Z34)/Z32</f>
        <v>0.29754226053255239</v>
      </c>
      <c r="AB44" s="183">
        <f>(SUM(AB11:AC11*AB24:AC24)+AB34)/AB32</f>
        <v>0.29754226112258864</v>
      </c>
      <c r="AD44" s="183">
        <f>(SUM(AD11:AE11*AD24:AE24)+AD34)/AD32</f>
        <v>0.29754226112590842</v>
      </c>
      <c r="AF44" s="183">
        <f>(SUM(AF11:AG11*AF24:AG24)+AF34)/AF32</f>
        <v>0.29754226126856731</v>
      </c>
      <c r="AH44" s="183">
        <f>(SUM(AH11:AI11*AH24:AI24)+AH34)/AH32</f>
        <v>0.29754226190407562</v>
      </c>
      <c r="AJ44" s="183">
        <f>(SUM(AJ11:AK11*AJ24:AK24)+AJ34)/AJ32</f>
        <v>0.29754226190171307</v>
      </c>
      <c r="AL44" s="183">
        <f>(SUM(AL11:AM11*AL24:AM24)+AL34)/AL32</f>
        <v>0.29754226190340982</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0.22038438950925146</v>
      </c>
      <c r="F45" s="183">
        <f>SUM(F11:G11*F24:G24)/F32</f>
        <v>0.22038438964516371</v>
      </c>
      <c r="H45" s="183">
        <f>SUM(H11:I11*H24:I24)/H32</f>
        <v>0.22038438831179122</v>
      </c>
      <c r="J45" s="183">
        <f>SUM(J11:K11*J24:K24)/J32</f>
        <v>0.22038438854929757</v>
      </c>
      <c r="L45" s="183">
        <f>SUM(L11:M11*L24:M24)/L32</f>
        <v>0.22038438827814172</v>
      </c>
      <c r="N45" s="183">
        <f>SUM(N11:O11*N24:O24)/N32</f>
        <v>0.22038438821866158</v>
      </c>
      <c r="P45" s="183">
        <f>SUM(P11:Q11*P24:Q24)/P32</f>
        <v>0.22038438816377851</v>
      </c>
      <c r="R45" s="183">
        <f>SUM(R11:S11*R24:S24)/R32</f>
        <v>0.22038438818656797</v>
      </c>
      <c r="T45" s="183">
        <f>SUM(T11:U11*T24:U24)/T32</f>
        <v>0.22038438829807785</v>
      </c>
      <c r="V45" s="183">
        <f>SUM(V11:W11*V24:W24)/V32</f>
        <v>0.22038438833054633</v>
      </c>
      <c r="X45" s="183">
        <f>SUM(X11:Y11*X24:Y24)/X32</f>
        <v>0.22038438844789299</v>
      </c>
      <c r="Z45" s="183">
        <f>SUM(Z11:AA11*Z24:AA24)/Z32</f>
        <v>0.22038438842072372</v>
      </c>
      <c r="AB45" s="183">
        <f>SUM(AB11:AC11*AB24:AC24)/AB32</f>
        <v>0.22038438829625998</v>
      </c>
      <c r="AD45" s="183">
        <f>SUM(AD11:AE11*AD24:AE24)/AD32</f>
        <v>0.22038438827071533</v>
      </c>
      <c r="AF45" s="183">
        <f>SUM(AF11:AG11*AF24:AG24)/AF32</f>
        <v>0.22038438840953348</v>
      </c>
      <c r="AH45" s="183">
        <f>SUM(AH11:AI11*AH24:AI24)/AH32</f>
        <v>0.22038438833224086</v>
      </c>
      <c r="AJ45" s="183">
        <f>SUM(AJ11:AK11*AJ24:AK24)/AJ32</f>
        <v>0.22038438833195462</v>
      </c>
      <c r="AL45" s="183">
        <f>SUM(AL11:AM11*AL24:AM24)/AL32</f>
        <v>0.22038438833180901</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7.7157873574883587E-2</v>
      </c>
      <c r="D46" s="183">
        <f>D34/D32</f>
        <v>7.7157863180323222E-2</v>
      </c>
      <c r="F46" s="183">
        <f>F34/F32</f>
        <v>7.7157860395069985E-2</v>
      </c>
      <c r="H46" s="183">
        <f>H34/H32</f>
        <v>7.7157873074803318E-2</v>
      </c>
      <c r="J46" s="183">
        <f>J34/J32</f>
        <v>7.7157870627501804E-2</v>
      </c>
      <c r="L46" s="183">
        <f>L34/L32</f>
        <v>7.7157872816345396E-2</v>
      </c>
      <c r="N46" s="183">
        <f>N34/N32</f>
        <v>7.7157872236897268E-2</v>
      </c>
      <c r="P46" s="183">
        <f>P34/P32</f>
        <v>7.7157871797797956E-2</v>
      </c>
      <c r="R46" s="183">
        <f>R34/R32</f>
        <v>7.7157869493621842E-2</v>
      </c>
      <c r="T46" s="183">
        <f>T34/T32</f>
        <v>7.7157872478542042E-2</v>
      </c>
      <c r="V46" s="183">
        <f>V34/V32</f>
        <v>7.7157873518057973E-2</v>
      </c>
      <c r="X46" s="183">
        <f>X34/X32</f>
        <v>7.7157874529442325E-2</v>
      </c>
      <c r="Z46" s="183">
        <f>Z34/Z32</f>
        <v>7.7157872111828618E-2</v>
      </c>
      <c r="AB46" s="183">
        <f>AB34/AB32</f>
        <v>7.7157872826328661E-2</v>
      </c>
      <c r="AD46" s="183">
        <f>AD34/AD32</f>
        <v>7.7157872855193113E-2</v>
      </c>
      <c r="AF46" s="183">
        <f>AF34/AF32</f>
        <v>7.7157872859033791E-2</v>
      </c>
      <c r="AH46" s="183">
        <f>AH34/AH32</f>
        <v>7.7157873571834706E-2</v>
      </c>
      <c r="AJ46" s="183">
        <f>AJ34/AJ32</f>
        <v>7.7157873569758464E-2</v>
      </c>
      <c r="AL46" s="183">
        <f>AL34/AL32</f>
        <v>7.7157873571600852E-2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1.0070354335673408</v>
      </c>
      <c r="E48" s="181"/>
      <c r="F48" s="181">
        <f>F24/$B$24</f>
        <v>1.0134191286182765</v>
      </c>
      <c r="G48" s="181"/>
      <c r="H48" s="181">
        <f>H24/$B$24</f>
        <v>1.019108979149097</v>
      </c>
      <c r="I48" s="181"/>
      <c r="J48" s="181">
        <f>J24/$B$24</f>
        <v>1.0240435457068162</v>
      </c>
      <c r="K48" s="181"/>
      <c r="L48" s="181">
        <f>L24/$B$24</f>
        <v>1.0281379209570345</v>
      </c>
      <c r="M48" s="181"/>
      <c r="N48" s="181">
        <f>N24/$B$24</f>
        <v>1.0312768550623821</v>
      </c>
      <c r="O48" s="181"/>
      <c r="P48" s="181">
        <f>P24/$B$24</f>
        <v>1.0333051947361402</v>
      </c>
      <c r="Q48" s="181"/>
      <c r="R48" s="181">
        <f>R24/$B$24</f>
        <v>1.0340132334701722</v>
      </c>
      <c r="S48" s="181"/>
      <c r="T48" s="181">
        <f>T24/$B$24</f>
        <v>1.033114207699795</v>
      </c>
      <c r="U48" s="181"/>
      <c r="V48" s="181">
        <f>V24/$B$24</f>
        <v>1.0302083493747154</v>
      </c>
      <c r="W48" s="181"/>
      <c r="X48" s="181">
        <f>X24/$B$24</f>
        <v>1.0247225075447455</v>
      </c>
      <c r="Y48" s="181"/>
      <c r="Z48" s="181">
        <f>Z24/$B$24</f>
        <v>1.0158035233525617</v>
      </c>
      <c r="AA48" s="181"/>
      <c r="AB48" s="181">
        <f>AB24/$B$24</f>
        <v>1.0021159424131989</v>
      </c>
      <c r="AC48" s="181"/>
      <c r="AD48" s="181">
        <f>AD24/$B$24</f>
        <v>0.98143036700808162</v>
      </c>
      <c r="AE48" s="181"/>
      <c r="AF48" s="181">
        <f>AF24/$B$24</f>
        <v>0.94972178639681859</v>
      </c>
      <c r="AG48" s="181"/>
      <c r="AH48" s="181">
        <f>AH24/$B$24</f>
        <v>0.89910961365676889</v>
      </c>
      <c r="AI48" s="181"/>
      <c r="AJ48" s="181">
        <f>AJ24/$B$24</f>
        <v>0.81332820642276782</v>
      </c>
      <c r="AK48" s="181"/>
      <c r="AL48" s="181">
        <f>AL24/$B$24</f>
        <v>0.65974202390936476</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0.99999998888214836</v>
      </c>
      <c r="E49" s="181"/>
      <c r="F49" s="181">
        <f>F13/F35/$B$13*$B$35</f>
        <v>0.99999998679240465</v>
      </c>
      <c r="G49" s="181"/>
      <c r="H49" s="181">
        <f>H13/H35/$B$13*$B$35</f>
        <v>0.99999999958985542</v>
      </c>
      <c r="I49" s="181"/>
      <c r="J49" s="181">
        <f>J13/J35/$B$13*$B$35</f>
        <v>0.99999999720260668</v>
      </c>
      <c r="K49" s="181"/>
      <c r="L49" s="181">
        <f>L13/L35/$B$13*$B$35</f>
        <v>0.9999999996486757</v>
      </c>
      <c r="M49" s="181"/>
      <c r="N49" s="181">
        <f>N13/N35/$B$13*$B$35</f>
        <v>0.99999999971838061</v>
      </c>
      <c r="O49" s="181"/>
      <c r="P49" s="181">
        <f>P13/P35/$B$13*$B$35</f>
        <v>1.0000000001973957</v>
      </c>
      <c r="Q49" s="181"/>
      <c r="R49" s="181">
        <f>R13/R35/$B$13*$B$35</f>
        <v>1.0000000008394938</v>
      </c>
      <c r="S49" s="181"/>
      <c r="T49" s="181">
        <f>T13/T35/$B$13*$B$35</f>
        <v>1.000000000275894</v>
      </c>
      <c r="U49" s="181"/>
      <c r="V49" s="181">
        <f>V13/V35/$B$13*$B$35</f>
        <v>1.0000000000126033</v>
      </c>
      <c r="W49" s="181"/>
      <c r="X49" s="181">
        <f>X13/X35/$B$13*$B$35</f>
        <v>0.99999999386015259</v>
      </c>
      <c r="Y49" s="181"/>
      <c r="Z49" s="181">
        <f>Z13/Z35/$B$13*$B$35</f>
        <v>0.99999999518891658</v>
      </c>
      <c r="AA49" s="181"/>
      <c r="AB49" s="181">
        <f>AB13/AB35/$B$13*$B$35</f>
        <v>1.0000000016165149</v>
      </c>
      <c r="AC49" s="181"/>
      <c r="AD49" s="181">
        <f>AD13/AD35/$B$13*$B$35</f>
        <v>1.0000000053547533</v>
      </c>
      <c r="AE49" s="181"/>
      <c r="AF49" s="181">
        <f>AF13/AF35/$B$13*$B$35</f>
        <v>0.9999999925830082</v>
      </c>
      <c r="AG49" s="181"/>
      <c r="AH49" s="181">
        <f>AH13/AH35/$B$13*$B$35</f>
        <v>0.99999999996108058</v>
      </c>
      <c r="AI49" s="181"/>
      <c r="AJ49" s="181">
        <f>AJ13/AJ35/$B$13*$B$35</f>
        <v>1.0000000001105971</v>
      </c>
      <c r="AK49" s="181"/>
      <c r="AL49" s="181">
        <f>AL13/AL35/$B$13*$B$35</f>
        <v>0.999999999720807</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-317552.64036604483</v>
      </c>
      <c r="F51" s="27">
        <f>F30-F10*F23</f>
        <v>-227103.77698389115</v>
      </c>
      <c r="H51" s="27">
        <f>H30-H10*H23</f>
        <v>-134260.81288625859</v>
      </c>
      <c r="J51" s="27">
        <f>J30-J10*J23</f>
        <v>-38751.620604859199</v>
      </c>
      <c r="L51" s="27">
        <f>L30-L10*L23</f>
        <v>59745.392836277373</v>
      </c>
      <c r="N51" s="27">
        <f>N30-N10*N23</f>
        <v>161627.03813825967</v>
      </c>
      <c r="P51" s="27">
        <f>P30-P10*P23</f>
        <v>267395.6577439094</v>
      </c>
      <c r="R51" s="27">
        <f>R30-R10*R23</f>
        <v>377712.46044439403</v>
      </c>
      <c r="T51" s="27">
        <f>T30-T10*T23</f>
        <v>493480.55557130743</v>
      </c>
      <c r="V51" s="27">
        <f>V30-V10*V23</f>
        <v>615983.60188383888</v>
      </c>
      <c r="X51" s="27">
        <f>X30-X10*X23</f>
        <v>747105.4015446296</v>
      </c>
      <c r="Z51" s="27">
        <f>Z30-Z10*Z23</f>
        <v>889674.37905755499</v>
      </c>
      <c r="AB51" s="27">
        <f>AB30-AB10*AB23</f>
        <v>1047938.2245151424</v>
      </c>
      <c r="AD51" s="27">
        <f>AD30-AD10*AD23</f>
        <v>1227916.9785290635</v>
      </c>
      <c r="AF51" s="27">
        <f>AF30-AF10*AF23</f>
        <v>1436165.4977906821</v>
      </c>
      <c r="AH51" s="27">
        <f>AH30-AH10*AH23</f>
        <v>1670879.0690832143</v>
      </c>
      <c r="AJ51" s="27">
        <f>AJ30-AJ10*AJ23</f>
        <v>1887314.1447995086</v>
      </c>
      <c r="AL51" s="27">
        <f>AL30-AL10*AL23</f>
        <v>1908613.7691981313</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2097964.9214048092</v>
      </c>
      <c r="F52" s="27">
        <f t="array" ref="F52">Calibration!sL*SUM(F13:G13*F26:G26)</f>
        <v>2121581.5056579057</v>
      </c>
      <c r="H52" s="27">
        <f t="array" ref="H52">Calibration!sL*SUM(H13:I13*H26:I26)</f>
        <v>2143867.2559584463</v>
      </c>
      <c r="J52" s="27">
        <f t="array" ref="J52">Calibration!sL*SUM(J13:K13*J26:K26)</f>
        <v>2164711.7228281847</v>
      </c>
      <c r="L52" s="27">
        <f t="array" ref="L52">Calibration!sL*SUM(L13:M13*L26:M26)</f>
        <v>2183963.6072696373</v>
      </c>
      <c r="N52" s="27">
        <f t="array" ref="N52">Calibration!sL*SUM(N13:O13*N26:O26)</f>
        <v>2201422.9306071787</v>
      </c>
      <c r="P52" s="27">
        <f t="array" ref="P52">Calibration!sL*SUM(P13:Q13*P26:Q26)</f>
        <v>2216829.8884742963</v>
      </c>
      <c r="R52" s="27">
        <f t="array" ref="R52">Calibration!sL*SUM(R13:S13*R26:S26)</f>
        <v>2229849.7332235482</v>
      </c>
      <c r="T52" s="27">
        <f t="array" ref="T52">Calibration!sL*SUM(T13:U13*T26:U26)</f>
        <v>2240050.3830440976</v>
      </c>
      <c r="V52" s="27">
        <f t="array" ref="V52">Calibration!sL*SUM(V13:W13*V26:W26)</f>
        <v>2246869.3445430659</v>
      </c>
      <c r="X52" s="27">
        <f t="array" ref="X52">Calibration!sL*SUM(X13:Y13*X26:Y26)</f>
        <v>2249555.2105272585</v>
      </c>
      <c r="Z52" s="27">
        <f t="array" ref="Z52">Calibration!sL*SUM(Z13:AA13*Z26:AA26)</f>
        <v>2247054.555627598</v>
      </c>
      <c r="AB52" s="27">
        <f t="array" ref="AB52">Calibration!sL*SUM(AB13:AC13*AB26:AC26)</f>
        <v>2237753.2540509934</v>
      </c>
      <c r="AD52" s="27">
        <f t="array" ref="AD52">Calibration!sL*SUM(AD13:AE13*AD26:AE26)</f>
        <v>2218798.2698387974</v>
      </c>
      <c r="AF52" s="27">
        <f t="array" ref="AF52">Calibration!sL*SUM(AF13:AG13*AF26:AG26)</f>
        <v>2184123.1839612462</v>
      </c>
      <c r="AH52" s="27">
        <f t="array" ref="AH52">Calibration!sL*SUM(AH13:AI13*AH26:AI26)</f>
        <v>2118524.7452608217</v>
      </c>
      <c r="AJ52" s="27">
        <f t="array" ref="AJ52">Calibration!sL*SUM(AJ13:AK13*AJ26:AK26)</f>
        <v>1981501.3169193794</v>
      </c>
      <c r="AL52" s="27">
        <f t="array" ref="AL52">Calibration!sL*SUM(AL13:AM13*AL26:AM26)</f>
        <v>1674199.7480586478</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2679123.8937467434</v>
      </c>
      <c r="F53" s="27">
        <f t="array" ref="F53">Calibration!sK*SUM(F15:G15*F27:G27)</f>
        <v>2638285.620493283</v>
      </c>
      <c r="H53" s="27">
        <f t="array" ref="H53">Calibration!sK*SUM(H15:I15*H27:I27)</f>
        <v>2594091.7567902547</v>
      </c>
      <c r="J53" s="27">
        <f t="array" ref="J53">Calibration!sK*SUM(J15:K15*J27:K27)</f>
        <v>2546209.2001290014</v>
      </c>
      <c r="L53" s="27">
        <f t="array" ref="L53">Calibration!sK*SUM(L15:M15*L27:M27)</f>
        <v>2494218.7060739282</v>
      </c>
      <c r="N53" s="27">
        <f t="array" ref="N53">Calibration!sK*SUM(N15:O15*N27:O27)</f>
        <v>2437588.3305104934</v>
      </c>
      <c r="P53" s="27">
        <f t="array" ref="P53">Calibration!sK*SUM(P15:Q15*P27:Q27)</f>
        <v>2375636.5642289612</v>
      </c>
      <c r="R53" s="27">
        <f t="array" ref="R53">Calibration!sK*SUM(R15:S15*R27:S27)</f>
        <v>2307474.8599200426</v>
      </c>
      <c r="T53" s="27">
        <f t="array" ref="T53">Calibration!sK*SUM(T15:U15*T27:U27)</f>
        <v>2231918.9497199128</v>
      </c>
      <c r="V53" s="27">
        <f t="array" ref="V53">Calibration!sK*SUM(V15:W15*V27:W27)</f>
        <v>2147345.5847663139</v>
      </c>
      <c r="X53" s="27">
        <f t="array" ref="X53">Calibration!sK*SUM(X15:Y15*X27:Y27)</f>
        <v>2051458.7012732399</v>
      </c>
      <c r="Z53" s="27">
        <f t="array" ref="Z53">Calibration!sK*SUM(Z15:AA15*Z27:AA27)</f>
        <v>1940897.5542834448</v>
      </c>
      <c r="AB53" s="27">
        <f t="array" ref="AB53">Calibration!sK*SUM(AB15:AC15*AB27:AC27)</f>
        <v>1810577.8448578527</v>
      </c>
      <c r="AD53" s="27">
        <f t="array" ref="AD53">Calibration!sK*SUM(AD15:AE15*AD27:AE27)</f>
        <v>1652636.8061393581</v>
      </c>
      <c r="AF53" s="27">
        <f t="array" ref="AF53">Calibration!sK*SUM(AF15:AG15*AF27:AG27)</f>
        <v>1455071.507611098</v>
      </c>
      <c r="AH53" s="27">
        <f t="array" ref="AH53">Calibration!sK*SUM(AH15:AI15*AH27:AI27)</f>
        <v>1201567.0828654738</v>
      </c>
      <c r="AJ53" s="27">
        <f t="array" ref="AJ53">Calibration!sK*SUM(AJ15:AK15*AJ27:AK27)</f>
        <v>878817.76168566081</v>
      </c>
      <c r="AL53" s="27">
        <f t="array" ref="AL53">Calibration!sK*SUM(AL15:AM15*AL27:AM27)</f>
        <v>505429.59455950407</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0.20460083988955186</v>
      </c>
      <c r="F55" s="183">
        <f>F30/F32</f>
        <v>0.21077310047221975</v>
      </c>
      <c r="H55" s="183">
        <f>H30/H32</f>
        <v>0.21704730570303474</v>
      </c>
      <c r="J55" s="183">
        <f>J30/J32</f>
        <v>0.22345533002953483</v>
      </c>
      <c r="L55" s="183">
        <f>L30/L32</f>
        <v>0.23003456483931184</v>
      </c>
      <c r="N55" s="183">
        <f>N30/N32</f>
        <v>0.23683083517865636</v>
      </c>
      <c r="P55" s="183">
        <f>P30/P32</f>
        <v>0.24390212515024351</v>
      </c>
      <c r="R55" s="183">
        <f>R30/R32</f>
        <v>0.25132467896875127</v>
      </c>
      <c r="T55" s="183">
        <f>T30/T32</f>
        <v>0.25920254475829879</v>
      </c>
      <c r="V55" s="183">
        <f>V30/V32</f>
        <v>0.26768350355092846</v>
      </c>
      <c r="X55" s="183">
        <f>X30/X32</f>
        <v>0.27698560840911307</v>
      </c>
      <c r="Z55" s="183">
        <f>Z30/Z32</f>
        <v>0.28744289162985687</v>
      </c>
      <c r="AB55" s="183">
        <f>AB30/AB32</f>
        <v>0.29958415074232397</v>
      </c>
      <c r="AD55" s="183">
        <f>AD30/AD32</f>
        <v>0.31426285602709292</v>
      </c>
      <c r="AF55" s="183">
        <f>AF30/AF32</f>
        <v>0.33283556161123218</v>
      </c>
      <c r="AH55" s="183">
        <f>AH30/AH32</f>
        <v>0.35724660943857134</v>
      </c>
      <c r="AJ55" s="183">
        <f>AJ30/AJ32</f>
        <v>0.38944545392319918</v>
      </c>
      <c r="AL55" s="183">
        <f>AL30/AL32</f>
        <v>0.42888631896328833</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3.4297260205911118E-2</v>
      </c>
      <c r="F56" s="183">
        <f>(Model!$C$52*F5*F20+F2*G5*G20)/F32</f>
        <v>3.9433721639839818E-2</v>
      </c>
      <c r="H56" s="183">
        <f>(Model!$C$52*H5*H20+H2*I5*I20)/H32</f>
        <v>4.4653686974404541E-2</v>
      </c>
      <c r="J56" s="183">
        <f>(Model!$C$52*J5*J20+J2*K5*K20)/J32</f>
        <v>4.9983599218577861E-2</v>
      </c>
      <c r="L56" s="183">
        <f>(Model!$C$52*L5*L20+L2*M5*M20)/L32</f>
        <v>5.5454461195835913E-2</v>
      </c>
      <c r="N56" s="183">
        <f>(Model!$C$52*N5*N20+N2*O5*O20)/N32</f>
        <v>6.1104206096925275E-2</v>
      </c>
      <c r="P56" s="183">
        <f>(Model!$C$52*P5*P20+P2*Q5*Q20)/P32</f>
        <v>6.6980769845903357E-2</v>
      </c>
      <c r="R56" s="183">
        <f>(Model!$C$52*R5*R20+R2*S5*S20)/R32</f>
        <v>7.3147080394459815E-2</v>
      </c>
      <c r="T56" s="183">
        <f>(Model!$C$52*T5*T20+T2*U5*U20)/T32</f>
        <v>7.9688893503663122E-2</v>
      </c>
      <c r="V56" s="183">
        <f>(Model!$C$52*V5*V20+V2*W5*W20)/V32</f>
        <v>8.6727788341110987E-2</v>
      </c>
      <c r="X56" s="183">
        <f>(Model!$C$52*X5*X20+X2*Y5*Y20)/X32</f>
        <v>9.4442875868956222E-2</v>
      </c>
      <c r="Z56" s="183">
        <f>(Model!$C$52*Z5*Z20+Z2*AA5*AA20)/Z32</f>
        <v>0.10310814379297487</v>
      </c>
      <c r="AB56" s="183">
        <f>(Model!$C$52*AB5*AB20+AB2*AC5*AC20)/AB32</f>
        <v>0.11315677260957649</v>
      </c>
      <c r="AD56" s="183">
        <f>(Model!$C$52*AD5*AD20+AD2*AE5*AE20)/AD32</f>
        <v>0.12528719762454754</v>
      </c>
      <c r="AF56" s="183">
        <f>(Model!$C$52*AF5*AF20+AF2*AG5*AG20)/AF32</f>
        <v>0.14060863845691884</v>
      </c>
      <c r="AH56" s="183">
        <f>(Model!$C$52*AH5*AH20+AH2*AI5*AI20)/AH32</f>
        <v>0.16070988450096549</v>
      </c>
      <c r="AJ56" s="183">
        <f>(Model!$C$52*AJ5*AJ20+AJ2*AK5*AK20)/AJ32</f>
        <v>0.18718232759416903</v>
      </c>
      <c r="AL56" s="183">
        <f>(Model!$C$52*AL5*AL20+AL2*AM5*AM20)/AL32</f>
        <v>0.21957280286667594</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0.15963918761656734</v>
      </c>
      <c r="F57" s="183">
        <f t="array" ref="F57">SUM(Model!tauL*F13:G13*F26:G26)/F32</f>
        <v>0.16076305647210148</v>
      </c>
      <c r="H57" s="183">
        <f t="array" ref="H57">SUM(Model!tauL*H13:I13*H26:I26)/H32</f>
        <v>0.16190548753819944</v>
      </c>
      <c r="J57" s="183">
        <f t="array" ref="J57">SUM(Model!tauL*J13:K13*J26:K26)/J32</f>
        <v>0.16307228662477011</v>
      </c>
      <c r="L57" s="183">
        <f t="array" ref="L57">SUM(Model!tauL*L13:M13*L26:M26)/L32</f>
        <v>0.16427025719629773</v>
      </c>
      <c r="N57" s="183">
        <f t="array" ref="N57">SUM(Model!tauL*N13:O13*N26:O26)/N32</f>
        <v>0.16550774635594823</v>
      </c>
      <c r="P57" s="183">
        <f t="array" ref="P57">SUM(Model!tauL*P13:Q13*P26:Q26)/P32</f>
        <v>0.16679531295493955</v>
      </c>
      <c r="R57" s="183">
        <f t="array" ref="R57">SUM(Model!tauL*R13:S13*R26:S26)/R32</f>
        <v>0.16814684560570389</v>
      </c>
      <c r="T57" s="183">
        <f t="array" ref="T57">SUM(Model!tauL*T13:U13*T26:U26)/T32</f>
        <v>0.16958127945120027</v>
      </c>
      <c r="V57" s="183">
        <f t="array" ref="V57">SUM(Model!tauL*V13:W13*V26:W26)/V32</f>
        <v>0.17112552600513375</v>
      </c>
      <c r="X57" s="183">
        <f t="array" ref="X57">SUM(Model!tauL*X13:Y13*X26:Y26)/X32</f>
        <v>0.17281929023815112</v>
      </c>
      <c r="Y57" s="183"/>
      <c r="Z57" s="183">
        <f t="array" ref="Z57">SUM(Model!tauL*Z13:AA13*Z26:AA26)/Z32</f>
        <v>0.17472339078889204</v>
      </c>
      <c r="AB57" s="183">
        <f t="array" ref="AB57">SUM(Model!tauL*AB13:AC13*AB26:AC26)/AB32</f>
        <v>0.17693412018739282</v>
      </c>
      <c r="AD57" s="183">
        <f t="array" ref="AD57">SUM(Model!tauL*AD13:AE13*AD26:AE26)/AD32</f>
        <v>0.17960687720577551</v>
      </c>
      <c r="AF57" s="183">
        <f t="array" ref="AF57">SUM(Model!tauL*AF13:AG13*AF26:AG26)/AF32</f>
        <v>0.18298866574331826</v>
      </c>
      <c r="AH57" s="183">
        <f t="array" ref="AH57">SUM(Model!tauL*AH13:AI13*AH26:AI26)/AH32</f>
        <v>0.18743352664557913</v>
      </c>
      <c r="AJ57" s="183">
        <f t="array" ref="AJ57">SUM(Model!tauL*AJ13:AK13*AJ26:AK26)/AJ32</f>
        <v>0.19329641822279722</v>
      </c>
      <c r="AL57" s="183">
        <f t="array" ref="AL57">SUM(Model!tauL*AL13:AM13*AL26:AM26)/AL32</f>
        <v>0.20047796510803925</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1.0664392067073399E-2</v>
      </c>
      <c r="F58" s="183">
        <f t="array" ref="F58">SUM(Model!tauY/(1+Model!tauY)*F3:G3*F18:G18)/F32</f>
        <v>1.057632236027844E-2</v>
      </c>
      <c r="H58" s="183">
        <f t="array" ref="H58">SUM(Model!tauY/(1+Model!tauY)*H3:I3*H18:I18)/H32</f>
        <v>1.0488131190430712E-2</v>
      </c>
      <c r="J58" s="183">
        <f t="array" ref="J58">SUM(Model!tauY/(1+Model!tauY)*J3:K3*J18:K18)/J32</f>
        <v>1.0399444186186796E-2</v>
      </c>
      <c r="L58" s="183">
        <f t="array" ref="L58">SUM(Model!tauY/(1+Model!tauY)*L3:M3*L18:M18)/L32</f>
        <v>1.0309846447178172E-2</v>
      </c>
      <c r="N58" s="183">
        <f t="array" ref="N58">SUM(Model!tauY/(1+Model!tauY)*N3:O3*N18:O18)/N32</f>
        <v>1.0218882725782823E-2</v>
      </c>
      <c r="P58" s="183">
        <f t="array" ref="P58">SUM(Model!tauY/(1+Model!tauY)*P3:Q3*P18:Q18)/P32</f>
        <v>1.0126042349400609E-2</v>
      </c>
      <c r="R58" s="183">
        <f t="array" ref="R58">SUM(Model!tauY/(1+Model!tauY)*R3:S3*R18:S18)/R32</f>
        <v>1.0030752968587579E-2</v>
      </c>
      <c r="T58" s="183">
        <f t="array" ref="T58">SUM(Model!tauY/(1+Model!tauY)*T3:U3*T18:U18)/T32</f>
        <v>9.9323718034353883E-3</v>
      </c>
      <c r="V58" s="183">
        <f t="array" ref="V58">SUM(Model!tauY/(1+Model!tauY)*V3:W3*V18:W18)/V32</f>
        <v>9.8301892046837036E-3</v>
      </c>
      <c r="X58" s="183">
        <f t="array" ref="X58">SUM(Model!tauY/(1+Model!tauY)*X3:Y3*X18:Y18)/X32</f>
        <v>9.7234423020057196E-3</v>
      </c>
      <c r="Y58" s="183"/>
      <c r="Z58" s="183">
        <f t="array" ref="Z58">SUM(Model!tauY/(1+Model!tauY)*Z3:AA3*Z18:AA18)/Z32</f>
        <v>9.6113570479899411E-3</v>
      </c>
      <c r="AB58" s="183">
        <f t="array" ref="AB58">SUM(Model!tauY/(1+Model!tauY)*AB3:AC3*AB18:AC18)/AB32</f>
        <v>9.493257945354612E-3</v>
      </c>
      <c r="AD58" s="183">
        <f t="array" ref="AD58">SUM(Model!tauY/(1+Model!tauY)*AD3:AE3*AD18:AE18)/AD32</f>
        <v>9.3687811967698553E-3</v>
      </c>
      <c r="AF58" s="183">
        <f t="array" ref="AF58">SUM(Model!tauY/(1+Model!tauY)*AF3:AG3*AF18:AG18)/AF32</f>
        <v>9.2382574109950103E-3</v>
      </c>
      <c r="AH58" s="183">
        <f t="array" ref="AH58">SUM(Model!tauY/(1+Model!tauY)*AH3:AI3*AH18:AI18)/AH32</f>
        <v>9.1031982920267256E-3</v>
      </c>
      <c r="AJ58" s="183">
        <f t="array" ref="AJ58">SUM(Model!tauY/(1+Model!tauY)*AJ3:AK3*AJ18:AK18)/AJ32</f>
        <v>8.9667081062329117E-3</v>
      </c>
      <c r="AL58" s="183">
        <f t="array" ref="AL58">SUM(Model!tauY/(1+Model!tauY)*AL3:AM3*AL18:AM18)/AL32</f>
        <v>8.8355509885731185E-3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5.6908878243252291E-3</v>
      </c>
      <c r="F59" s="183">
        <f>(F2*G5*G20)/F32</f>
        <v>1.0890608477855897E-2</v>
      </c>
      <c r="H59" s="183">
        <f>(H2*I5*I20)/H32</f>
        <v>1.6174221809753052E-2</v>
      </c>
      <c r="J59" s="183">
        <f>(J2*K5*K20)/J32</f>
        <v>2.1568410054197296E-2</v>
      </c>
      <c r="L59" s="183">
        <f>(L2*M5*M20)/L32</f>
        <v>2.7104448968836042E-2</v>
      </c>
      <c r="N59" s="183">
        <f>(N2*O5*O20)/N32</f>
        <v>3.2820592382346331E-2</v>
      </c>
      <c r="P59" s="183">
        <f>(P2*Q5*Q20)/P32</f>
        <v>3.8765172988882185E-2</v>
      </c>
      <c r="R59" s="183">
        <f>(R2*S5*S20)/R32</f>
        <v>4.5001632206267947E-2</v>
      </c>
      <c r="T59" s="183">
        <f>(T2*U5*U20)/T32</f>
        <v>5.1616423852221732E-2</v>
      </c>
      <c r="V59" s="183">
        <f>(V2*W5*W20)/V32</f>
        <v>5.873212073947888E-2</v>
      </c>
      <c r="X59" s="183">
        <f>(X2*Y5*Y20)/X32</f>
        <v>6.652931389990796E-2</v>
      </c>
      <c r="Z59" s="183">
        <f>(Z2*AA5*AA20)/Z32</f>
        <v>7.5284289158065704E-2</v>
      </c>
      <c r="AB59" s="183">
        <f>(AB2*AC5*AC20)/AB32</f>
        <v>8.5433912185333707E-2</v>
      </c>
      <c r="AD59" s="183">
        <f>(AD2*AE5*AE20)/AD32</f>
        <v>9.7682621619186796E-2</v>
      </c>
      <c r="AF59" s="183">
        <f>(AF2*AG5*AG20)/AF32</f>
        <v>0.11314915623289308</v>
      </c>
      <c r="AH59" s="183">
        <f>(AH2*AI5*AI20)/AH32</f>
        <v>0.13343550914147817</v>
      </c>
      <c r="AJ59" s="183">
        <f>(AJ2*AK5*AK20)/AJ32</f>
        <v>0.16014445781432896</v>
      </c>
      <c r="AL59" s="183">
        <f>(AL2*AM5*AM20)/AL32</f>
        <v>0.19281337788597006</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2.8606372381585889E-2</v>
      </c>
      <c r="F60" s="183">
        <f>Model!$C$52*F5*F20/F32</f>
        <v>2.8543113161983918E-2</v>
      </c>
      <c r="H60" s="183">
        <f>Model!$C$52*H5*H20/H32</f>
        <v>2.8479465164651489E-2</v>
      </c>
      <c r="J60" s="183">
        <f>Model!$C$52*J5*J20/J32</f>
        <v>2.8415189164380569E-2</v>
      </c>
      <c r="L60" s="183">
        <f>Model!$C$52*L5*L20/L32</f>
        <v>2.8350012226999871E-2</v>
      </c>
      <c r="N60" s="183">
        <f>Model!$C$52*N5*N20/N32</f>
        <v>2.8283613714578944E-2</v>
      </c>
      <c r="P60" s="183">
        <f>Model!$C$52*P5*P20/P32</f>
        <v>2.8215596857021172E-2</v>
      </c>
      <c r="R60" s="183">
        <f>Model!$C$52*R5*R20/R32</f>
        <v>2.8145448188191875E-2</v>
      </c>
      <c r="T60" s="183">
        <f>Model!$C$52*T5*T20/T32</f>
        <v>2.8072469651441393E-2</v>
      </c>
      <c r="V60" s="183">
        <f>Model!$C$52*V5*V20/V32</f>
        <v>2.7995667601632118E-2</v>
      </c>
      <c r="X60" s="183">
        <f>Model!$C$52*X5*X20/X32</f>
        <v>2.7913561969048269E-2</v>
      </c>
      <c r="Z60" s="183">
        <f>Model!$C$52*Z5*Z20/Z32</f>
        <v>2.7823854634909165E-2</v>
      </c>
      <c r="AB60" s="183">
        <f>Model!$C$52*AB5*AB20/AB32</f>
        <v>2.7722860424242771E-2</v>
      </c>
      <c r="AD60" s="183">
        <f>Model!$C$52*AD5*AD20/AD32</f>
        <v>2.7604576005360756E-2</v>
      </c>
      <c r="AF60" s="183">
        <f>Model!$C$52*AF5*AF20/AF32</f>
        <v>2.7459482224025781E-2</v>
      </c>
      <c r="AH60" s="183">
        <f>Model!$C$52*AH5*AH20/AH32</f>
        <v>2.7274375359487318E-2</v>
      </c>
      <c r="AJ60" s="183">
        <f>Model!$C$52*AJ5*AJ20/AJ32</f>
        <v>2.7037869779840077E-2</v>
      </c>
      <c r="AL60" s="183">
        <f>Model!$C$52*AL5*AL20/AL32</f>
        <v>2.6759424980705895E-2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1.0162978643074794</v>
      </c>
      <c r="F62">
        <f>F13/F15</f>
        <v>1.0345087583995485</v>
      </c>
      <c r="H62">
        <f>H13/H15</f>
        <v>1.0549384340297654</v>
      </c>
      <c r="J62">
        <f>J13/J15</f>
        <v>1.0779811399734478</v>
      </c>
      <c r="L62">
        <f>L13/L15</f>
        <v>1.1041510654427822</v>
      </c>
      <c r="N62">
        <f>N13/N15</f>
        <v>1.134131473662249</v>
      </c>
      <c r="P62">
        <f>P13/P15</f>
        <v>1.168849997925284</v>
      </c>
      <c r="R62">
        <f>R13/R15</f>
        <v>1.2096008011385253</v>
      </c>
      <c r="T62">
        <f>T13/T15</f>
        <v>1.2582492770175471</v>
      </c>
      <c r="V62">
        <f>V13/V15</f>
        <v>1.3175936084588964</v>
      </c>
      <c r="X62">
        <f>X13/X15</f>
        <v>1.3920370995744114</v>
      </c>
      <c r="Z62">
        <f>Z13/Z15</f>
        <v>1.4889244130324581</v>
      </c>
      <c r="AB62">
        <f>AB13/AB15</f>
        <v>1.6214089571919095</v>
      </c>
      <c r="AD62">
        <f>AD13/AD15</f>
        <v>1.8151864411069203</v>
      </c>
      <c r="AF62">
        <f>AF13/AF15</f>
        <v>2.1261076445016047</v>
      </c>
      <c r="AH62">
        <f>AH13/AH15</f>
        <v>2.6928378474821111</v>
      </c>
      <c r="AJ62">
        <f>AJ13/AJ15</f>
        <v>3.927038233584951</v>
      </c>
      <c r="AL62">
        <f>AL13/AL15</f>
        <v>7.4294726098108859</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0.99812432446998423</v>
      </c>
      <c r="E65" s="181"/>
      <c r="F65" s="181">
        <f t="array" ref="F65">SQRT((F9:G9*$B$22:$C$22+F10:G10*$B$23:$C$23+F11:G11*$B$24:$C$24+F4:G4*($B$25:$C$25-$B$19:$C$19))/($B$9:$C$9*$B$22:$C$22+$B$10:$C$10*$B$23:$C$23+$B$11:$C$11*$B$24:$C$24+$B$4:$C$4*($B$25:$C$25-$B$19:$C$19))*(F9:G9*F22:G22+F10:G10*F23:G23+F11:G11*F24:G24+F4:G4*(F25:G25-F19:G19))/($B$9:$C$9*F22:G22+$B$10:$C$10*F23:G23+$B$11:$C$11*F24:G24+$B$4:$C$4*(F25:G25-F19:G19)))</f>
        <v>0.99618568320593393</v>
      </c>
      <c r="G65" s="181"/>
      <c r="H65" s="181">
        <f t="array" ref="H65">SQRT((H9:I9*$B$22:$C$22+H10:I10*$B$23:$C$23+H11:I11*$B$24:$C$24+H4:I4*($B$25:$C$25-$B$19:$C$19))/($B$9:$C$9*$B$22:$C$22+$B$10:$C$10*$B$23:$C$23+$B$11:$C$11*$B$24:$C$24+$B$4:$C$4*($B$25:$C$25-$B$19:$C$19))*(H9:I9*H22:I22+H10:I10*H23:I23+H11:I11*H24:I24+H4:I4*(H25:I25-H19:I19))/($B$9:$C$9*H22:I22+$B$10:$C$10*H23:I23+$B$11:$C$11*H24:I24+$B$4:$C$4*(H25:I25-H19:I19)))</f>
        <v>0.99417203474889049</v>
      </c>
      <c r="I65" s="181"/>
      <c r="J65" s="181">
        <f t="array" ref="J65">SQRT((J9:K9*$B$22:$C$22+J10:K10*$B$23:$C$23+J11:K11*$B$24:$C$24+J4:K4*($B$25:$C$25-$B$19:$C$19))/($B$9:$C$9*$B$22:$C$22+$B$10:$C$10*$B$23:$C$23+$B$11:$C$11*$B$24:$C$24+$B$4:$C$4*($B$25:$C$25-$B$19:$C$19))*(J9:K9*J22:K22+J10:K10*J23:K23+J11:K11*J24:K24+J4:K4*(J25:K25-J19:K19))/($B$9:$C$9*J22:K22+$B$10:$C$10*J23:K23+$B$11:$C$11*J24:K24+$B$4:$C$4*(J25:K25-J19:K19)))</f>
        <v>0.99207083744344204</v>
      </c>
      <c r="K65" s="181"/>
      <c r="L65" s="181">
        <f t="array" ref="L65">SQRT((L9:M9*$B$22:$C$22+L10:M10*$B$23:$C$23+L11:M11*$B$24:$C$24+L4:M4*($B$25:$C$25-$B$19:$C$19))/($B$9:$C$9*$B$22:$C$22+$B$10:$C$10*$B$23:$C$23+$B$11:$C$11*$B$24:$C$24+$B$4:$C$4*($B$25:$C$25-$B$19:$C$19))*(L9:M9*L22:M22+L10:M10*L23:M23+L11:M11*L24:M24+L4:M4*(L25:M25-L19:M19))/($B$9:$C$9*L22:M22+$B$10:$C$10*L23:M23+$B$11:$C$11*L24:M24+$B$4:$C$4*(L25:M25-L19:M19)))</f>
        <v>0.9898693402986144</v>
      </c>
      <c r="M65" s="181"/>
      <c r="N65" s="181">
        <f t="array" ref="N65">SQRT((N9:O9*$B$22:$C$22+N10:O10*$B$23:$C$23+N11:O11*$B$24:$C$24+N4:O4*($B$25:$C$25-$B$19:$C$19))/($B$9:$C$9*$B$22:$C$22+$B$10:$C$10*$B$23:$C$23+$B$11:$C$11*$B$24:$C$24+$B$4:$C$4*($B$25:$C$25-$B$19:$C$19))*(N9:O9*N22:O22+N10:O10*N23:O23+N11:O11*N24:O24+N4:O4*(N25:O25-N19:O19))/($B$9:$C$9*N22:O22+$B$10:$C$10*N23:O23+$B$11:$C$11*N24:O24+$B$4:$C$4*(N25:O25-N19:O19)))</f>
        <v>0.98755515786909054</v>
      </c>
      <c r="O65" s="181"/>
      <c r="P65" s="181">
        <f t="array" ref="P65">SQRT((P9:Q9*$B$22:$C$22+P10:Q10*$B$23:$C$23+P11:Q11*$B$24:$C$24+P4:Q4*($B$25:$C$25-$B$19:$C$19))/($B$9:$C$9*$B$22:$C$22+$B$10:$C$10*$B$23:$C$23+$B$11:$C$11*$B$24:$C$24+$B$4:$C$4*($B$25:$C$25-$B$19:$C$19))*(P9:Q9*P22:Q22+P10:Q10*P23:Q23+P11:Q11*P24:Q24+P4:Q4*(P25:Q25-P19:Q19))/($B$9:$C$9*P22:Q22+$B$10:$C$10*P23:Q23+$B$11:$C$11*P24:Q24+$B$4:$C$4*(P25:Q25-P19:Q19)))</f>
        <v>0.98511741648335094</v>
      </c>
      <c r="Q65" s="181"/>
      <c r="R65" s="181">
        <f t="array" ref="R65">SQRT((R9:S9*$B$22:$C$22+R10:S10*$B$23:$C$23+R11:S11*$B$24:$C$24+R4:S4*($B$25:$C$25-$B$19:$C$19))/($B$9:$C$9*$B$22:$C$22+$B$10:$C$10*$B$23:$C$23+$B$11:$C$11*$B$24:$C$24+$B$4:$C$4*($B$25:$C$25-$B$19:$C$19))*(R9:S9*R22:S22+R10:S10*R23:S23+R11:S11*R24:S24+R4:S4*(R25:S25-R19:S19))/($B$9:$C$9*R22:S22+$B$10:$C$10*R23:S23+$B$11:$C$11*R24:S24+$B$4:$C$4*(R25:S25-R19:S19)))</f>
        <v>0.98254880674405243</v>
      </c>
      <c r="S65" s="181"/>
      <c r="T65" s="181">
        <f t="array" ref="T65">SQRT((T9:U9*$B$22:$C$22+T10:U10*$B$23:$C$23+T11:U11*$B$24:$C$24+T4:U4*($B$25:$C$25-$B$19:$C$19))/($B$9:$C$9*$B$22:$C$22+$B$10:$C$10*$B$23:$C$23+$B$11:$C$11*$B$24:$C$24+$B$4:$C$4*($B$25:$C$25-$B$19:$C$19))*(T9:U9*T22:U22+T10:U10*T23:U23+T11:U11*T24:U24+T4:U4*(T25:U25-T19:U19))/($B$9:$C$9*T22:U22+$B$10:$C$10*T23:U23+$B$11:$C$11*T24:U24+$B$4:$C$4*(T25:U25-T19:U19)))</f>
        <v>0.97984922829397081</v>
      </c>
      <c r="U65" s="181"/>
      <c r="V65" s="181">
        <f t="array" ref="V65">SQRT((V9:W9*$B$22:$C$22+V10:W10*$B$23:$C$23+V11:W11*$B$24:$C$24+V4:W4*($B$25:$C$25-$B$19:$C$19))/($B$9:$C$9*$B$22:$C$22+$B$10:$C$10*$B$23:$C$23+$B$11:$C$11*$B$24:$C$24+$B$4:$C$4*($B$25:$C$25-$B$19:$C$19))*(V9:W9*V22:W22+V10:W10*V23:W23+V11:W11*V24:W24+V4:W4*(V25:W25-V19:W19))/($B$9:$C$9*V22:W22+$B$10:$C$10*V23:W23+$B$11:$C$11*V24:W24+$B$4:$C$4*(V25:W25-V19:W19)))</f>
        <v>0.97703215124979315</v>
      </c>
      <c r="W65" s="181"/>
      <c r="X65" s="181">
        <f t="array" ref="X65">SQRT((X9:Y9*$B$22:$C$22+X10:Y10*$B$23:$C$23+X11:Y11*$B$24:$C$24+X4:Y4*($B$25:$C$25-$B$19:$C$19))/($B$9:$C$9*$B$22:$C$22+$B$10:$C$10*$B$23:$C$23+$B$11:$C$11*$B$24:$C$24+$B$4:$C$4*($B$25:$C$25-$B$19:$C$19))*(X9:Y9*X22:Y22+X10:Y10*X23:Y23+X11:Y11*X24:Y24+X4:Y4*(X25:Y25-X19:Y19))/($B$9:$C$9*X22:Y22+$B$10:$C$10*X23:Y23+$B$11:$C$11*X24:Y24+$B$4:$C$4*(X25:Y25-X19:Y19)))</f>
        <v>0.97413579241409676</v>
      </c>
      <c r="Y65" s="181"/>
      <c r="Z65" s="181">
        <f t="array" ref="Z65">SQRT((Z9:AA9*$B$22:$C$22+Z10:AA10*$B$23:$C$23+Z11:AA11*$B$24:$C$24+Z4:AA4*($B$25:$C$25-$B$19:$C$19))/($B$9:$C$9*$B$22:$C$22+$B$10:$C$10*$B$23:$C$23+$B$11:$C$11*$B$24:$C$24+$B$4:$C$4*($B$25:$C$25-$B$19:$C$19))*(Z9:AA9*Z22:AA22+Z10:AA10*Z23:AA23+Z11:AA11*Z24:AA24+Z4:AA4*(Z25:AA25-Z19:AA19))/($B$9:$C$9*Z22:AA22+$B$10:$C$10*Z23:AA23+$B$11:$C$11*Z24:AA24+$B$4:$C$4*(Z25:AA25-Z19:AA19)))</f>
        <v>0.97124266270081772</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0.96851294707545954</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0.96623689072608854</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0.96489354331536892</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0.96512270461534067</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0.96735882356061642</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0.97106048704588088</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0.99793758616806028</v>
      </c>
      <c r="E66" s="181"/>
      <c r="F66" s="181">
        <f t="array" ref="F66">SQRT((F9:G9*$B$22:$C$22)/($B$9:$C$9*$B$22:$C$22)*(F9:G9*F22:G22)/($B$9:$C$9*F22:G22))</f>
        <v>0.99580381982634092</v>
      </c>
      <c r="G66" s="181"/>
      <c r="H66" s="181">
        <f t="array" ref="H66">SQRT((H9:I9*$B$22:$C$22)/($B$9:$C$9*$B$22:$C$22)*(H9:I9*H22:I22)/($B$9:$C$9*H22:I22))</f>
        <v>0.99358519289147607</v>
      </c>
      <c r="I66" s="181"/>
      <c r="J66" s="181">
        <f t="array" ref="J66">SQRT((J9:K9*$B$22:$C$22)/($B$9:$C$9*$B$22:$C$22)*(J9:K9*J22:K22)/($B$9:$C$9*J22:K22))</f>
        <v>0.99126757465762816</v>
      </c>
      <c r="K66" s="181"/>
      <c r="L66" s="181">
        <f t="array" ref="L66">SQRT((L9:M9*$B$22:$C$22)/($B$9:$C$9*$B$22:$C$22)*(L9:M9*L22:M22)/($B$9:$C$9*L22:M22))</f>
        <v>0.98883652280008205</v>
      </c>
      <c r="M66" s="181"/>
      <c r="N66" s="181">
        <f t="array" ref="N66">SQRT((N9:O9*$B$22:$C$22)/($B$9:$C$9*$B$22:$C$22)*(N9:O9*N22:O22)/($B$9:$C$9*N22:O22))</f>
        <v>0.98627790943237637</v>
      </c>
      <c r="O66" s="181"/>
      <c r="P66" s="181">
        <f t="array" ref="P66">SQRT((P9:Q9*$B$22:$C$22)/($B$9:$C$9*$B$22:$C$22)*(P9:Q9*P22:Q22)/($B$9:$C$9*P22:Q22))</f>
        <v>0.9835791840696626</v>
      </c>
      <c r="Q66" s="181"/>
      <c r="R66" s="181">
        <f t="array" ref="R66">SQRT((R9:S9*$B$22:$C$22)/($B$9:$C$9*$B$22:$C$22)*(R9:S9*R22:S22)/($B$9:$C$9*R22:S22))</f>
        <v>0.98073165258949657</v>
      </c>
      <c r="S66" s="181"/>
      <c r="T66" s="181">
        <f t="array" ref="T66">SQRT((T9:U9*$B$22:$C$22)/($B$9:$C$9*$B$22:$C$22)*(T9:U9*T22:U22)/($B$9:$C$9*T22:U22))</f>
        <v>0.97773454804916482</v>
      </c>
      <c r="U66" s="181"/>
      <c r="V66" s="181">
        <f t="array" ref="V66">SQRT((V9:W9*$B$22:$C$22)/($B$9:$C$9*$B$22:$C$22)*(V9:W9*V22:W22)/($B$9:$C$9*V22:W22))</f>
        <v>0.97460216976945335</v>
      </c>
      <c r="W66" s="181"/>
      <c r="X66" s="181">
        <f t="array" ref="X66">SQRT((X9:Y9*$B$22:$C$22)/($B$9:$C$9*$B$22:$C$22)*(X9:Y9*X22:Y22)/($B$9:$C$9*X22:Y22))</f>
        <v>0.97137647298352503</v>
      </c>
      <c r="Y66" s="181"/>
      <c r="Z66" s="181">
        <f t="array" ref="Z66">SQRT((Z9:AA9*$B$22:$C$22)/($B$9:$C$9*$B$22:$C$22)*(Z9:AA9*Z22:AA22)/($B$9:$C$9*Z22:AA22))</f>
        <v>0.96814915129790735</v>
      </c>
      <c r="AA66" s="181"/>
      <c r="AB66" s="181">
        <f t="array" ref="AB66">SQRT((AB9:AC9*$B$22:$C$22)/($B$9:$C$9*$B$22:$C$22)*(AB9:AC9*AB22:AC22)/($B$9:$C$9*AB22:AC22))</f>
        <v>0.96509941314053282</v>
      </c>
      <c r="AC66" s="181"/>
      <c r="AD66" s="181">
        <f t="array" ref="AD66">SQRT((AD9:AE9*$B$22:$C$22)/($B$9:$C$9*$B$22:$C$22)*(AD9:AE9*AD22:AE22)/($B$9:$C$9*AD22:AE22))</f>
        <v>0.96255328673220797</v>
      </c>
      <c r="AE66" s="181"/>
      <c r="AF66" s="181">
        <f t="array" ref="AF66">SQRT((AF9:AG9*$B$22:$C$22)/($B$9:$C$9*$B$22:$C$22)*(AF9:AG9*AF22:AG22)/($B$9:$C$9*AF22:AG22))</f>
        <v>0.96104993598788269</v>
      </c>
      <c r="AG66" s="181"/>
      <c r="AH66" s="181">
        <f t="array" ref="AH66">SQRT((AH9:AI9*$B$22:$C$22)/($B$9:$C$9*$B$22:$C$22)*(AH9:AI9*AH22:AI22)/($B$9:$C$9*AH22:AI22))</f>
        <v>0.96130906895191248</v>
      </c>
      <c r="AI66" s="181"/>
      <c r="AJ66" s="181">
        <f t="array" ref="AJ66">SQRT((AJ9:AK9*$B$22:$C$22)/($B$9:$C$9*$B$22:$C$22)*(AJ9:AK9*AJ22:AK22)/($B$9:$C$9*AJ22:AK22))</f>
        <v>0.96381602097406049</v>
      </c>
      <c r="AK66" s="181"/>
      <c r="AL66" s="181">
        <f t="array" ref="AL66">SQRT((AL9:AM9*$B$22:$C$22)/($B$9:$C$9*$B$22:$C$22)*(AL9:AM9*AL22:AM22)/($B$9:$C$9*AL22:AM22))</f>
        <v>0.96795662073337074</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0.99793758616806028</v>
      </c>
      <c r="E68" s="181"/>
      <c r="F68" s="181">
        <f>F66/F67</f>
        <v>0.99580381982634092</v>
      </c>
      <c r="G68" s="181"/>
      <c r="H68" s="181">
        <f>H66/H67</f>
        <v>0.99358519289147607</v>
      </c>
      <c r="I68" s="181"/>
      <c r="J68" s="181">
        <f>J66/J67</f>
        <v>0.99126757465762816</v>
      </c>
      <c r="K68" s="181"/>
      <c r="L68" s="181">
        <f>L66/L67</f>
        <v>0.98883652280008205</v>
      </c>
      <c r="M68" s="181"/>
      <c r="N68" s="181">
        <f>N66/N67</f>
        <v>0.98627790943237637</v>
      </c>
      <c r="O68" s="181"/>
      <c r="P68" s="181">
        <f>P66/P67</f>
        <v>0.9835791840696626</v>
      </c>
      <c r="Q68" s="181"/>
      <c r="R68" s="181">
        <f>R66/R67</f>
        <v>0.98073165258949657</v>
      </c>
      <c r="S68" s="181"/>
      <c r="T68" s="181">
        <f>T66/T67</f>
        <v>0.97773454804916482</v>
      </c>
      <c r="U68" s="181"/>
      <c r="V68" s="181">
        <f>V66/V67</f>
        <v>0.97460216976945335</v>
      </c>
      <c r="W68" s="181"/>
      <c r="X68" s="181">
        <f>X66/X67</f>
        <v>0.97137647298352503</v>
      </c>
      <c r="Y68" s="181"/>
      <c r="Z68" s="181">
        <f>Z66/Z67</f>
        <v>0.96814915129790735</v>
      </c>
      <c r="AA68" s="181"/>
      <c r="AB68" s="181">
        <f>AB66/AB67</f>
        <v>0.96509941314053282</v>
      </c>
      <c r="AC68" s="181"/>
      <c r="AD68" s="181">
        <f>AD66/AD67</f>
        <v>0.96255328673220797</v>
      </c>
      <c r="AE68" s="181"/>
      <c r="AF68" s="181">
        <f>AF66/AF67</f>
        <v>0.96104993598788269</v>
      </c>
      <c r="AG68" s="181"/>
      <c r="AH68" s="181">
        <f>AH66/AH67</f>
        <v>0.96130906895191248</v>
      </c>
      <c r="AI68" s="181"/>
      <c r="AJ68" s="181">
        <f>AJ66/AJ67</f>
        <v>0.96381602097406049</v>
      </c>
      <c r="AK68" s="181"/>
      <c r="AL68" s="181">
        <f>AL66/AL67</f>
        <v>0.96795662073337074</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1.0068470227143056</v>
      </c>
      <c r="E69" s="181"/>
      <c r="F69" s="181">
        <f>F32/F65/($B$32)</f>
        <v>1.0130306531830959</v>
      </c>
      <c r="G69" s="181"/>
      <c r="H69" s="181">
        <f>H32/H65/($B$32)</f>
        <v>1.0185074175553797</v>
      </c>
      <c r="I69" s="181"/>
      <c r="J69" s="181">
        <f>J32/J65/($B$32)</f>
        <v>1.0232143941569181</v>
      </c>
      <c r="K69" s="181"/>
      <c r="L69" s="181">
        <f>L32/L65/($B$32)</f>
        <v>1.027065174742704</v>
      </c>
      <c r="M69" s="181"/>
      <c r="N69" s="181">
        <f>N32/N65/($B$32)</f>
        <v>1.0299430599648203</v>
      </c>
      <c r="O69" s="181"/>
      <c r="P69" s="181">
        <f>P32/P65/($B$32)</f>
        <v>1.0316917192847137</v>
      </c>
      <c r="Q69" s="181"/>
      <c r="R69" s="181">
        <f>R32/R65/($B$32)</f>
        <v>1.0321009001985404</v>
      </c>
      <c r="S69" s="181"/>
      <c r="T69" s="181">
        <f>T32/T65/($B$32)</f>
        <v>1.0308845727851996</v>
      </c>
      <c r="U69" s="181"/>
      <c r="V69" s="181">
        <f>V32/V65/($B$32)</f>
        <v>1.0276461131163521</v>
      </c>
      <c r="W69" s="181"/>
      <c r="X69" s="181">
        <f>X32/X65/($B$32)</f>
        <v>1.0218198965620235</v>
      </c>
      <c r="Y69" s="181"/>
      <c r="Z69" s="181">
        <f>Z32/Z65/($B$32)</f>
        <v>1.0125680804509323</v>
      </c>
      <c r="AA69" s="181"/>
      <c r="AB69" s="181">
        <f>AB32/AB65/($B$32)</f>
        <v>0.99858397453408587</v>
      </c>
      <c r="AC69" s="181"/>
      <c r="AD69" s="181">
        <f>AD32/AD65/($B$32)</f>
        <v>0.97768884089592256</v>
      </c>
      <c r="AE69" s="181"/>
      <c r="AF69" s="181">
        <f>AF32/AF65/($B$32)</f>
        <v>0.94593861470507079</v>
      </c>
      <c r="AG69" s="181"/>
      <c r="AH69" s="181">
        <f>AH32/AH65/($B$32)</f>
        <v>0.89555682552656324</v>
      </c>
      <c r="AI69" s="181"/>
      <c r="AJ69" s="181">
        <f>AJ32/AJ65/($B$32)</f>
        <v>0.81034951722977877</v>
      </c>
      <c r="AK69" s="181"/>
      <c r="AL69" s="181">
        <f>AL32/AL65/($B$32)</f>
        <v>0.6576332458570241</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1.0053933177418999</v>
      </c>
      <c r="E70" s="129"/>
      <c r="F70" s="129">
        <f>F18/$B$18</f>
        <v>1.0101274463753442</v>
      </c>
      <c r="G70" s="129"/>
      <c r="H70" s="129">
        <f>H18/$B$18</f>
        <v>1.0141598817205326</v>
      </c>
      <c r="I70" s="129"/>
      <c r="J70" s="129">
        <f>J18/$B$18</f>
        <v>1.0174285897003279</v>
      </c>
      <c r="K70" s="129"/>
      <c r="L70" s="129">
        <f>L18/$B$18</f>
        <v>1.0198474405772766</v>
      </c>
      <c r="M70" s="129"/>
      <c r="N70" s="129">
        <f>N18/$B$18</f>
        <v>1.0212988928692921</v>
      </c>
      <c r="O70" s="129"/>
      <c r="P70" s="129">
        <f>P18/$B$18</f>
        <v>1.021623435575538</v>
      </c>
      <c r="Q70" s="129"/>
      <c r="R70" s="129">
        <f>R18/$B$18</f>
        <v>1.0206033859462487</v>
      </c>
      <c r="S70" s="129"/>
      <c r="T70" s="129">
        <f>T18/$B$18</f>
        <v>1.0179376924883867</v>
      </c>
      <c r="U70" s="129"/>
      <c r="V70" s="129">
        <f>V18/$B$18</f>
        <v>1.0132015558916436</v>
      </c>
      <c r="W70" s="129"/>
      <c r="X70" s="129">
        <f>X18/$B$18</f>
        <v>1.0057786481460917</v>
      </c>
      <c r="Y70" s="129"/>
      <c r="Z70" s="129">
        <f>Z18/$B$18</f>
        <v>0.99474260235089396</v>
      </c>
      <c r="AA70" s="129"/>
      <c r="AB70" s="129">
        <f>AB18/$B$18</f>
        <v>0.97863775995174651</v>
      </c>
      <c r="AC70" s="129"/>
      <c r="AD70" s="129">
        <f>AD18/$B$18</f>
        <v>0.95505164060600312</v>
      </c>
      <c r="AE70" s="129"/>
      <c r="AF70" s="129">
        <f>AF18/$B$18</f>
        <v>0.91973915509244397</v>
      </c>
      <c r="AG70" s="129"/>
      <c r="AH70" s="129">
        <f>AH18/$B$18</f>
        <v>0.86479001858078419</v>
      </c>
      <c r="AI70" s="129"/>
      <c r="AJ70" s="129">
        <f>AJ18/$B$18</f>
        <v>0.77493555892583443</v>
      </c>
      <c r="AK70" s="129"/>
      <c r="AL70" s="129">
        <f>AL18/$B$18</f>
        <v>0.62138207177803007</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0.92983883883485019</v>
      </c>
      <c r="E71" s="129"/>
      <c r="F71" s="129">
        <f>G18/$C$18</f>
        <v>0.85967797324143813</v>
      </c>
      <c r="G71" s="129"/>
      <c r="H71" s="129">
        <f>I18/$C$18</f>
        <v>0.78954335575467194</v>
      </c>
      <c r="I71" s="129"/>
      <c r="J71" s="129">
        <f>K18/$C$18</f>
        <v>0.71948396741020093</v>
      </c>
      <c r="K71" s="129"/>
      <c r="L71" s="129">
        <f>M18/$C$18</f>
        <v>0.64957604038838501</v>
      </c>
      <c r="M71" s="129"/>
      <c r="N71" s="129">
        <f>O18/$C$18</f>
        <v>0.57993909655246556</v>
      </c>
      <c r="O71" s="129"/>
      <c r="P71" s="129">
        <f>Q18/$C$18</f>
        <v>0.51075085514530427</v>
      </c>
      <c r="Q71" s="129"/>
      <c r="R71" s="129">
        <f>S18/$C$18</f>
        <v>0.44227294065086226</v>
      </c>
      <c r="S71" s="129"/>
      <c r="T71" s="129">
        <f>U18/$C$18</f>
        <v>0.37488502422408754</v>
      </c>
      <c r="U71" s="129"/>
      <c r="V71" s="129">
        <f>W18/$C$18</f>
        <v>0.30913660139994276</v>
      </c>
      <c r="W71" s="129"/>
      <c r="X71" s="129">
        <f>Y18/$C$18</f>
        <v>0.24581761659441576</v>
      </c>
      <c r="Y71" s="129"/>
      <c r="Z71" s="129">
        <f>AA18/$C$18</f>
        <v>0.18605380569980401</v>
      </c>
      <c r="AA71" s="129"/>
      <c r="AB71" s="129">
        <f>AC18/$C$18</f>
        <v>0.13142429844602463</v>
      </c>
      <c r="AC71" s="129"/>
      <c r="AD71" s="129">
        <f>AE18/$C$18</f>
        <v>8.4046581552005381E-2</v>
      </c>
      <c r="AE71" s="129"/>
      <c r="AF71" s="129">
        <f>AG18/$C$18</f>
        <v>4.6450133435354361E-2</v>
      </c>
      <c r="AG71" s="129"/>
      <c r="AH71" s="129">
        <f>AI18/$C$18</f>
        <v>2.0786513433656208E-2</v>
      </c>
      <c r="AI71" s="129"/>
      <c r="AJ71" s="129">
        <f>AK18/$C$18</f>
        <v>7.0301749238997693E-3</v>
      </c>
      <c r="AK71" s="129"/>
      <c r="AL71" s="129">
        <f>AM18/$C$18</f>
        <v>1.760898086333624E-3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1.0315064430498762</v>
      </c>
      <c r="E72" s="129"/>
      <c r="F72" s="129">
        <f>G19/$C$19</f>
        <v>1.0662878950883177</v>
      </c>
      <c r="G72" s="129"/>
      <c r="H72" s="129">
        <f>I19/$C$19</f>
        <v>1.1047153720399634</v>
      </c>
      <c r="I72" s="129"/>
      <c r="J72" s="129">
        <f>K19/$C$19</f>
        <v>1.1471624040275143</v>
      </c>
      <c r="K72" s="129"/>
      <c r="L72" s="129">
        <f>M19/$C$19</f>
        <v>1.1939723955308443</v>
      </c>
      <c r="M72" s="129"/>
      <c r="N72" s="129">
        <f>O19/$C$19</f>
        <v>1.2454203806644486</v>
      </c>
      <c r="O72" s="129"/>
      <c r="P72" s="129">
        <f>Q19/$C$19</f>
        <v>1.3016337859469558</v>
      </c>
      <c r="Q72" s="129"/>
      <c r="R72" s="129">
        <f>S19/$C$19</f>
        <v>1.3624661313031445</v>
      </c>
      <c r="S72" s="129"/>
      <c r="T72" s="129">
        <f>U19/$C$19</f>
        <v>1.42728151728466</v>
      </c>
      <c r="U72" s="129"/>
      <c r="V72" s="129">
        <f>W19/$C$19</f>
        <v>1.4945977278855833</v>
      </c>
      <c r="W72" s="129"/>
      <c r="X72" s="129">
        <f>Y19/$C$19</f>
        <v>1.5614787127041014</v>
      </c>
      <c r="Y72" s="129"/>
      <c r="Z72" s="129">
        <f>AA19/$C$19</f>
        <v>1.6225140318480733</v>
      </c>
      <c r="AA72" s="129"/>
      <c r="AB72" s="129">
        <f>AC19/$C$19</f>
        <v>1.6681386755708223</v>
      </c>
      <c r="AC72" s="129"/>
      <c r="AD72" s="129">
        <f>AE19/$C$19</f>
        <v>1.6821012704318286</v>
      </c>
      <c r="AE72" s="129"/>
      <c r="AF72" s="129">
        <f>AG19/$C$19</f>
        <v>1.6387420442169265</v>
      </c>
      <c r="AG72" s="129"/>
      <c r="AH72" s="129">
        <f>AI19/$C$19</f>
        <v>1.5042131672241532</v>
      </c>
      <c r="AI72" s="129"/>
      <c r="AJ72" s="129">
        <f>AK19/$C$19</f>
        <v>1.2514805199191577</v>
      </c>
      <c r="AK72" s="129"/>
      <c r="AL72" s="129">
        <f>AM19/$C$19</f>
        <v>0.88784064408204288</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0.47641153352875104</v>
      </c>
      <c r="D73" s="183">
        <f t="array" ref="D73">SUM(D9:E9*D22:E22)/D32</f>
        <v>0.4764115427460005</v>
      </c>
      <c r="E73" s="129"/>
      <c r="F73" s="183">
        <f t="array" ref="F73">SUM(F9:G9*F22:G22)/F32</f>
        <v>0.47641154539534153</v>
      </c>
      <c r="G73" s="129"/>
      <c r="H73" s="183">
        <f t="array" ref="H73">SUM(H9:I9*H22:I22)/H32</f>
        <v>0.47641153404898073</v>
      </c>
      <c r="I73" s="129"/>
      <c r="J73" s="183">
        <f t="array" ref="J73">SUM(J9:K9*J22:K22)/J32</f>
        <v>0.4764115362587758</v>
      </c>
      <c r="K73" s="129"/>
      <c r="L73" s="183">
        <f t="array" ref="L73">SUM(L9:M9*L22:M22)/L32</f>
        <v>0.47641153434108802</v>
      </c>
      <c r="M73" s="129"/>
      <c r="N73" s="183">
        <f t="array" ref="N73">SUM(N9:O9*N22:O22)/N32</f>
        <v>0.47641153498001632</v>
      </c>
      <c r="O73" s="129"/>
      <c r="P73" s="183">
        <f t="array" ref="P73">SUM(P9:Q9*P22:Q22)/P32</f>
        <v>0.47641153547399873</v>
      </c>
      <c r="Q73" s="129"/>
      <c r="R73" s="183">
        <f t="array" ref="R73">SUM(R9:S9*R22:S22)/R32</f>
        <v>0.47641153775538536</v>
      </c>
      <c r="S73" s="129"/>
      <c r="T73" s="183">
        <f t="array" ref="T73">SUM(T9:U9*T22:U22)/T32</f>
        <v>0.47641153465895542</v>
      </c>
      <c r="U73" s="129"/>
      <c r="V73" s="183">
        <f t="array" ref="V73">SUM(V9:W9*V22:W22)/V32</f>
        <v>0.47641153358697108</v>
      </c>
      <c r="W73" s="129"/>
      <c r="X73" s="183">
        <f t="array" ref="X73">SUM(X9:Y9*X22:Y22)/X32</f>
        <v>0.47641153245824008</v>
      </c>
      <c r="Y73" s="129"/>
      <c r="Z73" s="183">
        <f t="array" ref="Z73">SUM(Z9:AA9*Z22:AA22)/Z32</f>
        <v>0.4764115349030229</v>
      </c>
      <c r="AA73" s="129"/>
      <c r="AB73" s="183">
        <f t="array" ref="AB73">SUM(AB9:AC9*AB22:AC22)/AB32</f>
        <v>0.47641153431298661</v>
      </c>
      <c r="AC73" s="129"/>
      <c r="AD73" s="183">
        <f t="array" ref="AD73">SUM(AD9:AE9*AD22:AE22)/AD32</f>
        <v>0.47641153430966682</v>
      </c>
      <c r="AE73" s="129"/>
      <c r="AF73" s="183">
        <f t="array" ref="AF73">SUM(AF9:AG9*AF22:AG22)/AF32</f>
        <v>0.47641153416700782</v>
      </c>
      <c r="AG73" s="129"/>
      <c r="AH73" s="183">
        <f t="array" ref="AH73">SUM(AH9:AI9*AH22:AI22)/AH32</f>
        <v>0.47641153353149962</v>
      </c>
      <c r="AI73" s="129"/>
      <c r="AJ73" s="183">
        <f t="array" ref="AJ73">SUM(AJ9:AK9*AJ22:AK22)/AJ32</f>
        <v>0.47641153353386206</v>
      </c>
      <c r="AK73" s="129"/>
      <c r="AL73" s="183">
        <f t="array" ref="AL73">SUM(AL9:AM9*AL22:AM22)/AL32</f>
        <v>0.47641153353216531</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0.22604620456442487</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0.22604620456442487</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0.22038438950925146</v>
      </c>
      <c r="E75" s="129"/>
      <c r="F75" s="183">
        <f t="array" ref="F75">SUM(F11:G11*F24:G24)/F32</f>
        <v>0.22038438964516371</v>
      </c>
      <c r="G75" s="129"/>
      <c r="H75" s="183">
        <f t="array" ref="H75">SUM(H11:I11*H24:I24)/H32</f>
        <v>0.22038438831179122</v>
      </c>
      <c r="I75" s="129"/>
      <c r="J75" s="183">
        <f t="array" ref="J75">SUM(J11:K11*J24:K24)/J32</f>
        <v>0.22038438854929757</v>
      </c>
      <c r="K75" s="129"/>
      <c r="L75" s="183">
        <f t="array" ref="L75">SUM(L11:M11*L24:M24)/L32</f>
        <v>0.22038438827814172</v>
      </c>
      <c r="M75" s="129"/>
      <c r="N75" s="183">
        <f t="array" ref="N75">SUM(N11:O11*N24:O24)/N32</f>
        <v>0.22038438821866158</v>
      </c>
      <c r="O75" s="129"/>
      <c r="P75" s="183">
        <f t="array" ref="P75">SUM(P11:Q11*P24:Q24)/P32</f>
        <v>0.22038438816377851</v>
      </c>
      <c r="Q75" s="129"/>
      <c r="R75" s="183">
        <f t="array" ref="R75">SUM(R11:S11*R24:S24)/R32</f>
        <v>0.22038438818656797</v>
      </c>
      <c r="S75" s="129"/>
      <c r="T75" s="183">
        <f t="array" ref="T75">SUM(T11:U11*T24:U24)/T32</f>
        <v>0.22038438829807785</v>
      </c>
      <c r="U75" s="129"/>
      <c r="V75" s="183">
        <f t="array" ref="V75">SUM(V11:W11*V24:W24)/V32</f>
        <v>0.22038438833054633</v>
      </c>
      <c r="W75" s="129"/>
      <c r="X75" s="183">
        <f t="array" ref="X75">SUM(X11:Y11*X24:Y24)/X32</f>
        <v>0.22038438844789299</v>
      </c>
      <c r="Y75" s="129"/>
      <c r="Z75" s="183">
        <f t="array" ref="Z75">SUM(Z11:AA11*Z24:AA24)/Z32</f>
        <v>0.22038438842072372</v>
      </c>
      <c r="AA75" s="129"/>
      <c r="AB75" s="183">
        <f t="array" ref="AB75">SUM(AB11:AC11*AB24:AC24)/AB32</f>
        <v>0.22038438829625998</v>
      </c>
      <c r="AC75" s="129"/>
      <c r="AD75" s="183">
        <f t="array" ref="AD75">SUM(AD11:AE11*AD24:AE24)/AD32</f>
        <v>0.22038438827071533</v>
      </c>
      <c r="AE75" s="129"/>
      <c r="AF75" s="183">
        <f t="array" ref="AF75">SUM(AF11:AG11*AF24:AG24)/AF32</f>
        <v>0.22038438840953348</v>
      </c>
      <c r="AG75" s="129"/>
      <c r="AH75" s="183">
        <f t="array" ref="AH75">SUM(AH11:AI11*AH24:AI24)/AH32</f>
        <v>0.22038438833224086</v>
      </c>
      <c r="AI75" s="129"/>
      <c r="AJ75" s="183">
        <f t="array" ref="AJ75">SUM(AJ11:AK11*AJ24:AK24)/AJ32</f>
        <v>0.22038438833195462</v>
      </c>
      <c r="AK75" s="129"/>
      <c r="AL75" s="183">
        <f t="array" ref="AL75">SUM(AL11:AM11*AL24:AM24)/AL32</f>
        <v>0.22038438833180901</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0.22301874374724831</v>
      </c>
      <c r="D76" s="183">
        <f t="array" ref="D76">SUM(D12:E12*D25:E25)/D32</f>
        <v>0.22294467165541995</v>
      </c>
      <c r="E76" s="129"/>
      <c r="F76" s="183">
        <f t="array" ref="F76">SUM(F12:G12*F25:G25)/F32</f>
        <v>0.222929141939951</v>
      </c>
      <c r="G76" s="129"/>
      <c r="H76" s="183">
        <f t="array" ref="H76">SUM(H12:I12*H25:I25)/H32</f>
        <v>0.22297743438110623</v>
      </c>
      <c r="I76" s="129"/>
      <c r="J76" s="183">
        <f t="array" ref="J76">SUM(J12:K12*J25:K25)/J32</f>
        <v>0.2230954467361341</v>
      </c>
      <c r="K76" s="129"/>
      <c r="L76" s="183">
        <f t="array" ref="L76">SUM(L12:M12*L25:M25)/L32</f>
        <v>0.2232894262114925</v>
      </c>
      <c r="M76" s="129"/>
      <c r="N76" s="183">
        <f t="array" ref="N76">SUM(N12:O12*N25:O25)/N32</f>
        <v>0.22356560477763754</v>
      </c>
      <c r="O76" s="129"/>
      <c r="P76" s="183">
        <f t="array" ref="P76">SUM(P12:Q12*P25:Q25)/P32</f>
        <v>0.22392937619953734</v>
      </c>
      <c r="Q76" s="129"/>
      <c r="R76" s="183">
        <f t="array" ref="R76">SUM(R12:S12*R25:S25)/R32</f>
        <v>0.22438386428775364</v>
      </c>
      <c r="S76" s="129"/>
      <c r="T76" s="183">
        <f t="array" ref="T76">SUM(T12:U12*T25:U25)/T32</f>
        <v>0.2249273068226901</v>
      </c>
      <c r="U76" s="129"/>
      <c r="V76" s="183">
        <f t="array" ref="V76">SUM(V12:W12*V25:W25)/V32</f>
        <v>0.22554842327886884</v>
      </c>
      <c r="W76" s="129"/>
      <c r="X76" s="183">
        <f t="array" ref="X76">SUM(X12:Y12*X25:Y25)/X32</f>
        <v>0.22621809916769611</v>
      </c>
      <c r="Y76" s="129"/>
      <c r="Z76" s="183">
        <f t="array" ref="Z76">SUM(Z12:AA12*Z25:AA25)/Z32</f>
        <v>0.22687458246821277</v>
      </c>
      <c r="AA76" s="129"/>
      <c r="AB76" s="183">
        <f t="array" ref="AB76">SUM(AB12:AC12*AB25:AC25)/AB32</f>
        <v>0.22739789932321916</v>
      </c>
      <c r="AC76" s="129"/>
      <c r="AD76" s="183">
        <f t="array" ref="AD76">SUM(AD12:AE12*AD25:AE25)/AD32</f>
        <v>0.22756931740255457</v>
      </c>
      <c r="AE76" s="129"/>
      <c r="AF76" s="183">
        <f t="array" ref="AF76">SUM(AF12:AG12*AF25:AG25)/AF32</f>
        <v>0.22702567052624792</v>
      </c>
      <c r="AG76" s="129"/>
      <c r="AH76" s="183">
        <f t="array" ref="AH76">SUM(AH12:AI12*AH25:AI25)/AH32</f>
        <v>0.22528028442095788</v>
      </c>
      <c r="AI76" s="129"/>
      <c r="AJ76" s="183">
        <f t="array" ref="AJ76">SUM(AJ12:AK12*AJ25:AK25)/AJ32</f>
        <v>0.22200204626344855</v>
      </c>
      <c r="AK76" s="129"/>
      <c r="AL76" s="183">
        <f t="array" ref="AL76">SUM(AL12:AM12*AL25:AM25)/AL32</f>
        <v>0.21762096877882403</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0.14586087017236474</v>
      </c>
      <c r="D77" s="183">
        <f t="array" ref="D77">SUM(D4:E4*D19:E19)/D32</f>
        <v>0.14578680847509676</v>
      </c>
      <c r="E77" s="129"/>
      <c r="F77" s="183">
        <f t="array" ref="F77">SUM(F4:G4*F19:G19)/F32</f>
        <v>0.145771281544881</v>
      </c>
      <c r="G77" s="129"/>
      <c r="H77" s="183">
        <f t="array" ref="H77">SUM(H4:I4*H19:I19)/H32</f>
        <v>0.14581956130630291</v>
      </c>
      <c r="I77" s="129"/>
      <c r="J77" s="183">
        <f t="array" ref="J77">SUM(J4:K4*J19:K19)/J32</f>
        <v>0.14593757610863226</v>
      </c>
      <c r="K77" s="129"/>
      <c r="L77" s="183">
        <f t="array" ref="L77">SUM(L4:M4*L19:M19)/L32</f>
        <v>0.14613155339514711</v>
      </c>
      <c r="M77" s="129"/>
      <c r="N77" s="183">
        <f t="array" ref="N77">SUM(N4:O4*N19:O19)/N32</f>
        <v>0.14640773254074027</v>
      </c>
      <c r="O77" s="129"/>
      <c r="P77" s="183">
        <f t="array" ref="P77">SUM(P4:Q4*P19:Q19)/P32</f>
        <v>0.14677150440173939</v>
      </c>
      <c r="Q77" s="129"/>
      <c r="R77" s="183">
        <f t="array" ref="R77">SUM(R4:S4*R19:S19)/R32</f>
        <v>0.14722599479413179</v>
      </c>
      <c r="S77" s="129"/>
      <c r="T77" s="183">
        <f t="array" ref="T77">SUM(T4:U4*T19:U19)/T32</f>
        <v>0.14776943434414808</v>
      </c>
      <c r="U77" s="129"/>
      <c r="V77" s="183">
        <f t="array" ref="V77">SUM(V4:W4*V19:W19)/V32</f>
        <v>0.14839054976081087</v>
      </c>
      <c r="W77" s="129"/>
      <c r="X77" s="183">
        <f t="array" ref="X77">SUM(X4:Y4*X19:Y19)/X32</f>
        <v>0.1490602246382538</v>
      </c>
      <c r="Y77" s="129"/>
      <c r="Z77" s="183">
        <f t="array" ref="Z77">SUM(Z4:AA4*Z19:AA19)/Z32</f>
        <v>0.14971671035638415</v>
      </c>
      <c r="AA77" s="129"/>
      <c r="AB77" s="183">
        <f t="array" ref="AB77">SUM(AB4:AC4*AB19:AC19)/AB32</f>
        <v>0.1502400264968905</v>
      </c>
      <c r="AC77" s="129"/>
      <c r="AD77" s="183">
        <f t="array" ref="AD77">SUM(AD4:AE4*AD19:AE19)/AD32</f>
        <v>0.15041144454736147</v>
      </c>
      <c r="AE77" s="129"/>
      <c r="AF77" s="183">
        <f t="array" ref="AF77">SUM(AF4:AG4*AF19:AG19)/AF32</f>
        <v>0.14986779766721414</v>
      </c>
      <c r="AG77" s="129"/>
      <c r="AH77" s="183">
        <f t="array" ref="AH77">SUM(AH4:AI4*AH19:AI19)/AH32</f>
        <v>0.1481224108491232</v>
      </c>
      <c r="AI77" s="129"/>
      <c r="AJ77" s="183">
        <f t="array" ref="AJ77">SUM(AJ4:AK4*AJ19:AK19)/AJ32</f>
        <v>0.14484417269369007</v>
      </c>
      <c r="AK77" s="129"/>
      <c r="AL77" s="183">
        <f t="array" ref="AL77">SUM(AL4:AM4*AL19:AM19)/AL32</f>
        <v>0.14046309520722317</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0.34931726729560841</v>
      </c>
      <c r="E78" s="129"/>
      <c r="F78" s="183">
        <f t="array" ref="F78">SUM(F13:G13*F26:G26)/F32</f>
        <v>0.35177648049554505</v>
      </c>
      <c r="G78" s="129"/>
      <c r="H78" s="183">
        <f t="array" ref="H78">SUM(H13:I13*H26:I26)/H32</f>
        <v>0.35427631091964795</v>
      </c>
      <c r="I78" s="129"/>
      <c r="J78" s="183">
        <f t="array" ref="J78">SUM(J13:K13*J26:K26)/J32</f>
        <v>0.35682946265193327</v>
      </c>
      <c r="K78" s="129"/>
      <c r="L78" s="183">
        <f t="array" ref="L78">SUM(L13:M13*L26:M26)/L32</f>
        <v>0.35945082281164359</v>
      </c>
      <c r="M78" s="129"/>
      <c r="N78" s="183">
        <f t="array" ref="N78">SUM(N13:O13*N26:O26)/N32</f>
        <v>0.36215865625787313</v>
      </c>
      <c r="O78" s="129"/>
      <c r="P78" s="183">
        <f t="array" ref="P78">SUM(P13:Q13*P26:Q26)/P32</f>
        <v>0.36497606752471712</v>
      </c>
      <c r="Q78" s="129"/>
      <c r="R78" s="183">
        <f t="array" ref="R78">SUM(R13:S13*R26:S26)/R32</f>
        <v>0.36793344722123472</v>
      </c>
      <c r="S78" s="129"/>
      <c r="T78" s="183">
        <f t="array" ref="T78">SUM(T13:U13*T26:U26)/T32</f>
        <v>0.37107222861010414</v>
      </c>
      <c r="U78" s="129"/>
      <c r="V78" s="183">
        <f t="array" ref="V78">SUM(V13:W13*V26:W26)/V32</f>
        <v>0.3744512985885004</v>
      </c>
      <c r="W78" s="129"/>
      <c r="X78" s="183">
        <f t="array" ref="X78">SUM(X13:Y13*X26:Y26)/X32</f>
        <v>0.3781575382791067</v>
      </c>
      <c r="Y78" s="129"/>
      <c r="Z78" s="183">
        <f t="array" ref="Z78">SUM(Z13:AA13*Z26:AA26)/Z32</f>
        <v>0.38232402904476037</v>
      </c>
      <c r="AA78" s="129"/>
      <c r="AB78" s="183">
        <f t="array" ref="AB78">SUM(AB13:AC13*AB26:AC26)/AB32</f>
        <v>0.38716147506126847</v>
      </c>
      <c r="AC78" s="129"/>
      <c r="AD78" s="183">
        <f t="array" ref="AD78">SUM(AD13:AE13*AD26:AE26)/AD32</f>
        <v>0.39300991485694747</v>
      </c>
      <c r="AE78" s="129"/>
      <c r="AF78" s="183">
        <f t="array" ref="AF78">SUM(AF13:AG13*AF26:AG26)/AF32</f>
        <v>0.40040983431371291</v>
      </c>
      <c r="AG78" s="129"/>
      <c r="AH78" s="183">
        <f t="array" ref="AH78">SUM(AH13:AI13*AH26:AI26)/AH32</f>
        <v>0.41013593407072346</v>
      </c>
      <c r="AI78" s="129"/>
      <c r="AJ78" s="183">
        <f t="array" ref="AJ78">SUM(AJ13:AK13*AJ26:AK26)/AJ32</f>
        <v>0.42296492233345073</v>
      </c>
      <c r="AK78" s="129"/>
      <c r="AL78" s="183">
        <f t="array" ref="AL78">SUM(AL13:AM13*AL26:AM26)/AL32</f>
        <v>0.4386793491628671</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0.446081928139829</v>
      </c>
      <c r="F79" s="183">
        <f t="array" ref="F79">SUM(F15:G15*F27:G27)/F32</f>
        <v>0.43745047156759176</v>
      </c>
      <c r="H79" s="183">
        <f t="array" ref="H79">SUM(H15:I15*H27:I27)/H32</f>
        <v>0.42867638153830401</v>
      </c>
      <c r="J79" s="183">
        <f t="array" ref="J79">SUM(J15:K15*J27:K27)/J32</f>
        <v>0.41971522170832437</v>
      </c>
      <c r="L79" s="183">
        <f t="array" ref="L79">SUM(L15:M15*L27:M27)/L32</f>
        <v>0.41051460893678549</v>
      </c>
      <c r="N79" s="183">
        <f t="array" ref="N79">SUM(N15:O15*N27:O27)/N32</f>
        <v>0.40101050189572951</v>
      </c>
      <c r="P79" s="183">
        <f t="array" ref="P79">SUM(P15:Q15*P27:Q27)/P32</f>
        <v>0.39112179765717259</v>
      </c>
      <c r="R79" s="183">
        <f t="array" ref="R79">SUM(R15:S15*R27:S27)/R32</f>
        <v>0.38074188001869397</v>
      </c>
      <c r="T79" s="183">
        <f t="array" ref="T79">SUM(T15:U15*T27:U27)/T32</f>
        <v>0.36972522806572378</v>
      </c>
      <c r="V79" s="183">
        <f t="array" ref="V79">SUM(V15:W15*V27:W27)/V32</f>
        <v>0.35786519794169408</v>
      </c>
      <c r="X79" s="183">
        <f t="array" ref="X79">SUM(X15:Y15*X27:Y27)/X32</f>
        <v>0.34485687158258849</v>
      </c>
      <c r="Z79" s="183">
        <f t="array" ref="Z79">SUM(Z15:AA15*Z27:AA27)/Z32</f>
        <v>0.33023309160801145</v>
      </c>
      <c r="AB79" s="183">
        <f t="array" ref="AB79">SUM(AB15:AC15*AB27:AC27)/AB32</f>
        <v>0.31325437148149698</v>
      </c>
      <c r="AD79" s="183">
        <f t="array" ref="AD79">SUM(AD15:AE15*AD27:AE27)/AD32</f>
        <v>0.29272722054063749</v>
      </c>
      <c r="AF79" s="183">
        <f t="array" ref="AF79">SUM(AF15:AG15*AF27:AG27)/AF32</f>
        <v>0.26675461601963468</v>
      </c>
      <c r="AH79" s="183">
        <f t="array" ref="AH79">SUM(AH15:AI15*AH27:AI27)/AH32</f>
        <v>0.23261745654946017</v>
      </c>
      <c r="AJ79" s="183">
        <f t="array" ref="AJ79">SUM(AJ15:AK15*AJ27:AK27)/AJ32</f>
        <v>0.18758962365693752</v>
      </c>
      <c r="AL79" s="183">
        <f t="array" ref="AL79">SUM(AL15:AM15*AL27:AM27)/AL32</f>
        <v>0.13243433219131509</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0.20460083988955186</v>
      </c>
      <c r="F80" s="195">
        <f>F55</f>
        <v>0.21077310047221975</v>
      </c>
      <c r="H80" s="195">
        <f>H55</f>
        <v>0.21704730570303474</v>
      </c>
      <c r="J80" s="195">
        <f>J55</f>
        <v>0.22345533002953483</v>
      </c>
      <c r="L80" s="195">
        <f>L55</f>
        <v>0.23003456483931184</v>
      </c>
      <c r="N80" s="195">
        <f>N55</f>
        <v>0.23683083517865636</v>
      </c>
      <c r="P80" s="195">
        <f>P55</f>
        <v>0.24390212515024351</v>
      </c>
      <c r="R80" s="195">
        <f>R55</f>
        <v>0.25132467896875127</v>
      </c>
      <c r="T80" s="195">
        <f>T55</f>
        <v>0.25920254475829879</v>
      </c>
      <c r="V80" s="195">
        <f>V55</f>
        <v>0.26768350355092846</v>
      </c>
      <c r="X80" s="195">
        <f>X55</f>
        <v>0.27698560840911307</v>
      </c>
      <c r="Z80" s="195">
        <f>Z55</f>
        <v>0.28744289162985687</v>
      </c>
      <c r="AB80" s="195">
        <f>AB55</f>
        <v>0.29958415074232397</v>
      </c>
      <c r="AD80" s="195">
        <f>AD55</f>
        <v>0.31426285602709292</v>
      </c>
      <c r="AF80" s="195">
        <f>AF55</f>
        <v>0.33283556161123218</v>
      </c>
      <c r="AH80" s="195">
        <f>AH55</f>
        <v>0.35724660943857134</v>
      </c>
      <c r="AJ80" s="195">
        <f>AJ55</f>
        <v>0.38944545392319918</v>
      </c>
      <c r="AL80" s="195">
        <f>AL55</f>
        <v>0.42888631896328833</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-2.1445364674872971E-2</v>
      </c>
      <c r="F81" s="195">
        <f>F51/F$32</f>
        <v>-1.5273104092205114E-2</v>
      </c>
      <c r="H81" s="195">
        <f>H51/H$32</f>
        <v>-8.9988988613901102E-3</v>
      </c>
      <c r="J81" s="195">
        <f>J51/J$32</f>
        <v>-2.5908745348900315E-3</v>
      </c>
      <c r="L81" s="195">
        <f>L51/L$32</f>
        <v>3.9883602748869915E-3</v>
      </c>
      <c r="N81" s="195">
        <f>N51/N$32</f>
        <v>1.0784630614231504E-2</v>
      </c>
      <c r="P81" s="195">
        <f>P51/P$32</f>
        <v>1.7855920585818669E-2</v>
      </c>
      <c r="R81" s="195">
        <f>R51/R$32</f>
        <v>2.5278474404326456E-2</v>
      </c>
      <c r="T81" s="195">
        <f>T51/T$32</f>
        <v>3.3156340193873937E-2</v>
      </c>
      <c r="V81" s="195">
        <f>V51/V$32</f>
        <v>4.1637298986503611E-2</v>
      </c>
      <c r="X81" s="195">
        <f>X51/X$32</f>
        <v>5.0939403844688209E-2</v>
      </c>
      <c r="Z81" s="195">
        <f>Z51/Z$32</f>
        <v>6.1396687065432033E-2</v>
      </c>
      <c r="AB81" s="195">
        <f>AB51/AB$32</f>
        <v>7.3537946177899147E-2</v>
      </c>
      <c r="AD81" s="195">
        <f>AD51/AD$32</f>
        <v>8.8216651462668064E-2</v>
      </c>
      <c r="AF81" s="195">
        <f>AF51/AF$32</f>
        <v>0.10678935704680734</v>
      </c>
      <c r="AH81" s="195">
        <f>AH51/AH$32</f>
        <v>0.13120040487414653</v>
      </c>
      <c r="AJ81" s="195">
        <f>AJ51/AJ$32</f>
        <v>0.16339924935877431</v>
      </c>
      <c r="AL81" s="195">
        <f>AL51/AL$32</f>
        <v>0.20284011439886349</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0.14168240819145839</v>
      </c>
      <c r="F82" s="195">
        <f>F52/F$32</f>
        <v>0.14267986031033228</v>
      </c>
      <c r="H82" s="195">
        <f>H52/H$32</f>
        <v>0.14369378669679245</v>
      </c>
      <c r="J82" s="195">
        <f>J52/J$32</f>
        <v>0.14472934010275179</v>
      </c>
      <c r="L82" s="195">
        <f>L52/L$32</f>
        <v>0.14579255871499008</v>
      </c>
      <c r="N82" s="195">
        <f>N52/N$32</f>
        <v>0.1468908507250398</v>
      </c>
      <c r="P82" s="195">
        <f>P52/P$32</f>
        <v>0.14803358728725619</v>
      </c>
      <c r="R82" s="195">
        <f>R52/R$32</f>
        <v>0.14923309477391172</v>
      </c>
      <c r="T82" s="195">
        <f>T52/T$32</f>
        <v>0.15050617843623529</v>
      </c>
      <c r="V82" s="195">
        <f>V52/V$32</f>
        <v>0.15187672268586005</v>
      </c>
      <c r="X82" s="195">
        <f>X52/X$32</f>
        <v>0.15337996633815709</v>
      </c>
      <c r="Z82" s="195">
        <f>Z52/Z$32</f>
        <v>0.15506988693657325</v>
      </c>
      <c r="AB82" s="195">
        <f>AB52/AB$32</f>
        <v>0.15703194568740803</v>
      </c>
      <c r="AD82" s="195">
        <f>AD52/AD$32</f>
        <v>0.15940406156026393</v>
      </c>
      <c r="AF82" s="195">
        <f>AF52/AF$32</f>
        <v>0.1624054545837875</v>
      </c>
      <c r="AH82" s="195">
        <f>AH52/AH$32</f>
        <v>0.16635034183929631</v>
      </c>
      <c r="AJ82" s="195">
        <f>AJ52/AJ$32</f>
        <v>0.17155375467312275</v>
      </c>
      <c r="AL82" s="195">
        <f>AL52/AL$32</f>
        <v>0.17792749581044837</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0.18092996753022134</v>
      </c>
      <c r="F83" s="195">
        <f>F53/F$32</f>
        <v>0.17742906543390535</v>
      </c>
      <c r="H83" s="195">
        <f>H53/H$32</f>
        <v>0.17387031148319912</v>
      </c>
      <c r="J83" s="195">
        <f>J53/J$32</f>
        <v>0.17023568238304171</v>
      </c>
      <c r="L83" s="195">
        <f>L53/L$32</f>
        <v>0.16650393163278296</v>
      </c>
      <c r="N83" s="195">
        <f>N53/N$32</f>
        <v>0.16264908419363053</v>
      </c>
      <c r="P83" s="195">
        <f>P53/P$32</f>
        <v>0.15863824487481096</v>
      </c>
      <c r="R83" s="195">
        <f>R53/R$32</f>
        <v>0.15442817035077058</v>
      </c>
      <c r="T83" s="195">
        <f>T53/T$32</f>
        <v>0.14995983761993231</v>
      </c>
      <c r="V83" s="195">
        <f>V53/V$32</f>
        <v>0.14514943233362917</v>
      </c>
      <c r="X83" s="195">
        <f>X53/X$32</f>
        <v>0.13987328031467147</v>
      </c>
      <c r="Z83" s="195">
        <f>Z53/Z$32</f>
        <v>0.13394190343284462</v>
      </c>
      <c r="AB83" s="195">
        <f>AB53/AB$32</f>
        <v>0.12705536737879486</v>
      </c>
      <c r="AD83" s="195">
        <f>AD53/AD$32</f>
        <v>0.11872959464752769</v>
      </c>
      <c r="AF83" s="195">
        <f>AF53/AF$32</f>
        <v>0.10819515647323048</v>
      </c>
      <c r="AH83" s="195">
        <f>AH53/AH$32</f>
        <v>9.4349190598153401E-2</v>
      </c>
      <c r="AJ83" s="195">
        <f>AJ53/AJ$32</f>
        <v>7.6085988640672106E-2</v>
      </c>
      <c r="AL83" s="195">
        <f>AL53/AL$32</f>
        <v>5.3715109067924968E-2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4.8832483530291716E-2</v>
      </c>
      <c r="E2" s="189"/>
      <c r="F2" s="188">
        <v>9.5472642043200717E-2</v>
      </c>
      <c r="G2" s="189"/>
      <c r="H2" s="188">
        <v>0.14615764861661035</v>
      </c>
      <c r="I2" s="189"/>
      <c r="J2" s="188">
        <v>0.20144065267200961</v>
      </c>
      <c r="K2" s="189"/>
      <c r="L2" s="188">
        <v>0.26198456178306145</v>
      </c>
      <c r="M2" s="189"/>
      <c r="N2" s="188">
        <v>0.32859065692880468</v>
      </c>
      <c r="O2" s="189"/>
      <c r="P2" s="188">
        <v>0.40223565063034261</v>
      </c>
      <c r="Q2" s="189"/>
      <c r="R2" s="188">
        <v>0.4841180996450446</v>
      </c>
      <c r="S2" s="189"/>
      <c r="T2" s="188">
        <v>0.5757166554066</v>
      </c>
      <c r="U2" s="189"/>
      <c r="V2" s="188">
        <v>0.67885453570643106</v>
      </c>
      <c r="W2" s="189"/>
      <c r="X2" s="188">
        <v>0.79576097980694416</v>
      </c>
      <c r="Y2" s="189"/>
      <c r="Z2" s="188">
        <v>0.92909727843248024</v>
      </c>
      <c r="AA2" s="189"/>
      <c r="AB2" s="188">
        <v>1.0818816454146589</v>
      </c>
      <c r="AC2" s="189"/>
      <c r="AD2" s="188">
        <v>1.2571948221785134</v>
      </c>
      <c r="AE2" s="189"/>
      <c r="AF2" s="188">
        <v>1.457522735782748</v>
      </c>
      <c r="AG2" s="189"/>
      <c r="AH2" s="188">
        <v>1.6836983144931683</v>
      </c>
      <c r="AI2" s="189"/>
      <c r="AJ2" s="188">
        <v>1.9337772790759795</v>
      </c>
      <c r="AK2" s="189"/>
      <c r="AL2" s="188">
        <v>2.2026168027899713</v>
      </c>
      <c r="AM2" s="189"/>
      <c r="AN2" s="188">
        <v>2.4827747679293974</v>
      </c>
      <c r="AO2" s="189"/>
      <c r="AP2" s="188">
        <v>2.5394563105798564</v>
      </c>
      <c r="AQ2" s="189"/>
      <c r="AR2" s="188">
        <v>2.5962108075547436</v>
      </c>
      <c r="AS2" s="189"/>
      <c r="AT2" s="188">
        <v>2.652981269074798</v>
      </c>
      <c r="AU2" s="189"/>
      <c r="AV2" s="188">
        <v>2.7097135861331729</v>
      </c>
      <c r="AW2" s="189"/>
    </row>
    <row r="3" spans="1:49" x14ac:dyDescent="0.2">
      <c r="A3" t="s">
        <v>12</v>
      </c>
      <c r="B3" s="81">
        <v>1000</v>
      </c>
      <c r="C3" s="82">
        <v>1000</v>
      </c>
      <c r="D3" s="81">
        <v>998.38212106694027</v>
      </c>
      <c r="E3" s="82">
        <v>1019.7537317090814</v>
      </c>
      <c r="F3" s="81">
        <v>996.70081087642279</v>
      </c>
      <c r="G3" s="82">
        <v>1041.5033631780375</v>
      </c>
      <c r="H3" s="81">
        <v>994.94981703684402</v>
      </c>
      <c r="I3" s="82">
        <v>1065.536920744541</v>
      </c>
      <c r="J3" s="81">
        <v>993.12271703786087</v>
      </c>
      <c r="K3" s="82">
        <v>1092.1970978780078</v>
      </c>
      <c r="L3" s="81">
        <v>991.21320128735124</v>
      </c>
      <c r="M3" s="82">
        <v>1121.8937168084765</v>
      </c>
      <c r="N3" s="81">
        <v>989.2156404751986</v>
      </c>
      <c r="O3" s="82">
        <v>1155.1194877888265</v>
      </c>
      <c r="P3" s="81">
        <v>987.12592715591472</v>
      </c>
      <c r="Q3" s="82">
        <v>1192.4692028523154</v>
      </c>
      <c r="R3" s="81">
        <v>984.94283076828833</v>
      </c>
      <c r="S3" s="82">
        <v>1234.662385158914</v>
      </c>
      <c r="T3" s="81">
        <v>982.67003608141817</v>
      </c>
      <c r="U3" s="82">
        <v>1282.5692205678965</v>
      </c>
      <c r="V3" s="81">
        <v>980.3190943433957</v>
      </c>
      <c r="W3" s="82">
        <v>1337.2353853833608</v>
      </c>
      <c r="X3" s="81">
        <v>977.91349428488559</v>
      </c>
      <c r="Y3" s="82">
        <v>1399.8966281642049</v>
      </c>
      <c r="Z3" s="81">
        <v>975.49368013531546</v>
      </c>
      <c r="AA3" s="82">
        <v>1471.9643149723192</v>
      </c>
      <c r="AB3" s="81">
        <v>973.12210523597287</v>
      </c>
      <c r="AC3" s="82">
        <v>1554.9423364872955</v>
      </c>
      <c r="AD3" s="81">
        <v>970.88565226689036</v>
      </c>
      <c r="AE3" s="82">
        <v>1650.2176843587076</v>
      </c>
      <c r="AF3" s="81">
        <v>968.89054803645206</v>
      </c>
      <c r="AG3" s="82">
        <v>1758.666938299611</v>
      </c>
      <c r="AH3" s="81">
        <v>967.24439390984355</v>
      </c>
      <c r="AI3" s="82">
        <v>1880.1021568259748</v>
      </c>
      <c r="AJ3" s="81">
        <v>966.0260912644045</v>
      </c>
      <c r="AK3" s="82">
        <v>2012.7808536086329</v>
      </c>
      <c r="AL3" s="81">
        <v>965.25750908381292</v>
      </c>
      <c r="AM3" s="82">
        <v>2153.3832375544534</v>
      </c>
      <c r="AN3" s="81">
        <v>964.89723159254368</v>
      </c>
      <c r="AO3" s="82">
        <v>2297.6775713242218</v>
      </c>
      <c r="AP3" s="81">
        <v>964.86718445449901</v>
      </c>
      <c r="AQ3" s="82">
        <v>2326.6046627700339</v>
      </c>
      <c r="AR3" s="81">
        <v>964.84937212220018</v>
      </c>
      <c r="AS3" s="82">
        <v>2355.482196369117</v>
      </c>
      <c r="AT3" s="81">
        <v>964.8430113542538</v>
      </c>
      <c r="AU3" s="82">
        <v>2384.2824341161217</v>
      </c>
      <c r="AV3" s="81">
        <v>964.84732269509902</v>
      </c>
      <c r="AW3" s="82">
        <v>2412.9794916082119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998.30197162581658</v>
      </c>
      <c r="E5" s="40">
        <v>1017.1929048547703</v>
      </c>
      <c r="F5" s="39">
        <v>996.53652252417646</v>
      </c>
      <c r="G5" s="40">
        <v>1035.7711557553882</v>
      </c>
      <c r="H5" s="39">
        <v>994.69698187754489</v>
      </c>
      <c r="I5" s="40">
        <v>1055.8704013141544</v>
      </c>
      <c r="J5" s="39">
        <v>992.77648144307523</v>
      </c>
      <c r="K5" s="40">
        <v>1077.6373073462594</v>
      </c>
      <c r="L5" s="39">
        <v>990.76825169946153</v>
      </c>
      <c r="M5" s="40">
        <v>1101.2281556797352</v>
      </c>
      <c r="N5" s="39">
        <v>988.6662171140249</v>
      </c>
      <c r="O5" s="40">
        <v>1126.8054368347744</v>
      </c>
      <c r="P5" s="39">
        <v>986.4658830555104</v>
      </c>
      <c r="Q5" s="40">
        <v>1154.5314628500385</v>
      </c>
      <c r="R5" s="39">
        <v>984.16576731013447</v>
      </c>
      <c r="S5" s="40">
        <v>1184.5577044776226</v>
      </c>
      <c r="T5" s="39">
        <v>981.76955842855386</v>
      </c>
      <c r="U5" s="40">
        <v>1217.0054105019103</v>
      </c>
      <c r="V5" s="39">
        <v>979.28924838501837</v>
      </c>
      <c r="W5" s="40">
        <v>1251.9376868244908</v>
      </c>
      <c r="X5" s="39">
        <v>976.74946328431906</v>
      </c>
      <c r="Y5" s="40">
        <v>1289.3128414813916</v>
      </c>
      <c r="Z5" s="39">
        <v>974.19281651364452</v>
      </c>
      <c r="AA5" s="40">
        <v>1328.9205992915804</v>
      </c>
      <c r="AB5" s="39">
        <v>971.68532326121567</v>
      </c>
      <c r="AC5" s="40">
        <v>1370.296706321694</v>
      </c>
      <c r="AD5" s="39">
        <v>969.3190435539525</v>
      </c>
      <c r="AE5" s="40">
        <v>1412.6351689286839</v>
      </c>
      <c r="AF5" s="39">
        <v>967.206763292083</v>
      </c>
      <c r="AG5" s="40">
        <v>1454.742884545331</v>
      </c>
      <c r="AH5" s="39">
        <v>965.46295845426255</v>
      </c>
      <c r="AI5" s="40">
        <v>1495.1183455785435</v>
      </c>
      <c r="AJ5" s="39">
        <v>964.17181937191947</v>
      </c>
      <c r="AK5" s="40">
        <v>1532.2157953293129</v>
      </c>
      <c r="AL5" s="39">
        <v>963.35703904462787</v>
      </c>
      <c r="AM5" s="40">
        <v>1564.8380300805607</v>
      </c>
      <c r="AN5" s="39">
        <v>962.97503965510441</v>
      </c>
      <c r="AO5" s="40">
        <v>1592.4379335548197</v>
      </c>
      <c r="AP5" s="39">
        <v>962.94317899930979</v>
      </c>
      <c r="AQ5" s="40">
        <v>1597.3562376113962</v>
      </c>
      <c r="AR5" s="39">
        <v>962.92429145117319</v>
      </c>
      <c r="AS5" s="40">
        <v>1602.0808063650475</v>
      </c>
      <c r="AT5" s="39">
        <v>962.91754669957777</v>
      </c>
      <c r="AU5" s="40">
        <v>1606.6159553490049</v>
      </c>
      <c r="AV5" s="39">
        <v>962.92211830679264</v>
      </c>
      <c r="AW5" s="40">
        <v>1610.9665298421223</v>
      </c>
    </row>
    <row r="6" spans="1:49" x14ac:dyDescent="0.2">
      <c r="A6" t="s">
        <v>77</v>
      </c>
      <c r="B6" s="39">
        <v>999.99999999999943</v>
      </c>
      <c r="C6" s="40">
        <v>999.99999999999886</v>
      </c>
      <c r="D6" s="39">
        <v>998.17232685882277</v>
      </c>
      <c r="E6" s="40">
        <v>1021.3064672257231</v>
      </c>
      <c r="F6" s="39">
        <v>996.27258863991972</v>
      </c>
      <c r="G6" s="40">
        <v>1044.7294163703311</v>
      </c>
      <c r="H6" s="39">
        <v>994.29366861656069</v>
      </c>
      <c r="I6" s="40">
        <v>1070.5706706521783</v>
      </c>
      <c r="J6" s="39">
        <v>992.22824856335637</v>
      </c>
      <c r="K6" s="40">
        <v>1099.1889343452317</v>
      </c>
      <c r="L6" s="39">
        <v>990.06912773274189</v>
      </c>
      <c r="M6" s="40">
        <v>1131.0126974737743</v>
      </c>
      <c r="N6" s="39">
        <v>987.80986383459913</v>
      </c>
      <c r="O6" s="40">
        <v>1166.5565483868281</v>
      </c>
      <c r="P6" s="39">
        <v>985.44572530188566</v>
      </c>
      <c r="Q6" s="40">
        <v>1206.4410077786833</v>
      </c>
      <c r="R6" s="39">
        <v>982.97522644308697</v>
      </c>
      <c r="S6" s="40">
        <v>1251.4158785220361</v>
      </c>
      <c r="T6" s="39">
        <v>980.40243953402705</v>
      </c>
      <c r="U6" s="40">
        <v>1302.3869088679287</v>
      </c>
      <c r="V6" s="39">
        <v>977.74034577980285</v>
      </c>
      <c r="W6" s="40">
        <v>1360.4411147007884</v>
      </c>
      <c r="X6" s="39">
        <v>975.01546286414327</v>
      </c>
      <c r="Y6" s="40">
        <v>1426.8611595124382</v>
      </c>
      <c r="Z6" s="39">
        <v>972.2735565835651</v>
      </c>
      <c r="AA6" s="40">
        <v>1503.1091570681533</v>
      </c>
      <c r="AB6" s="39">
        <v>969.58540499846833</v>
      </c>
      <c r="AC6" s="40">
        <v>1590.7385973219245</v>
      </c>
      <c r="AD6" s="39">
        <v>967.04958450043432</v>
      </c>
      <c r="AE6" s="40">
        <v>1691.1745653550679</v>
      </c>
      <c r="AF6" s="39">
        <v>964.78673568500244</v>
      </c>
      <c r="AG6" s="40">
        <v>1805.3029029543659</v>
      </c>
      <c r="AH6" s="39">
        <v>962.91917767069856</v>
      </c>
      <c r="AI6" s="40">
        <v>1932.8943626153018</v>
      </c>
      <c r="AJ6" s="39">
        <v>961.536730016099</v>
      </c>
      <c r="AK6" s="40">
        <v>2072.0993370801348</v>
      </c>
      <c r="AL6" s="39">
        <v>960.66446905452312</v>
      </c>
      <c r="AM6" s="40">
        <v>2219.4324023812792</v>
      </c>
      <c r="AN6" s="39">
        <v>960.25555793091837</v>
      </c>
      <c r="AO6" s="40">
        <v>2370.4724642191309</v>
      </c>
      <c r="AP6" s="39">
        <v>960.22145377878098</v>
      </c>
      <c r="AQ6" s="40">
        <v>2400.7348806565665</v>
      </c>
      <c r="AR6" s="39">
        <v>960.20123632549553</v>
      </c>
      <c r="AS6" s="40">
        <v>2430.9402780594255</v>
      </c>
      <c r="AT6" s="39">
        <v>960.19401667827367</v>
      </c>
      <c r="AU6" s="40">
        <v>2461.0598665703092</v>
      </c>
      <c r="AV6" s="39">
        <v>960.19891016988777</v>
      </c>
      <c r="AW6" s="40">
        <v>2491.0668012167357</v>
      </c>
    </row>
    <row r="7" spans="1:49" x14ac:dyDescent="0.2">
      <c r="A7" t="s">
        <v>13</v>
      </c>
      <c r="B7" s="31">
        <v>1015.9116825427475</v>
      </c>
      <c r="C7" s="32">
        <v>1015.9116825427475</v>
      </c>
      <c r="D7" s="31">
        <v>1014.1866356801254</v>
      </c>
      <c r="E7" s="32">
        <v>1014.1866356801254</v>
      </c>
      <c r="F7" s="31">
        <v>1012.3930953128346</v>
      </c>
      <c r="G7" s="32">
        <v>1012.3930953128346</v>
      </c>
      <c r="H7" s="31">
        <v>1010.5242844794094</v>
      </c>
      <c r="I7" s="32">
        <v>1010.5242844794094</v>
      </c>
      <c r="J7" s="31">
        <v>1008.5732256517032</v>
      </c>
      <c r="K7" s="32">
        <v>1008.5732256517032</v>
      </c>
      <c r="L7" s="31">
        <v>1006.5330415939362</v>
      </c>
      <c r="M7" s="32">
        <v>1006.5330415939362</v>
      </c>
      <c r="N7" s="31">
        <v>1004.3975601014823</v>
      </c>
      <c r="O7" s="32">
        <v>1004.3975601014823</v>
      </c>
      <c r="P7" s="31">
        <v>1002.1622150259407</v>
      </c>
      <c r="Q7" s="32">
        <v>1002.1622150259407</v>
      </c>
      <c r="R7" s="31">
        <v>999.82550056901277</v>
      </c>
      <c r="S7" s="32">
        <v>999.82550056901277</v>
      </c>
      <c r="T7" s="31">
        <v>997.3911639724023</v>
      </c>
      <c r="U7" s="32">
        <v>997.3911639724023</v>
      </c>
      <c r="V7" s="31">
        <v>994.87138802284653</v>
      </c>
      <c r="W7" s="32">
        <v>994.87138802284653</v>
      </c>
      <c r="X7" s="31">
        <v>992.29119066789815</v>
      </c>
      <c r="Y7" s="32">
        <v>992.29119066789815</v>
      </c>
      <c r="Z7" s="31">
        <v>989.69386334543458</v>
      </c>
      <c r="AA7" s="32">
        <v>989.69386334543458</v>
      </c>
      <c r="AB7" s="31">
        <v>987.14647165639508</v>
      </c>
      <c r="AC7" s="32">
        <v>987.14647165639508</v>
      </c>
      <c r="AD7" s="31">
        <v>984.74254045762257</v>
      </c>
      <c r="AE7" s="32">
        <v>984.74254045762257</v>
      </c>
      <c r="AF7" s="31">
        <v>982.59665026278492</v>
      </c>
      <c r="AG7" s="32">
        <v>982.59665026278492</v>
      </c>
      <c r="AH7" s="31">
        <v>980.82509855596857</v>
      </c>
      <c r="AI7" s="32">
        <v>980.82509855596857</v>
      </c>
      <c r="AJ7" s="31">
        <v>979.51341527842862</v>
      </c>
      <c r="AK7" s="32">
        <v>979.51341527842862</v>
      </c>
      <c r="AL7" s="31">
        <v>978.68567042522716</v>
      </c>
      <c r="AM7" s="32">
        <v>978.68567042522716</v>
      </c>
      <c r="AN7" s="31">
        <v>978.29759278268602</v>
      </c>
      <c r="AO7" s="32">
        <v>978.29759278268602</v>
      </c>
      <c r="AP7" s="31">
        <v>978.2652251702508</v>
      </c>
      <c r="AQ7" s="32">
        <v>978.2652251702508</v>
      </c>
      <c r="AR7" s="31">
        <v>978.24603708944426</v>
      </c>
      <c r="AS7" s="32">
        <v>978.24603708944426</v>
      </c>
      <c r="AT7" s="31">
        <v>978.23918501750268</v>
      </c>
      <c r="AU7" s="32">
        <v>978.23918501750268</v>
      </c>
      <c r="AV7" s="31">
        <v>978.24382936668019</v>
      </c>
      <c r="AW7" s="32">
        <v>978.24382936668019</v>
      </c>
    </row>
    <row r="8" spans="1:49" x14ac:dyDescent="0.2">
      <c r="B8" s="33">
        <v>1005.7716594496609</v>
      </c>
      <c r="C8" s="34">
        <v>1005.7716594496609</v>
      </c>
      <c r="D8" s="33">
        <v>1066.8649606282206</v>
      </c>
      <c r="E8" s="34">
        <v>1066.8649606282206</v>
      </c>
      <c r="F8" s="33">
        <v>1134.6589645474949</v>
      </c>
      <c r="G8" s="34">
        <v>1134.6589645474949</v>
      </c>
      <c r="H8" s="33">
        <v>1210.1939364141078</v>
      </c>
      <c r="I8" s="34">
        <v>1210.1939364141078</v>
      </c>
      <c r="J8" s="33">
        <v>1294.7172698817969</v>
      </c>
      <c r="K8" s="34">
        <v>1294.7172698817969</v>
      </c>
      <c r="L8" s="33">
        <v>1389.7329314686594</v>
      </c>
      <c r="M8" s="34">
        <v>1389.7329314686594</v>
      </c>
      <c r="N8" s="33">
        <v>1497.0631755552615</v>
      </c>
      <c r="O8" s="34">
        <v>1497.0631755552615</v>
      </c>
      <c r="P8" s="33">
        <v>1618.9251769827249</v>
      </c>
      <c r="Q8" s="34">
        <v>1618.9251769827249</v>
      </c>
      <c r="R8" s="33">
        <v>1758.0235292892257</v>
      </c>
      <c r="S8" s="34">
        <v>1758.0235292892257</v>
      </c>
      <c r="T8" s="33">
        <v>1917.6556950478064</v>
      </c>
      <c r="U8" s="34">
        <v>1917.6556950478064</v>
      </c>
      <c r="V8" s="33">
        <v>2101.8212639471139</v>
      </c>
      <c r="W8" s="34">
        <v>2101.8212639471139</v>
      </c>
      <c r="X8" s="33">
        <v>2315.2976914962987</v>
      </c>
      <c r="Y8" s="34">
        <v>2315.2976914962987</v>
      </c>
      <c r="Z8" s="33">
        <v>2563.6171113462483</v>
      </c>
      <c r="AA8" s="34">
        <v>2563.6171113462483</v>
      </c>
      <c r="AB8" s="33">
        <v>2852.7955616632958</v>
      </c>
      <c r="AC8" s="34">
        <v>2852.7955616632958</v>
      </c>
      <c r="AD8" s="33">
        <v>3188.5927889330951</v>
      </c>
      <c r="AE8" s="34">
        <v>3188.5927889330951</v>
      </c>
      <c r="AF8" s="33">
        <v>3575.0637134883282</v>
      </c>
      <c r="AG8" s="34">
        <v>3575.0637134883282</v>
      </c>
      <c r="AH8" s="33">
        <v>4012.4465839969512</v>
      </c>
      <c r="AI8" s="34">
        <v>4012.4465839969512</v>
      </c>
      <c r="AJ8" s="33">
        <v>4495.1798869784689</v>
      </c>
      <c r="AK8" s="34">
        <v>4495.1798869784689</v>
      </c>
      <c r="AL8" s="33">
        <v>5011.5765687807625</v>
      </c>
      <c r="AM8" s="34">
        <v>5011.5765687807625</v>
      </c>
      <c r="AN8" s="33">
        <v>5546.1026544783563</v>
      </c>
      <c r="AO8" s="34">
        <v>5546.1026544783563</v>
      </c>
      <c r="AP8" s="33">
        <v>5653.7726154577531</v>
      </c>
      <c r="AQ8" s="34">
        <v>5653.7726154577531</v>
      </c>
      <c r="AR8" s="33">
        <v>5761.4203104260023</v>
      </c>
      <c r="AS8" s="34">
        <v>5761.4203104260023</v>
      </c>
      <c r="AT8" s="33">
        <v>5868.9379914866267</v>
      </c>
      <c r="AU8" s="34">
        <v>5868.9379914866267</v>
      </c>
      <c r="AV8" s="33">
        <v>5976.224422561133</v>
      </c>
      <c r="AW8" s="34">
        <v>5976.224422561133</v>
      </c>
    </row>
    <row r="9" spans="1:49" x14ac:dyDescent="0.2">
      <c r="A9" t="s">
        <v>14</v>
      </c>
      <c r="B9" s="39">
        <v>1015.9116825427475</v>
      </c>
      <c r="C9" s="40">
        <v>1005.7716594496609</v>
      </c>
      <c r="D9" s="39">
        <v>1014.1866356801254</v>
      </c>
      <c r="E9" s="40">
        <v>1066.8649606282206</v>
      </c>
      <c r="F9" s="39">
        <v>1012.3930953128346</v>
      </c>
      <c r="G9" s="40">
        <v>1134.6589645474949</v>
      </c>
      <c r="H9" s="39">
        <v>1010.5242844794094</v>
      </c>
      <c r="I9" s="40">
        <v>1210.1939364141078</v>
      </c>
      <c r="J9" s="39">
        <v>1008.5732256517032</v>
      </c>
      <c r="K9" s="40">
        <v>1294.7172698817969</v>
      </c>
      <c r="L9" s="39">
        <v>1006.5330415939362</v>
      </c>
      <c r="M9" s="40">
        <v>1389.7329314686594</v>
      </c>
      <c r="N9" s="39">
        <v>1004.3975601014823</v>
      </c>
      <c r="O9" s="40">
        <v>1497.0631755552615</v>
      </c>
      <c r="P9" s="39">
        <v>1002.1622150259407</v>
      </c>
      <c r="Q9" s="40">
        <v>1618.9251769827249</v>
      </c>
      <c r="R9" s="39">
        <v>999.82550056901277</v>
      </c>
      <c r="S9" s="40">
        <v>1758.0235292892257</v>
      </c>
      <c r="T9" s="39">
        <v>997.3911639724023</v>
      </c>
      <c r="U9" s="40">
        <v>1917.6556950478064</v>
      </c>
      <c r="V9" s="39">
        <v>994.87138802284653</v>
      </c>
      <c r="W9" s="40">
        <v>2101.8212639471139</v>
      </c>
      <c r="X9" s="39">
        <v>992.29119066789815</v>
      </c>
      <c r="Y9" s="40">
        <v>2315.2976914962987</v>
      </c>
      <c r="Z9" s="39">
        <v>989.69386334543458</v>
      </c>
      <c r="AA9" s="40">
        <v>2563.6171113462483</v>
      </c>
      <c r="AB9" s="39">
        <v>987.14647165639508</v>
      </c>
      <c r="AC9" s="40">
        <v>2852.7955616632958</v>
      </c>
      <c r="AD9" s="39">
        <v>984.74254045762257</v>
      </c>
      <c r="AE9" s="40">
        <v>3188.5927889330951</v>
      </c>
      <c r="AF9" s="39">
        <v>982.59665026278492</v>
      </c>
      <c r="AG9" s="40">
        <v>3575.0637134883282</v>
      </c>
      <c r="AH9" s="39">
        <v>980.82509855596857</v>
      </c>
      <c r="AI9" s="40">
        <v>4012.4465839969512</v>
      </c>
      <c r="AJ9" s="39">
        <v>979.51341527842862</v>
      </c>
      <c r="AK9" s="40">
        <v>4495.1798869784689</v>
      </c>
      <c r="AL9" s="39">
        <v>978.68567042522716</v>
      </c>
      <c r="AM9" s="40">
        <v>5011.5765687807625</v>
      </c>
      <c r="AN9" s="39">
        <v>978.29759278268602</v>
      </c>
      <c r="AO9" s="40">
        <v>5546.1026544783563</v>
      </c>
      <c r="AP9" s="39">
        <v>978.2652251702508</v>
      </c>
      <c r="AQ9" s="40">
        <v>5653.7726154577531</v>
      </c>
      <c r="AR9" s="39">
        <v>978.24603708944426</v>
      </c>
      <c r="AS9" s="40">
        <v>5761.4203104260023</v>
      </c>
      <c r="AT9" s="39">
        <v>978.23918501750268</v>
      </c>
      <c r="AU9" s="40">
        <v>5868.9379914866267</v>
      </c>
      <c r="AV9" s="39">
        <v>978.24382936668019</v>
      </c>
      <c r="AW9" s="40">
        <v>5976.224422561133</v>
      </c>
    </row>
    <row r="10" spans="1:49" x14ac:dyDescent="0.2">
      <c r="A10" t="s">
        <v>15</v>
      </c>
      <c r="B10" s="39">
        <v>1015.9116825427475</v>
      </c>
      <c r="C10" s="40">
        <v>1005.7716594496609</v>
      </c>
      <c r="D10" s="39">
        <v>1014.1866356801254</v>
      </c>
      <c r="E10" s="40">
        <v>1066.8649606282206</v>
      </c>
      <c r="F10" s="39">
        <v>1012.3930953128346</v>
      </c>
      <c r="G10" s="40">
        <v>1134.6589645474949</v>
      </c>
      <c r="H10" s="39">
        <v>1010.5242844794094</v>
      </c>
      <c r="I10" s="40">
        <v>1210.1939364141078</v>
      </c>
      <c r="J10" s="39">
        <v>1008.5732256517032</v>
      </c>
      <c r="K10" s="40">
        <v>1294.7172698817969</v>
      </c>
      <c r="L10" s="39">
        <v>1006.5330415939362</v>
      </c>
      <c r="M10" s="40">
        <v>1389.7329314686594</v>
      </c>
      <c r="N10" s="39">
        <v>1004.3975601014823</v>
      </c>
      <c r="O10" s="40">
        <v>1497.0631755552615</v>
      </c>
      <c r="P10" s="39">
        <v>1002.1622150259407</v>
      </c>
      <c r="Q10" s="40">
        <v>1618.9251769827249</v>
      </c>
      <c r="R10" s="39">
        <v>999.82550056901277</v>
      </c>
      <c r="S10" s="40">
        <v>1758.0235292892257</v>
      </c>
      <c r="T10" s="39">
        <v>997.3911639724023</v>
      </c>
      <c r="U10" s="40">
        <v>1917.6556950478064</v>
      </c>
      <c r="V10" s="39">
        <v>994.87138802284653</v>
      </c>
      <c r="W10" s="40">
        <v>2101.8212639471139</v>
      </c>
      <c r="X10" s="39">
        <v>992.29119066789815</v>
      </c>
      <c r="Y10" s="40">
        <v>2315.2976914962987</v>
      </c>
      <c r="Z10" s="39">
        <v>989.69386334543458</v>
      </c>
      <c r="AA10" s="40">
        <v>2563.6171113462483</v>
      </c>
      <c r="AB10" s="39">
        <v>987.14647165639508</v>
      </c>
      <c r="AC10" s="40">
        <v>2852.7955616632958</v>
      </c>
      <c r="AD10" s="39">
        <v>984.74254045762257</v>
      </c>
      <c r="AE10" s="40">
        <v>3188.5927889330951</v>
      </c>
      <c r="AF10" s="39">
        <v>982.59665026278492</v>
      </c>
      <c r="AG10" s="40">
        <v>3575.0637134883282</v>
      </c>
      <c r="AH10" s="39">
        <v>980.82509855596857</v>
      </c>
      <c r="AI10" s="40">
        <v>4012.4465839969512</v>
      </c>
      <c r="AJ10" s="39">
        <v>979.51341527842862</v>
      </c>
      <c r="AK10" s="40">
        <v>4495.1798869784689</v>
      </c>
      <c r="AL10" s="39">
        <v>978.68567042522716</v>
      </c>
      <c r="AM10" s="40">
        <v>5011.5765687807625</v>
      </c>
      <c r="AN10" s="39">
        <v>978.29759278268602</v>
      </c>
      <c r="AO10" s="40">
        <v>5546.1026544783563</v>
      </c>
      <c r="AP10" s="39">
        <v>978.2652251702508</v>
      </c>
      <c r="AQ10" s="40">
        <v>5653.7726154577531</v>
      </c>
      <c r="AR10" s="39">
        <v>978.24603708944426</v>
      </c>
      <c r="AS10" s="40">
        <v>5761.4203104260023</v>
      </c>
      <c r="AT10" s="39">
        <v>978.23918501750268</v>
      </c>
      <c r="AU10" s="40">
        <v>5868.9379914866267</v>
      </c>
      <c r="AV10" s="39">
        <v>978.24382936668019</v>
      </c>
      <c r="AW10" s="40">
        <v>5976.224422561133</v>
      </c>
    </row>
    <row r="11" spans="1:49" x14ac:dyDescent="0.2">
      <c r="A11" t="s">
        <v>29</v>
      </c>
      <c r="B11" s="39">
        <v>1015.9116825427475</v>
      </c>
      <c r="C11" s="40">
        <v>1005.7716594496609</v>
      </c>
      <c r="D11" s="39">
        <v>1014.1866356801254</v>
      </c>
      <c r="E11" s="40">
        <v>1066.8649606282206</v>
      </c>
      <c r="F11" s="39">
        <v>1012.3930953128346</v>
      </c>
      <c r="G11" s="40">
        <v>1134.6589645474949</v>
      </c>
      <c r="H11" s="39">
        <v>1010.5242844794094</v>
      </c>
      <c r="I11" s="40">
        <v>1210.1939364141078</v>
      </c>
      <c r="J11" s="39">
        <v>1008.5732256517032</v>
      </c>
      <c r="K11" s="40">
        <v>1294.7172698817969</v>
      </c>
      <c r="L11" s="39">
        <v>1006.5330415939362</v>
      </c>
      <c r="M11" s="40">
        <v>1389.7329314686594</v>
      </c>
      <c r="N11" s="39">
        <v>1004.3975601014823</v>
      </c>
      <c r="O11" s="40">
        <v>1497.0631755552615</v>
      </c>
      <c r="P11" s="39">
        <v>1002.1622150259407</v>
      </c>
      <c r="Q11" s="40">
        <v>1618.9251769827249</v>
      </c>
      <c r="R11" s="39">
        <v>999.82550056901277</v>
      </c>
      <c r="S11" s="40">
        <v>1758.0235292892257</v>
      </c>
      <c r="T11" s="39">
        <v>997.3911639724023</v>
      </c>
      <c r="U11" s="40">
        <v>1917.6556950478064</v>
      </c>
      <c r="V11" s="39">
        <v>994.87138802284653</v>
      </c>
      <c r="W11" s="40">
        <v>2101.8212639471139</v>
      </c>
      <c r="X11" s="39">
        <v>992.29119066789815</v>
      </c>
      <c r="Y11" s="40">
        <v>2315.2976914962987</v>
      </c>
      <c r="Z11" s="39">
        <v>989.69386334543458</v>
      </c>
      <c r="AA11" s="40">
        <v>2563.6171113462483</v>
      </c>
      <c r="AB11" s="39">
        <v>987.14647165639508</v>
      </c>
      <c r="AC11" s="40">
        <v>2852.7955616632958</v>
      </c>
      <c r="AD11" s="39">
        <v>984.74254045762257</v>
      </c>
      <c r="AE11" s="40">
        <v>3188.5927889330951</v>
      </c>
      <c r="AF11" s="39">
        <v>982.59665026278492</v>
      </c>
      <c r="AG11" s="40">
        <v>3575.0637134883282</v>
      </c>
      <c r="AH11" s="39">
        <v>980.82509855596857</v>
      </c>
      <c r="AI11" s="40">
        <v>4012.4465839969512</v>
      </c>
      <c r="AJ11" s="39">
        <v>979.51341527842862</v>
      </c>
      <c r="AK11" s="40">
        <v>4495.1798869784689</v>
      </c>
      <c r="AL11" s="39">
        <v>978.68567042522716</v>
      </c>
      <c r="AM11" s="40">
        <v>5011.5765687807625</v>
      </c>
      <c r="AN11" s="39">
        <v>978.29759278268602</v>
      </c>
      <c r="AO11" s="40">
        <v>5546.1026544783563</v>
      </c>
      <c r="AP11" s="39">
        <v>978.2652251702508</v>
      </c>
      <c r="AQ11" s="40">
        <v>5653.7726154577531</v>
      </c>
      <c r="AR11" s="39">
        <v>978.24603708944426</v>
      </c>
      <c r="AS11" s="40">
        <v>5761.4203104260023</v>
      </c>
      <c r="AT11" s="39">
        <v>978.23918501750268</v>
      </c>
      <c r="AU11" s="40">
        <v>5868.9379914866267</v>
      </c>
      <c r="AV11" s="39">
        <v>978.24382936668019</v>
      </c>
      <c r="AW11" s="40">
        <v>5976.224422561133</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995.56752252100955</v>
      </c>
      <c r="E13" s="94">
        <v>995.56752252100955</v>
      </c>
      <c r="F13" s="93">
        <v>990.86113629220699</v>
      </c>
      <c r="G13" s="94">
        <v>990.86113629220699</v>
      </c>
      <c r="H13" s="93">
        <v>985.85832409381567</v>
      </c>
      <c r="I13" s="94">
        <v>985.85832409381567</v>
      </c>
      <c r="J13" s="93">
        <v>980.53553847655644</v>
      </c>
      <c r="K13" s="94">
        <v>980.53553847655644</v>
      </c>
      <c r="L13" s="93">
        <v>974.86856711554208</v>
      </c>
      <c r="M13" s="94">
        <v>974.86856711554208</v>
      </c>
      <c r="N13" s="93">
        <v>968.8336353209487</v>
      </c>
      <c r="O13" s="94">
        <v>968.8336353209487</v>
      </c>
      <c r="P13" s="93">
        <v>962.40885872542549</v>
      </c>
      <c r="Q13" s="94">
        <v>962.40885872542549</v>
      </c>
      <c r="R13" s="93">
        <v>955.57668577706499</v>
      </c>
      <c r="S13" s="94">
        <v>955.57668577706499</v>
      </c>
      <c r="T13" s="93">
        <v>948.32778832742167</v>
      </c>
      <c r="U13" s="94">
        <v>948.32778832742167</v>
      </c>
      <c r="V13" s="93">
        <v>940.66652315082399</v>
      </c>
      <c r="W13" s="94">
        <v>940.66652315082399</v>
      </c>
      <c r="X13" s="93">
        <v>932.61921478241902</v>
      </c>
      <c r="Y13" s="94">
        <v>932.61921478241902</v>
      </c>
      <c r="Z13" s="93">
        <v>924.24494111151841</v>
      </c>
      <c r="AA13" s="94">
        <v>924.24494111151841</v>
      </c>
      <c r="AB13" s="93">
        <v>915.64850650128801</v>
      </c>
      <c r="AC13" s="94">
        <v>915.64850650128801</v>
      </c>
      <c r="AD13" s="93">
        <v>906.99182306976309</v>
      </c>
      <c r="AE13" s="94">
        <v>906.99182306976309</v>
      </c>
      <c r="AF13" s="93">
        <v>898.49555327581186</v>
      </c>
      <c r="AG13" s="94">
        <v>898.49555327581186</v>
      </c>
      <c r="AH13" s="93">
        <v>890.41878656250208</v>
      </c>
      <c r="AI13" s="94">
        <v>890.41878656250208</v>
      </c>
      <c r="AJ13" s="93">
        <v>883.01001647078078</v>
      </c>
      <c r="AK13" s="94">
        <v>883.01001647078078</v>
      </c>
      <c r="AL13" s="93">
        <v>876.44417446771206</v>
      </c>
      <c r="AM13" s="94">
        <v>876.44417446771206</v>
      </c>
      <c r="AN13" s="93">
        <v>870.78216470126063</v>
      </c>
      <c r="AO13" s="94">
        <v>870.78216470126063</v>
      </c>
      <c r="AP13" s="93">
        <v>869.75563999904864</v>
      </c>
      <c r="AQ13" s="94">
        <v>869.75563999904864</v>
      </c>
      <c r="AR13" s="93">
        <v>868.76286434660369</v>
      </c>
      <c r="AS13" s="94">
        <v>868.76286434660369</v>
      </c>
      <c r="AT13" s="93">
        <v>867.80297592618638</v>
      </c>
      <c r="AU13" s="94">
        <v>867.80297592618638</v>
      </c>
      <c r="AV13" s="93">
        <v>866.87504323278642</v>
      </c>
      <c r="AW13" s="94">
        <v>866.87504323278642</v>
      </c>
    </row>
    <row r="14" spans="1:49" x14ac:dyDescent="0.2">
      <c r="A14" t="s">
        <v>36</v>
      </c>
      <c r="B14" s="39">
        <v>1457.0034251455234</v>
      </c>
      <c r="C14" s="40">
        <v>1457.0034251455236</v>
      </c>
      <c r="D14" s="39">
        <v>1450.5452902767538</v>
      </c>
      <c r="E14" s="40">
        <v>1450.545290276754</v>
      </c>
      <c r="F14" s="39">
        <v>1443.6880694213307</v>
      </c>
      <c r="G14" s="40">
        <v>1443.688069421331</v>
      </c>
      <c r="H14" s="39">
        <v>1436.3989549129149</v>
      </c>
      <c r="I14" s="40">
        <v>1436.3989549129151</v>
      </c>
      <c r="J14" s="39">
        <v>1428.6436380372527</v>
      </c>
      <c r="K14" s="40">
        <v>1428.6436380372529</v>
      </c>
      <c r="L14" s="39">
        <v>1420.3868413540533</v>
      </c>
      <c r="M14" s="40">
        <v>1420.3868413540536</v>
      </c>
      <c r="N14" s="39">
        <v>1411.593925058811</v>
      </c>
      <c r="O14" s="40">
        <v>1411.5939250588112</v>
      </c>
      <c r="P14" s="39">
        <v>1402.2330035533389</v>
      </c>
      <c r="Q14" s="40">
        <v>1402.2330035533391</v>
      </c>
      <c r="R14" s="39">
        <v>1392.278504166391</v>
      </c>
      <c r="S14" s="40">
        <v>1392.2785041663913</v>
      </c>
      <c r="T14" s="39">
        <v>1381.7168357537321</v>
      </c>
      <c r="U14" s="40">
        <v>1381.7168357537323</v>
      </c>
      <c r="V14" s="39">
        <v>1370.5543461504813</v>
      </c>
      <c r="W14" s="40">
        <v>1370.5543461504815</v>
      </c>
      <c r="X14" s="39">
        <v>1358.8293902945129</v>
      </c>
      <c r="Y14" s="40">
        <v>1358.8293902945131</v>
      </c>
      <c r="Z14" s="39">
        <v>1346.6280448729049</v>
      </c>
      <c r="AA14" s="40">
        <v>1346.6280448729051</v>
      </c>
      <c r="AB14" s="39">
        <v>1334.1030102017596</v>
      </c>
      <c r="AC14" s="40">
        <v>1334.1030102017598</v>
      </c>
      <c r="AD14" s="39">
        <v>1321.4901927916274</v>
      </c>
      <c r="AE14" s="40">
        <v>1321.4901927916274</v>
      </c>
      <c r="AF14" s="39">
        <v>1309.1110986008798</v>
      </c>
      <c r="AG14" s="40">
        <v>1309.11109860088</v>
      </c>
      <c r="AH14" s="39">
        <v>1297.3432218354862</v>
      </c>
      <c r="AI14" s="40">
        <v>1297.3432218354865</v>
      </c>
      <c r="AJ14" s="39">
        <v>1286.5486184357326</v>
      </c>
      <c r="AK14" s="40">
        <v>1286.5486184357328</v>
      </c>
      <c r="AL14" s="39">
        <v>1276.982164148297</v>
      </c>
      <c r="AM14" s="40">
        <v>1276.9821641482972</v>
      </c>
      <c r="AN14" s="39">
        <v>1268.7325965253699</v>
      </c>
      <c r="AO14" s="40">
        <v>1268.7325965253701</v>
      </c>
      <c r="AP14" s="39">
        <v>1267.2369465182505</v>
      </c>
      <c r="AQ14" s="40">
        <v>1267.2369465182508</v>
      </c>
      <c r="AR14" s="39">
        <v>1265.7904689922373</v>
      </c>
      <c r="AS14" s="40">
        <v>1265.7904689922375</v>
      </c>
      <c r="AT14" s="39">
        <v>1264.3919082759317</v>
      </c>
      <c r="AU14" s="40">
        <v>1264.3919082759319</v>
      </c>
      <c r="AV14" s="39">
        <v>1263.0399071633433</v>
      </c>
      <c r="AW14" s="40">
        <v>1263.0399071633435</v>
      </c>
    </row>
    <row r="15" spans="1:49" x14ac:dyDescent="0.2">
      <c r="A15" t="s">
        <v>18</v>
      </c>
      <c r="B15" s="144">
        <v>1000</v>
      </c>
      <c r="C15" s="145">
        <v>1000</v>
      </c>
      <c r="D15" s="144">
        <v>996.03476369993632</v>
      </c>
      <c r="E15" s="145">
        <v>996.03476369993632</v>
      </c>
      <c r="F15" s="144">
        <v>991.83899466591481</v>
      </c>
      <c r="G15" s="145">
        <v>991.83899466591481</v>
      </c>
      <c r="H15" s="144">
        <v>987.37892704090268</v>
      </c>
      <c r="I15" s="145">
        <v>987.37892704090268</v>
      </c>
      <c r="J15" s="144">
        <v>982.61479825207016</v>
      </c>
      <c r="K15" s="145">
        <v>982.61479825207016</v>
      </c>
      <c r="L15" s="144">
        <v>977.49979838419529</v>
      </c>
      <c r="M15" s="145">
        <v>977.49979838419529</v>
      </c>
      <c r="N15" s="144">
        <v>971.97873871348997</v>
      </c>
      <c r="O15" s="145">
        <v>971.97873871348997</v>
      </c>
      <c r="P15" s="144">
        <v>965.98672261106253</v>
      </c>
      <c r="Q15" s="145">
        <v>965.98672261106253</v>
      </c>
      <c r="R15" s="144">
        <v>959.44786207638833</v>
      </c>
      <c r="S15" s="145">
        <v>959.44786207638833</v>
      </c>
      <c r="T15" s="144">
        <v>952.27434421036924</v>
      </c>
      <c r="U15" s="145">
        <v>952.27434421036924</v>
      </c>
      <c r="V15" s="144">
        <v>944.3667304464517</v>
      </c>
      <c r="W15" s="145">
        <v>944.3667304464517</v>
      </c>
      <c r="X15" s="144">
        <v>935.61665227854769</v>
      </c>
      <c r="Y15" s="145">
        <v>935.61665227854769</v>
      </c>
      <c r="Z15" s="144">
        <v>925.91440376192429</v>
      </c>
      <c r="AA15" s="145">
        <v>925.91440376192429</v>
      </c>
      <c r="AB15" s="144">
        <v>915.16507950588766</v>
      </c>
      <c r="AC15" s="145">
        <v>915.16507950588766</v>
      </c>
      <c r="AD15" s="144">
        <v>903.31737421087212</v>
      </c>
      <c r="AE15" s="145">
        <v>903.31737421087212</v>
      </c>
      <c r="AF15" s="144">
        <v>890.40591004629653</v>
      </c>
      <c r="AG15" s="145">
        <v>890.40591004629653</v>
      </c>
      <c r="AH15" s="144">
        <v>876.59642318080705</v>
      </c>
      <c r="AI15" s="145">
        <v>876.59642318080705</v>
      </c>
      <c r="AJ15" s="144">
        <v>862.20516708530613</v>
      </c>
      <c r="AK15" s="145">
        <v>862.20516708530613</v>
      </c>
      <c r="AL15" s="144">
        <v>847.65945444395595</v>
      </c>
      <c r="AM15" s="145">
        <v>847.65945444395595</v>
      </c>
      <c r="AN15" s="144">
        <v>833.40133178538247</v>
      </c>
      <c r="AO15" s="145">
        <v>833.40133178538247</v>
      </c>
      <c r="AP15" s="144">
        <v>830.61785631103078</v>
      </c>
      <c r="AQ15" s="145">
        <v>830.61785631103078</v>
      </c>
      <c r="AR15" s="144">
        <v>827.86280869385416</v>
      </c>
      <c r="AS15" s="145">
        <v>827.86280869385416</v>
      </c>
      <c r="AT15" s="144">
        <v>825.1381699363294</v>
      </c>
      <c r="AU15" s="145">
        <v>825.1381699363294</v>
      </c>
      <c r="AV15" s="144">
        <v>822.44568623474049</v>
      </c>
      <c r="AW15" s="145">
        <v>822.44568623474049</v>
      </c>
    </row>
    <row r="16" spans="1:49" s="27" customFormat="1" x14ac:dyDescent="0.2">
      <c r="A16" t="s">
        <v>61</v>
      </c>
      <c r="B16" s="39">
        <v>1000</v>
      </c>
      <c r="C16" s="40">
        <v>1000</v>
      </c>
      <c r="D16" s="39">
        <v>995.78564237124112</v>
      </c>
      <c r="E16" s="40">
        <v>995.9013975815667</v>
      </c>
      <c r="F16" s="39">
        <v>991.31760610584763</v>
      </c>
      <c r="G16" s="40">
        <v>991.55987373886819</v>
      </c>
      <c r="H16" s="39">
        <v>986.56811859319805</v>
      </c>
      <c r="I16" s="40">
        <v>986.94487161637119</v>
      </c>
      <c r="J16" s="39">
        <v>981.50606076329609</v>
      </c>
      <c r="K16" s="40">
        <v>982.02125614124031</v>
      </c>
      <c r="L16" s="39">
        <v>976.09667276084349</v>
      </c>
      <c r="M16" s="40">
        <v>976.74866816080726</v>
      </c>
      <c r="N16" s="39">
        <v>970.30152250549008</v>
      </c>
      <c r="O16" s="40">
        <v>971.0808886136108</v>
      </c>
      <c r="P16" s="39">
        <v>964.07866176334062</v>
      </c>
      <c r="Q16" s="40">
        <v>964.96530436756223</v>
      </c>
      <c r="R16" s="39">
        <v>957.38333084100623</v>
      </c>
      <c r="S16" s="40">
        <v>958.3426884553968</v>
      </c>
      <c r="T16" s="39">
        <v>950.16959619369936</v>
      </c>
      <c r="U16" s="40">
        <v>951.14764398956845</v>
      </c>
      <c r="V16" s="39">
        <v>942.39339460779343</v>
      </c>
      <c r="W16" s="40">
        <v>943.31037300476612</v>
      </c>
      <c r="X16" s="39">
        <v>934.01818672416573</v>
      </c>
      <c r="Y16" s="40">
        <v>934.76095865324021</v>
      </c>
      <c r="Z16" s="39">
        <v>925.02420465106309</v>
      </c>
      <c r="AA16" s="40">
        <v>925.4378496752322</v>
      </c>
      <c r="AB16" s="39">
        <v>915.42281272859407</v>
      </c>
      <c r="AC16" s="40">
        <v>915.30305822008086</v>
      </c>
      <c r="AD16" s="39">
        <v>905.27587748567169</v>
      </c>
      <c r="AE16" s="40">
        <v>904.36592913731397</v>
      </c>
      <c r="AF16" s="39">
        <v>894.7162329393509</v>
      </c>
      <c r="AG16" s="40">
        <v>892.7137846486313</v>
      </c>
      <c r="AH16" s="39">
        <v>883.9578474237469</v>
      </c>
      <c r="AI16" s="40">
        <v>880.5383741581287</v>
      </c>
      <c r="AJ16" s="39">
        <v>873.27891167024256</v>
      </c>
      <c r="AK16" s="40">
        <v>868.135814475031</v>
      </c>
      <c r="AL16" s="39">
        <v>862.97036386988805</v>
      </c>
      <c r="AM16" s="40">
        <v>855.86063319523748</v>
      </c>
      <c r="AN16" s="39">
        <v>853.26998549677035</v>
      </c>
      <c r="AO16" s="40">
        <v>844.0456497619225</v>
      </c>
      <c r="AP16" s="39">
        <v>851.41720105787738</v>
      </c>
      <c r="AQ16" s="40">
        <v>841.76116961003538</v>
      </c>
      <c r="AR16" s="39">
        <v>849.59536616475953</v>
      </c>
      <c r="AS16" s="40">
        <v>839.50650597587821</v>
      </c>
      <c r="AT16" s="39">
        <v>847.80495301278074</v>
      </c>
      <c r="AU16" s="40">
        <v>837.28283122186792</v>
      </c>
      <c r="AV16" s="39">
        <v>846.04628827768011</v>
      </c>
      <c r="AW16" s="40">
        <v>835.09113055039654</v>
      </c>
    </row>
    <row r="17" spans="1:49" x14ac:dyDescent="0.2">
      <c r="A17" t="s">
        <v>62</v>
      </c>
      <c r="B17" s="33">
        <v>1000.0000000000002</v>
      </c>
      <c r="C17" s="34">
        <v>999.99999999999977</v>
      </c>
      <c r="D17" s="33">
        <v>998.45666112425079</v>
      </c>
      <c r="E17" s="34">
        <v>1030.2788172252247</v>
      </c>
      <c r="F17" s="33">
        <v>996.85360877231005</v>
      </c>
      <c r="G17" s="34">
        <v>1063.6957508787218</v>
      </c>
      <c r="H17" s="33">
        <v>995.18497914601664</v>
      </c>
      <c r="I17" s="34">
        <v>1100.7179416375732</v>
      </c>
      <c r="J17" s="33">
        <v>993.44477255167976</v>
      </c>
      <c r="K17" s="34">
        <v>1141.9031531428475</v>
      </c>
      <c r="L17" s="33">
        <v>991.62710353420664</v>
      </c>
      <c r="M17" s="34">
        <v>1187.9210561414361</v>
      </c>
      <c r="N17" s="33">
        <v>989.72676330084562</v>
      </c>
      <c r="O17" s="34">
        <v>1239.5796757929525</v>
      </c>
      <c r="P17" s="33">
        <v>987.74000849994604</v>
      </c>
      <c r="Q17" s="34">
        <v>1297.8580905432461</v>
      </c>
      <c r="R17" s="33">
        <v>985.66583927665147</v>
      </c>
      <c r="S17" s="34">
        <v>1363.9456382778226</v>
      </c>
      <c r="T17" s="33">
        <v>983.50794535622219</v>
      </c>
      <c r="U17" s="34">
        <v>1439.286083767824</v>
      </c>
      <c r="V17" s="33">
        <v>981.2774704865501</v>
      </c>
      <c r="W17" s="34">
        <v>1525.6225162062738</v>
      </c>
      <c r="X17" s="33">
        <v>978.99684510867405</v>
      </c>
      <c r="Y17" s="34">
        <v>1625.0258248200244</v>
      </c>
      <c r="Z17" s="33">
        <v>976.70449681243224</v>
      </c>
      <c r="AA17" s="34">
        <v>1739.8778324182558</v>
      </c>
      <c r="AB17" s="33">
        <v>974.4595615655918</v>
      </c>
      <c r="AC17" s="34">
        <v>1872.7432913775397</v>
      </c>
      <c r="AD17" s="33">
        <v>972.3440961733379</v>
      </c>
      <c r="AE17" s="34">
        <v>2026.0347105690826</v>
      </c>
      <c r="AF17" s="33">
        <v>970.45820805250378</v>
      </c>
      <c r="AG17" s="34">
        <v>2201.3696264775472</v>
      </c>
      <c r="AH17" s="33">
        <v>968.90308702591301</v>
      </c>
      <c r="AI17" s="34">
        <v>2398.6496330009795</v>
      </c>
      <c r="AJ17" s="33">
        <v>967.7526936570722</v>
      </c>
      <c r="AK17" s="34">
        <v>2615.2193613364352</v>
      </c>
      <c r="AL17" s="33">
        <v>967.02718757029481</v>
      </c>
      <c r="AM17" s="34">
        <v>2845.7743033313363</v>
      </c>
      <c r="AN17" s="33">
        <v>966.68716527009508</v>
      </c>
      <c r="AO17" s="34">
        <v>3083.4081809500017</v>
      </c>
      <c r="AP17" s="33">
        <v>966.65880912969749</v>
      </c>
      <c r="AQ17" s="34">
        <v>3131.1646913183831</v>
      </c>
      <c r="AR17" s="33">
        <v>966.64199941102243</v>
      </c>
      <c r="AS17" s="34">
        <v>3178.8770640740718</v>
      </c>
      <c r="AT17" s="33">
        <v>966.63599670370741</v>
      </c>
      <c r="AU17" s="34">
        <v>3226.4986556297895</v>
      </c>
      <c r="AV17" s="33">
        <v>966.64006535645501</v>
      </c>
      <c r="AW17" s="34">
        <v>3273.9857780424754</v>
      </c>
    </row>
    <row r="18" spans="1:49" x14ac:dyDescent="0.2">
      <c r="A18" t="s">
        <v>19</v>
      </c>
      <c r="B18" s="31">
        <v>27857.010133999996</v>
      </c>
      <c r="C18" s="32">
        <v>1236.7674480000003</v>
      </c>
      <c r="D18" s="31">
        <v>27729.950600102395</v>
      </c>
      <c r="E18" s="32">
        <v>1154.3549022515629</v>
      </c>
      <c r="F18" s="31">
        <v>27583.423297145033</v>
      </c>
      <c r="G18" s="32">
        <v>1072.0777215261303</v>
      </c>
      <c r="H18" s="31">
        <v>27413.683079076211</v>
      </c>
      <c r="I18" s="32">
        <v>990.00907286633401</v>
      </c>
      <c r="J18" s="31">
        <v>27215.990447345768</v>
      </c>
      <c r="K18" s="32">
        <v>908.24939434143323</v>
      </c>
      <c r="L18" s="31">
        <v>26984.309286745585</v>
      </c>
      <c r="M18" s="32">
        <v>826.93107012077098</v>
      </c>
      <c r="N18" s="31">
        <v>26710.83169920084</v>
      </c>
      <c r="O18" s="32">
        <v>746.23468003285313</v>
      </c>
      <c r="P18" s="31">
        <v>26385.355440660303</v>
      </c>
      <c r="Q18" s="32">
        <v>666.40201756036902</v>
      </c>
      <c r="R18" s="31">
        <v>25994.388859372542</v>
      </c>
      <c r="S18" s="32">
        <v>587.75759560591473</v>
      </c>
      <c r="T18" s="31">
        <v>25519.875436422666</v>
      </c>
      <c r="U18" s="32">
        <v>510.73398058414983</v>
      </c>
      <c r="V18" s="31">
        <v>24937.443328093821</v>
      </c>
      <c r="W18" s="32">
        <v>435.90370803876726</v>
      </c>
      <c r="X18" s="31">
        <v>24213.994924708415</v>
      </c>
      <c r="Y18" s="32">
        <v>364.00962578209698</v>
      </c>
      <c r="Z18" s="31">
        <v>23304.627999105353</v>
      </c>
      <c r="AA18" s="32">
        <v>295.99183301516354</v>
      </c>
      <c r="AB18" s="31">
        <v>22149.178791306858</v>
      </c>
      <c r="AC18" s="32">
        <v>232.98333436497123</v>
      </c>
      <c r="AD18" s="31">
        <v>20669.516496608496</v>
      </c>
      <c r="AE18" s="32">
        <v>176.2453931304255</v>
      </c>
      <c r="AF18" s="31">
        <v>18770.17087094903</v>
      </c>
      <c r="AG18" s="32">
        <v>126.99738600356446</v>
      </c>
      <c r="AH18" s="31">
        <v>16346.165671126204</v>
      </c>
      <c r="AI18" s="32">
        <v>86.128942466897556</v>
      </c>
      <c r="AJ18" s="31">
        <v>13300.459774628891</v>
      </c>
      <c r="AK18" s="32">
        <v>53.875360115292601</v>
      </c>
      <c r="AL18" s="31">
        <v>9566.6052072724669</v>
      </c>
      <c r="AM18" s="32">
        <v>29.652700073430061</v>
      </c>
      <c r="AN18" s="31">
        <v>5124.5729766667209</v>
      </c>
      <c r="AO18" s="32">
        <v>12.207011204313083</v>
      </c>
      <c r="AP18" s="31">
        <v>4152.7772824242065</v>
      </c>
      <c r="AQ18" s="32">
        <v>9.3960041118456985</v>
      </c>
      <c r="AR18" s="31">
        <v>3153.9701309863067</v>
      </c>
      <c r="AS18" s="32">
        <v>6.7817472395614589</v>
      </c>
      <c r="AT18" s="31">
        <v>2128.585369526545</v>
      </c>
      <c r="AU18" s="32">
        <v>4.3521038436694699</v>
      </c>
      <c r="AV18" s="31">
        <v>1077.0943730233842</v>
      </c>
      <c r="AW18" s="32">
        <v>2.0953042861749114</v>
      </c>
    </row>
    <row r="19" spans="1:49" x14ac:dyDescent="0.2">
      <c r="A19" t="s">
        <v>3</v>
      </c>
      <c r="B19" s="39">
        <v>1886.3937399999918</v>
      </c>
      <c r="C19" s="40">
        <v>262.78711299999571</v>
      </c>
      <c r="D19" s="39">
        <v>1870.5384092554305</v>
      </c>
      <c r="E19" s="40">
        <v>267.26434057736418</v>
      </c>
      <c r="F19" s="39">
        <v>1853.1712532179383</v>
      </c>
      <c r="G19" s="40">
        <v>272.20863373623041</v>
      </c>
      <c r="H19" s="39">
        <v>1834.0357250209786</v>
      </c>
      <c r="I19" s="40">
        <v>277.62940800793655</v>
      </c>
      <c r="J19" s="39">
        <v>1812.81481728514</v>
      </c>
      <c r="K19" s="40">
        <v>283.52054976659457</v>
      </c>
      <c r="L19" s="39">
        <v>1789.1144654066632</v>
      </c>
      <c r="M19" s="40">
        <v>289.85085385878716</v>
      </c>
      <c r="N19" s="39">
        <v>1762.4375570936263</v>
      </c>
      <c r="O19" s="40">
        <v>296.54997512443032</v>
      </c>
      <c r="P19" s="39">
        <v>1732.1505047827386</v>
      </c>
      <c r="Q19" s="40">
        <v>303.48745159791827</v>
      </c>
      <c r="R19" s="39">
        <v>1697.435504138534</v>
      </c>
      <c r="S19" s="40">
        <v>310.44181608297367</v>
      </c>
      <c r="T19" s="39">
        <v>1657.2225244079989</v>
      </c>
      <c r="U19" s="40">
        <v>317.05663814485109</v>
      </c>
      <c r="V19" s="39">
        <v>1610.096010745124</v>
      </c>
      <c r="W19" s="40">
        <v>322.77869743846503</v>
      </c>
      <c r="X19" s="39">
        <v>1554.1648172011705</v>
      </c>
      <c r="Y19" s="40">
        <v>326.7757710608613</v>
      </c>
      <c r="Z19" s="39">
        <v>1486.8924140377569</v>
      </c>
      <c r="AA19" s="40">
        <v>327.83870976622421</v>
      </c>
      <c r="AB19" s="39">
        <v>1404.8978971523891</v>
      </c>
      <c r="AC19" s="40">
        <v>324.28775486160401</v>
      </c>
      <c r="AD19" s="39">
        <v>1303.7808189630107</v>
      </c>
      <c r="AE19" s="40">
        <v>313.93899862976576</v>
      </c>
      <c r="AF19" s="39">
        <v>1178.1035914214208</v>
      </c>
      <c r="AG19" s="40">
        <v>294.23145784710545</v>
      </c>
      <c r="AH19" s="39">
        <v>1021.7510244785476</v>
      </c>
      <c r="AI19" s="40">
        <v>262.62518232957694</v>
      </c>
      <c r="AJ19" s="39">
        <v>828.84105507247557</v>
      </c>
      <c r="AK19" s="40">
        <v>217.25761213152916</v>
      </c>
      <c r="AL19" s="39">
        <v>595.01185793666923</v>
      </c>
      <c r="AM19" s="40">
        <v>157.57293330916826</v>
      </c>
      <c r="AN19" s="39">
        <v>318.44384595022916</v>
      </c>
      <c r="AO19" s="40">
        <v>84.493653201883944</v>
      </c>
      <c r="AP19" s="39">
        <v>258.03645523546174</v>
      </c>
      <c r="AQ19" s="40">
        <v>68.433881722188303</v>
      </c>
      <c r="AR19" s="39">
        <v>195.96593641797179</v>
      </c>
      <c r="AS19" s="40">
        <v>51.9353416049982</v>
      </c>
      <c r="AT19" s="39">
        <v>132.25349270454382</v>
      </c>
      <c r="AU19" s="40">
        <v>35.017276790860699</v>
      </c>
      <c r="AV19" s="39">
        <v>66.922866389391075</v>
      </c>
      <c r="AW19" s="40">
        <v>17.699057167064513</v>
      </c>
    </row>
    <row r="20" spans="1:49" x14ac:dyDescent="0.2">
      <c r="A20" t="s">
        <v>114</v>
      </c>
      <c r="B20" s="79">
        <v>26548.356269999993</v>
      </c>
      <c r="C20" s="80">
        <v>1408.5418709999938</v>
      </c>
      <c r="D20" s="79">
        <v>26414.844789623348</v>
      </c>
      <c r="E20" s="80">
        <v>1338.1147774499941</v>
      </c>
      <c r="F20" s="79">
        <v>26262.39960656394</v>
      </c>
      <c r="G20" s="80">
        <v>1267.6876838999945</v>
      </c>
      <c r="H20" s="79">
        <v>26087.44107715051</v>
      </c>
      <c r="I20" s="80">
        <v>1197.2605903499943</v>
      </c>
      <c r="J20" s="79">
        <v>25885.453154137929</v>
      </c>
      <c r="K20" s="80">
        <v>1126.8334967999951</v>
      </c>
      <c r="L20" s="79">
        <v>25650.701959304952</v>
      </c>
      <c r="M20" s="80">
        <v>1056.4064032499953</v>
      </c>
      <c r="N20" s="79">
        <v>25375.794026163698</v>
      </c>
      <c r="O20" s="80">
        <v>985.97930969999561</v>
      </c>
      <c r="P20" s="79">
        <v>25051.098564822183</v>
      </c>
      <c r="Q20" s="80">
        <v>915.55221614999596</v>
      </c>
      <c r="R20" s="79">
        <v>24663.917722674738</v>
      </c>
      <c r="S20" s="80">
        <v>845.12512259999642</v>
      </c>
      <c r="T20" s="79">
        <v>24197.30475377493</v>
      </c>
      <c r="U20" s="80">
        <v>774.69802904999653</v>
      </c>
      <c r="V20" s="79">
        <v>23628.442294299308</v>
      </c>
      <c r="W20" s="80">
        <v>704.27093549999688</v>
      </c>
      <c r="X20" s="79">
        <v>22926.407178747584</v>
      </c>
      <c r="Y20" s="80">
        <v>633.84384194999734</v>
      </c>
      <c r="Z20" s="79">
        <v>22049.309347689279</v>
      </c>
      <c r="AA20" s="80">
        <v>563.41674839999757</v>
      </c>
      <c r="AB20" s="79">
        <v>20941.065103493922</v>
      </c>
      <c r="AC20" s="80">
        <v>492.98965484999775</v>
      </c>
      <c r="AD20" s="79">
        <v>19528.837326927893</v>
      </c>
      <c r="AE20" s="80">
        <v>422.56256129999798</v>
      </c>
      <c r="AF20" s="79">
        <v>17723.525769722441</v>
      </c>
      <c r="AG20" s="80">
        <v>352.13546774999827</v>
      </c>
      <c r="AH20" s="79">
        <v>15426.916907608844</v>
      </c>
      <c r="AI20" s="80">
        <v>281.70837419999856</v>
      </c>
      <c r="AJ20" s="79">
        <v>12547.802596945879</v>
      </c>
      <c r="AK20" s="80">
        <v>211.28128064999879</v>
      </c>
      <c r="AL20" s="79">
        <v>9023.1122745477842</v>
      </c>
      <c r="AM20" s="80">
        <v>140.85418709999902</v>
      </c>
      <c r="AN20" s="79">
        <v>4832.903129617609</v>
      </c>
      <c r="AO20" s="80">
        <v>70.427093549999285</v>
      </c>
      <c r="AP20" s="79">
        <v>3916.3819051475289</v>
      </c>
      <c r="AQ20" s="80">
        <v>56.341674839999335</v>
      </c>
      <c r="AR20" s="79">
        <v>2974.4152035030806</v>
      </c>
      <c r="AS20" s="80">
        <v>42.256256129999379</v>
      </c>
      <c r="AT20" s="79">
        <v>2007.4014772091552</v>
      </c>
      <c r="AU20" s="80">
        <v>28.170837419999433</v>
      </c>
      <c r="AV20" s="79">
        <v>1015.7749523213363</v>
      </c>
      <c r="AW20" s="80">
        <v>14.08541870999948</v>
      </c>
    </row>
    <row r="21" spans="1:49" x14ac:dyDescent="0.2">
      <c r="A21" t="s">
        <v>76</v>
      </c>
      <c r="B21" s="79">
        <v>24661.962529999968</v>
      </c>
      <c r="C21" s="80">
        <v>1145.7547579999921</v>
      </c>
      <c r="D21" s="79">
        <v>24544.312205994371</v>
      </c>
      <c r="E21" s="80">
        <v>1071.0365582335928</v>
      </c>
      <c r="F21" s="79">
        <v>24409.252450393702</v>
      </c>
      <c r="G21" s="80">
        <v>996.263474597509</v>
      </c>
      <c r="H21" s="79">
        <v>24253.461467575282</v>
      </c>
      <c r="I21" s="80">
        <v>921.49229362766857</v>
      </c>
      <c r="J21" s="79">
        <v>24072.741650589269</v>
      </c>
      <c r="K21" s="80">
        <v>846.80372044114574</v>
      </c>
      <c r="L21" s="79">
        <v>23861.754707606578</v>
      </c>
      <c r="M21" s="80">
        <v>772.31108314001779</v>
      </c>
      <c r="N21" s="79">
        <v>23613.605798837481</v>
      </c>
      <c r="O21" s="80">
        <v>698.17181746757456</v>
      </c>
      <c r="P21" s="79">
        <v>23319.299047286117</v>
      </c>
      <c r="Q21" s="80">
        <v>624.60287875367305</v>
      </c>
      <c r="R21" s="79">
        <v>22966.955218188359</v>
      </c>
      <c r="S21" s="80">
        <v>551.90099404003672</v>
      </c>
      <c r="T21" s="79">
        <v>22540.697358199068</v>
      </c>
      <c r="U21" s="80">
        <v>480.46788832245613</v>
      </c>
      <c r="V21" s="79">
        <v>22019.121515257713</v>
      </c>
      <c r="W21" s="80">
        <v>410.84071488078774</v>
      </c>
      <c r="X21" s="79">
        <v>21373.190357927437</v>
      </c>
      <c r="Y21" s="80">
        <v>343.72457915540417</v>
      </c>
      <c r="Z21" s="79">
        <v>20563.540195278507</v>
      </c>
      <c r="AA21" s="80">
        <v>280.01787485074624</v>
      </c>
      <c r="AB21" s="79">
        <v>19537.451388688289</v>
      </c>
      <c r="AC21" s="80">
        <v>220.81210625741753</v>
      </c>
      <c r="AD21" s="79">
        <v>18226.462616645313</v>
      </c>
      <c r="AE21" s="80">
        <v>167.3320458217205</v>
      </c>
      <c r="AF21" s="79">
        <v>16546.880063751141</v>
      </c>
      <c r="AG21" s="80">
        <v>120.77481676578589</v>
      </c>
      <c r="AH21" s="79">
        <v>14406.573401654709</v>
      </c>
      <c r="AI21" s="80">
        <v>82.033547896721373</v>
      </c>
      <c r="AJ21" s="79">
        <v>11720.193573625849</v>
      </c>
      <c r="AK21" s="80">
        <v>51.383102161894946</v>
      </c>
      <c r="AL21" s="79">
        <v>8429.0271230785529</v>
      </c>
      <c r="AM21" s="80">
        <v>28.314020141966871</v>
      </c>
      <c r="AN21" s="79">
        <v>4514.9660432938117</v>
      </c>
      <c r="AO21" s="80">
        <v>11.667344841763882</v>
      </c>
      <c r="AP21" s="79">
        <v>3658.7568137087937</v>
      </c>
      <c r="AQ21" s="80">
        <v>8.9821844841404666</v>
      </c>
      <c r="AR21" s="79">
        <v>2778.7620083758961</v>
      </c>
      <c r="AS21" s="80">
        <v>6.4841557831368162</v>
      </c>
      <c r="AT21" s="79">
        <v>1875.3591271066439</v>
      </c>
      <c r="AU21" s="80">
        <v>4.1618005343114008</v>
      </c>
      <c r="AV21" s="79">
        <v>948.95890088186945</v>
      </c>
      <c r="AW21" s="80">
        <v>2.003993193923896</v>
      </c>
    </row>
    <row r="22" spans="1:49" x14ac:dyDescent="0.2">
      <c r="A22" t="s">
        <v>28</v>
      </c>
      <c r="B22" s="39">
        <v>6533.6044688320699</v>
      </c>
      <c r="C22" s="40">
        <v>379.90788307663399</v>
      </c>
      <c r="D22" s="39">
        <v>6476.0337361442325</v>
      </c>
      <c r="E22" s="40">
        <v>363.09953334706626</v>
      </c>
      <c r="F22" s="39">
        <v>6413.0658871264886</v>
      </c>
      <c r="G22" s="40">
        <v>346.15254308137986</v>
      </c>
      <c r="H22" s="39">
        <v>6343.7859109722503</v>
      </c>
      <c r="I22" s="40">
        <v>329.06001760311636</v>
      </c>
      <c r="J22" s="39">
        <v>6267.0573806710954</v>
      </c>
      <c r="K22" s="40">
        <v>311.81334389930248</v>
      </c>
      <c r="L22" s="39">
        <v>6181.4599290840306</v>
      </c>
      <c r="M22" s="40">
        <v>294.40189419348013</v>
      </c>
      <c r="N22" s="39">
        <v>6085.1916713938272</v>
      </c>
      <c r="O22" s="40">
        <v>276.81212174969852</v>
      </c>
      <c r="P22" s="39">
        <v>5975.9446450463502</v>
      </c>
      <c r="Q22" s="40">
        <v>259.02688541244993</v>
      </c>
      <c r="R22" s="39">
        <v>5850.7281973813342</v>
      </c>
      <c r="S22" s="40">
        <v>241.02448728990942</v>
      </c>
      <c r="T22" s="39">
        <v>5705.6244993466853</v>
      </c>
      <c r="U22" s="40">
        <v>222.7776634749674</v>
      </c>
      <c r="V22" s="39">
        <v>5535.4603720329678</v>
      </c>
      <c r="W22" s="40">
        <v>204.25277753065521</v>
      </c>
      <c r="X22" s="39">
        <v>5333.3743663915493</v>
      </c>
      <c r="Y22" s="40">
        <v>185.40992436421033</v>
      </c>
      <c r="Z22" s="39">
        <v>5090.2917488366202</v>
      </c>
      <c r="AA22" s="40">
        <v>166.20452106490083</v>
      </c>
      <c r="AB22" s="39">
        <v>4794.3958682781195</v>
      </c>
      <c r="AC22" s="40">
        <v>146.59257990266892</v>
      </c>
      <c r="AD22" s="39">
        <v>4430.844196827923</v>
      </c>
      <c r="AE22" s="40">
        <v>126.54127102681794</v>
      </c>
      <c r="AF22" s="39">
        <v>3982.2355009595481</v>
      </c>
      <c r="AG22" s="40">
        <v>106.04577366727247</v>
      </c>
      <c r="AH22" s="39">
        <v>3430.48840384911</v>
      </c>
      <c r="AI22" s="40">
        <v>85.148473957835492</v>
      </c>
      <c r="AJ22" s="39">
        <v>2760.3576984644196</v>
      </c>
      <c r="AK22" s="40">
        <v>63.949165289225675</v>
      </c>
      <c r="AL22" s="39">
        <v>1963.4549201648238</v>
      </c>
      <c r="AM22" s="40">
        <v>42.592563497085386</v>
      </c>
      <c r="AN22" s="39">
        <v>1040.4483230137291</v>
      </c>
      <c r="AO22" s="40">
        <v>21.233514958277311</v>
      </c>
      <c r="AP22" s="39">
        <v>841.37059348326568</v>
      </c>
      <c r="AQ22" s="40">
        <v>16.973438258332166</v>
      </c>
      <c r="AR22" s="39">
        <v>637.67935662729803</v>
      </c>
      <c r="AS22" s="40">
        <v>12.719352692977729</v>
      </c>
      <c r="AT22" s="39">
        <v>429.47979359854082</v>
      </c>
      <c r="AU22" s="40">
        <v>8.4719929465864823</v>
      </c>
      <c r="AV22" s="39">
        <v>216.88202960745289</v>
      </c>
      <c r="AW22" s="40">
        <v>4.2320153035339425</v>
      </c>
    </row>
    <row r="23" spans="1:49" x14ac:dyDescent="0.2">
      <c r="A23" t="s">
        <v>7</v>
      </c>
      <c r="B23" s="110">
        <v>3278.5018080150408</v>
      </c>
      <c r="C23" s="8">
        <v>0</v>
      </c>
      <c r="D23" s="110">
        <v>3267.4752308657348</v>
      </c>
      <c r="E23" s="8">
        <v>0</v>
      </c>
      <c r="F23" s="110">
        <v>3254.1241576091652</v>
      </c>
      <c r="G23" s="8">
        <v>0</v>
      </c>
      <c r="H23" s="110">
        <v>3237.9971088427783</v>
      </c>
      <c r="I23" s="8">
        <v>0</v>
      </c>
      <c r="J23" s="110">
        <v>3218.5228631001733</v>
      </c>
      <c r="K23" s="8">
        <v>0</v>
      </c>
      <c r="L23" s="110">
        <v>3194.9744513743485</v>
      </c>
      <c r="M23" s="8">
        <v>0</v>
      </c>
      <c r="N23" s="110">
        <v>3166.4121277932354</v>
      </c>
      <c r="O23" s="8">
        <v>0</v>
      </c>
      <c r="P23" s="110">
        <v>3131.6090693565584</v>
      </c>
      <c r="Q23" s="8">
        <v>0</v>
      </c>
      <c r="R23" s="110">
        <v>3088.944249874146</v>
      </c>
      <c r="S23" s="8">
        <v>0</v>
      </c>
      <c r="T23" s="110">
        <v>3036.2497934598659</v>
      </c>
      <c r="U23" s="8">
        <v>0</v>
      </c>
      <c r="V23" s="110">
        <v>2970.6006154404154</v>
      </c>
      <c r="W23" s="8">
        <v>0</v>
      </c>
      <c r="X23" s="110">
        <v>2888.0238534248724</v>
      </c>
      <c r="Y23" s="8">
        <v>0</v>
      </c>
      <c r="Z23" s="110">
        <v>2783.1242630469601</v>
      </c>
      <c r="AA23" s="8">
        <v>0</v>
      </c>
      <c r="AB23" s="110">
        <v>2648.6574587083846</v>
      </c>
      <c r="AC23" s="8">
        <v>0</v>
      </c>
      <c r="AD23" s="110">
        <v>2475.1807633898907</v>
      </c>
      <c r="AE23" s="8">
        <v>0</v>
      </c>
      <c r="AF23" s="110">
        <v>2251.08823163839</v>
      </c>
      <c r="AG23" s="8">
        <v>0</v>
      </c>
      <c r="AH23" s="110">
        <v>1963.5022646690154</v>
      </c>
      <c r="AI23" s="8">
        <v>0</v>
      </c>
      <c r="AJ23" s="110">
        <v>1600.3409443375299</v>
      </c>
      <c r="AK23" s="8">
        <v>0</v>
      </c>
      <c r="AL23" s="110">
        <v>1153.0768186949256</v>
      </c>
      <c r="AM23" s="8">
        <v>0</v>
      </c>
      <c r="AN23" s="110">
        <v>618.74901882289373</v>
      </c>
      <c r="AO23" s="8">
        <v>0</v>
      </c>
      <c r="AP23" s="110">
        <v>501.58545926749093</v>
      </c>
      <c r="AQ23" s="8">
        <v>0</v>
      </c>
      <c r="AR23" s="110">
        <v>381.07663189358999</v>
      </c>
      <c r="AS23" s="8">
        <v>0</v>
      </c>
      <c r="AT23" s="110">
        <v>257.27233835249831</v>
      </c>
      <c r="AU23" s="8">
        <v>0</v>
      </c>
      <c r="AV23" s="110">
        <v>130.22721416931353</v>
      </c>
      <c r="AW23" s="8">
        <v>0</v>
      </c>
    </row>
    <row r="24" spans="1:49" x14ac:dyDescent="0.2">
      <c r="A24" t="s">
        <v>8</v>
      </c>
      <c r="B24" s="93">
        <v>3196.3846373657216</v>
      </c>
      <c r="C24" s="8">
        <v>0</v>
      </c>
      <c r="D24" s="93">
        <v>3214.122051536749</v>
      </c>
      <c r="E24" s="8">
        <v>0</v>
      </c>
      <c r="F24" s="93">
        <v>3229.9370701588414</v>
      </c>
      <c r="G24" s="8">
        <v>0</v>
      </c>
      <c r="H24" s="93">
        <v>3243.3828411706218</v>
      </c>
      <c r="I24" s="8">
        <v>0</v>
      </c>
      <c r="J24" s="93">
        <v>3253.8818790679434</v>
      </c>
      <c r="K24" s="8">
        <v>0</v>
      </c>
      <c r="L24" s="93">
        <v>3260.6844710811515</v>
      </c>
      <c r="M24" s="8">
        <v>0</v>
      </c>
      <c r="N24" s="93">
        <v>3262.8018743395101</v>
      </c>
      <c r="O24" s="8">
        <v>0</v>
      </c>
      <c r="P24" s="93">
        <v>3258.9176705401269</v>
      </c>
      <c r="Q24" s="8">
        <v>0</v>
      </c>
      <c r="R24" s="93">
        <v>3247.2578850805744</v>
      </c>
      <c r="S24" s="8">
        <v>0</v>
      </c>
      <c r="T24" s="93">
        <v>3225.4013069018984</v>
      </c>
      <c r="U24" s="8">
        <v>0</v>
      </c>
      <c r="V24" s="93">
        <v>3190.0117653744542</v>
      </c>
      <c r="W24" s="8">
        <v>0</v>
      </c>
      <c r="X24" s="93">
        <v>3136.4536035735146</v>
      </c>
      <c r="Y24" s="8">
        <v>0</v>
      </c>
      <c r="Z24" s="93">
        <v>3058.271630782639</v>
      </c>
      <c r="AA24" s="8">
        <v>0</v>
      </c>
      <c r="AB24" s="93">
        <v>2946.5463180023612</v>
      </c>
      <c r="AC24" s="8">
        <v>0</v>
      </c>
      <c r="AD24" s="93">
        <v>2789.2533445679533</v>
      </c>
      <c r="AE24" s="8">
        <v>0</v>
      </c>
      <c r="AF24" s="93">
        <v>2570.9933616785502</v>
      </c>
      <c r="AG24" s="8">
        <v>0</v>
      </c>
      <c r="AH24" s="93">
        <v>2273.7481750806178</v>
      </c>
      <c r="AI24" s="8">
        <v>0</v>
      </c>
      <c r="AJ24" s="93">
        <v>1879.2781050405783</v>
      </c>
      <c r="AK24" s="8">
        <v>0</v>
      </c>
      <c r="AL24" s="93">
        <v>1372.8430675451402</v>
      </c>
      <c r="AM24" s="8">
        <v>0</v>
      </c>
      <c r="AN24" s="93">
        <v>746.49309353222338</v>
      </c>
      <c r="AO24" s="8">
        <v>0</v>
      </c>
      <c r="AP24" s="93">
        <v>606.68938398153171</v>
      </c>
      <c r="AQ24" s="8">
        <v>0</v>
      </c>
      <c r="AR24" s="93">
        <v>462.09253187766143</v>
      </c>
      <c r="AS24" s="8">
        <v>0</v>
      </c>
      <c r="AT24" s="93">
        <v>312.74420503654579</v>
      </c>
      <c r="AU24" s="8">
        <v>0</v>
      </c>
      <c r="AV24" s="93">
        <v>158.69429717250358</v>
      </c>
      <c r="AW24" s="8">
        <v>0</v>
      </c>
    </row>
    <row r="25" spans="1:49" x14ac:dyDescent="0.2">
      <c r="A25" t="s">
        <v>0</v>
      </c>
      <c r="B25" s="39">
        <v>3195.0476039999967</v>
      </c>
      <c r="C25" s="40">
        <v>91.012690000004142</v>
      </c>
      <c r="D25" s="39">
        <v>3185.6336857062493</v>
      </c>
      <c r="E25" s="40">
        <v>83.300854758090111</v>
      </c>
      <c r="F25" s="39">
        <v>3174.151261435024</v>
      </c>
      <c r="G25" s="40">
        <v>75.746372369080206</v>
      </c>
      <c r="H25" s="39">
        <v>3160.1757861405822</v>
      </c>
      <c r="I25" s="40">
        <v>68.368650607411482</v>
      </c>
      <c r="J25" s="39">
        <v>3143.164101938251</v>
      </c>
      <c r="K25" s="40">
        <v>61.189894216357267</v>
      </c>
      <c r="L25" s="39">
        <v>3122.4169257482126</v>
      </c>
      <c r="M25" s="40">
        <v>54.235237604157426</v>
      </c>
      <c r="N25" s="39">
        <v>3097.0197623130175</v>
      </c>
      <c r="O25" s="40">
        <v>47.533500188038296</v>
      </c>
      <c r="P25" s="39">
        <v>3065.7649062427449</v>
      </c>
      <c r="Q25" s="40">
        <v>41.117489403758192</v>
      </c>
      <c r="R25" s="39">
        <v>3027.0389418947138</v>
      </c>
      <c r="S25" s="40">
        <v>35.024535913785918</v>
      </c>
      <c r="T25" s="39">
        <v>2978.6622400873953</v>
      </c>
      <c r="U25" s="40">
        <v>29.296771524471747</v>
      </c>
      <c r="V25" s="39">
        <v>2917.6683740183225</v>
      </c>
      <c r="W25" s="40">
        <v>23.981171782058283</v>
      </c>
      <c r="X25" s="39">
        <v>2840.0012986149404</v>
      </c>
      <c r="Y25" s="40">
        <v>19.128667114260971</v>
      </c>
      <c r="Z25" s="39">
        <v>2740.1309705245335</v>
      </c>
      <c r="AA25" s="40">
        <v>14.792052997476002</v>
      </c>
      <c r="AB25" s="39">
        <v>2610.6277767697288</v>
      </c>
      <c r="AC25" s="40">
        <v>11.021298338077351</v>
      </c>
      <c r="AD25" s="39">
        <v>2441.843901148543</v>
      </c>
      <c r="AE25" s="40">
        <v>7.855483132183215</v>
      </c>
      <c r="AF25" s="39">
        <v>2222.030742782144</v>
      </c>
      <c r="AG25" s="40">
        <v>5.3110440539048973</v>
      </c>
      <c r="AH25" s="39">
        <v>1938.3712951655639</v>
      </c>
      <c r="AI25" s="40">
        <v>3.3690494880749364</v>
      </c>
      <c r="AJ25" s="39">
        <v>1579.1945622015012</v>
      </c>
      <c r="AK25" s="40">
        <v>1.9683566949301854</v>
      </c>
      <c r="AL25" s="39">
        <v>1136.7706469928328</v>
      </c>
      <c r="AM25" s="40">
        <v>1.0125668385103437</v>
      </c>
      <c r="AN25" s="39">
        <v>609.16504072875011</v>
      </c>
      <c r="AO25" s="40">
        <v>0.39063654836380951</v>
      </c>
      <c r="AP25" s="39">
        <v>493.66173756383273</v>
      </c>
      <c r="AQ25" s="40">
        <v>0.29693937230057432</v>
      </c>
      <c r="AR25" s="39">
        <v>374.93538468693771</v>
      </c>
      <c r="AS25" s="40">
        <v>0.21169158671554755</v>
      </c>
      <c r="AT25" s="39">
        <v>253.04210498755722</v>
      </c>
      <c r="AU25" s="40">
        <v>0.13420790503650298</v>
      </c>
      <c r="AV25" s="39">
        <v>128.04231967195636</v>
      </c>
      <c r="AW25" s="40">
        <v>6.3844695750814806E-2</v>
      </c>
    </row>
    <row r="26" spans="1:49" x14ac:dyDescent="0.2">
      <c r="A26" t="s">
        <v>27</v>
      </c>
      <c r="B26" s="31">
        <v>5036.2953101960647</v>
      </c>
      <c r="C26" s="32">
        <v>74.905331803938267</v>
      </c>
      <c r="D26" s="31">
        <v>5020.1108325507594</v>
      </c>
      <c r="E26" s="32">
        <v>70.260240191664053</v>
      </c>
      <c r="F26" s="31">
        <v>5000.892714400291</v>
      </c>
      <c r="G26" s="32">
        <v>65.601923627082826</v>
      </c>
      <c r="H26" s="31">
        <v>4977.993972811757</v>
      </c>
      <c r="I26" s="32">
        <v>60.931767441184817</v>
      </c>
      <c r="J26" s="31">
        <v>4950.5850471752201</v>
      </c>
      <c r="K26" s="32">
        <v>56.252342625528414</v>
      </c>
      <c r="L26" s="31">
        <v>4917.5963867094597</v>
      </c>
      <c r="M26" s="32">
        <v>51.567748028245511</v>
      </c>
      <c r="N26" s="31">
        <v>4877.6272725527942</v>
      </c>
      <c r="O26" s="32">
        <v>46.884490826264972</v>
      </c>
      <c r="P26" s="31">
        <v>4828.8255722957165</v>
      </c>
      <c r="Q26" s="32">
        <v>42.212365315530704</v>
      </c>
      <c r="R26" s="31">
        <v>4768.7135552992031</v>
      </c>
      <c r="S26" s="32">
        <v>37.56584762595098</v>
      </c>
      <c r="T26" s="31">
        <v>4693.937379435738</v>
      </c>
      <c r="U26" s="32">
        <v>32.965866204081166</v>
      </c>
      <c r="V26" s="31">
        <v>4599.9203960718705</v>
      </c>
      <c r="W26" s="32">
        <v>28.442151724379787</v>
      </c>
      <c r="X26" s="31">
        <v>4480.3795578065656</v>
      </c>
      <c r="Y26" s="32">
        <v>24.035847133592608</v>
      </c>
      <c r="Z26" s="31">
        <v>4326.6981793291461</v>
      </c>
      <c r="AA26" s="32">
        <v>19.802217682359892</v>
      </c>
      <c r="AB26" s="31">
        <v>4127.2017888381879</v>
      </c>
      <c r="AC26" s="32">
        <v>15.811967176385183</v>
      </c>
      <c r="AD26" s="31">
        <v>3866.5485217176429</v>
      </c>
      <c r="AE26" s="32">
        <v>12.14904792007782</v>
      </c>
      <c r="AF26" s="31">
        <v>3525.7377382548061</v>
      </c>
      <c r="AG26" s="32">
        <v>8.9015545137648626</v>
      </c>
      <c r="AH26" s="31">
        <v>3083.523503674217</v>
      </c>
      <c r="AI26" s="32">
        <v>6.1436528804518415</v>
      </c>
      <c r="AJ26" s="31">
        <v>2519.778569305608</v>
      </c>
      <c r="AK26" s="32">
        <v>3.9123631414308075</v>
      </c>
      <c r="AL26" s="31">
        <v>1820.038516351937</v>
      </c>
      <c r="AM26" s="32">
        <v>2.1918579202479669</v>
      </c>
      <c r="AN26" s="31">
        <v>978.8671794978776</v>
      </c>
      <c r="AO26" s="32">
        <v>0.91782321100507203</v>
      </c>
      <c r="AP26" s="31">
        <v>793.85337837255202</v>
      </c>
      <c r="AQ26" s="32">
        <v>0.70879674610364474</v>
      </c>
      <c r="AR26" s="31">
        <v>603.37872280220745</v>
      </c>
      <c r="AS26" s="32">
        <v>0.51325036187334605</v>
      </c>
      <c r="AT26" s="31">
        <v>407.52034473090418</v>
      </c>
      <c r="AU26" s="32">
        <v>0.33042706288741763</v>
      </c>
      <c r="AV26" s="31">
        <v>206.36342419384397</v>
      </c>
      <c r="AW26" s="32">
        <v>0.15958461202945248</v>
      </c>
    </row>
    <row r="27" spans="1:49" x14ac:dyDescent="0.2">
      <c r="A27" t="s">
        <v>2</v>
      </c>
      <c r="B27" s="33">
        <v>6425.1981590000414</v>
      </c>
      <c r="C27" s="34">
        <v>273.22915400000028</v>
      </c>
      <c r="D27" s="33">
        <v>6403.6489096363848</v>
      </c>
      <c r="E27" s="34">
        <v>256.26743801314484</v>
      </c>
      <c r="F27" s="33">
        <v>6378.1446358103249</v>
      </c>
      <c r="G27" s="34">
        <v>239.25813154780911</v>
      </c>
      <c r="H27" s="33">
        <v>6347.8828221602389</v>
      </c>
      <c r="I27" s="34">
        <v>222.20696424229956</v>
      </c>
      <c r="J27" s="33">
        <v>6311.8384829260567</v>
      </c>
      <c r="K27" s="34">
        <v>205.12423030794187</v>
      </c>
      <c r="L27" s="33">
        <v>6268.6935183701007</v>
      </c>
      <c r="M27" s="34">
        <v>188.02554300523477</v>
      </c>
      <c r="N27" s="33">
        <v>6216.7253699822577</v>
      </c>
      <c r="O27" s="34">
        <v>170.93552253997933</v>
      </c>
      <c r="P27" s="33">
        <v>6153.6585641906622</v>
      </c>
      <c r="Q27" s="34">
        <v>153.890646262068</v>
      </c>
      <c r="R27" s="33">
        <v>6076.4485460333044</v>
      </c>
      <c r="S27" s="34">
        <v>136.94435038153352</v>
      </c>
      <c r="T27" s="33">
        <v>5980.9689576814726</v>
      </c>
      <c r="U27" s="34">
        <v>120.17335703249957</v>
      </c>
      <c r="V27" s="33">
        <v>5861.572722560345</v>
      </c>
      <c r="W27" s="34">
        <v>103.68622108741252</v>
      </c>
      <c r="X27" s="33">
        <v>5710.472843946407</v>
      </c>
      <c r="Y27" s="34">
        <v>87.632391133994332</v>
      </c>
      <c r="Z27" s="33">
        <v>5516.9215981815423</v>
      </c>
      <c r="AA27" s="34">
        <v>72.212191924770394</v>
      </c>
      <c r="AB27" s="33">
        <v>5266.2302931563809</v>
      </c>
      <c r="AC27" s="34">
        <v>57.681244049420357</v>
      </c>
      <c r="AD27" s="33">
        <v>4938.8712462418962</v>
      </c>
      <c r="AE27" s="34">
        <v>44.342589685353268</v>
      </c>
      <c r="AF27" s="33">
        <v>4510.2821691713716</v>
      </c>
      <c r="AG27" s="34">
        <v>32.513916819587877</v>
      </c>
      <c r="AH27" s="33">
        <v>3952.4008855152038</v>
      </c>
      <c r="AI27" s="34">
        <v>22.462606027772424</v>
      </c>
      <c r="AJ27" s="33">
        <v>3237.756759448891</v>
      </c>
      <c r="AK27" s="34">
        <v>14.322103340668406</v>
      </c>
      <c r="AL27" s="33">
        <v>2345.3451925049535</v>
      </c>
      <c r="AM27" s="34">
        <v>8.0353008602562834</v>
      </c>
      <c r="AN27" s="33">
        <v>1265.3646798163213</v>
      </c>
      <c r="AO27" s="34">
        <v>3.370014041457607</v>
      </c>
      <c r="AP27" s="33">
        <v>1026.8675616229152</v>
      </c>
      <c r="AQ27" s="34">
        <v>2.6033672189251438</v>
      </c>
      <c r="AR27" s="33">
        <v>780.99488869576021</v>
      </c>
      <c r="AS27" s="34">
        <v>1.8857537982441936</v>
      </c>
      <c r="AT27" s="33">
        <v>527.8286607230948</v>
      </c>
      <c r="AU27" s="34">
        <v>1.2144343958746389</v>
      </c>
      <c r="AV27" s="33">
        <v>267.46246824540907</v>
      </c>
      <c r="AW27" s="34">
        <v>0.5867224629814356</v>
      </c>
    </row>
    <row r="28" spans="1:49" x14ac:dyDescent="0.2">
      <c r="A28" t="s">
        <v>35</v>
      </c>
      <c r="B28" s="39">
        <v>13763.097676000029</v>
      </c>
      <c r="C28" s="40">
        <v>382.36647899999997</v>
      </c>
      <c r="D28" s="39">
        <v>13717.967474521643</v>
      </c>
      <c r="E28" s="40">
        <v>358.63684742079266</v>
      </c>
      <c r="F28" s="39">
        <v>13664.461953118811</v>
      </c>
      <c r="G28" s="40">
        <v>334.8403539987184</v>
      </c>
      <c r="H28" s="39">
        <v>13600.835884696293</v>
      </c>
      <c r="I28" s="40">
        <v>310.98474680319646</v>
      </c>
      <c r="J28" s="39">
        <v>13524.855587314862</v>
      </c>
      <c r="K28" s="40">
        <v>287.08406649617024</v>
      </c>
      <c r="L28" s="39">
        <v>13433.644653313811</v>
      </c>
      <c r="M28" s="40">
        <v>263.15989926114344</v>
      </c>
      <c r="N28" s="39">
        <v>13323.439787411924</v>
      </c>
      <c r="O28" s="40">
        <v>239.24634781130524</v>
      </c>
      <c r="P28" s="39">
        <v>13189.267181925832</v>
      </c>
      <c r="Q28" s="40">
        <v>215.39416174461451</v>
      </c>
      <c r="R28" s="39">
        <v>13024.472581036307</v>
      </c>
      <c r="S28" s="40">
        <v>191.6778711333898</v>
      </c>
      <c r="T28" s="39">
        <v>12820.043541554049</v>
      </c>
      <c r="U28" s="40">
        <v>168.20469262594384</v>
      </c>
      <c r="V28" s="39">
        <v>12563.665265272659</v>
      </c>
      <c r="W28" s="40">
        <v>145.12649937718913</v>
      </c>
      <c r="X28" s="39">
        <v>12238.396500711575</v>
      </c>
      <c r="Y28" s="40">
        <v>122.6526834142756</v>
      </c>
      <c r="Z28" s="39">
        <v>11820.934227657581</v>
      </c>
      <c r="AA28" s="40">
        <v>101.06408587563405</v>
      </c>
      <c r="AB28" s="39">
        <v>11279.577318313866</v>
      </c>
      <c r="AC28" s="40">
        <v>80.719334039195061</v>
      </c>
      <c r="AD28" s="39">
        <v>10572.439181360163</v>
      </c>
      <c r="AE28" s="40">
        <v>62.043778464586119</v>
      </c>
      <c r="AF28" s="39">
        <v>9647.2646695534022</v>
      </c>
      <c r="AG28" s="40">
        <v>45.48345528203069</v>
      </c>
      <c r="AH28" s="39">
        <v>8445.0280268867664</v>
      </c>
      <c r="AI28" s="40">
        <v>31.413811518978555</v>
      </c>
      <c r="AJ28" s="39">
        <v>6908.9361534341024</v>
      </c>
      <c r="AK28" s="40">
        <v>20.022255283636706</v>
      </c>
      <c r="AL28" s="39">
        <v>4996.9395593962681</v>
      </c>
      <c r="AM28" s="40">
        <v>11.228653172334143</v>
      </c>
      <c r="AN28" s="39">
        <v>2691.3841418151192</v>
      </c>
      <c r="AO28" s="40">
        <v>4.7071463694641249</v>
      </c>
      <c r="AP28" s="39">
        <v>2183.3419170217703</v>
      </c>
      <c r="AQ28" s="40">
        <v>3.6359680551994162</v>
      </c>
      <c r="AR28" s="39">
        <v>1659.9756952691973</v>
      </c>
      <c r="AS28" s="40">
        <v>2.6334672053740835</v>
      </c>
      <c r="AT28" s="39">
        <v>1121.4808289403175</v>
      </c>
      <c r="AU28" s="40">
        <v>1.6958014980886857</v>
      </c>
      <c r="AV28" s="39">
        <v>568.0760024989338</v>
      </c>
      <c r="AW28" s="40">
        <v>0.81920291957560865</v>
      </c>
    </row>
    <row r="29" spans="1:49" x14ac:dyDescent="0.2">
      <c r="A29" t="s">
        <v>53</v>
      </c>
      <c r="B29" s="33">
        <v>14362.768558000025</v>
      </c>
      <c r="C29" s="34">
        <v>817.26650999999993</v>
      </c>
      <c r="D29" s="33">
        <v>14296.510902238824</v>
      </c>
      <c r="E29" s="34">
        <v>760.07105114016883</v>
      </c>
      <c r="F29" s="33">
        <v>14220.184231973913</v>
      </c>
      <c r="G29" s="34">
        <v>703.22947121120433</v>
      </c>
      <c r="H29" s="33">
        <v>14131.855977204221</v>
      </c>
      <c r="I29" s="34">
        <v>646.81069358426294</v>
      </c>
      <c r="J29" s="33">
        <v>14029.081404538283</v>
      </c>
      <c r="K29" s="34">
        <v>590.90257726658751</v>
      </c>
      <c r="L29" s="33">
        <v>13908.748311042435</v>
      </c>
      <c r="M29" s="34">
        <v>535.61460923086997</v>
      </c>
      <c r="N29" s="33">
        <v>13766.832648805963</v>
      </c>
      <c r="O29" s="34">
        <v>481.08791523310924</v>
      </c>
      <c r="P29" s="33">
        <v>13598.078657207188</v>
      </c>
      <c r="Q29" s="34">
        <v>427.50277764096433</v>
      </c>
      <c r="R29" s="33">
        <v>13395.539034749094</v>
      </c>
      <c r="S29" s="34">
        <v>375.09114465101368</v>
      </c>
      <c r="T29" s="33">
        <v>13149.919641699913</v>
      </c>
      <c r="U29" s="34">
        <v>324.15087712686005</v>
      </c>
      <c r="V29" s="33">
        <v>12848.680501508785</v>
      </c>
      <c r="W29" s="34">
        <v>275.06319969151974</v>
      </c>
      <c r="X29" s="33">
        <v>12474.797651877627</v>
      </c>
      <c r="Y29" s="34">
        <v>228.3079421668657</v>
      </c>
      <c r="Z29" s="33">
        <v>12005.181379550884</v>
      </c>
      <c r="AA29" s="34">
        <v>184.47514855519466</v>
      </c>
      <c r="AB29" s="33">
        <v>11408.899399207663</v>
      </c>
      <c r="AC29" s="34">
        <v>144.25574795051637</v>
      </c>
      <c r="AD29" s="33">
        <v>10645.783969960401</v>
      </c>
      <c r="AE29" s="34">
        <v>108.39430298681437</v>
      </c>
      <c r="AF29" s="33">
        <v>9666.7481349844238</v>
      </c>
      <c r="AG29" s="34">
        <v>77.578639354970605</v>
      </c>
      <c r="AH29" s="33">
        <v>8417.8013652419995</v>
      </c>
      <c r="AI29" s="34">
        <v>52.263668724516656</v>
      </c>
      <c r="AJ29" s="33">
        <v>6849.004341952359</v>
      </c>
      <c r="AK29" s="34">
        <v>32.483795875032023</v>
      </c>
      <c r="AL29" s="33">
        <v>4926.1163506077246</v>
      </c>
      <c r="AM29" s="34">
        <v>17.77306003263109</v>
      </c>
      <c r="AN29" s="33">
        <v>2638.7480035943836</v>
      </c>
      <c r="AO29" s="34">
        <v>7.2773845210009975</v>
      </c>
      <c r="AP29" s="33">
        <v>2138.3477124951019</v>
      </c>
      <c r="AQ29" s="34">
        <v>5.5959611923116244</v>
      </c>
      <c r="AR29" s="33">
        <v>1624.0408040065095</v>
      </c>
      <c r="AS29" s="34">
        <v>4.0350543482100862</v>
      </c>
      <c r="AT29" s="33">
        <v>1096.0498753677314</v>
      </c>
      <c r="AU29" s="34">
        <v>2.5869860080290872</v>
      </c>
      <c r="AV29" s="33">
        <v>554.61687585612322</v>
      </c>
      <c r="AW29" s="34">
        <v>1.2443416931223812</v>
      </c>
    </row>
    <row r="30" spans="1:49" x14ac:dyDescent="0.2">
      <c r="A30" t="s">
        <v>48</v>
      </c>
      <c r="B30" s="112">
        <v>2924829.9599999995</v>
      </c>
      <c r="D30" s="112">
        <v>2958650.0667468263</v>
      </c>
      <c r="F30" s="112">
        <v>2990654.8319096733</v>
      </c>
      <c r="H30" s="112">
        <v>3020412.1735469652</v>
      </c>
      <c r="J30" s="112">
        <v>3047363.2806092552</v>
      </c>
      <c r="L30" s="112">
        <v>3070780.9596448168</v>
      </c>
      <c r="N30" s="112">
        <v>3089706.1641542143</v>
      </c>
      <c r="P30" s="112">
        <v>3102861.0810100827</v>
      </c>
      <c r="R30" s="112">
        <v>3108521.5228244574</v>
      </c>
      <c r="T30" s="112">
        <v>3104330.5399213615</v>
      </c>
      <c r="V30" s="112">
        <v>3087028.0580485798</v>
      </c>
      <c r="X30" s="112">
        <v>3052056.6465103906</v>
      </c>
      <c r="Z30" s="112">
        <v>2993010.3042723816</v>
      </c>
      <c r="AB30" s="112">
        <v>2900916.4396796217</v>
      </c>
      <c r="AD30" s="112">
        <v>2763450.5733331451</v>
      </c>
      <c r="AF30" s="112">
        <v>2564429.4024170088</v>
      </c>
      <c r="AH30" s="112">
        <v>2284279.7348072282</v>
      </c>
      <c r="AJ30" s="112">
        <v>1902264.6477599035</v>
      </c>
      <c r="AL30" s="112">
        <v>1400392.6956800655</v>
      </c>
      <c r="AN30" s="112">
        <v>767318.13703628199</v>
      </c>
      <c r="AP30" s="112">
        <v>624550.77531097084</v>
      </c>
      <c r="AR30" s="112">
        <v>476404.83740954293</v>
      </c>
      <c r="AT30" s="112">
        <v>322905.85203749599</v>
      </c>
      <c r="AV30" s="112">
        <v>164089.36706742854</v>
      </c>
    </row>
    <row r="31" spans="1:49" x14ac:dyDescent="0.2">
      <c r="A31" t="s">
        <v>47</v>
      </c>
      <c r="B31" s="77">
        <v>1</v>
      </c>
      <c r="D31" s="77">
        <v>0.98920384481853063</v>
      </c>
      <c r="F31" s="77">
        <v>0.97748815664141953</v>
      </c>
      <c r="H31" s="77">
        <v>0.96470927868053213</v>
      </c>
      <c r="J31" s="77">
        <v>0.95069080907202208</v>
      </c>
      <c r="L31" s="77">
        <v>0.93521480978141025</v>
      </c>
      <c r="N31" s="77">
        <v>0.91800809832753749</v>
      </c>
      <c r="P31" s="77">
        <v>0.89872506293272125</v>
      </c>
      <c r="R31" s="77">
        <v>0.87692355900321073</v>
      </c>
      <c r="T31" s="77">
        <v>0.8520320572980975</v>
      </c>
      <c r="V31" s="77">
        <v>0.82330643750659172</v>
      </c>
      <c r="X31" s="77">
        <v>0.78977454392124402</v>
      </c>
      <c r="Z31" s="77">
        <v>0.75017171100251678</v>
      </c>
      <c r="AB31" s="77">
        <v>0.70288172583264152</v>
      </c>
      <c r="AD31" s="77">
        <v>0.64591908831988087</v>
      </c>
      <c r="AF31" s="77">
        <v>0.57702080254679045</v>
      </c>
      <c r="AH31" s="77">
        <v>0.49392835730684626</v>
      </c>
      <c r="AJ31" s="77">
        <v>0.39486995897169774</v>
      </c>
      <c r="AL31" s="77">
        <v>0.27906819015296724</v>
      </c>
      <c r="AN31" s="77">
        <v>0.1469637825189794</v>
      </c>
      <c r="AP31" s="77">
        <v>0.11870113855164308</v>
      </c>
      <c r="AR31" s="77">
        <v>8.9857526296882803E-2</v>
      </c>
      <c r="AT31" s="77">
        <v>6.0448631543672506E-2</v>
      </c>
      <c r="AV31" s="77">
        <v>3.0490622187023645E-2</v>
      </c>
    </row>
    <row r="32" spans="1:49" x14ac:dyDescent="0.2">
      <c r="A32" t="s">
        <v>64</v>
      </c>
      <c r="B32" s="83">
        <v>14734457.915000005</v>
      </c>
      <c r="D32" s="83">
        <v>14659966.169064319</v>
      </c>
      <c r="F32" s="83">
        <v>14574245.273449261</v>
      </c>
      <c r="H32" s="83">
        <v>14475247.29674096</v>
      </c>
      <c r="J32" s="83">
        <v>14360409.156728528</v>
      </c>
      <c r="L32" s="83">
        <v>14226504.526158502</v>
      </c>
      <c r="N32" s="83">
        <v>14069409.488912029</v>
      </c>
      <c r="P32" s="83">
        <v>13883799.940764904</v>
      </c>
      <c r="R32" s="83">
        <v>13662716.597305102</v>
      </c>
      <c r="T32" s="83">
        <v>13396945.644122971</v>
      </c>
      <c r="V32" s="83">
        <v>13074165.802692905</v>
      </c>
      <c r="X32" s="83">
        <v>12677764.856589288</v>
      </c>
      <c r="Z32" s="83">
        <v>12185300.829858992</v>
      </c>
      <c r="AB32" s="83">
        <v>11566718.715886211</v>
      </c>
      <c r="AD32" s="83">
        <v>10782821.139284898</v>
      </c>
      <c r="AF32" s="83">
        <v>9785219.6196616367</v>
      </c>
      <c r="AH32" s="83">
        <v>8519728.54828435</v>
      </c>
      <c r="AJ32" s="83">
        <v>6934668.188826832</v>
      </c>
      <c r="AL32" s="83">
        <v>4992341.108008299</v>
      </c>
      <c r="AN32" s="83">
        <v>2677862.5937006827</v>
      </c>
      <c r="AP32" s="83">
        <v>2170722.6325606685</v>
      </c>
      <c r="AR32" s="83">
        <v>1649161.531801125</v>
      </c>
      <c r="AT32" s="83">
        <v>1113373.6267877314</v>
      </c>
      <c r="AV32" s="83">
        <v>563574.90683032386</v>
      </c>
    </row>
    <row r="33" spans="1:49 16319:16384" x14ac:dyDescent="0.2">
      <c r="A33" t="s">
        <v>54</v>
      </c>
      <c r="B33" s="111">
        <v>7019665.6909999922</v>
      </c>
      <c r="D33" s="111">
        <v>6955285.0367595553</v>
      </c>
      <c r="F33" s="111">
        <v>6885308.7100213338</v>
      </c>
      <c r="H33" s="111">
        <v>6808776.1565954005</v>
      </c>
      <c r="J33" s="111">
        <v>6724496.3990937779</v>
      </c>
      <c r="L33" s="111">
        <v>6630983.6713594152</v>
      </c>
      <c r="N33" s="111">
        <v>6526356.9015166136</v>
      </c>
      <c r="P33" s="111">
        <v>6408211.0686616926</v>
      </c>
      <c r="R33" s="111">
        <v>6273433.9684305601</v>
      </c>
      <c r="T33" s="111">
        <v>6117950.3156850599</v>
      </c>
      <c r="V33" s="111">
        <v>5936373.9747040905</v>
      </c>
      <c r="X33" s="111">
        <v>5721539.5701652775</v>
      </c>
      <c r="Z33" s="111">
        <v>5463915.26064659</v>
      </c>
      <c r="AB33" s="111">
        <v>5150969.6264138483</v>
      </c>
      <c r="AD33" s="111">
        <v>4766729.3550547827</v>
      </c>
      <c r="AF33" s="111">
        <v>4292051.6612070566</v>
      </c>
      <c r="AH33" s="111">
        <v>3706362.8302650806</v>
      </c>
      <c r="AJ33" s="111">
        <v>2991270.3982101753</v>
      </c>
      <c r="AL33" s="111">
        <v>2135061.0881175208</v>
      </c>
      <c r="AN33" s="111">
        <v>1135631.3434931214</v>
      </c>
      <c r="AP33" s="111">
        <v>919047.55350065557</v>
      </c>
      <c r="AR33" s="111">
        <v>697088.84049519431</v>
      </c>
      <c r="AT33" s="111">
        <v>469855.56453914975</v>
      </c>
      <c r="AV33" s="111">
        <v>237454.98037764442</v>
      </c>
    </row>
    <row r="34" spans="1:49 16319:16384" x14ac:dyDescent="0.2">
      <c r="A34" t="s">
        <v>75</v>
      </c>
      <c r="B34" s="111">
        <v>1136879.4410000131</v>
      </c>
      <c r="D34" s="111">
        <v>1131131.7906315448</v>
      </c>
      <c r="F34" s="111">
        <v>1124517.7468499355</v>
      </c>
      <c r="H34" s="111">
        <v>1116879.3037190784</v>
      </c>
      <c r="J34" s="111">
        <v>1108018.6291028736</v>
      </c>
      <c r="L34" s="111">
        <v>1097686.8440869197</v>
      </c>
      <c r="N34" s="111">
        <v>1085565.7302829993</v>
      </c>
      <c r="P34" s="111">
        <v>1071244.4392658463</v>
      </c>
      <c r="R34" s="111">
        <v>1054186.157586992</v>
      </c>
      <c r="T34" s="111">
        <v>1033679.8490590169</v>
      </c>
      <c r="V34" s="111">
        <v>1008774.8376167919</v>
      </c>
      <c r="X34" s="111">
        <v>978189.37746716966</v>
      </c>
      <c r="Z34" s="111">
        <v>940191.89971802861</v>
      </c>
      <c r="AB34" s="111">
        <v>892463.42309381301</v>
      </c>
      <c r="AD34" s="111">
        <v>831979.56668794947</v>
      </c>
      <c r="AF34" s="111">
        <v>755006.73756752256</v>
      </c>
      <c r="AH34" s="111">
        <v>657364.13784551434</v>
      </c>
      <c r="AJ34" s="111">
        <v>535064.25169242651</v>
      </c>
      <c r="AL34" s="111">
        <v>385198.4225855057</v>
      </c>
      <c r="AN34" s="111">
        <v>206618.17812500076</v>
      </c>
      <c r="AP34" s="111">
        <v>167488.33997848327</v>
      </c>
      <c r="AR34" s="111">
        <v>127245.79825068329</v>
      </c>
      <c r="AT34" s="111">
        <v>85905.54339718922</v>
      </c>
      <c r="AV34" s="111">
        <v>43484.240811251584</v>
      </c>
    </row>
    <row r="35" spans="1:49 16319:16384" x14ac:dyDescent="0.2">
      <c r="A35" t="s">
        <v>78</v>
      </c>
      <c r="B35" s="192">
        <v>1</v>
      </c>
      <c r="D35" s="192">
        <v>1.0016432453416864</v>
      </c>
      <c r="F35" s="192">
        <v>1.0034565789793313</v>
      </c>
      <c r="H35" s="192">
        <v>1.0054662411398883</v>
      </c>
      <c r="J35" s="192">
        <v>1.0077043748387866</v>
      </c>
      <c r="L35" s="192">
        <v>1.0102106831578559</v>
      </c>
      <c r="N35" s="192">
        <v>1.0130346734531235</v>
      </c>
      <c r="P35" s="192">
        <v>1.0162385345321929</v>
      </c>
      <c r="R35" s="192">
        <v>1.0199008595084145</v>
      </c>
      <c r="T35" s="192">
        <v>1.0241212146699337</v>
      </c>
      <c r="V35" s="192">
        <v>1.0290254201939368</v>
      </c>
      <c r="X35" s="192">
        <v>1.0347704118245442</v>
      </c>
      <c r="Z35" s="192">
        <v>1.0415464528220895</v>
      </c>
      <c r="AB35" s="192">
        <v>1.0495712006009303</v>
      </c>
      <c r="AD35" s="192">
        <v>1.0590667619280274</v>
      </c>
      <c r="AF35" s="192">
        <v>1.0702092011023698</v>
      </c>
      <c r="AH35" s="192">
        <v>1.0830495533472637</v>
      </c>
      <c r="AJ35" s="192">
        <v>1.0974341336332516</v>
      </c>
      <c r="AL35" s="192">
        <v>1.1129828892761255</v>
      </c>
      <c r="AN35" s="192">
        <v>1.1291662958631168</v>
      </c>
      <c r="AP35" s="192">
        <v>1.1324302560342294</v>
      </c>
      <c r="AR35" s="192">
        <v>1.1356936576334125</v>
      </c>
      <c r="AT35" s="192">
        <v>1.1389527478181347</v>
      </c>
      <c r="AV35" s="192">
        <v>1.1422040034758036</v>
      </c>
    </row>
    <row r="36" spans="1:49 16319:16384" x14ac:dyDescent="0.2">
      <c r="A36" t="s">
        <v>21</v>
      </c>
      <c r="B36" s="35">
        <v>0.47195767671988198</v>
      </c>
      <c r="C36" s="36">
        <v>0.31738834428178964</v>
      </c>
      <c r="D36" s="35">
        <v>0.47198420074366348</v>
      </c>
      <c r="E36" s="36">
        <v>0.31975890784950017</v>
      </c>
      <c r="F36" s="35">
        <v>0.47201214043106043</v>
      </c>
      <c r="G36" s="36">
        <v>0.3223291481162287</v>
      </c>
      <c r="H36" s="35">
        <v>0.4720416480810305</v>
      </c>
      <c r="I36" s="36">
        <v>0.32512335630177003</v>
      </c>
      <c r="J36" s="35">
        <v>0.47207288913511902</v>
      </c>
      <c r="K36" s="36">
        <v>0.32816957259018514</v>
      </c>
      <c r="L36" s="35">
        <v>0.47210603457013983</v>
      </c>
      <c r="M36" s="36">
        <v>0.33150023900294262</v>
      </c>
      <c r="N36" s="35">
        <v>0.47214125540263491</v>
      </c>
      <c r="O36" s="36">
        <v>0.33515291402354663</v>
      </c>
      <c r="P36" s="35">
        <v>0.47217870562677844</v>
      </c>
      <c r="Q36" s="36">
        <v>0.33917103232003659</v>
      </c>
      <c r="R36" s="35">
        <v>0.47221849494626367</v>
      </c>
      <c r="S36" s="36">
        <v>0.34360459288896039</v>
      </c>
      <c r="T36" s="35">
        <v>0.47226065022151842</v>
      </c>
      <c r="U36" s="36">
        <v>0.34851053599080817</v>
      </c>
      <c r="V36" s="35">
        <v>0.47230504802172812</v>
      </c>
      <c r="W36" s="36">
        <v>0.35395241547234185</v>
      </c>
      <c r="X36" s="35">
        <v>0.47235132177794625</v>
      </c>
      <c r="Y36" s="36">
        <v>0.35999829880567424</v>
      </c>
      <c r="Z36" s="35">
        <v>0.4723987400370982</v>
      </c>
      <c r="AA36" s="36">
        <v>0.36671552705369626</v>
      </c>
      <c r="AB36" s="35">
        <v>0.47244607043204645</v>
      </c>
      <c r="AC36" s="36">
        <v>0.37415969243840791</v>
      </c>
      <c r="AD36" s="35">
        <v>0.47249149048292371</v>
      </c>
      <c r="AE36" s="36">
        <v>0.3823552414372221</v>
      </c>
      <c r="AF36" s="35">
        <v>0.47253265961567009</v>
      </c>
      <c r="AG36" s="36">
        <v>0.39126722410575693</v>
      </c>
      <c r="AH36" s="35">
        <v>0.47256709492942484</v>
      </c>
      <c r="AI36" s="36">
        <v>0.40077167030041033</v>
      </c>
      <c r="AJ36" s="35">
        <v>0.47259285395699158</v>
      </c>
      <c r="AK36" s="36">
        <v>0.41064420154896702</v>
      </c>
      <c r="AL36" s="35">
        <v>0.47260922473942985</v>
      </c>
      <c r="AM36" s="36">
        <v>0.42058898292647984</v>
      </c>
      <c r="AN36" s="35">
        <v>0.47261693089135232</v>
      </c>
      <c r="AO36" s="36">
        <v>0.43030549594554524</v>
      </c>
      <c r="AP36" s="35">
        <v>0.4726175744976332</v>
      </c>
      <c r="AQ36" s="36">
        <v>0.4321988931258734</v>
      </c>
      <c r="AR36" s="35">
        <v>0.47261795610994811</v>
      </c>
      <c r="AS36" s="36">
        <v>0.43407189057421347</v>
      </c>
      <c r="AT36" s="35">
        <v>0.47261809239635372</v>
      </c>
      <c r="AU36" s="36">
        <v>0.43592320026405618</v>
      </c>
      <c r="AV36" s="35">
        <v>0.4726180000217734</v>
      </c>
      <c r="AW36" s="36">
        <v>0.43775169626425869</v>
      </c>
    </row>
    <row r="37" spans="1:49 16319:16384" x14ac:dyDescent="0.2">
      <c r="B37" s="37">
        <v>2.1403217525954466E-2</v>
      </c>
      <c r="C37" s="38">
        <v>0.3496246130199252</v>
      </c>
      <c r="D37" s="37">
        <v>2.0764235679163096E-2</v>
      </c>
      <c r="E37" s="38">
        <v>0.34584170246295975</v>
      </c>
      <c r="F37" s="37">
        <v>2.0117090950012712E-2</v>
      </c>
      <c r="G37" s="38">
        <v>0.34198731791232234</v>
      </c>
      <c r="H37" s="37">
        <v>1.9461725247961203E-2</v>
      </c>
      <c r="I37" s="38">
        <v>0.33806053573508366</v>
      </c>
      <c r="J37" s="37">
        <v>1.8798127354863931E-2</v>
      </c>
      <c r="K37" s="38">
        <v>0.33406081821152789</v>
      </c>
      <c r="L37" s="37">
        <v>1.8126350122760801E-2</v>
      </c>
      <c r="M37" s="38">
        <v>0.32998815615835569</v>
      </c>
      <c r="N37" s="37">
        <v>1.7446540285109117E-2</v>
      </c>
      <c r="O37" s="38">
        <v>0.32584329562447134</v>
      </c>
      <c r="P37" s="37">
        <v>1.6758982068095313E-2</v>
      </c>
      <c r="Q37" s="38">
        <v>0.32162806353652346</v>
      </c>
      <c r="R37" s="37">
        <v>1.6064166469273417E-2</v>
      </c>
      <c r="S37" s="38">
        <v>0.31734586650394681</v>
      </c>
      <c r="T37" s="37">
        <v>1.5362902344825999E-2</v>
      </c>
      <c r="U37" s="38">
        <v>0.31300246718396213</v>
      </c>
      <c r="V37" s="37">
        <v>1.4656481673525401E-2</v>
      </c>
      <c r="W37" s="38">
        <v>0.30860712222324943</v>
      </c>
      <c r="X37" s="37">
        <v>1.394695474672367E-2</v>
      </c>
      <c r="Y37" s="38">
        <v>0.30417442723393634</v>
      </c>
      <c r="Z37" s="37">
        <v>1.323752112071095E-2</v>
      </c>
      <c r="AA37" s="38">
        <v>0.29972690506962779</v>
      </c>
      <c r="AB37" s="37">
        <v>1.2533079935533454E-2</v>
      </c>
      <c r="AC37" s="38">
        <v>0.29529858153598049</v>
      </c>
      <c r="AD37" s="37">
        <v>1.1840850409153288E-2</v>
      </c>
      <c r="AE37" s="38">
        <v>0.29093892455914067</v>
      </c>
      <c r="AF37" s="37">
        <v>1.1170787878899646E-2</v>
      </c>
      <c r="AG37" s="38">
        <v>0.28671529598463308</v>
      </c>
      <c r="AH37" s="37">
        <v>1.0535215346978178E-2</v>
      </c>
      <c r="AI37" s="38">
        <v>0.28271012072813073</v>
      </c>
      <c r="AJ37" s="37">
        <v>9.9470556148702725E-3</v>
      </c>
      <c r="AK37" s="38">
        <v>0.27900888838754545</v>
      </c>
      <c r="AL37" s="37">
        <v>9.4168157404566129E-3</v>
      </c>
      <c r="AM37" s="38">
        <v>0.275680262879263</v>
      </c>
      <c r="AN37" s="37">
        <v>8.9498212647568017E-3</v>
      </c>
      <c r="AO37" s="38">
        <v>0.27275828371928973</v>
      </c>
      <c r="AP37" s="37">
        <v>8.8640505892764263E-3</v>
      </c>
      <c r="AQ37" s="38">
        <v>0.27222285193700291</v>
      </c>
      <c r="AR37" s="37">
        <v>8.7807682197715373E-3</v>
      </c>
      <c r="AS37" s="38">
        <v>0.27170336878080048</v>
      </c>
      <c r="AT37" s="37">
        <v>8.6999362020265814E-3</v>
      </c>
      <c r="AU37" s="38">
        <v>0.27119958010114664</v>
      </c>
      <c r="AV37" s="37">
        <v>8.6215107135723234E-3</v>
      </c>
      <c r="AW37" s="38">
        <v>0.27071119413916162</v>
      </c>
    </row>
    <row r="38" spans="1:49 16319:16384" x14ac:dyDescent="0.2">
      <c r="A38" t="s">
        <v>22</v>
      </c>
      <c r="B38" s="35">
        <v>0.18079094942242827</v>
      </c>
      <c r="C38" s="36">
        <v>6.0565413429233668E-2</v>
      </c>
      <c r="D38" s="35">
        <v>0.18103569331754318</v>
      </c>
      <c r="E38" s="36">
        <v>6.086537169342101E-2</v>
      </c>
      <c r="F38" s="35">
        <v>0.18130065512636709</v>
      </c>
      <c r="G38" s="36">
        <v>6.119138781626466E-2</v>
      </c>
      <c r="H38" s="35">
        <v>0.18158793032123671</v>
      </c>
      <c r="I38" s="36">
        <v>6.1546675794365686E-2</v>
      </c>
      <c r="J38" s="35">
        <v>0.18189986716643725</v>
      </c>
      <c r="K38" s="36">
        <v>6.1934907940474529E-2</v>
      </c>
      <c r="L38" s="35">
        <v>0.18223910549101704</v>
      </c>
      <c r="M38" s="36">
        <v>6.2360394827968173E-2</v>
      </c>
      <c r="N38" s="35">
        <v>0.18260858843638059</v>
      </c>
      <c r="O38" s="36">
        <v>6.282807819143553E-2</v>
      </c>
      <c r="P38" s="35">
        <v>0.18301157940265644</v>
      </c>
      <c r="Q38" s="36">
        <v>6.3343693751207325E-2</v>
      </c>
      <c r="R38" s="35">
        <v>0.18345165108891548</v>
      </c>
      <c r="S38" s="36">
        <v>6.3913844596469468E-2</v>
      </c>
      <c r="T38" s="35">
        <v>0.18393261327351237</v>
      </c>
      <c r="U38" s="36">
        <v>6.4546060096445118E-2</v>
      </c>
      <c r="V38" s="35">
        <v>0.18445837993703748</v>
      </c>
      <c r="W38" s="36">
        <v>6.5248703325667221E-2</v>
      </c>
      <c r="X38" s="35">
        <v>0.18503264627493179</v>
      </c>
      <c r="Y38" s="36">
        <v>6.6030800921679247E-2</v>
      </c>
      <c r="Z38" s="35">
        <v>0.18565832415326453</v>
      </c>
      <c r="AA38" s="36">
        <v>6.690122994489997E-2</v>
      </c>
      <c r="AB38" s="35">
        <v>0.18633656027274645</v>
      </c>
      <c r="AC38" s="36">
        <v>6.7867374374578848E-2</v>
      </c>
      <c r="AD38" s="35">
        <v>0.1870652621386705</v>
      </c>
      <c r="AE38" s="36">
        <v>6.8932570118795986E-2</v>
      </c>
      <c r="AF38" s="35">
        <v>0.18783727449767978</v>
      </c>
      <c r="AG38" s="36">
        <v>7.0092423111094745E-2</v>
      </c>
      <c r="AH38" s="35">
        <v>0.18863894846734236</v>
      </c>
      <c r="AI38" s="36">
        <v>7.1330875597515525E-2</v>
      </c>
      <c r="AJ38" s="35">
        <v>0.189450486073585</v>
      </c>
      <c r="AK38" s="36">
        <v>7.261878404261983E-2</v>
      </c>
      <c r="AL38" s="35">
        <v>0.19024915076127072</v>
      </c>
      <c r="AM38" s="36">
        <v>7.3917650494565057E-2</v>
      </c>
      <c r="AN38" s="35">
        <v>0.19101438967790479</v>
      </c>
      <c r="AO38" s="36">
        <v>7.5188200915288675E-2</v>
      </c>
      <c r="AP38" s="35">
        <v>0.19116204033680703</v>
      </c>
      <c r="AQ38" s="36">
        <v>7.54359765775382E-2</v>
      </c>
      <c r="AR38" s="35">
        <v>0.19130768451935828</v>
      </c>
      <c r="AS38" s="36">
        <v>7.5681139939762096E-2</v>
      </c>
      <c r="AT38" s="35">
        <v>0.19145125704850058</v>
      </c>
      <c r="AU38" s="36">
        <v>7.592352451976847E-2</v>
      </c>
      <c r="AV38" s="35">
        <v>0.19159270474562559</v>
      </c>
      <c r="AW38" s="36">
        <v>7.6162976939632296E-2</v>
      </c>
    </row>
    <row r="39" spans="1:49 16319:16384" x14ac:dyDescent="0.2">
      <c r="A39" t="s">
        <v>23</v>
      </c>
      <c r="B39" s="37">
        <v>0.23064923795098771</v>
      </c>
      <c r="C39" s="38">
        <v>0.22092201281804777</v>
      </c>
      <c r="D39" s="37">
        <v>0.23092896925726</v>
      </c>
      <c r="E39" s="38">
        <v>0.22200056283669486</v>
      </c>
      <c r="F39" s="37">
        <v>0.23123107553044303</v>
      </c>
      <c r="G39" s="38">
        <v>0.2231723752334103</v>
      </c>
      <c r="H39" s="37">
        <v>0.23155891909341175</v>
      </c>
      <c r="I39" s="38">
        <v>0.22444942206332771</v>
      </c>
      <c r="J39" s="37">
        <v>0.23191654535363848</v>
      </c>
      <c r="K39" s="38">
        <v>0.22584571108541873</v>
      </c>
      <c r="L39" s="37">
        <v>0.23230883739719135</v>
      </c>
      <c r="M39" s="38">
        <v>0.22737752854996024</v>
      </c>
      <c r="N39" s="37">
        <v>0.23274173713461177</v>
      </c>
      <c r="O39" s="38">
        <v>0.22906402920386099</v>
      </c>
      <c r="P39" s="37">
        <v>0.233222500186894</v>
      </c>
      <c r="Q39" s="38">
        <v>0.23092764158404896</v>
      </c>
      <c r="R39" s="37">
        <v>0.23376000793503476</v>
      </c>
      <c r="S39" s="38">
        <v>0.23299460765004434</v>
      </c>
      <c r="T39" s="37">
        <v>0.23436513131036954</v>
      </c>
      <c r="U39" s="38">
        <v>0.2352954015220444</v>
      </c>
      <c r="V39" s="37">
        <v>0.23505106940761897</v>
      </c>
      <c r="W39" s="38">
        <v>0.2378649669073041</v>
      </c>
      <c r="X39" s="37">
        <v>0.23583356904561556</v>
      </c>
      <c r="Y39" s="38">
        <v>0.24074196100092346</v>
      </c>
      <c r="Z39" s="37">
        <v>0.23673072998175868</v>
      </c>
      <c r="AA39" s="38">
        <v>0.24396683918326556</v>
      </c>
      <c r="AB39" s="37">
        <v>0.23776187563320761</v>
      </c>
      <c r="AC39" s="38">
        <v>0.24757669558914452</v>
      </c>
      <c r="AD39" s="37">
        <v>0.2389446916696033</v>
      </c>
      <c r="AE39" s="38">
        <v>0.25159573761192594</v>
      </c>
      <c r="AF39" s="37">
        <v>0.24028988335700374</v>
      </c>
      <c r="AG39" s="38">
        <v>0.25602036264490752</v>
      </c>
      <c r="AH39" s="37">
        <v>0.24179376160959309</v>
      </c>
      <c r="AI39" s="38">
        <v>0.26080206472296591</v>
      </c>
      <c r="AJ39" s="37">
        <v>0.24343194252765829</v>
      </c>
      <c r="AK39" s="38">
        <v>0.26583772823085139</v>
      </c>
      <c r="AL39" s="37">
        <v>0.24515960904522729</v>
      </c>
      <c r="AM39" s="38">
        <v>0.27098041123938715</v>
      </c>
      <c r="AN39" s="37">
        <v>0.2469209991891613</v>
      </c>
      <c r="AO39" s="38">
        <v>0.2760720036258249</v>
      </c>
      <c r="AP39" s="37">
        <v>0.24727248580580649</v>
      </c>
      <c r="AQ39" s="38">
        <v>0.2770717411290865</v>
      </c>
      <c r="AR39" s="37">
        <v>0.24762279167543297</v>
      </c>
      <c r="AS39" s="38">
        <v>0.27806312025957131</v>
      </c>
      <c r="AT39" s="37">
        <v>0.24797157223743305</v>
      </c>
      <c r="AU39" s="38">
        <v>0.2790453627711903</v>
      </c>
      <c r="AV39" s="37">
        <v>0.24831850852088924</v>
      </c>
      <c r="AW39" s="38">
        <v>0.2800177839814037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6.4826687094250823E-2</v>
      </c>
      <c r="E42" s="126"/>
      <c r="F42" s="167">
        <f>6.1%+(1-6.1%)*(1-SUM(F26:G26)/SUM($B$26:$C$26))</f>
        <v>6.921312655686955E-2</v>
      </c>
      <c r="G42" s="126"/>
      <c r="H42" s="167">
        <f>6.1%+(1-6.1%)*(1-SUM(H26:I26)/SUM($B$26:$C$26))</f>
        <v>7.4277923817511221E-2</v>
      </c>
      <c r="I42" s="126"/>
      <c r="J42" s="167">
        <f>6.1%+(1-6.1%)*(1-SUM(J26:K26)/SUM($B$26:$C$26))</f>
        <v>8.0173008590160605E-2</v>
      </c>
      <c r="K42" s="126"/>
      <c r="L42" s="167">
        <f>6.1%+(1-6.1%)*(1-SUM(L26:M26)/SUM($B$26:$C$26))</f>
        <v>8.7094119495788311E-2</v>
      </c>
      <c r="M42" s="126"/>
      <c r="N42" s="167">
        <f>6.1%+(1-6.1%)*(1-SUM(N26:O26)/SUM($B$26:$C$26))</f>
        <v>9.5297392981323295E-2</v>
      </c>
      <c r="O42" s="126"/>
      <c r="P42" s="167">
        <f>6.1%+(1-6.1%)*(1-SUM(P26:Q26)/SUM($B$26:$C$26))</f>
        <v>0.10512129267005255</v>
      </c>
      <c r="Q42" s="126"/>
      <c r="R42" s="167">
        <f>6.1%+(1-6.1%)*(1-SUM(R26:S26)/SUM($B$26:$C$26))</f>
        <v>0.11701835332749645</v>
      </c>
      <c r="S42" s="126"/>
      <c r="T42" s="167">
        <f>6.1%+(1-6.1%)*(1-SUM(T26:U26)/SUM($B$26:$C$26))</f>
        <v>0.13160087843489771</v>
      </c>
      <c r="U42" s="126"/>
      <c r="V42" s="167">
        <f>6.1%+(1-6.1%)*(1-SUM(V26:W26)/SUM($B$26:$C$26))</f>
        <v>0.14970420126569617</v>
      </c>
      <c r="W42" s="126"/>
      <c r="X42" s="167">
        <f>6.1%+(1-6.1%)*(1-SUM(X26:Y26)/SUM($B$26:$C$26))</f>
        <v>0.1724750481359002</v>
      </c>
      <c r="Y42" s="152"/>
      <c r="Z42" s="167">
        <f>6.1%+(1-6.1%)*(1-SUM(Z26:AA26)/SUM($B$26:$C$26))</f>
        <v>0.20148627325324997</v>
      </c>
      <c r="AA42" s="126"/>
      <c r="AB42" s="167">
        <f>6.1%+(1-6.1%)*(1-SUM(AB26:AC26)/SUM($B$26:$C$26))</f>
        <v>0.23886965326107396</v>
      </c>
      <c r="AC42" s="126"/>
      <c r="AD42" s="167">
        <f>6.1%+(1-6.1%)*(1-SUM(AD26:AE26)/SUM($B$26:$C$26))</f>
        <v>0.28742828290444999</v>
      </c>
      <c r="AE42" s="126"/>
      <c r="AF42" s="167">
        <f>6.1%+(1-6.1%)*(1-SUM(AF26:AG26)/SUM($B$26:$C$26))</f>
        <v>0.35063666477179045</v>
      </c>
      <c r="AG42" s="126"/>
      <c r="AH42" s="167">
        <f>6.1%+(1-6.1%)*(1-SUM(AH26:AI26)/SUM($B$26:$C$26))</f>
        <v>0.43238435287298749</v>
      </c>
      <c r="AI42" s="126"/>
      <c r="AJ42" s="167">
        <f>6.1%+(1-6.1%)*(1-SUM(AJ26:AK26)/SUM($B$26:$C$26))</f>
        <v>0.53636220693529812</v>
      </c>
      <c r="AK42" s="126"/>
      <c r="AL42" s="167">
        <f>6.1%+(1-6.1%)*(1-SUM(AL26:AM26)/SUM($B$26:$C$26))</f>
        <v>0.66523045341220621</v>
      </c>
      <c r="AM42" s="126"/>
      <c r="AN42" s="167">
        <f>6.1%+(1-6.1%)*(1-SUM(AN26:AO26)/SUM($B$26:$C$26))</f>
        <v>0.81999960831440988</v>
      </c>
      <c r="AO42" s="126"/>
      <c r="AP42" s="167">
        <f>6.1%+(1-6.1%)*(1-SUM(AP26:AQ26)/SUM($B$26:$C$26))</f>
        <v>0.85402766694275734</v>
      </c>
      <c r="AQ42" s="126"/>
      <c r="AR42" s="167">
        <f>6.1%+(1-6.1%)*(1-SUM(AR26:AS26)/SUM($B$26:$C$26))</f>
        <v>0.8890564854485572</v>
      </c>
      <c r="AS42" s="126"/>
      <c r="AT42" s="167">
        <f>6.1%+(1-6.1%)*(1-SUM(AT26:AU26)/SUM($B$26:$C$26))</f>
        <v>0.92507203267126803</v>
      </c>
      <c r="AU42" s="126"/>
      <c r="AV42" s="167">
        <f>6.1%+(1-6.1%)*(1-SUM(AV26:AW26)/SUM($B$26:$C$26))</f>
        <v>0.96205879619062817</v>
      </c>
      <c r="XFD42" s="167"/>
    </row>
    <row r="43" spans="1:49 16319:16384" x14ac:dyDescent="0.2">
      <c r="A43" t="s">
        <v>95</v>
      </c>
      <c r="B43" s="152">
        <f>SUM(B15:C15*B27:C27)/SUM(B15:C15*B27:C27,B13:C13*B26:C26)</f>
        <v>0.56058995943839207</v>
      </c>
      <c r="C43" s="126"/>
      <c r="D43" s="152">
        <f t="array" ref="D43">SUM(D15:E15*D27:E27)/SUM(D15:E15*D27:E27,D13:E13*D26:E26)</f>
        <v>0.56690273319446993</v>
      </c>
      <c r="E43" s="126"/>
      <c r="F43" s="152">
        <f t="array" ref="F43">SUM(F15:G15*F27:G27)/SUM(F15:G15*F27:G27,F13:G13*F26:G26)</f>
        <v>0.56661170566088126</v>
      </c>
      <c r="G43" s="126"/>
      <c r="H43" s="152">
        <f t="array" ref="H43">SUM(H15:I15*H27:I27)/SUM(H15:I15*H27:I27,H13:I13*H26:I26)</f>
        <v>0.56632576141364122</v>
      </c>
      <c r="I43" s="126"/>
      <c r="J43" s="152">
        <f t="array" ref="J43">SUM(J15:K15*J27:K27)/SUM(J15:K15*J27:K27,J13:K13*J26:K26)</f>
        <v>0.5660424259701845</v>
      </c>
      <c r="K43" s="126"/>
      <c r="L43" s="152">
        <f t="array" ref="L43">SUM(L15:M15*L27:M27)/SUM(L15:M15*L27:M27,L13:M13*L26:M26)</f>
        <v>0.56575815817131114</v>
      </c>
      <c r="M43" s="126"/>
      <c r="N43" s="152">
        <f t="array" ref="N43">SUM(N15:O15*N27:O27)/SUM(N15:O15*N27:O27,N13:O13*N26:O26)</f>
        <v>0.56546797832554929</v>
      </c>
      <c r="O43" s="126"/>
      <c r="P43" s="152">
        <f t="array" ref="P43">SUM(P15:Q15*P27:Q27)/SUM(P15:Q15*P27:Q27,P13:Q13*P26:Q26)</f>
        <v>0.56516495207309303</v>
      </c>
      <c r="Q43" s="126"/>
      <c r="R43" s="152">
        <f t="array" ref="R43">SUM(R15:S15*R27:S27)/SUM(R15:S15*R27:S27,R13:S13*R26:S26)</f>
        <v>0.56483952487197342</v>
      </c>
      <c r="S43" s="126"/>
      <c r="T43" s="152">
        <f t="array" ref="T43">SUM(T15:U15*T27:U27)/SUM(T15:U15*T27:U27,T13:U13*T26:U26)</f>
        <v>0.56447863815255972</v>
      </c>
      <c r="U43" s="126"/>
      <c r="V43" s="152">
        <f t="array" ref="V43">SUM(V15:W15*V27:W27)/SUM(V15:W15*V27:W27,V13:W13*V26:W26)</f>
        <v>0.56406472034295041</v>
      </c>
      <c r="W43" s="126"/>
      <c r="X43" s="152">
        <f t="array" ref="X43">SUM(X15:Y15*X27:Y27)/SUM(X15:Y15*X27:Y27,X13:Y13*X26:Y26)</f>
        <v>0.56357451474133624</v>
      </c>
      <c r="Y43" s="126"/>
      <c r="Z43" s="152">
        <f t="array" ref="Z43">SUM(Z15:AA15*Z27:AA27)/SUM(Z15:AA15*Z27:AA27,Z13:AA13*Z26:AA26)</f>
        <v>0.56297823590941354</v>
      </c>
      <c r="AA43" s="126"/>
      <c r="AB43" s="152">
        <f t="array" ref="AB43">SUM(AB15:AC15*AB27:AC27)/SUM(AB15:AC15*AB27:AC27,AB13:AC13*AB26:AC26)</f>
        <v>0.56223968259662827</v>
      </c>
      <c r="AC43" s="126"/>
      <c r="AD43" s="152">
        <f t="array" ref="AD43">SUM(AD15:AE15*AD27:AE27)/SUM(AD15:AE15*AD27:AE27,AD13:AE13*AD26:AE26)</f>
        <v>0.56131881817925455</v>
      </c>
      <c r="AE43" s="126"/>
      <c r="AF43" s="152">
        <f t="array" ref="AF43">SUM(AF15:AG15*AF27:AG27)/SUM(AF15:AG15*AF27:AG27,AF13:AG13*AF26:AG26)</f>
        <v>0.56017864912590409</v>
      </c>
      <c r="AG43" s="126"/>
      <c r="AH43" s="152">
        <f t="array" ref="AH43">SUM(AH15:AI15*AH27:AI27)/SUM(AH15:AI15*AH27:AI27,AH13:AI13*AH26:AI26)</f>
        <v>0.55879716620620001</v>
      </c>
      <c r="AI43" s="126"/>
      <c r="AJ43" s="152">
        <f t="array" ref="AJ43">SUM(AJ15:AK15*AJ27:AK27)/SUM(AJ15:AK15*AJ27:AK27,AJ13:AK13*AJ26:AK26)</f>
        <v>0.55718090960993971</v>
      </c>
      <c r="AK43" s="126"/>
      <c r="AL43" s="152">
        <f t="array" ref="AL43">SUM(AL15:AM15*AL27:AM27)/SUM(AL15:AM15*AL27:AM27,AL13:AM13*AL26:AM26)</f>
        <v>0.55537134479592798</v>
      </c>
      <c r="AM43" s="126"/>
      <c r="AN43" s="152">
        <f t="array" ref="AN43">SUM(AN15:AO15*AN27:AO27)/SUM(AN15:AO15*AN27:AO27,AN13:AO13*AN26:AO26)</f>
        <v>0.55343656719404577</v>
      </c>
      <c r="AO43" s="126"/>
      <c r="AP43" s="152">
        <f t="array" ref="AP43">SUM(AP15:AQ15*AP27:AQ27)/SUM(AP15:AQ15*AP27:AQ27,AP13:AQ13*AP26:AQ26)</f>
        <v>0.5530413229532688</v>
      </c>
      <c r="AQ43" s="126"/>
      <c r="AR43" s="152">
        <f t="array" ref="AR43">SUM(AR15:AS15*AR27:AS27)/SUM(AR15:AS15*AR27:AS27,AR13:AS13*AR26:AS26)</f>
        <v>0.55264469965344298</v>
      </c>
      <c r="AS43" s="126"/>
      <c r="AT43" s="152">
        <f t="array" ref="AT43">SUM(AT15:AU15*AT27:AU27)/SUM(AT15:AU15*AT27:AU27,AT13:AU13*AT26:AU26)</f>
        <v>0.55224725251525264</v>
      </c>
      <c r="AU43" s="126"/>
      <c r="AV43" s="152">
        <f t="array" ref="AV43">SUM(AV15:AW15*AV27:AW27)/SUM(AV15:AW15*AV27:AW27,AV13:AW13*AV26:AW26)</f>
        <v>0.55184950889708773</v>
      </c>
    </row>
    <row r="44" spans="1:49 16319:16384" x14ac:dyDescent="0.2">
      <c r="A44" t="s">
        <v>129</v>
      </c>
      <c r="B44" s="183">
        <f>(SUM(B11:C11*B24:C24)+B34)/B32</f>
        <v>0.29754226190682442</v>
      </c>
      <c r="D44" s="183">
        <f>(SUM(D11:E11*D24:E24)+D34)/D32</f>
        <v>0.29951306640874414</v>
      </c>
      <c r="F44" s="183">
        <f>(SUM(F11:G11*F24:G24)+F34)/F32</f>
        <v>0.30152393160141178</v>
      </c>
      <c r="H44" s="183">
        <f>(SUM(H11:I11*H24:I24)+H34)/H32</f>
        <v>0.30358005901392748</v>
      </c>
      <c r="J44" s="183">
        <f>(SUM(J11:K11*J24:K24)+J34)/J32</f>
        <v>0.30568744412879267</v>
      </c>
      <c r="L44" s="183">
        <f>(SUM(L11:M11*L24:M24)+L34)/L32</f>
        <v>0.30785309872775635</v>
      </c>
      <c r="N44" s="183">
        <f>(SUM(N11:O11*N24:O24)+N34)/N32</f>
        <v>0.31008522251075021</v>
      </c>
      <c r="P44" s="183">
        <f>(SUM(P11:Q11*P24:Q24)+P34)/P32</f>
        <v>0.31239348082413865</v>
      </c>
      <c r="R44" s="183">
        <f>(SUM(R11:S11*R24:S24)+R34)/R32</f>
        <v>0.31478932958784167</v>
      </c>
      <c r="T44" s="183">
        <f>(SUM(T11:U11*T24:U24)+T34)/T32</f>
        <v>0.31728624760769325</v>
      </c>
      <c r="V44" s="183">
        <f>(SUM(V11:W11*V24:W24)+V34)/V32</f>
        <v>0.31990004819906948</v>
      </c>
      <c r="X44" s="183">
        <f>(SUM(X11:Y11*X24:Y24)+X34)/X32</f>
        <v>0.32264872432191599</v>
      </c>
      <c r="Z44" s="183">
        <f>(SUM(Z11:AA11*Z24:AA24)+Z34)/Z32</f>
        <v>0.32555163147276572</v>
      </c>
      <c r="AB44" s="183">
        <f>(SUM(AB11:AC11*AB24:AC24)+AB34)/AB32</f>
        <v>0.32862701323075733</v>
      </c>
      <c r="AD44" s="183">
        <f>(SUM(AD11:AE11*AD24:AE24)+AD34)/AD32</f>
        <v>0.33188679891569167</v>
      </c>
      <c r="AF44" s="183">
        <f>(SUM(AF11:AG11*AF24:AG24)+AF34)/AF32</f>
        <v>0.33532780357914799</v>
      </c>
      <c r="AH44" s="183">
        <f>(SUM(AH11:AI11*AH24:AI24)+AH34)/AH32</f>
        <v>0.33892082352105979</v>
      </c>
      <c r="AJ44" s="183">
        <f>(SUM(AJ11:AK11*AJ24:AK24)+AJ34)/AJ32</f>
        <v>0.34260361158255054</v>
      </c>
      <c r="AL44" s="183">
        <f>(SUM(AL11:AM11*AL24:AM24)+AL34)/AL32</f>
        <v>0.34628648626620906</v>
      </c>
      <c r="AN44" s="183">
        <f>(SUM(AN11:AO11*AN24:AO24)+AN34)/AN32</f>
        <v>0.34987253519296824</v>
      </c>
      <c r="AP44" s="183">
        <f>(SUM(AP11:AQ11*AP24:AQ24)+AP34)/AP32</f>
        <v>0.35057056824891636</v>
      </c>
      <c r="AR44" s="183">
        <f>(SUM(AR11:AS11*AR24:AS24)+AR34)/AR32</f>
        <v>0.35126091359647982</v>
      </c>
      <c r="AT44" s="183">
        <f>(SUM(AT11:AU11*AT24:AU24)+AT34)/AT32</f>
        <v>0.35194311255748206</v>
      </c>
      <c r="AV44" s="183">
        <f>(SUM(AV11:AW11*AV24:AW24)+AV34)/AV32</f>
        <v>0.35261676019895272</v>
      </c>
    </row>
    <row r="45" spans="1:49 16319:16384" x14ac:dyDescent="0.2">
      <c r="A45" t="s">
        <v>82</v>
      </c>
      <c r="B45" s="183">
        <f>SUM(B11:C11*B24:C24)/B32</f>
        <v>0.22038438833194082</v>
      </c>
      <c r="D45" s="183">
        <f>SUM(D11:E11*D24:E24)/D32</f>
        <v>0.22235519458374109</v>
      </c>
      <c r="F45" s="183">
        <f>SUM(F11:G11*F24:G24)/F32</f>
        <v>0.22436605990712002</v>
      </c>
      <c r="H45" s="183">
        <f>SUM(H11:I11*H24:I24)/H32</f>
        <v>0.22642218524340205</v>
      </c>
      <c r="J45" s="183">
        <f>SUM(J11:K11*J24:K24)/J32</f>
        <v>0.22852957090874484</v>
      </c>
      <c r="L45" s="183">
        <f>SUM(L11:M11*L24:M24)/L32</f>
        <v>0.23069522469984</v>
      </c>
      <c r="N45" s="183">
        <f>SUM(N11:O11*N24:O24)/N32</f>
        <v>0.23292734810681565</v>
      </c>
      <c r="P45" s="183">
        <f>SUM(P11:Q11*P24:Q24)/P32</f>
        <v>0.23523561022413719</v>
      </c>
      <c r="R45" s="183">
        <f>SUM(R11:S11*R24:S24)/R32</f>
        <v>0.23763145618256851</v>
      </c>
      <c r="T45" s="183">
        <f>SUM(T11:U11*T24:U24)/T32</f>
        <v>0.24012837322962741</v>
      </c>
      <c r="V45" s="183">
        <f>SUM(V11:W11*V24:W24)/V32</f>
        <v>0.24274217420231986</v>
      </c>
      <c r="X45" s="183">
        <f>SUM(X11:Y11*X24:Y24)/X32</f>
        <v>0.24549085079038777</v>
      </c>
      <c r="Z45" s="183">
        <f>SUM(Z11:AA11*Z24:AA24)/Z32</f>
        <v>0.24839375799506117</v>
      </c>
      <c r="AB45" s="183">
        <f>SUM(AB11:AC11*AB24:AC24)/AB32</f>
        <v>0.25146913941922711</v>
      </c>
      <c r="AD45" s="183">
        <f>SUM(AD11:AE11*AD24:AE24)/AD32</f>
        <v>0.25472892381593598</v>
      </c>
      <c r="AF45" s="183">
        <f>SUM(AF11:AG11*AF24:AG24)/AF32</f>
        <v>0.25816993008078803</v>
      </c>
      <c r="AH45" s="183">
        <f>SUM(AH11:AI11*AH24:AI24)/AH32</f>
        <v>0.26176294999023114</v>
      </c>
      <c r="AJ45" s="183">
        <f>SUM(AJ11:AK11*AJ24:AK24)/AJ32</f>
        <v>0.26544573796510412</v>
      </c>
      <c r="AL45" s="183">
        <f>SUM(AL11:AM11*AL24:AM24)/AL32</f>
        <v>0.26912861298555474</v>
      </c>
      <c r="AN45" s="183">
        <f>SUM(AN11:AO11*AN24:AO24)/AN32</f>
        <v>0.27271466360872687</v>
      </c>
      <c r="AP45" s="183">
        <f>SUM(AP11:AQ11*AP24:AQ24)/AP32</f>
        <v>0.27341269581225797</v>
      </c>
      <c r="AR45" s="183">
        <f>SUM(AR11:AS11*AR24:AS24)/AR32</f>
        <v>0.27410303924822704</v>
      </c>
      <c r="AT45" s="183">
        <f>SUM(AT11:AU11*AT24:AU24)/AT32</f>
        <v>0.27478523731209742</v>
      </c>
      <c r="AV45" s="183">
        <f>SUM(AV11:AW11*AV24:AW24)/AV32</f>
        <v>0.27545888768859372</v>
      </c>
      <c r="XCQ45" s="183"/>
    </row>
    <row r="46" spans="1:49 16319:16384" x14ac:dyDescent="0.2">
      <c r="A46" t="s">
        <v>126</v>
      </c>
      <c r="B46" s="183">
        <f>B34/B32</f>
        <v>7.7157873574883587E-2</v>
      </c>
      <c r="D46" s="183">
        <f>D34/D32</f>
        <v>7.7157871825002985E-2</v>
      </c>
      <c r="F46" s="183">
        <f>F34/F32</f>
        <v>7.715787169429171E-2</v>
      </c>
      <c r="H46" s="183">
        <f>H34/H32</f>
        <v>7.7157873770525423E-2</v>
      </c>
      <c r="J46" s="183">
        <f>J34/J32</f>
        <v>7.7157873220047815E-2</v>
      </c>
      <c r="L46" s="183">
        <f>L34/L32</f>
        <v>7.7157874027916365E-2</v>
      </c>
      <c r="N46" s="183">
        <f>N34/N32</f>
        <v>7.7157874403934554E-2</v>
      </c>
      <c r="P46" s="183">
        <f>P34/P32</f>
        <v>7.7157870600001455E-2</v>
      </c>
      <c r="R46" s="183">
        <f>R34/R32</f>
        <v>7.7157873405273192E-2</v>
      </c>
      <c r="T46" s="183">
        <f>T34/T32</f>
        <v>7.7157874378065872E-2</v>
      </c>
      <c r="V46" s="183">
        <f>V34/V32</f>
        <v>7.7157873996749615E-2</v>
      </c>
      <c r="X46" s="183">
        <f>X34/X32</f>
        <v>7.7157873531528254E-2</v>
      </c>
      <c r="Z46" s="183">
        <f>Z34/Z32</f>
        <v>7.7157873477704572E-2</v>
      </c>
      <c r="AB46" s="183">
        <f>AB34/AB32</f>
        <v>7.7157873811530206E-2</v>
      </c>
      <c r="AD46" s="183">
        <f>AD34/AD32</f>
        <v>7.7157875099755691E-2</v>
      </c>
      <c r="AF46" s="183">
        <f>AF34/AF32</f>
        <v>7.7157873498359966E-2</v>
      </c>
      <c r="AH46" s="183">
        <f>AH34/AH32</f>
        <v>7.7157873530828661E-2</v>
      </c>
      <c r="AJ46" s="183">
        <f>AJ34/AJ32</f>
        <v>7.7157873617446388E-2</v>
      </c>
      <c r="AL46" s="183">
        <f>AL34/AL32</f>
        <v>7.7157873280654321E-2</v>
      </c>
      <c r="AN46" s="183">
        <f>AN34/AN32</f>
        <v>7.7157871584241353E-2</v>
      </c>
      <c r="AP46" s="183">
        <f>AP34/AP32</f>
        <v>7.7157872436658351E-2</v>
      </c>
      <c r="AR46" s="183">
        <f>AR34/AR32</f>
        <v>7.7157874348252789E-2</v>
      </c>
      <c r="AT46" s="183">
        <f>AT34/AT32</f>
        <v>7.7157875245384644E-2</v>
      </c>
      <c r="AV46" s="183">
        <f>AV34/AV32</f>
        <v>7.7157872510359007E-2</v>
      </c>
      <c r="XCS46" s="183"/>
    </row>
    <row r="48" spans="1:49 16319:16384" x14ac:dyDescent="0.2">
      <c r="A48" t="s">
        <v>143</v>
      </c>
      <c r="B48" s="181">
        <f>B24/$B$24</f>
        <v>1</v>
      </c>
      <c r="C48" s="181"/>
      <c r="D48" s="181">
        <f>D24/$B$24</f>
        <v>1.0055492114320903</v>
      </c>
      <c r="E48" s="181"/>
      <c r="F48" s="181">
        <f>F24/$B$24</f>
        <v>1.0104969947611724</v>
      </c>
      <c r="G48" s="181"/>
      <c r="H48" s="181">
        <f>H24/$B$24</f>
        <v>1.0147035507727986</v>
      </c>
      <c r="I48" s="181"/>
      <c r="J48" s="181">
        <f>J24/$B$24</f>
        <v>1.0179882111276846</v>
      </c>
      <c r="K48" s="181"/>
      <c r="L48" s="181">
        <f>L24/$B$24</f>
        <v>1.0201164255902637</v>
      </c>
      <c r="M48" s="181"/>
      <c r="N48" s="181">
        <f>N24/$B$24</f>
        <v>1.0207788625303011</v>
      </c>
      <c r="O48" s="181"/>
      <c r="P48" s="181">
        <f>P24/$B$24</f>
        <v>1.0195636759241657</v>
      </c>
      <c r="Q48" s="181"/>
      <c r="R48" s="181">
        <f>R24/$B$24</f>
        <v>1.015915871675813</v>
      </c>
      <c r="S48" s="181"/>
      <c r="T48" s="181">
        <f>T24/$B$24</f>
        <v>1.0090779655229762</v>
      </c>
      <c r="U48" s="181"/>
      <c r="V48" s="181">
        <f>V24/$B$24</f>
        <v>0.99800622493401814</v>
      </c>
      <c r="W48" s="181"/>
      <c r="X48" s="181">
        <f>X24/$B$24</f>
        <v>0.9812503685909344</v>
      </c>
      <c r="Y48" s="181"/>
      <c r="Z48" s="181">
        <f>Z24/$B$24</f>
        <v>0.95679086772957733</v>
      </c>
      <c r="AA48" s="181"/>
      <c r="AB48" s="181">
        <f>AB24/$B$24</f>
        <v>0.92183721682217101</v>
      </c>
      <c r="AC48" s="181"/>
      <c r="AD48" s="181">
        <f>AD24/$B$24</f>
        <v>0.87262756551936671</v>
      </c>
      <c r="AE48" s="181"/>
      <c r="AF48" s="181">
        <f>AF24/$B$24</f>
        <v>0.80434417423474314</v>
      </c>
      <c r="AG48" s="181"/>
      <c r="AH48" s="181">
        <f>AH24/$B$24</f>
        <v>0.71134998851530951</v>
      </c>
      <c r="AI48" s="181"/>
      <c r="AJ48" s="181">
        <f>AJ24/$B$24</f>
        <v>0.58793866140883855</v>
      </c>
      <c r="AK48" s="181"/>
      <c r="AL48" s="181">
        <f>AL24/$B$24</f>
        <v>0.42949870660014167</v>
      </c>
      <c r="AM48" s="181"/>
      <c r="AN48" s="181">
        <f>AN24/$B$24</f>
        <v>0.23354294874456677</v>
      </c>
      <c r="AO48" s="181"/>
      <c r="AP48" s="181">
        <f>AP24/$B$24</f>
        <v>0.18980487419734648</v>
      </c>
      <c r="AQ48" s="181"/>
      <c r="AR48" s="181">
        <f>AR24/$B$24</f>
        <v>0.14456724840803009</v>
      </c>
      <c r="AS48" s="181"/>
      <c r="AT48" s="181">
        <f>AT24/$B$24</f>
        <v>9.7843107297090434E-2</v>
      </c>
      <c r="AU48" s="181"/>
      <c r="AV48" s="181">
        <f>AV24/$B$24</f>
        <v>4.9648060285789136E-2</v>
      </c>
    </row>
    <row r="49" spans="1:48 16321:16384" x14ac:dyDescent="0.2">
      <c r="A49" t="s">
        <v>144</v>
      </c>
      <c r="B49" s="181">
        <f>B13/B35/$B$13*$B$35</f>
        <v>1</v>
      </c>
      <c r="C49" s="181"/>
      <c r="D49" s="181">
        <f>D13/D35/$B$13*$B$35</f>
        <v>0.99393424470345804</v>
      </c>
      <c r="E49" s="181"/>
      <c r="F49" s="181">
        <f>F13/F35/$B$13*$B$35</f>
        <v>0.98744794448411921</v>
      </c>
      <c r="G49" s="181"/>
      <c r="H49" s="181">
        <f>H13/H35/$B$13*$B$35</f>
        <v>0.98049868186141864</v>
      </c>
      <c r="I49" s="181"/>
      <c r="J49" s="181">
        <f>J13/J35/$B$13*$B$35</f>
        <v>0.97303888219540913</v>
      </c>
      <c r="K49" s="181"/>
      <c r="L49" s="181">
        <f>L13/L35/$B$13*$B$35</f>
        <v>0.96501510364963017</v>
      </c>
      <c r="M49" s="181"/>
      <c r="N49" s="181">
        <f>N13/N35/$B$13*$B$35</f>
        <v>0.95636769471916783</v>
      </c>
      <c r="O49" s="181"/>
      <c r="P49" s="181">
        <f>P13/P35/$B$13*$B$35</f>
        <v>0.94703047170756327</v>
      </c>
      <c r="Q49" s="181"/>
      <c r="R49" s="181">
        <f>R13/R35/$B$13*$B$35</f>
        <v>0.93693095448281782</v>
      </c>
      <c r="S49" s="181"/>
      <c r="T49" s="181">
        <f>T13/T35/$B$13*$B$35</f>
        <v>0.92599174271871754</v>
      </c>
      <c r="U49" s="181"/>
      <c r="V49" s="181">
        <f>V13/V35/$B$13*$B$35</f>
        <v>0.91413341662010628</v>
      </c>
      <c r="W49" s="181"/>
      <c r="X49" s="181">
        <f>X13/X35/$B$13*$B$35</f>
        <v>0.90128129305320148</v>
      </c>
      <c r="Y49" s="181"/>
      <c r="Z49" s="181">
        <f>Z13/Z35/$B$13*$B$35</f>
        <v>0.88737755153143627</v>
      </c>
      <c r="AA49" s="181"/>
      <c r="AB49" s="181">
        <f>AB13/AB35/$B$13*$B$35</f>
        <v>0.87240246871963989</v>
      </c>
      <c r="AC49" s="181"/>
      <c r="AD49" s="181">
        <f>AD13/AD35/$B$13*$B$35</f>
        <v>0.85640665506165781</v>
      </c>
      <c r="AE49" s="181"/>
      <c r="AF49" s="181">
        <f>AF13/AF35/$B$13*$B$35</f>
        <v>0.83955132543274325</v>
      </c>
      <c r="AG49" s="181"/>
      <c r="AH49" s="181">
        <f>AH13/AH35/$B$13*$B$35</f>
        <v>0.82214039404806671</v>
      </c>
      <c r="AI49" s="181"/>
      <c r="AJ49" s="181">
        <f>AJ13/AJ35/$B$13*$B$35</f>
        <v>0.80461322407333769</v>
      </c>
      <c r="AK49" s="181"/>
      <c r="AL49" s="181">
        <f>AL13/AL35/$B$13*$B$35</f>
        <v>0.78747317942843109</v>
      </c>
      <c r="AM49" s="181"/>
      <c r="AN49" s="181">
        <f>AN13/AN35/$B$13*$B$35</f>
        <v>0.771172650026406</v>
      </c>
      <c r="AO49" s="181"/>
      <c r="AP49" s="181">
        <f>AP13/AP35/$B$13*$B$35</f>
        <v>0.76804344935548852</v>
      </c>
      <c r="AQ49" s="181"/>
      <c r="AR49" s="181">
        <f>AR13/AR35/$B$13*$B$35</f>
        <v>0.76496232809554832</v>
      </c>
      <c r="AS49" s="181"/>
      <c r="AT49" s="181">
        <f>AT13/AT35/$B$13*$B$35</f>
        <v>0.76193062230950004</v>
      </c>
      <c r="AU49" s="181"/>
      <c r="AV49" s="181">
        <f>AV13/AV35/$B$13*$B$35</f>
        <v>0.75894940010263257</v>
      </c>
    </row>
    <row r="51" spans="1:48 16321:16384" x14ac:dyDescent="0.2">
      <c r="A51" t="s">
        <v>150</v>
      </c>
      <c r="B51" s="27">
        <f>B30-B10*B23</f>
        <v>-405838.32800000021</v>
      </c>
      <c r="D51" s="27">
        <f>D30-D10*D23</f>
        <v>-355179.64481303422</v>
      </c>
      <c r="F51" s="27">
        <f>F30-F10*F23</f>
        <v>-303797.99654453993</v>
      </c>
      <c r="H51" s="27">
        <f>H30-H10*H23</f>
        <v>-251662.53801277978</v>
      </c>
      <c r="J51" s="27">
        <f>J30-J10*J23</f>
        <v>-198752.70526144141</v>
      </c>
      <c r="L51" s="27">
        <f>L30-L10*L23</f>
        <v>-145066.39271192392</v>
      </c>
      <c r="N51" s="27">
        <f>N30-N10*N23</f>
        <v>-90630.451277054381</v>
      </c>
      <c r="P51" s="27">
        <f>P30-P10*P23</f>
        <v>-35519.200531610288</v>
      </c>
      <c r="R51" s="27">
        <f>R30-R10*R23</f>
        <v>20116.291964265518</v>
      </c>
      <c r="T51" s="27">
        <f>T30-T10*T23</f>
        <v>76001.824311459903</v>
      </c>
      <c r="V51" s="27">
        <f>V30-V10*V23</f>
        <v>131662.50050385157</v>
      </c>
      <c r="X51" s="27">
        <f>X30-X10*X23</f>
        <v>186296.0183181325</v>
      </c>
      <c r="Z51" s="27">
        <f>Z30-Z10*Z23</f>
        <v>238569.30020702025</v>
      </c>
      <c r="AB51" s="27">
        <f>AB30-AB10*AB23</f>
        <v>286303.57468924578</v>
      </c>
      <c r="AD51" s="27">
        <f>AD30-AD10*AD23</f>
        <v>326034.78030074667</v>
      </c>
      <c r="AF51" s="27">
        <f>AF30-AF10*AF23</f>
        <v>352517.64656315092</v>
      </c>
      <c r="AH51" s="27">
        <f>AH30-AH10*AH23</f>
        <v>358427.4325483737</v>
      </c>
      <c r="AJ51" s="27">
        <f>AJ30-AJ10*AJ23</f>
        <v>334709.22376194387</v>
      </c>
      <c r="AL51" s="27">
        <f>AL30-AL10*AL23</f>
        <v>271892.93632383412</v>
      </c>
      <c r="AN51" s="27">
        <f>AN30-AN10*AN23</f>
        <v>161997.46138519619</v>
      </c>
      <c r="AP51" s="27">
        <f>AP30-AP10*AP23</f>
        <v>133867.16305853514</v>
      </c>
      <c r="AQ51" s="27"/>
      <c r="AR51" s="27">
        <f>AR30-AR10*AR23</f>
        <v>103618.13243224559</v>
      </c>
      <c r="AT51" s="27">
        <f>AT30-AT10*AT23</f>
        <v>71231.969440000859</v>
      </c>
      <c r="AV51" s="27">
        <f>AV30-AV10*AV23</f>
        <v>36695.398390684481</v>
      </c>
      <c r="XFD51" s="27"/>
    </row>
    <row r="52" spans="1:48 16321:16384" x14ac:dyDescent="0.2">
      <c r="A52" t="s">
        <v>151</v>
      </c>
      <c r="B52" s="27">
        <f t="array" ref="B52">Calibration!sL*SUM(B13:C13*B26:C26)</f>
        <v>2073093.0976150823</v>
      </c>
      <c r="D52" s="27">
        <f t="array" ref="D52">Calibration!sL*SUM(D13:E13*D26:E26)</f>
        <v>2055493.1736213418</v>
      </c>
      <c r="F52" s="27">
        <f t="array" ref="F52">Calibration!sL*SUM(F13:G13*F26:G26)</f>
        <v>2036180.4255611119</v>
      </c>
      <c r="H52" s="27">
        <f t="array" ref="H52">Calibration!sL*SUM(H13:I13*H26:I26)</f>
        <v>2014876.0835165731</v>
      </c>
      <c r="J52" s="27">
        <f t="array" ref="J52">Calibration!sL*SUM(J13:K13*J26:K26)</f>
        <v>1991235.8450541806</v>
      </c>
      <c r="L52" s="27">
        <f t="array" ref="L52">Calibration!sL*SUM(L13:M13*L26:M26)</f>
        <v>1964831.3799898431</v>
      </c>
      <c r="N52" s="27">
        <f t="array" ref="N52">Calibration!sL*SUM(N13:O13*N26:O26)</f>
        <v>1935121.6112608768</v>
      </c>
      <c r="P52" s="27">
        <f t="array" ref="P52">Calibration!sL*SUM(P13:Q13*P26:Q26)</f>
        <v>1901415.3689232175</v>
      </c>
      <c r="R52" s="27">
        <f t="array" ref="R52">Calibration!sL*SUM(R13:S13*R26:S26)</f>
        <v>1862818.0405819088</v>
      </c>
      <c r="T52" s="27">
        <f t="array" ref="T52">Calibration!sL*SUM(T13:U13*T26:U26)</f>
        <v>1818155.673502398</v>
      </c>
      <c r="V52" s="27">
        <f t="array" ref="V52">Calibration!sL*SUM(V13:W13*V26:W26)</f>
        <v>1765870.8400383685</v>
      </c>
      <c r="X52" s="27">
        <f t="array" ref="X52">Calibration!sL*SUM(X13:Y13*X26:Y26)</f>
        <v>1703878.6849349879</v>
      </c>
      <c r="Z52" s="27">
        <f t="array" ref="Z52">Calibration!sL*SUM(Z13:AA13*Z26:AA26)</f>
        <v>1629381.1274790615</v>
      </c>
      <c r="AB52" s="27">
        <f t="array" ref="AB52">Calibration!sL*SUM(AB13:AC13*AB26:AC26)</f>
        <v>1538654.2566278845</v>
      </c>
      <c r="AD52" s="27">
        <f t="array" ref="AD52">Calibration!sL*SUM(AD13:AE13*AD26:AE26)</f>
        <v>1426872.4928769406</v>
      </c>
      <c r="AF52" s="27">
        <f t="array" ref="AF52">Calibration!sL*SUM(AF13:AG13*AF26:AG26)</f>
        <v>1288121.7371508451</v>
      </c>
      <c r="AH52" s="27">
        <f t="array" ref="AH52">Calibration!sL*SUM(AH13:AI13*AH26:AI26)</f>
        <v>1115839.8997842581</v>
      </c>
      <c r="AJ52" s="27">
        <f t="array" ref="AJ52">Calibration!sL*SUM(AJ13:AK13*AJ26:AK26)</f>
        <v>903852.72839660628</v>
      </c>
      <c r="AL52" s="27">
        <f t="array" ref="AL52">Calibration!sL*SUM(AL13:AM13*AL26:AM26)</f>
        <v>647773.85627970146</v>
      </c>
      <c r="AN52" s="27">
        <f t="array" ref="AN52">Calibration!sL*SUM(AN13:AO13*AN26:AO26)</f>
        <v>346047.87668376171</v>
      </c>
      <c r="AP52" s="27">
        <f t="array" ref="AP52">Calibration!sL*SUM(AP13:AQ13*AP26:AQ26)</f>
        <v>280298.65665093885</v>
      </c>
      <c r="AQ52" s="27"/>
      <c r="AR52" s="27">
        <f t="array" ref="AR52">Calibration!sL*SUM(AR13:AS13*AR26:AS26)</f>
        <v>212792.53168136245</v>
      </c>
      <c r="AT52" s="27">
        <f t="array" ref="AT52">Calibration!sL*SUM(AT13:AU13*AT26:AU26)</f>
        <v>143554.99208359807</v>
      </c>
      <c r="AV52" s="27">
        <f t="array" ref="AV52">Calibration!sL*SUM(AV13:AW13*AV26:AW26)</f>
        <v>72614.076707711487</v>
      </c>
    </row>
    <row r="53" spans="1:48 16321:16384" x14ac:dyDescent="0.2">
      <c r="A53" t="s">
        <v>152</v>
      </c>
      <c r="B53" s="27">
        <f t="array" ref="B53">Calibration!sK*SUM(B15:C15*B27:C27)</f>
        <v>2716869.1663849424</v>
      </c>
      <c r="D53" s="27">
        <f t="array" ref="D53">Calibration!sK*SUM(D15:E15*D27:E27)</f>
        <v>2690538.1019449905</v>
      </c>
      <c r="F53" s="27">
        <f t="array" ref="F53">Calibration!sK*SUM(F15:G15*F27:G27)</f>
        <v>2662101.5819539228</v>
      </c>
      <c r="H53" s="27">
        <f t="array" ref="H53">Calibration!sK*SUM(H15:I15*H27:I27)</f>
        <v>2631182.8801987567</v>
      </c>
      <c r="J53" s="27">
        <f t="array" ref="J53">Calibration!sK*SUM(J15:K15*J27:K27)</f>
        <v>2597313.7372544589</v>
      </c>
      <c r="L53" s="27">
        <f t="array" ref="L53">Calibration!sK*SUM(L15:M15*L27:M27)</f>
        <v>2559908.5016288925</v>
      </c>
      <c r="N53" s="27">
        <f t="array" ref="N53">Calibration!sK*SUM(N15:O15*N27:O27)</f>
        <v>2518224.7814950994</v>
      </c>
      <c r="P53" s="27">
        <f t="array" ref="P53">Calibration!sK*SUM(P15:Q15*P27:Q27)</f>
        <v>2471312.5838678228</v>
      </c>
      <c r="R53" s="27">
        <f t="array" ref="R53">Calibration!sK*SUM(R15:S15*R27:S27)</f>
        <v>2417943.0741168875</v>
      </c>
      <c r="T53" s="27">
        <f t="array" ref="T53">Calibration!sK*SUM(T15:U15*T27:U27)</f>
        <v>2356509.0680614924</v>
      </c>
      <c r="V53" s="27">
        <f t="array" ref="V53">Calibration!sK*SUM(V15:W15*V27:W27)</f>
        <v>2284892.9371617241</v>
      </c>
      <c r="X53" s="27">
        <f t="array" ref="X53">Calibration!sK*SUM(X15:Y15*X27:Y27)</f>
        <v>2200289.93602701</v>
      </c>
      <c r="Z53" s="27">
        <f t="array" ref="Z53">Calibration!sK*SUM(Z15:AA15*Z27:AA27)</f>
        <v>2098994.1191627085</v>
      </c>
      <c r="AB53" s="27">
        <f t="array" ref="AB53">Calibration!sK*SUM(AB15:AC15*AB27:AC27)</f>
        <v>1976178.3937014062</v>
      </c>
      <c r="AD53" s="27">
        <f t="array" ref="AD53">Calibration!sK*SUM(AD15:AE15*AD27:AE27)</f>
        <v>1825768.7235862527</v>
      </c>
      <c r="AF53" s="27">
        <f t="array" ref="AF53">Calibration!sK*SUM(AF15:AG15*AF27:AG27)</f>
        <v>1640616.7940524418</v>
      </c>
      <c r="AH53" s="27">
        <f t="array" ref="AH53">Calibration!sK*SUM(AH15:AI15*AH27:AI27)</f>
        <v>1413246.0768161453</v>
      </c>
      <c r="AJ53" s="27">
        <f t="array" ref="AJ53">Calibration!sK*SUM(AJ15:AK15*AJ27:AK27)</f>
        <v>1137280.4296170671</v>
      </c>
      <c r="AL53" s="27">
        <f t="array" ref="AL53">Calibration!sK*SUM(AL15:AM15*AL27:AM27)</f>
        <v>809113.47812386171</v>
      </c>
      <c r="AN53" s="27">
        <f t="array" ref="AN53">Calibration!sK*SUM(AN15:AO15*AN27:AO27)</f>
        <v>428865.2739730014</v>
      </c>
      <c r="AP53" s="27">
        <f t="array" ref="AP53">Calibration!sK*SUM(AP15:AQ15*AP27:AQ27)</f>
        <v>346825.66388581757</v>
      </c>
      <c r="AQ53" s="27"/>
      <c r="AR53" s="27">
        <f t="array" ref="AR53">Calibration!sK*SUM(AR15:AS15*AR27:AS27)</f>
        <v>262875.31335482339</v>
      </c>
      <c r="AT53" s="27">
        <f t="array" ref="AT53">Calibration!sK*SUM(AT15:AU15*AT27:AU27)</f>
        <v>177057.20491579224</v>
      </c>
      <c r="AV53" s="27">
        <f t="array" ref="AV53">Calibration!sK*SUM(AV15:AW15*AV27:AW27)</f>
        <v>89416.487018785847</v>
      </c>
      <c r="XFD53" s="27"/>
    </row>
    <row r="55" spans="1:48 16321:16384" x14ac:dyDescent="0.2">
      <c r="A55" t="s">
        <v>153</v>
      </c>
      <c r="B55" s="183">
        <f>B30/B32</f>
        <v>0.19850271905982084</v>
      </c>
      <c r="D55" s="183">
        <f>D30/D32</f>
        <v>0.20181834204980734</v>
      </c>
      <c r="F55" s="183">
        <f>F30/F32</f>
        <v>0.20520135182285706</v>
      </c>
      <c r="H55" s="183">
        <f>H30/H32</f>
        <v>0.2086604886002188</v>
      </c>
      <c r="J55" s="183">
        <f>J30/J32</f>
        <v>0.21220588127751372</v>
      </c>
      <c r="L55" s="183">
        <f>L30/L32</f>
        <v>0.21584929411146095</v>
      </c>
      <c r="N55" s="183">
        <f>N30/N32</f>
        <v>0.21960453753152775</v>
      </c>
      <c r="P55" s="183">
        <f>P30/P32</f>
        <v>0.22348788474685669</v>
      </c>
      <c r="R55" s="183">
        <f>R30/R32</f>
        <v>0.22751855391903514</v>
      </c>
      <c r="T55" s="183">
        <f>T30/T32</f>
        <v>0.23171927560094135</v>
      </c>
      <c r="V55" s="183">
        <f>V30/V32</f>
        <v>0.23611663678096695</v>
      </c>
      <c r="X55" s="183">
        <f>X30/X32</f>
        <v>0.24074090985557911</v>
      </c>
      <c r="Z55" s="183">
        <f>Z30/Z32</f>
        <v>0.24562465433256084</v>
      </c>
      <c r="AB55" s="183">
        <f>AB30/AB32</f>
        <v>0.25079856361470804</v>
      </c>
      <c r="AD55" s="183">
        <f>AD30/AD32</f>
        <v>0.25628270539192244</v>
      </c>
      <c r="AF55" s="183">
        <f>AF30/AF32</f>
        <v>0.2620717267565717</v>
      </c>
      <c r="AH55" s="183">
        <f>AH30/AH32</f>
        <v>0.26811649242829716</v>
      </c>
      <c r="AJ55" s="183">
        <f>AJ30/AJ32</f>
        <v>0.27431228084205106</v>
      </c>
      <c r="AL55" s="183">
        <f>AL30/AL32</f>
        <v>0.28050821556116667</v>
      </c>
      <c r="AN55" s="183">
        <f>AN30/AN32</f>
        <v>0.28654126572487187</v>
      </c>
      <c r="AP55" s="183">
        <f>AP30/AP32</f>
        <v>0.28771560490629178</v>
      </c>
      <c r="AR55" s="183">
        <f>AR30/AR32</f>
        <v>0.28887700096256752</v>
      </c>
      <c r="AT55" s="183">
        <f>AT30/AT32</f>
        <v>0.29002469994653385</v>
      </c>
      <c r="AV55" s="183">
        <f>AV30/AV32</f>
        <v>0.29115804319660937</v>
      </c>
      <c r="XCS55" s="183"/>
      <c r="XFD55" s="183"/>
    </row>
    <row r="56" spans="1:48 16321:16384" x14ac:dyDescent="0.2">
      <c r="A56" t="s">
        <v>154</v>
      </c>
      <c r="B56" s="183">
        <f>(Model!$C$52*B5*B20+B2*C5*C20)/B32</f>
        <v>2.9221206744340551E-2</v>
      </c>
      <c r="D56" s="183">
        <f>(Model!$C$52*D5*D20+D2*E5*E20)/D32</f>
        <v>3.3155454915874211E-2</v>
      </c>
      <c r="F56" s="183">
        <f>(Model!$C$52*F5*F20+F2*G5*G20)/F32</f>
        <v>3.7174515598892281E-2</v>
      </c>
      <c r="H56" s="183">
        <f>(Model!$C$52*H5*H20+H2*I5*I20)/H32</f>
        <v>4.1288366169025766E-2</v>
      </c>
      <c r="J56" s="183">
        <f>(Model!$C$52*J5*J20+J2*K5*K20)/J32</f>
        <v>4.5508372939587781E-2</v>
      </c>
      <c r="L56" s="183">
        <f>(Model!$C$52*L5*L20+L2*M5*M20)/L32</f>
        <v>4.9847537618388435E-2</v>
      </c>
      <c r="N56" s="183">
        <f>(Model!$C$52*N5*N20+N2*O5*O20)/N32</f>
        <v>5.4320814931264151E-2</v>
      </c>
      <c r="P56" s="183">
        <f>(Model!$C$52*P5*P20+P2*Q5*Q20)/P32</f>
        <v>5.8945465717553526E-2</v>
      </c>
      <c r="R56" s="183">
        <f>(Model!$C$52*R5*R20+R2*S5*S20)/R32</f>
        <v>6.3741404716584682E-2</v>
      </c>
      <c r="T56" s="183">
        <f>(Model!$C$52*T5*T20+T2*U5*U20)/T32</f>
        <v>6.8731572780749886E-2</v>
      </c>
      <c r="V56" s="183">
        <f>(Model!$C$52*V5*V20+V2*W5*W20)/V32</f>
        <v>7.3942001636636168E-2</v>
      </c>
      <c r="X56" s="183">
        <f>(Model!$C$52*X5*X20+X2*Y5*Y20)/X32</f>
        <v>7.9401232059432697E-2</v>
      </c>
      <c r="Z56" s="183">
        <f>(Model!$C$52*Z5*Z20+Z2*AA5*AA20)/Z32</f>
        <v>8.5138322424315974E-2</v>
      </c>
      <c r="AB56" s="183">
        <f>(Model!$C$52*AB5*AB20+AB2*AC5*AC20)/AB32</f>
        <v>9.1177933866424421E-2</v>
      </c>
      <c r="AD56" s="183">
        <f>(Model!$C$52*AD5*AD20+AD2*AE5*AE20)/AD32</f>
        <v>9.7530706401312603E-2</v>
      </c>
      <c r="AF56" s="183">
        <f>(Model!$C$52*AF5*AF20+AF2*AG5*AG20)/AF32</f>
        <v>0.10417785852756446</v>
      </c>
      <c r="AH56" s="183">
        <f>(Model!$C$52*AH5*AH20+AH2*AI5*AI20)/AH32</f>
        <v>0.11105317486144431</v>
      </c>
      <c r="AJ56" s="183">
        <f>(Model!$C$52*AJ5*AJ20+AJ2*AK5*AK20)/AJ32</f>
        <v>0.11803335682006991</v>
      </c>
      <c r="AL56" s="183">
        <f>(Model!$C$52*AL5*AL20+AL2*AM5*AM20)/AL32</f>
        <v>0.12495130109930032</v>
      </c>
      <c r="AN56" s="183">
        <f>(Model!$C$52*AN5*AN20+AN2*AO5*AO20)/AN32</f>
        <v>0.1316339124191955</v>
      </c>
      <c r="AP56" s="183">
        <f>(Model!$C$52*AP5*AP20+AP2*AQ5*AQ20)/AP32</f>
        <v>0.13292913273290405</v>
      </c>
      <c r="AR56" s="183">
        <f>(Model!$C$52*AR5*AR20+AR2*AS5*AS20)/AR32</f>
        <v>0.13420841095182404</v>
      </c>
      <c r="AT56" s="183">
        <f>(Model!$C$52*AT5*AT20+AT2*AU5*AU20)/AT32</f>
        <v>0.13547101967876687</v>
      </c>
      <c r="AV56" s="183">
        <f>(Model!$C$52*AV5*AV20+AV2*AW5*AW20)/AV32</f>
        <v>0.13671633456990204</v>
      </c>
      <c r="XFD56" s="183"/>
    </row>
    <row r="57" spans="1:48 16321:16384" x14ac:dyDescent="0.2">
      <c r="A57" t="s">
        <v>155</v>
      </c>
      <c r="B57" s="183">
        <f t="array" ref="B57">SUM(Model!tauL*B13:C13*B26:C26)/B32</f>
        <v>0.15852881819439493</v>
      </c>
      <c r="D57" s="183">
        <f t="array" ref="D57">SUM(Model!tauL*D13:E13*D26:E26)/D32</f>
        <v>0.15798165159562449</v>
      </c>
      <c r="F57" s="183">
        <f t="array" ref="F57">SUM(Model!tauL*F13:G13*F26:G26)/F32</f>
        <v>0.15741777262611631</v>
      </c>
      <c r="H57" s="183">
        <f t="array" ref="H57">SUM(Model!tauL*H13:I13*H26:I26)/H32</f>
        <v>0.15683606194246449</v>
      </c>
      <c r="J57" s="183">
        <f t="array" ref="J57">SUM(Model!tauL*J13:K13*J26:K26)/J32</f>
        <v>0.15623540827190266</v>
      </c>
      <c r="L57" s="183">
        <f t="array" ref="L57">SUM(Model!tauL*L13:M13*L26:M26)/L32</f>
        <v>0.15561471376511352</v>
      </c>
      <c r="N57" s="183">
        <f t="array" ref="N57">SUM(Model!tauL*N13:O13*N26:O26)/N32</f>
        <v>0.15497297572364782</v>
      </c>
      <c r="P57" s="183">
        <f t="array" ref="P57">SUM(Model!tauL*P13:Q13*P26:Q26)/P32</f>
        <v>0.1543093464667252</v>
      </c>
      <c r="R57" s="183">
        <f t="array" ref="R57">SUM(Model!tauL*R13:S13*R26:S26)/R32</f>
        <v>0.15362325200821181</v>
      </c>
      <c r="T57" s="183">
        <f t="array" ref="T57">SUM(Model!tauL*T13:U13*T26:U26)/T32</f>
        <v>0.15291456346266957</v>
      </c>
      <c r="V57" s="183">
        <f t="array" ref="V57">SUM(Model!tauL*V13:W13*V26:W26)/V32</f>
        <v>0.15218383564597757</v>
      </c>
      <c r="X57" s="183">
        <f t="array" ref="X57">SUM(Model!tauL*X13:Y13*X26:Y26)/X32</f>
        <v>0.15143266199018443</v>
      </c>
      <c r="Y57" s="183"/>
      <c r="Z57" s="183">
        <f t="array" ref="Z57">SUM(Model!tauL*Z13:AA13*Z26:AA26)/Z32</f>
        <v>0.15066417758773243</v>
      </c>
      <c r="AB57" s="183">
        <f t="array" ref="AB57">SUM(Model!tauL*AB13:AC13*AB26:AC26)/AB32</f>
        <v>0.14988371444671</v>
      </c>
      <c r="AD57" s="183">
        <f t="array" ref="AD57">SUM(Model!tauL*AD13:AE13*AD26:AE26)/AD32</f>
        <v>0.14909955367817718</v>
      </c>
      <c r="AF57" s="183">
        <f t="array" ref="AF57">SUM(Model!tauL*AF13:AG13*AF26:AG26)/AF32</f>
        <v>0.14832348144862251</v>
      </c>
      <c r="AH57" s="183">
        <f t="array" ref="AH57">SUM(Model!tauL*AH13:AI13*AH26:AI26)/AH32</f>
        <v>0.14757055412471734</v>
      </c>
      <c r="AJ57" s="183">
        <f t="array" ref="AJ57">SUM(Model!tauL*AJ13:AK13*AJ26:AK26)/AJ32</f>
        <v>0.14685730923826537</v>
      </c>
      <c r="AL57" s="183">
        <f t="array" ref="AL57">SUM(Model!tauL*AL13:AM13*AL26:AM26)/AL32</f>
        <v>0.14619844178417221</v>
      </c>
      <c r="AN57" s="183">
        <f t="array" ref="AN57">SUM(Model!tauL*AN13:AO13*AN26:AO26)/AN32</f>
        <v>0.14560338750762936</v>
      </c>
      <c r="AP57" s="183">
        <f t="array" ref="AP57">SUM(Model!tauL*AP13:AQ13*AP26:AQ26)/AP32</f>
        <v>0.14549238430537964</v>
      </c>
      <c r="AR57" s="183">
        <f t="array" ref="AR57">SUM(Model!tauL*AR13:AS13*AR26:AS26)/AR32</f>
        <v>0.14538405058975959</v>
      </c>
      <c r="AT57" s="183">
        <f t="array" ref="AT57">SUM(Model!tauL*AT13:AU13*AT26:AU26)/AT32</f>
        <v>0.14527836680521394</v>
      </c>
      <c r="AV57" s="183">
        <f t="array" ref="AV57">SUM(Model!tauL*AV13:AW13*AV26:AW26)/AV32</f>
        <v>0.14517530622906327</v>
      </c>
      <c r="XFD57" s="183"/>
    </row>
    <row r="58" spans="1:48 16321:16384" x14ac:dyDescent="0.2">
      <c r="A58" t="s">
        <v>156</v>
      </c>
      <c r="B58" s="183">
        <f t="array" ref="B58">SUM(Model!tauY/(1+Model!tauY)*B3:C3*B18:C18)/B32</f>
        <v>1.075269412108535E-2</v>
      </c>
      <c r="D58" s="183">
        <f t="array" ref="D58">SUM(Model!tauY/(1+Model!tauY)*D3:E3*D18:E18)/D32</f>
        <v>1.0681235538308614E-2</v>
      </c>
      <c r="F58" s="183">
        <f t="array" ref="F58">SUM(Model!tauY/(1+Model!tauY)*F3:G3*F18:G18)/F32</f>
        <v>1.0609063597848484E-2</v>
      </c>
      <c r="H58" s="183">
        <f t="array" ref="H58">SUM(Model!tauY/(1+Model!tauY)*H3:I3*H18:I18)/H32</f>
        <v>1.0536060488728531E-2</v>
      </c>
      <c r="J58" s="183">
        <f t="array" ref="J58">SUM(Model!tauY/(1+Model!tauY)*J3:K3*J18:K18)/J32</f>
        <v>1.0462100066023263E-2</v>
      </c>
      <c r="L58" s="183">
        <f t="array" ref="L58">SUM(Model!tauY/(1+Model!tauY)*L3:M3*L18:M18)/L32</f>
        <v>1.0387042727959041E-2</v>
      </c>
      <c r="N58" s="183">
        <f t="array" ref="N58">SUM(Model!tauY/(1+Model!tauY)*N3:O3*N18:O18)/N32</f>
        <v>1.0310746876615769E-2</v>
      </c>
      <c r="P58" s="183">
        <f t="array" ref="P58">SUM(Model!tauY/(1+Model!tauY)*P3:Q3*P18:Q18)/P32</f>
        <v>1.0233072562577956E-2</v>
      </c>
      <c r="R58" s="183">
        <f t="array" ref="R58">SUM(Model!tauY/(1+Model!tauY)*R3:S3*R18:S18)/R32</f>
        <v>1.0153897194238683E-2</v>
      </c>
      <c r="T58" s="183">
        <f t="array" ref="T58">SUM(Model!tauY/(1+Model!tauY)*T3:U3*T18:U18)/T32</f>
        <v>1.007313935752191E-2</v>
      </c>
      <c r="V58" s="183">
        <f t="array" ref="V58">SUM(Model!tauY/(1+Model!tauY)*V3:W3*V18:W18)/V32</f>
        <v>9.9907994983532283E-3</v>
      </c>
      <c r="X58" s="183">
        <f t="array" ref="X58">SUM(Model!tauY/(1+Model!tauY)*X3:Y3*X18:Y18)/X32</f>
        <v>9.9070158059619551E-3</v>
      </c>
      <c r="Y58" s="183"/>
      <c r="Z58" s="183">
        <f t="array" ref="Z58">SUM(Model!tauY/(1+Model!tauY)*Z3:AA3*Z18:AA18)/Z32</f>
        <v>9.8221543205124408E-3</v>
      </c>
      <c r="AB58" s="183">
        <f t="array" ref="AB58">SUM(Model!tauY/(1+Model!tauY)*AB3:AC3*AB18:AC18)/AB32</f>
        <v>9.7369153015735774E-3</v>
      </c>
      <c r="AD58" s="183">
        <f t="array" ref="AD58">SUM(Model!tauY/(1+Model!tauY)*AD3:AE3*AD18:AE18)/AD32</f>
        <v>9.6524453124326934E-3</v>
      </c>
      <c r="AF58" s="183">
        <f t="array" ref="AF58">SUM(Model!tauY/(1+Model!tauY)*AF3:AG3*AF18:AG18)/AF32</f>
        <v>9.5703867803847188E-3</v>
      </c>
      <c r="AH58" s="183">
        <f t="array" ref="AH58">SUM(Model!tauY/(1+Model!tauY)*AH3:AI3*AH18:AI18)/AH32</f>
        <v>9.4927634421354771E-3</v>
      </c>
      <c r="AJ58" s="183">
        <f t="array" ref="AJ58">SUM(Model!tauY/(1+Model!tauY)*AJ3:AK3*AJ18:AK18)/AJ32</f>
        <v>9.4216147837157607E-3</v>
      </c>
      <c r="AL58" s="183">
        <f t="array" ref="AL58">SUM(Model!tauY/(1+Model!tauY)*AL3:AM3*AL18:AM18)/AL32</f>
        <v>9.3584726776941417E-3</v>
      </c>
      <c r="AN58" s="183">
        <f t="array" ref="AN58">SUM(Model!tauY/(1+Model!tauY)*AN3:AO3*AN18:AO18)/AN32</f>
        <v>9.3039657980470043E-3</v>
      </c>
      <c r="AP58" s="183">
        <f t="array" ref="AP58">SUM(Model!tauY/(1+Model!tauY)*AP3:AQ3*AP18:AQ18)/AP32</f>
        <v>9.294087868008059E-3</v>
      </c>
      <c r="AR58" s="183">
        <f t="array" ref="AR58">SUM(Model!tauY/(1+Model!tauY)*AR3:AS3*AR18:AS18)/AR32</f>
        <v>9.284539420983914E-3</v>
      </c>
      <c r="AT58" s="183">
        <f t="array" ref="AT58">SUM(Model!tauY/(1+Model!tauY)*AT3:AU3*AT18:AU18)/AT32</f>
        <v>9.2753134625530725E-3</v>
      </c>
      <c r="AV58" s="183">
        <f t="array" ref="AV58">SUM(Model!tauY/(1+Model!tauY)*AV3:AW3*AV18:AW18)/AV32</f>
        <v>9.2664023976440479E-3</v>
      </c>
      <c r="XFD58" s="183"/>
    </row>
    <row r="59" spans="1:48 16321:16384" x14ac:dyDescent="0.2">
      <c r="A59" t="s">
        <v>157</v>
      </c>
      <c r="B59" s="183">
        <f>(B2*C5*C20)/B32</f>
        <v>5.5174232040962052E-4</v>
      </c>
      <c r="D59" s="183">
        <f>(D2*E5*E20)/D32</f>
        <v>4.5339062239470544E-3</v>
      </c>
      <c r="F59" s="183">
        <f>(F2*G5*G20)/F32</f>
        <v>8.601396157506996E-3</v>
      </c>
      <c r="H59" s="183">
        <f>(H2*I5*I20)/H32</f>
        <v>1.2764236973019977E-2</v>
      </c>
      <c r="J59" s="183">
        <f>(J2*K5*K20)/J32</f>
        <v>1.7033844272780971E-2</v>
      </c>
      <c r="L59" s="183">
        <f>(L2*M5*M20)/L32</f>
        <v>2.1423273155484063E-2</v>
      </c>
      <c r="N59" s="183">
        <f>(N2*O5*O20)/N32</f>
        <v>2.5947533186976526E-2</v>
      </c>
      <c r="P59" s="183">
        <f>(P2*Q5*Q20)/P32</f>
        <v>3.0623942721324203E-2</v>
      </c>
      <c r="R59" s="183">
        <f>(R2*S5*S20)/R32</f>
        <v>3.5472475188163433E-2</v>
      </c>
      <c r="T59" s="183">
        <f>(T2*U5*U20)/T32</f>
        <v>4.0516130236681179E-2</v>
      </c>
      <c r="V59" s="183">
        <f>(V2*W5*W20)/V32</f>
        <v>4.5780993675554396E-2</v>
      </c>
      <c r="X59" s="183">
        <f>(X2*Y5*Y20)/X32</f>
        <v>5.129564923093987E-2</v>
      </c>
      <c r="Z59" s="183">
        <f>(Z2*AA5*AA20)/Z32</f>
        <v>5.7089168646377149E-2</v>
      </c>
      <c r="AB59" s="183">
        <f>(AB2*AC5*AC20)/AB32</f>
        <v>6.3186165148685108E-2</v>
      </c>
      <c r="AD59" s="183">
        <f>(AD2*AE5*AE20)/AD32</f>
        <v>6.9597111087672317E-2</v>
      </c>
      <c r="AF59" s="183">
        <f>(AF2*AG5*AG20)/AF32</f>
        <v>7.6302852250721837E-2</v>
      </c>
      <c r="AH59" s="183">
        <f>(AH2*AI5*AI20)/AH32</f>
        <v>8.3236507049910743E-2</v>
      </c>
      <c r="AJ59" s="183">
        <f>(AJ2*AK5*AK20)/AJ32</f>
        <v>9.0273799806635094E-2</v>
      </c>
      <c r="AL59" s="183">
        <f>(AL2*AM5*AM20)/AL32</f>
        <v>9.7246471046635127E-2</v>
      </c>
      <c r="AN59" s="183">
        <f>(AN2*AO5*AO20)/AN32</f>
        <v>0.10398035949298481</v>
      </c>
      <c r="AP59" s="183">
        <f>(AP2*AQ5*AQ20)/AP32</f>
        <v>0.1052853502092372</v>
      </c>
      <c r="AR59" s="183">
        <f>(AR2*AS5*AS20)/AR32</f>
        <v>0.10657422697900963</v>
      </c>
      <c r="AT59" s="183">
        <f>(AT2*AU5*AU20)/AT32</f>
        <v>0.10784625953297014</v>
      </c>
      <c r="AV59" s="183">
        <f>(AV2*AW5*AW20)/AV32</f>
        <v>0.10910082129435381</v>
      </c>
      <c r="XFD59" s="183"/>
    </row>
    <row r="60" spans="1:48 16321:16384" x14ac:dyDescent="0.2">
      <c r="A60" t="s">
        <v>158</v>
      </c>
      <c r="B60" s="183">
        <f>Model!$C$52*B5*B20/B32</f>
        <v>2.8669464423930927E-2</v>
      </c>
      <c r="D60" s="183">
        <f>Model!$C$52*D5*D20/D32</f>
        <v>2.8621548691927158E-2</v>
      </c>
      <c r="F60" s="183">
        <f>Model!$C$52*F5*F20/F32</f>
        <v>2.8573119441385287E-2</v>
      </c>
      <c r="H60" s="183">
        <f>Model!$C$52*H5*H20/H32</f>
        <v>2.852412919600579E-2</v>
      </c>
      <c r="J60" s="183">
        <f>Model!$C$52*J5*J20/J32</f>
        <v>2.8474528666806814E-2</v>
      </c>
      <c r="L60" s="183">
        <f>Model!$C$52*L5*L20/L32</f>
        <v>2.8424264462904372E-2</v>
      </c>
      <c r="N60" s="183">
        <f>Model!$C$52*N5*N20/N32</f>
        <v>2.8373281744287628E-2</v>
      </c>
      <c r="P60" s="183">
        <f>Model!$C$52*P5*P20/P32</f>
        <v>2.832152299622933E-2</v>
      </c>
      <c r="R60" s="183">
        <f>Model!$C$52*R5*R20/R32</f>
        <v>2.8268929528421242E-2</v>
      </c>
      <c r="T60" s="183">
        <f>Model!$C$52*T5*T20/T32</f>
        <v>2.8215442544068704E-2</v>
      </c>
      <c r="V60" s="183">
        <f>Model!$C$52*V5*V20/V32</f>
        <v>2.8161007961081775E-2</v>
      </c>
      <c r="X60" s="183">
        <f>Model!$C$52*X5*X20/X32</f>
        <v>2.810558282849282E-2</v>
      </c>
      <c r="Z60" s="183">
        <f>Model!$C$52*Z5*Z20/Z32</f>
        <v>2.8049153777938825E-2</v>
      </c>
      <c r="AB60" s="183">
        <f>Model!$C$52*AB5*AB20/AB32</f>
        <v>2.7991768717739309E-2</v>
      </c>
      <c r="AD60" s="183">
        <f>Model!$C$52*AD5*AD20/AD32</f>
        <v>2.7933595313640289E-2</v>
      </c>
      <c r="AF60" s="183">
        <f>Model!$C$52*AF5*AF20/AF32</f>
        <v>2.7875006276842623E-2</v>
      </c>
      <c r="AH60" s="183">
        <f>Model!$C$52*AH5*AH20/AH32</f>
        <v>2.7816667811533566E-2</v>
      </c>
      <c r="AJ60" s="183">
        <f>Model!$C$52*AJ5*AJ20/AJ32</f>
        <v>2.7759557013434827E-2</v>
      </c>
      <c r="AL60" s="183">
        <f>Model!$C$52*AL5*AL20/AL32</f>
        <v>2.7704830052665191E-2</v>
      </c>
      <c r="AN60" s="183">
        <f>Model!$C$52*AN5*AN20/AN32</f>
        <v>2.765355292621071E-2</v>
      </c>
      <c r="AP60" s="183">
        <f>Model!$C$52*AP5*AP20/AP32</f>
        <v>2.7643782523666855E-2</v>
      </c>
      <c r="AR60" s="183">
        <f>Model!$C$52*AR5*AR20/AR32</f>
        <v>2.7634183972814398E-2</v>
      </c>
      <c r="AT60" s="183">
        <f>Model!$C$52*AT5*AT20/AT32</f>
        <v>2.7624760145796734E-2</v>
      </c>
      <c r="AV60" s="183">
        <f>Model!$C$52*AV5*AV20/AV32</f>
        <v>2.7615513275548214E-2</v>
      </c>
      <c r="XFD60" s="183"/>
    </row>
    <row r="62" spans="1:48 16321:16384" x14ac:dyDescent="0.2">
      <c r="A62" t="s">
        <v>159</v>
      </c>
      <c r="B62">
        <f>B13/B15</f>
        <v>1</v>
      </c>
      <c r="D62">
        <f>D13/D15</f>
        <v>0.99953089872366385</v>
      </c>
      <c r="F62">
        <f>F13/F15</f>
        <v>0.99901409565567934</v>
      </c>
      <c r="H62">
        <f>H13/H15</f>
        <v>0.99845996009693649</v>
      </c>
      <c r="J62">
        <f>J13/J15</f>
        <v>0.99788395230846061</v>
      </c>
      <c r="L62">
        <f>L13/L15</f>
        <v>0.99730820275052467</v>
      </c>
      <c r="N62">
        <f>N13/N15</f>
        <v>0.99676422614274041</v>
      </c>
      <c r="P62">
        <f>P13/P15</f>
        <v>0.99629615624947088</v>
      </c>
      <c r="R62">
        <f>R13/R15</f>
        <v>0.99596520410088196</v>
      </c>
      <c r="T62">
        <f>T13/T15</f>
        <v>0.99585565241052454</v>
      </c>
      <c r="V62">
        <f>V13/V15</f>
        <v>0.99608181104190485</v>
      </c>
      <c r="X62">
        <f>X13/X15</f>
        <v>0.9967962974057496</v>
      </c>
      <c r="Z62">
        <f>Z13/Z15</f>
        <v>0.99819695790061913</v>
      </c>
      <c r="AB62">
        <f>AB13/AB15</f>
        <v>1.0005282402117675</v>
      </c>
      <c r="AD62">
        <f>AD13/AD15</f>
        <v>1.0040677274275842</v>
      </c>
      <c r="AF62">
        <f>AF13/AF15</f>
        <v>1.009085343143213</v>
      </c>
      <c r="AH62">
        <f>AH13/AH15</f>
        <v>1.0157682178664833</v>
      </c>
      <c r="AJ62">
        <f>AJ13/AJ15</f>
        <v>1.0241298129258558</v>
      </c>
      <c r="AL62">
        <f>AL13/AL15</f>
        <v>1.0339578823463229</v>
      </c>
      <c r="AN62">
        <f>AN13/AN15</f>
        <v>1.0448533395498634</v>
      </c>
      <c r="AP62">
        <f>AP13/AP15</f>
        <v>1.0471188807110865</v>
      </c>
      <c r="AR62">
        <f>AR13/AR15</f>
        <v>1.0494043882914355</v>
      </c>
      <c r="AT62">
        <f>AT13/AT15</f>
        <v>1.0517062566541422</v>
      </c>
      <c r="AV62">
        <f>AV13/AV15</f>
        <v>1.0540210225935394</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0.9984555841099968</v>
      </c>
      <c r="E65" s="181"/>
      <c r="F65" s="181">
        <f t="array" ref="F65">SQRT((F9:G9*$B$22:$C$22+F10:G10*$B$23:$C$23+F11:G11*$B$24:$C$24+F4:G4*($B$25:$C$25-$B$19:$C$19))/($B$9:$C$9*$B$22:$C$22+$B$10:$C$10*$B$23:$C$23+$B$11:$C$11*$B$24:$C$24+$B$4:$C$4*($B$25:$C$25-$B$19:$C$19))*(F9:G9*F22:G22+F10:G10*F23:G23+F11:G11*F24:G24+F4:G4*(F25:G25-F19:G19))/($B$9:$C$9*F22:G22+$B$10:$C$10*F23:G23+$B$11:$C$11*F24:G24+$B$4:$C$4*(F25:G25-F19:G19)))</f>
        <v>0.99685115940944091</v>
      </c>
      <c r="G65" s="181"/>
      <c r="H65" s="181">
        <f t="array" ref="H65">SQRT((H9:I9*$B$22:$C$22+H10:I10*$B$23:$C$23+H11:I11*$B$24:$C$24+H4:I4*($B$25:$C$25-$B$19:$C$19))/($B$9:$C$9*$B$22:$C$22+$B$10:$C$10*$B$23:$C$23+$B$11:$C$11*$B$24:$C$24+$B$4:$C$4*($B$25:$C$25-$B$19:$C$19))*(H9:I9*H22:I22+H10:I10*H23:I23+H11:I11*H24:I24+H4:I4*(H25:I25-H19:I19))/($B$9:$C$9*H22:I22+$B$10:$C$10*H23:I23+$B$11:$C$11*H24:I24+$B$4:$C$4*(H25:I25-H19:I19)))</f>
        <v>0.99518083286870285</v>
      </c>
      <c r="I65" s="181"/>
      <c r="J65" s="181">
        <f t="array" ref="J65">SQRT((J9:K9*$B$22:$C$22+J10:K10*$B$23:$C$23+J11:K11*$B$24:$C$24+J4:K4*($B$25:$C$25-$B$19:$C$19))/($B$9:$C$9*$B$22:$C$22+$B$10:$C$10*$B$23:$C$23+$B$11:$C$11*$B$24:$C$24+$B$4:$C$4*($B$25:$C$25-$B$19:$C$19))*(J9:K9*J22:K22+J10:K10*J23:K23+J11:K11*J24:K24+J4:K4*(J25:K25-J19:K19))/($B$9:$C$9*J22:K22+$B$10:$C$10*J23:K23+$B$11:$C$11*J24:K24+$B$4:$C$4*(J25:K25-J19:K19)))</f>
        <v>0.99343856233389782</v>
      </c>
      <c r="K65" s="181"/>
      <c r="L65" s="181">
        <f t="array" ref="L65">SQRT((L9:M9*$B$22:$C$22+L10:M10*$B$23:$C$23+L11:M11*$B$24:$C$24+L4:M4*($B$25:$C$25-$B$19:$C$19))/($B$9:$C$9*$B$22:$C$22+$B$10:$C$10*$B$23:$C$23+$B$11:$C$11*$B$24:$C$24+$B$4:$C$4*($B$25:$C$25-$B$19:$C$19))*(L9:M9*L22:M22+L10:M10*L23:M23+L11:M11*L24:M24+L4:M4*(L25:M25-L19:M19))/($B$9:$C$9*L22:M22+$B$10:$C$10*L23:M23+$B$11:$C$11*L24:M24+$B$4:$C$4*(L25:M25-L19:M19)))</f>
        <v>0.99161842821122526</v>
      </c>
      <c r="M65" s="181"/>
      <c r="N65" s="181">
        <f t="array" ref="N65">SQRT((N9:O9*$B$22:$C$22+N10:O10*$B$23:$C$23+N11:O11*$B$24:$C$24+N4:O4*($B$25:$C$25-$B$19:$C$19))/($B$9:$C$9*$B$22:$C$22+$B$10:$C$10*$B$23:$C$23+$B$11:$C$11*$B$24:$C$24+$B$4:$C$4*($B$25:$C$25-$B$19:$C$19))*(N9:O9*N22:O22+N10:O10*N23:O23+N11:O11*N24:O24+N4:O4*(N25:O25-N19:O19))/($B$9:$C$9*N22:O22+$B$10:$C$10*N23:O23+$B$11:$C$11*N24:O24+$B$4:$C$4*(N25:O25-N19:O19)))</f>
        <v>0.98971517449907032</v>
      </c>
      <c r="O65" s="181"/>
      <c r="P65" s="181">
        <f t="array" ref="P65">SQRT((P9:Q9*$B$22:$C$22+P10:Q10*$B$23:$C$23+P11:Q11*$B$24:$C$24+P4:Q4*($B$25:$C$25-$B$19:$C$19))/($B$9:$C$9*$B$22:$C$22+$B$10:$C$10*$B$23:$C$23+$B$11:$C$11*$B$24:$C$24+$B$4:$C$4*($B$25:$C$25-$B$19:$C$19))*(P9:Q9*P22:Q22+P10:Q10*P23:Q23+P11:Q11*P24:Q24+P4:Q4*(P25:Q25-P19:Q19))/($B$9:$C$9*P22:Q22+$B$10:$C$10*P23:Q23+$B$11:$C$11*P24:Q24+$B$4:$C$4*(P25:Q25-P19:Q19)))</f>
        <v>0.98772501000076851</v>
      </c>
      <c r="Q65" s="181"/>
      <c r="R65" s="181">
        <f t="array" ref="R65">SQRT((R9:S9*$B$22:$C$22+R10:S10*$B$23:$C$23+R11:S11*$B$24:$C$24+R4:S4*($B$25:$C$25-$B$19:$C$19))/($B$9:$C$9*$B$22:$C$22+$B$10:$C$10*$B$23:$C$23+$B$11:$C$11*$B$24:$C$24+$B$4:$C$4*($B$25:$C$25-$B$19:$C$19))*(R9:S9*R22:S22+R10:S10*R23:S23+R11:S11*R24:S24+R4:S4*(R25:S25-R19:S19))/($B$9:$C$9*R22:S22+$B$10:$C$10*R23:S23+$B$11:$C$11*R24:S24+$B$4:$C$4*(R25:S25-R19:S19)))</f>
        <v>0.98564689536697669</v>
      </c>
      <c r="S65" s="181"/>
      <c r="T65" s="181">
        <f t="array" ref="T65">SQRT((T9:U9*$B$22:$C$22+T10:U10*$B$23:$C$23+T11:U11*$B$24:$C$24+T4:U4*($B$25:$C$25-$B$19:$C$19))/($B$9:$C$9*$B$22:$C$22+$B$10:$C$10*$B$23:$C$23+$B$11:$C$11*$B$24:$C$24+$B$4:$C$4*($B$25:$C$25-$B$19:$C$19))*(T9:U9*T22:U22+T10:U10*T23:U23+T11:U11*T24:U24+T4:U4*(T25:U25-T19:U19))/($B$9:$C$9*T22:U22+$B$10:$C$10*T23:U23+$B$11:$C$11*T24:U24+$B$4:$C$4*(T25:U25-T19:U19)))</f>
        <v>0.98348447501630665</v>
      </c>
      <c r="U65" s="181"/>
      <c r="V65" s="181">
        <f t="array" ref="V65">SQRT((V9:W9*$B$22:$C$22+V10:W10*$B$23:$C$23+V11:W11*$B$24:$C$24+V4:W4*($B$25:$C$25-$B$19:$C$19))/($B$9:$C$9*$B$22:$C$22+$B$10:$C$10*$B$23:$C$23+$B$11:$C$11*$B$24:$C$24+$B$4:$C$4*($B$25:$C$25-$B$19:$C$19))*(V9:W9*V22:W22+V10:W10*V23:W23+V11:W11*V24:W24+V4:W4*(V25:W25-V19:W19))/($B$9:$C$9*V22:W22+$B$10:$C$10*V23:W23+$B$11:$C$11*V24:W24+$B$4:$C$4*(V25:W25-V19:W19)))</f>
        <v>0.98124886972035252</v>
      </c>
      <c r="W65" s="181"/>
      <c r="X65" s="181">
        <f t="array" ref="X65">SQRT((X9:Y9*$B$22:$C$22+X10:Y10*$B$23:$C$23+X11:Y11*$B$24:$C$24+X4:Y4*($B$25:$C$25-$B$19:$C$19))/($B$9:$C$9*$B$22:$C$22+$B$10:$C$10*$B$23:$C$23+$B$11:$C$11*$B$24:$C$24+$B$4:$C$4*($B$25:$C$25-$B$19:$C$19))*(X9:Y9*X22:Y22+X10:Y10*X23:Y23+X11:Y11*X24:Y24+X4:Y4*(X25:Y25-X19:Y19))/($B$9:$C$9*X22:Y22+$B$10:$C$10*X23:Y23+$B$11:$C$11*X24:Y24+$B$4:$C$4*(X25:Y25-X19:Y19)))</f>
        <v>0.97896252126858685</v>
      </c>
      <c r="Y65" s="181"/>
      <c r="Z65" s="181">
        <f t="array" ref="Z65">SQRT((Z9:AA9*$B$22:$C$22+Z10:AA10*$B$23:$C$23+Z11:AA11*$B$24:$C$24+Z4:AA4*($B$25:$C$25-$B$19:$C$19))/($B$9:$C$9*$B$22:$C$22+$B$10:$C$10*$B$23:$C$23+$B$11:$C$11*$B$24:$C$24+$B$4:$C$4*($B$25:$C$25-$B$19:$C$19))*(Z9:AA9*Z22:AA22+Z10:AA10*Z23:AA23+Z11:AA11*Z24:AA24+Z4:AA4*(Z25:AA25-Z19:AA19))/($B$9:$C$9*Z22:AA22+$B$10:$C$10*Z23:AA23+$B$11:$C$11*Z24:AA24+$B$4:$C$4*(Z25:AA25-Z19:AA19)))</f>
        <v>0.97666392127856427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0.97441235706474594</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0.97229014986220075</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0.97039778963557444</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0.96883690970419489</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0.96768187198929267</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0.96695305759670092</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0.96661104184857694</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0.96658242871411082</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0.96656540419811887</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0.96655922661746629</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0.96656315795871095</v>
      </c>
    </row>
    <row r="66" spans="1:48 16384:16384" x14ac:dyDescent="0.2">
      <c r="A66" t="s">
        <v>166</v>
      </c>
      <c r="B66" s="181">
        <f t="array" ref="B66">SQRT((B9:C9*$B$22:$C$22)/($B$9:$C$9*$B$22:$C$22)*(B9:C9*B22:C22)/($B$9:$C$9*B22:C22))</f>
        <v>1</v>
      </c>
      <c r="C66" s="181"/>
      <c r="D66" s="181">
        <f t="array" ref="D66">SQRT((D9:E9*$B$22:$C$22)/($B$9:$C$9*$B$22:$C$22)*(D9:E9*D22:E22)/($B$9:$C$9*D22:E22))</f>
        <v>0.99830197162581646</v>
      </c>
      <c r="E66" s="181"/>
      <c r="F66" s="181">
        <f t="array" ref="F66">SQRT((F9:G9*$B$22:$C$22)/($B$9:$C$9*$B$22:$C$22)*(F9:G9*F22:G22)/($B$9:$C$9*F22:G22))</f>
        <v>0.99653652252417635</v>
      </c>
      <c r="G66" s="181"/>
      <c r="H66" s="181">
        <f t="array" ref="H66">SQRT((H9:I9*$B$22:$C$22)/($B$9:$C$9*$B$22:$C$22)*(H9:I9*H22:I22)/($B$9:$C$9*H22:I22))</f>
        <v>0.99469698187754485</v>
      </c>
      <c r="I66" s="181"/>
      <c r="J66" s="181">
        <f t="array" ref="J66">SQRT((J9:K9*$B$22:$C$22)/($B$9:$C$9*$B$22:$C$22)*(J9:K9*J22:K22)/($B$9:$C$9*J22:K22))</f>
        <v>0.99277648144307507</v>
      </c>
      <c r="K66" s="181"/>
      <c r="L66" s="181">
        <f t="array" ref="L66">SQRT((L9:M9*$B$22:$C$22)/($B$9:$C$9*$B$22:$C$22)*(L9:M9*L22:M22)/($B$9:$C$9*L22:M22))</f>
        <v>0.99076825169946148</v>
      </c>
      <c r="M66" s="181"/>
      <c r="N66" s="181">
        <f t="array" ref="N66">SQRT((N9:O9*$B$22:$C$22)/($B$9:$C$9*$B$22:$C$22)*(N9:O9*N22:O22)/($B$9:$C$9*N22:O22))</f>
        <v>0.98866621711402491</v>
      </c>
      <c r="O66" s="181"/>
      <c r="P66" s="181">
        <f t="array" ref="P66">SQRT((P9:Q9*$B$22:$C$22)/($B$9:$C$9*$B$22:$C$22)*(P9:Q9*P22:Q22)/($B$9:$C$9*P22:Q22))</f>
        <v>0.98646588305551031</v>
      </c>
      <c r="Q66" s="181"/>
      <c r="R66" s="181">
        <f t="array" ref="R66">SQRT((R9:S9*$B$22:$C$22)/($B$9:$C$9*$B$22:$C$22)*(R9:S9*R22:S22)/($B$9:$C$9*R22:S22))</f>
        <v>0.98416576731013439</v>
      </c>
      <c r="S66" s="181"/>
      <c r="T66" s="181">
        <f t="array" ref="T66">SQRT((T9:U9*$B$22:$C$22)/($B$9:$C$9*$B$22:$C$22)*(T9:U9*T22:U22)/($B$9:$C$9*T22:U22))</f>
        <v>0.98176955842855385</v>
      </c>
      <c r="U66" s="181"/>
      <c r="V66" s="181">
        <f t="array" ref="V66">SQRT((V9:W9*$B$22:$C$22)/($B$9:$C$9*$B$22:$C$22)*(V9:W9*V22:W22)/($B$9:$C$9*V22:W22))</f>
        <v>0.9792892483850183</v>
      </c>
      <c r="W66" s="181"/>
      <c r="X66" s="181">
        <f t="array" ref="X66">SQRT((X9:Y9*$B$22:$C$22)/($B$9:$C$9*$B$22:$C$22)*(X9:Y9*X22:Y22)/($B$9:$C$9*X22:Y22))</f>
        <v>0.97674946328431911</v>
      </c>
      <c r="Y66" s="181"/>
      <c r="Z66" s="181">
        <f t="array" ref="Z66">SQRT((Z9:AA9*$B$22:$C$22)/($B$9:$C$9*$B$22:$C$22)*(Z9:AA9*Z22:AA22)/($B$9:$C$9*Z22:AA22))</f>
        <v>0.97419281651364442</v>
      </c>
      <c r="AA66" s="181"/>
      <c r="AB66" s="181">
        <f t="array" ref="AB66">SQRT((AB9:AC9*$B$22:$C$22)/($B$9:$C$9*$B$22:$C$22)*(AB9:AC9*AB22:AC22)/($B$9:$C$9*AB22:AC22))</f>
        <v>0.97168532326121571</v>
      </c>
      <c r="AC66" s="181"/>
      <c r="AD66" s="181">
        <f t="array" ref="AD66">SQRT((AD9:AE9*$B$22:$C$22)/($B$9:$C$9*$B$22:$C$22)*(AD9:AE9*AD22:AE22)/($B$9:$C$9*AD22:AE22))</f>
        <v>0.96931904355395238</v>
      </c>
      <c r="AE66" s="181"/>
      <c r="AF66" s="181">
        <f t="array" ref="AF66">SQRT((AF9:AG9*$B$22:$C$22)/($B$9:$C$9*$B$22:$C$22)*(AF9:AG9*AF22:AG22)/($B$9:$C$9*AF22:AG22))</f>
        <v>0.96720676329208299</v>
      </c>
      <c r="AG66" s="181"/>
      <c r="AH66" s="181">
        <f t="array" ref="AH66">SQRT((AH9:AI9*$B$22:$C$22)/($B$9:$C$9*$B$22:$C$22)*(AH9:AI9*AH22:AI22)/($B$9:$C$9*AH22:AI22))</f>
        <v>0.96546295845426255</v>
      </c>
      <c r="AI66" s="181"/>
      <c r="AJ66" s="181">
        <f t="array" ref="AJ66">SQRT((AJ9:AK9*$B$22:$C$22)/($B$9:$C$9*$B$22:$C$22)*(AJ9:AK9*AJ22:AK22)/($B$9:$C$9*AJ22:AK22))</f>
        <v>0.96417181937191931</v>
      </c>
      <c r="AK66" s="181"/>
      <c r="AL66" s="181">
        <f t="array" ref="AL66">SQRT((AL9:AM9*$B$22:$C$22)/($B$9:$C$9*$B$22:$C$22)*(AL9:AM9*AL22:AM22)/($B$9:$C$9*AL22:AM22))</f>
        <v>0.96335703904462788</v>
      </c>
      <c r="AM66" s="181"/>
      <c r="AN66" s="181">
        <f t="array" ref="AN66">SQRT((AN9:AO9*$B$22:$C$22)/($B$9:$C$9*$B$22:$C$22)*(AN9:AO9*AN22:AO22)/($B$9:$C$9*AN22:AO22))</f>
        <v>0.96297503965510434</v>
      </c>
      <c r="AO66" s="181"/>
      <c r="AP66" s="181">
        <f t="array" ref="AP66">SQRT((AP9:AQ9*$B$22:$C$22)/($B$9:$C$9*$B$22:$C$22)*(AP9:AQ9*AP22:AQ22)/($B$9:$C$9*AP22:AQ22))</f>
        <v>0.9629431789993097</v>
      </c>
      <c r="AQ66" s="181"/>
      <c r="AR66" s="181">
        <f t="array" ref="AR66">SQRT((AR9:AS9*$B$22:$C$22)/($B$9:$C$9*$B$22:$C$22)*(AR9:AS9*AR22:AS22)/($B$9:$C$9*AR22:AS22))</f>
        <v>0.9629242914511732</v>
      </c>
      <c r="AS66" s="181"/>
      <c r="AT66" s="181">
        <f t="array" ref="AT66">SQRT((AT9:AU9*$B$22:$C$22)/($B$9:$C$9*$B$22:$C$22)*(AT9:AU9*AT22:AU22)/($B$9:$C$9*AT22:AU22))</f>
        <v>0.96291754669957774</v>
      </c>
      <c r="AU66" s="181"/>
      <c r="AV66" s="181">
        <f t="array" ref="AV66">SQRT((AV9:AW9*$B$22:$C$22)/($B$9:$C$9*$B$22:$C$22)*(AV9:AW9*AV22:AW22)/($B$9:$C$9*AV22:AW22))</f>
        <v>0.96292211830679264</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0.99830197162581646</v>
      </c>
      <c r="E68" s="181"/>
      <c r="F68" s="181">
        <f>F66/F67</f>
        <v>0.99653652252417635</v>
      </c>
      <c r="G68" s="181"/>
      <c r="H68" s="181">
        <f>H66/H67</f>
        <v>0.99469698187754485</v>
      </c>
      <c r="I68" s="181"/>
      <c r="J68" s="181">
        <f>J66/J67</f>
        <v>0.99277648144307507</v>
      </c>
      <c r="K68" s="181"/>
      <c r="L68" s="181">
        <f>L66/L67</f>
        <v>0.99076825169946148</v>
      </c>
      <c r="M68" s="181"/>
      <c r="N68" s="181">
        <f>N66/N67</f>
        <v>0.98866621711402491</v>
      </c>
      <c r="O68" s="181"/>
      <c r="P68" s="181">
        <f>P66/P67</f>
        <v>0.98646588305551031</v>
      </c>
      <c r="Q68" s="181"/>
      <c r="R68" s="181">
        <f>R66/R67</f>
        <v>0.98416576731013439</v>
      </c>
      <c r="S68" s="181"/>
      <c r="T68" s="181">
        <f>T66/T67</f>
        <v>0.98176955842855385</v>
      </c>
      <c r="U68" s="181"/>
      <c r="V68" s="181">
        <f>V66/V67</f>
        <v>0.9792892483850183</v>
      </c>
      <c r="W68" s="181"/>
      <c r="X68" s="181">
        <f>X66/X67</f>
        <v>0.97674946328431911</v>
      </c>
      <c r="Y68" s="181"/>
      <c r="Z68" s="181">
        <f>Z66/Z67</f>
        <v>0.97419281651364442</v>
      </c>
      <c r="AA68" s="181"/>
      <c r="AB68" s="181">
        <f>AB66/AB67</f>
        <v>0.97168532326121571</v>
      </c>
      <c r="AC68" s="181"/>
      <c r="AD68" s="181">
        <f>AD66/AD67</f>
        <v>0.96931904355395238</v>
      </c>
      <c r="AE68" s="181"/>
      <c r="AF68" s="181">
        <f>AF66/AF67</f>
        <v>0.96720676329208299</v>
      </c>
      <c r="AG68" s="181"/>
      <c r="AH68" s="181">
        <f>AH66/AH67</f>
        <v>0.96546295845426255</v>
      </c>
      <c r="AI68" s="181"/>
      <c r="AJ68" s="181">
        <f>AJ66/AJ67</f>
        <v>0.96417181937191931</v>
      </c>
      <c r="AK68" s="181"/>
      <c r="AL68" s="181">
        <f>AL66/AL67</f>
        <v>0.96335703904462788</v>
      </c>
      <c r="AM68" s="181"/>
      <c r="AN68" s="181">
        <f>AN66/AN67</f>
        <v>0.96297503965510434</v>
      </c>
      <c r="AO68" s="181"/>
      <c r="AP68" s="181">
        <f>AP66/AP67</f>
        <v>0.9629431789993097</v>
      </c>
      <c r="AQ68" s="181"/>
      <c r="AR68" s="181">
        <f>AR66/AR67</f>
        <v>0.9629242914511732</v>
      </c>
      <c r="AS68" s="181"/>
      <c r="AT68" s="181">
        <f>AT66/AT67</f>
        <v>0.96291754669957774</v>
      </c>
      <c r="AU68" s="181"/>
      <c r="AV68" s="181">
        <f>AV66/AV67</f>
        <v>0.96292211830679264</v>
      </c>
      <c r="XFD68" s="181"/>
    </row>
    <row r="69" spans="1:48 16384:16384" x14ac:dyDescent="0.2">
      <c r="A69" t="s">
        <v>161</v>
      </c>
      <c r="B69" s="181">
        <f>B32/B65/($B$32)</f>
        <v>1</v>
      </c>
      <c r="C69" s="181"/>
      <c r="D69" s="181">
        <f>D32/D65/($B$32)</f>
        <v>0.99648336978545804</v>
      </c>
      <c r="E69" s="181"/>
      <c r="F69" s="181">
        <f>F32/F65/($B$32)</f>
        <v>0.9922511093291434</v>
      </c>
      <c r="G69" s="181"/>
      <c r="H69" s="181">
        <f>H32/H65/($B$32)</f>
        <v>0.98716517588304764</v>
      </c>
      <c r="I69" s="181"/>
      <c r="J69" s="181">
        <f>J32/J65/($B$32)</f>
        <v>0.98105111868177886</v>
      </c>
      <c r="K69" s="181"/>
      <c r="L69" s="181">
        <f>L32/L65/($B$32)</f>
        <v>0.97368718605039151</v>
      </c>
      <c r="M69" s="181"/>
      <c r="N69" s="181">
        <f>N32/N65/($B$32)</f>
        <v>0.96478707846021594</v>
      </c>
      <c r="O69" s="181"/>
      <c r="P69" s="181">
        <f>P32/P65/($B$32)</f>
        <v>0.95397750442197327</v>
      </c>
      <c r="Q69" s="181"/>
      <c r="R69" s="181">
        <f>R32/R65/($B$32)</f>
        <v>0.94076583910406786</v>
      </c>
      <c r="S69" s="181"/>
      <c r="T69" s="181">
        <f>T32/T65/($B$32)</f>
        <v>0.92449405758325631</v>
      </c>
      <c r="U69" s="181"/>
      <c r="V69" s="181">
        <f>V32/V65/($B$32)</f>
        <v>0.90427527442354794</v>
      </c>
      <c r="W69" s="181"/>
      <c r="X69" s="181">
        <f>X32/X65/($B$32)</f>
        <v>0.87890607060072468</v>
      </c>
      <c r="Y69" s="181"/>
      <c r="Z69" s="181">
        <f>Z32/Z65/($B$32)</f>
        <v>0.84675339771162683</v>
      </c>
      <c r="AA69" s="181"/>
      <c r="AB69" s="181">
        <f>AB32/AB65/($B$32)</f>
        <v>0.80562554565884903</v>
      </c>
      <c r="AC69" s="181"/>
      <c r="AD69" s="181">
        <f>AD32/AD65/($B$32)</f>
        <v>0.75266609450377775</v>
      </c>
      <c r="AE69" s="181"/>
      <c r="AF69" s="181">
        <f>AF32/AF65/($B$32)</f>
        <v>0.68436314923490771</v>
      </c>
      <c r="AG69" s="181"/>
      <c r="AH69" s="181">
        <f>AH32/AH65/($B$32)</f>
        <v>0.59681663449013933</v>
      </c>
      <c r="AI69" s="181"/>
      <c r="AJ69" s="181">
        <f>AJ32/AJ65/($B$32)</f>
        <v>0.48636119600054867</v>
      </c>
      <c r="AK69" s="181"/>
      <c r="AL69" s="181">
        <f>AL32/AL65/($B$32)</f>
        <v>0.35040048428231674</v>
      </c>
      <c r="AM69" s="181"/>
      <c r="AN69" s="181">
        <f>AN32/AN65/($B$32)</f>
        <v>0.18801927521404083</v>
      </c>
      <c r="AO69" s="181"/>
      <c r="AP69" s="181">
        <f>AP32/AP65/($B$32)</f>
        <v>0.15241625125559993</v>
      </c>
      <c r="AQ69" s="181"/>
      <c r="AR69" s="181">
        <f>AR32/AR65/($B$32)</f>
        <v>0.11579712760715169</v>
      </c>
      <c r="AS69" s="181"/>
      <c r="AT69" s="181">
        <f>AT32/AT65/($B$32)</f>
        <v>7.8176873188120027E-2</v>
      </c>
      <c r="AU69" s="181"/>
      <c r="AV69" s="181">
        <f>AV32/AV65/($B$32)</f>
        <v>3.9571931436339094E-2</v>
      </c>
    </row>
    <row r="70" spans="1:48 16384:16384" x14ac:dyDescent="0.2">
      <c r="A70" t="s">
        <v>162</v>
      </c>
      <c r="B70" s="129">
        <f>B18/$B$18</f>
        <v>1</v>
      </c>
      <c r="C70" s="129"/>
      <c r="D70" s="129">
        <f>D18/$B$18</f>
        <v>0.99543886679559612</v>
      </c>
      <c r="E70" s="129"/>
      <c r="F70" s="129">
        <f>F18/$B$18</f>
        <v>0.99017888726970571</v>
      </c>
      <c r="G70" s="129"/>
      <c r="H70" s="129">
        <f>H18/$B$18</f>
        <v>0.98408561964147412</v>
      </c>
      <c r="I70" s="129"/>
      <c r="J70" s="129">
        <f>J18/$B$18</f>
        <v>0.97698892725490838</v>
      </c>
      <c r="K70" s="129"/>
      <c r="L70" s="129">
        <f>L18/$B$18</f>
        <v>0.96867212801889091</v>
      </c>
      <c r="M70" s="129"/>
      <c r="N70" s="129">
        <f>N18/$B$18</f>
        <v>0.95885493707739211</v>
      </c>
      <c r="O70" s="129"/>
      <c r="P70" s="129">
        <f>P18/$B$18</f>
        <v>0.94717111828366995</v>
      </c>
      <c r="Q70" s="129"/>
      <c r="R70" s="129">
        <f>R18/$B$18</f>
        <v>0.93313635362633229</v>
      </c>
      <c r="S70" s="129"/>
      <c r="T70" s="129">
        <f>T18/$B$18</f>
        <v>0.91610245728687101</v>
      </c>
      <c r="U70" s="129"/>
      <c r="V70" s="129">
        <f>V18/$B$18</f>
        <v>0.89519453839941032</v>
      </c>
      <c r="W70" s="129"/>
      <c r="X70" s="129">
        <f>X18/$B$18</f>
        <v>0.86922447198146313</v>
      </c>
      <c r="Y70" s="129"/>
      <c r="Z70" s="129">
        <f>Z18/$B$18</f>
        <v>0.83658037553217612</v>
      </c>
      <c r="AA70" s="129"/>
      <c r="AB70" s="129">
        <f>AB18/$B$18</f>
        <v>0.79510251404451249</v>
      </c>
      <c r="AC70" s="129"/>
      <c r="AD70" s="129">
        <f>AD18/$B$18</f>
        <v>0.74198617860216698</v>
      </c>
      <c r="AE70" s="129"/>
      <c r="AF70" s="129">
        <f>AF18/$B$18</f>
        <v>0.67380421591043937</v>
      </c>
      <c r="AG70" s="129"/>
      <c r="AH70" s="129">
        <f>AH18/$B$18</f>
        <v>0.58678823005400016</v>
      </c>
      <c r="AI70" s="129"/>
      <c r="AJ70" s="129">
        <f>AJ18/$B$18</f>
        <v>0.47745467696102223</v>
      </c>
      <c r="AK70" s="129"/>
      <c r="AL70" s="129">
        <f>AL18/$B$18</f>
        <v>0.34341823337301547</v>
      </c>
      <c r="AM70" s="129"/>
      <c r="AN70" s="129">
        <f>AN18/$B$18</f>
        <v>0.18395990639397747</v>
      </c>
      <c r="AO70" s="129"/>
      <c r="AP70" s="129">
        <f>AP18/$B$18</f>
        <v>0.1490747665470267</v>
      </c>
      <c r="AQ70" s="129"/>
      <c r="AR70" s="129">
        <f>AR18/$B$18</f>
        <v>0.11321998002710376</v>
      </c>
      <c r="AS70" s="129"/>
      <c r="AT70" s="129">
        <f>AT18/$B$18</f>
        <v>7.6411120909510938E-2</v>
      </c>
      <c r="AU70" s="129"/>
      <c r="AV70" s="129">
        <f>AV18/$B$18</f>
        <v>3.8665110427941102E-2</v>
      </c>
    </row>
    <row r="71" spans="1:48 16384:16384" x14ac:dyDescent="0.2">
      <c r="A71" t="s">
        <v>163</v>
      </c>
      <c r="B71" s="129">
        <f>C18/$C$18</f>
        <v>1</v>
      </c>
      <c r="D71" s="129">
        <f>E18/$C$18</f>
        <v>0.93336455783849392</v>
      </c>
      <c r="E71" s="129"/>
      <c r="F71" s="129">
        <f>G18/$C$18</f>
        <v>0.86683856634471357</v>
      </c>
      <c r="G71" s="129"/>
      <c r="H71" s="129">
        <f>I18/$C$18</f>
        <v>0.80048118542196123</v>
      </c>
      <c r="I71" s="129"/>
      <c r="J71" s="129">
        <f>K18/$C$18</f>
        <v>0.73437362521966465</v>
      </c>
      <c r="K71" s="129"/>
      <c r="L71" s="129">
        <f>M18/$C$18</f>
        <v>0.6686229262081701</v>
      </c>
      <c r="M71" s="129"/>
      <c r="N71" s="129">
        <f>O18/$C$18</f>
        <v>0.60337509791319555</v>
      </c>
      <c r="O71" s="129"/>
      <c r="P71" s="129">
        <f>Q18/$C$18</f>
        <v>0.53882564473864525</v>
      </c>
      <c r="Q71" s="129"/>
      <c r="R71" s="129">
        <f>S18/$C$18</f>
        <v>0.47523695465658361</v>
      </c>
      <c r="S71" s="129"/>
      <c r="T71" s="129">
        <f>U18/$C$18</f>
        <v>0.41295878332670161</v>
      </c>
      <c r="U71" s="129"/>
      <c r="V71" s="129">
        <f>W18/$C$18</f>
        <v>0.35245405976982597</v>
      </c>
      <c r="W71" s="129"/>
      <c r="X71" s="129">
        <f>Y18/$C$18</f>
        <v>0.29432342060000344</v>
      </c>
      <c r="Y71" s="129"/>
      <c r="Z71" s="129">
        <f>AA18/$C$18</f>
        <v>0.23932699190443399</v>
      </c>
      <c r="AA71" s="129"/>
      <c r="AB71" s="129">
        <f>AC18/$C$18</f>
        <v>0.18838087527427483</v>
      </c>
      <c r="AC71" s="129"/>
      <c r="AD71" s="129">
        <f>AE18/$C$18</f>
        <v>0.14250487706111217</v>
      </c>
      <c r="AE71" s="129"/>
      <c r="AF71" s="129">
        <f>AG18/$C$18</f>
        <v>0.10268493580497635</v>
      </c>
      <c r="AG71" s="129"/>
      <c r="AH71" s="129">
        <f>AI18/$C$18</f>
        <v>6.9640369825530485E-2</v>
      </c>
      <c r="AI71" s="129"/>
      <c r="AJ71" s="129">
        <f>AK18/$C$18</f>
        <v>4.3561431215234078E-2</v>
      </c>
      <c r="AK71" s="129"/>
      <c r="AL71" s="129">
        <f>AM18/$C$18</f>
        <v>2.3975970681781766E-2</v>
      </c>
      <c r="AM71" s="129"/>
      <c r="AN71" s="129">
        <f>AO18/$C$18</f>
        <v>9.8700941911539376E-3</v>
      </c>
      <c r="AO71" s="129"/>
      <c r="AP71" s="129">
        <f>AQ18/$C$18</f>
        <v>7.5972278596434214E-3</v>
      </c>
      <c r="AQ71" s="129"/>
      <c r="AR71" s="129">
        <f>AS18/$C$18</f>
        <v>5.4834457767532199E-3</v>
      </c>
      <c r="AS71" s="129"/>
      <c r="AT71" s="129">
        <f>AU18/$C$18</f>
        <v>3.5189346636728984E-3</v>
      </c>
      <c r="AU71" s="129"/>
      <c r="AV71" s="129">
        <f>AW18/$C$18</f>
        <v>1.6941780684503517E-3</v>
      </c>
      <c r="XFD71" s="129"/>
    </row>
    <row r="72" spans="1:48 16384:16384" x14ac:dyDescent="0.2">
      <c r="A72" t="s">
        <v>164</v>
      </c>
      <c r="B72" s="129">
        <f>C19/$C$19</f>
        <v>1</v>
      </c>
      <c r="D72" s="129">
        <f>E19/$C$19</f>
        <v>1.0170374700884535</v>
      </c>
      <c r="E72" s="129"/>
      <c r="F72" s="129">
        <f>G19/$C$19</f>
        <v>1.0358522936253531</v>
      </c>
      <c r="G72" s="129"/>
      <c r="H72" s="129">
        <f>I19/$C$19</f>
        <v>1.0564803001125138</v>
      </c>
      <c r="I72" s="129"/>
      <c r="J72" s="129">
        <f>K19/$C$19</f>
        <v>1.0788982249924834</v>
      </c>
      <c r="K72" s="129"/>
      <c r="L72" s="129">
        <f>M19/$C$19</f>
        <v>1.1029873213713943</v>
      </c>
      <c r="M72" s="129"/>
      <c r="N72" s="129">
        <f>O19/$C$19</f>
        <v>1.1284799004753143</v>
      </c>
      <c r="O72" s="129"/>
      <c r="P72" s="129">
        <f>Q19/$C$19</f>
        <v>1.1548795073444991</v>
      </c>
      <c r="Q72" s="129"/>
      <c r="R72" s="129">
        <f>S19/$C$19</f>
        <v>1.1813433792051238</v>
      </c>
      <c r="S72" s="129"/>
      <c r="T72" s="129">
        <f>U19/$C$19</f>
        <v>1.2065151693525256</v>
      </c>
      <c r="U72" s="129"/>
      <c r="V72" s="129">
        <f>W19/$C$19</f>
        <v>1.2282896743055673</v>
      </c>
      <c r="W72" s="129"/>
      <c r="X72" s="129">
        <f>Y19/$C$19</f>
        <v>1.2434999849511899</v>
      </c>
      <c r="Y72" s="129"/>
      <c r="Z72" s="129">
        <f>AA19/$C$19</f>
        <v>1.2475448511290945</v>
      </c>
      <c r="AA72" s="129"/>
      <c r="AB72" s="129">
        <f>AC19/$C$19</f>
        <v>1.2340321835401773</v>
      </c>
      <c r="AC72" s="129"/>
      <c r="AD72" s="129">
        <f>AE19/$C$19</f>
        <v>1.1946514235261259</v>
      </c>
      <c r="AE72" s="129"/>
      <c r="AF72" s="129">
        <f>AG19/$C$19</f>
        <v>1.1196571037602983</v>
      </c>
      <c r="AG72" s="129"/>
      <c r="AH72" s="129">
        <f>AI19/$C$19</f>
        <v>0.99938379523801546</v>
      </c>
      <c r="AI72" s="129"/>
      <c r="AJ72" s="129">
        <f>AK19/$C$19</f>
        <v>0.82674378378490998</v>
      </c>
      <c r="AK72" s="129"/>
      <c r="AL72" s="129">
        <f>AM19/$C$19</f>
        <v>0.59962199633880386</v>
      </c>
      <c r="AM72" s="129"/>
      <c r="AN72" s="129">
        <f>AO19/$C$19</f>
        <v>0.32152890694409858</v>
      </c>
      <c r="AO72" s="129"/>
      <c r="AP72" s="129">
        <f>AQ19/$C$19</f>
        <v>0.26041566856510739</v>
      </c>
      <c r="AQ72" s="129"/>
      <c r="AR72" s="129">
        <f>AS19/$C$19</f>
        <v>0.19763275684298509</v>
      </c>
      <c r="AS72" s="129"/>
      <c r="AT72" s="129">
        <f>AU19/$C$19</f>
        <v>0.13325340193094351</v>
      </c>
      <c r="AU72" s="129"/>
      <c r="AV72" s="129">
        <f>AW19/$C$19</f>
        <v>6.7351313255094067E-2</v>
      </c>
      <c r="XFD72" s="129"/>
    </row>
    <row r="73" spans="1:48 16384:16384" x14ac:dyDescent="0.2">
      <c r="A73" t="s">
        <v>168</v>
      </c>
      <c r="B73" s="183">
        <f t="array" ref="B73">SUM(B9:C9*B22:C22)/B32</f>
        <v>0.47641153352875104</v>
      </c>
      <c r="D73" s="183">
        <f t="array" ref="D73">SUM(D9:E9*D22:E22)/D32</f>
        <v>0.4744407290268311</v>
      </c>
      <c r="E73" s="129"/>
      <c r="F73" s="183">
        <f t="array" ref="F73">SUM(F9:G9*F22:G22)/F32</f>
        <v>0.47242986383416352</v>
      </c>
      <c r="G73" s="129"/>
      <c r="H73" s="183">
        <f t="array" ref="H73">SUM(H9:I9*H22:I22)/H32</f>
        <v>0.47037373642164781</v>
      </c>
      <c r="I73" s="129"/>
      <c r="J73" s="183">
        <f t="array" ref="J73">SUM(J9:K9*J22:K22)/J32</f>
        <v>0.46826635130678268</v>
      </c>
      <c r="K73" s="129"/>
      <c r="L73" s="183">
        <f t="array" ref="L73">SUM(L9:M9*L22:M22)/L32</f>
        <v>0.4661006967078189</v>
      </c>
      <c r="M73" s="129"/>
      <c r="N73" s="183">
        <f t="array" ref="N73">SUM(N9:O9*N22:O22)/N32</f>
        <v>0.46386857292482503</v>
      </c>
      <c r="O73" s="129"/>
      <c r="P73" s="183">
        <f t="array" ref="P73">SUM(P9:Q9*P22:Q22)/P32</f>
        <v>0.4615603146114366</v>
      </c>
      <c r="Q73" s="129"/>
      <c r="R73" s="183">
        <f t="array" ref="R73">SUM(R9:S9*R22:S22)/R32</f>
        <v>0.45916446584773368</v>
      </c>
      <c r="S73" s="129"/>
      <c r="T73" s="183">
        <f t="array" ref="T73">SUM(T9:U9*T22:U22)/T32</f>
        <v>0.45666754782788183</v>
      </c>
      <c r="U73" s="129"/>
      <c r="V73" s="183">
        <f t="array" ref="V73">SUM(V9:W9*V22:W22)/V32</f>
        <v>0.45405374723650571</v>
      </c>
      <c r="W73" s="129"/>
      <c r="X73" s="183">
        <f t="array" ref="X73">SUM(X9:Y9*X22:Y22)/X32</f>
        <v>0.45130507111365908</v>
      </c>
      <c r="Y73" s="129"/>
      <c r="Z73" s="183">
        <f t="array" ref="Z73">SUM(Z9:AA9*Z22:AA22)/Z32</f>
        <v>0.44840216396280952</v>
      </c>
      <c r="AA73" s="129"/>
      <c r="AB73" s="183">
        <f t="array" ref="AB73">SUM(AB9:AC9*AB22:AC22)/AB32</f>
        <v>0.44532678220481792</v>
      </c>
      <c r="AC73" s="129"/>
      <c r="AD73" s="183">
        <f t="array" ref="AD73">SUM(AD9:AE9*AD22:AE22)/AD32</f>
        <v>0.44206699651988346</v>
      </c>
      <c r="AE73" s="129"/>
      <c r="AF73" s="183">
        <f t="array" ref="AF73">SUM(AF9:AG9*AF22:AG22)/AF32</f>
        <v>0.43862599185642731</v>
      </c>
      <c r="AG73" s="129"/>
      <c r="AH73" s="183">
        <f t="array" ref="AH73">SUM(AH9:AI9*AH22:AI22)/AH32</f>
        <v>0.43503297191451545</v>
      </c>
      <c r="AI73" s="129"/>
      <c r="AJ73" s="183">
        <f t="array" ref="AJ73">SUM(AJ9:AK9*AJ22:AK22)/AJ32</f>
        <v>0.43135018385302465</v>
      </c>
      <c r="AK73" s="129"/>
      <c r="AL73" s="183">
        <f t="array" ref="AL73">SUM(AL9:AM9*AL22:AM22)/AL32</f>
        <v>0.42766730916936618</v>
      </c>
      <c r="AM73" s="129"/>
      <c r="AN73" s="183">
        <f t="array" ref="AN73">SUM(AN9:AO9*AN22:AO22)/AN32</f>
        <v>0.42408126024260684</v>
      </c>
      <c r="AO73" s="129"/>
      <c r="AP73" s="183">
        <f t="array" ref="AP73">SUM(AP9:AQ9*AP22:AQ22)/AP32</f>
        <v>0.42338322718665888</v>
      </c>
      <c r="AQ73" s="129"/>
      <c r="AR73" s="183">
        <f t="array" ref="AR73">SUM(AR9:AS9*AR22:AS22)/AR32</f>
        <v>0.42269288183909526</v>
      </c>
      <c r="AS73" s="129"/>
      <c r="AT73" s="183">
        <f t="array" ref="AT73">SUM(AT9:AU9*AT22:AU22)/AT32</f>
        <v>0.42201068287809335</v>
      </c>
      <c r="AU73" s="129"/>
      <c r="AV73" s="183">
        <f t="array" ref="AV73">SUM(AV9:AW9*AV22:AW22)/AV32</f>
        <v>0.42133703523662258</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0.22604620456442481</v>
      </c>
      <c r="G74" s="129"/>
      <c r="H74" s="183">
        <f t="array" ref="H74">SUM(H10:I10*H23:I23)/H32</f>
        <v>0.22604620456442487</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0.22604620456442484</v>
      </c>
      <c r="Q74" s="129"/>
      <c r="R74" s="183">
        <f t="array" ref="R74">SUM(R10:S10*R23:S23)/R32</f>
        <v>0.22604620456442487</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0.22604620456442481</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0.22235519458374109</v>
      </c>
      <c r="E75" s="129"/>
      <c r="F75" s="183">
        <f t="array" ref="F75">SUM(F11:G11*F24:G24)/F32</f>
        <v>0.22436605990712002</v>
      </c>
      <c r="G75" s="129"/>
      <c r="H75" s="183">
        <f t="array" ref="H75">SUM(H11:I11*H24:I24)/H32</f>
        <v>0.22642218524340205</v>
      </c>
      <c r="I75" s="129"/>
      <c r="J75" s="183">
        <f t="array" ref="J75">SUM(J11:K11*J24:K24)/J32</f>
        <v>0.22852957090874484</v>
      </c>
      <c r="K75" s="129"/>
      <c r="L75" s="183">
        <f t="array" ref="L75">SUM(L11:M11*L24:M24)/L32</f>
        <v>0.23069522469984</v>
      </c>
      <c r="M75" s="129"/>
      <c r="N75" s="183">
        <f t="array" ref="N75">SUM(N11:O11*N24:O24)/N32</f>
        <v>0.23292734810681565</v>
      </c>
      <c r="O75" s="129"/>
      <c r="P75" s="183">
        <f t="array" ref="P75">SUM(P11:Q11*P24:Q24)/P32</f>
        <v>0.23523561022413719</v>
      </c>
      <c r="Q75" s="129"/>
      <c r="R75" s="183">
        <f t="array" ref="R75">SUM(R11:S11*R24:S24)/R32</f>
        <v>0.23763145618256851</v>
      </c>
      <c r="S75" s="129"/>
      <c r="T75" s="183">
        <f t="array" ref="T75">SUM(T11:U11*T24:U24)/T32</f>
        <v>0.24012837322962741</v>
      </c>
      <c r="U75" s="129"/>
      <c r="V75" s="183">
        <f t="array" ref="V75">SUM(V11:W11*V24:W24)/V32</f>
        <v>0.24274217420231986</v>
      </c>
      <c r="W75" s="129"/>
      <c r="X75" s="183">
        <f t="array" ref="X75">SUM(X11:Y11*X24:Y24)/X32</f>
        <v>0.24549085079038777</v>
      </c>
      <c r="Y75" s="129"/>
      <c r="Z75" s="183">
        <f t="array" ref="Z75">SUM(Z11:AA11*Z24:AA24)/Z32</f>
        <v>0.24839375799506117</v>
      </c>
      <c r="AA75" s="129"/>
      <c r="AB75" s="183">
        <f t="array" ref="AB75">SUM(AB11:AC11*AB24:AC24)/AB32</f>
        <v>0.25146913941922711</v>
      </c>
      <c r="AC75" s="129"/>
      <c r="AD75" s="183">
        <f t="array" ref="AD75">SUM(AD11:AE11*AD24:AE24)/AD32</f>
        <v>0.25472892381593598</v>
      </c>
      <c r="AE75" s="129"/>
      <c r="AF75" s="183">
        <f t="array" ref="AF75">SUM(AF11:AG11*AF24:AG24)/AF32</f>
        <v>0.25816993008078803</v>
      </c>
      <c r="AG75" s="129"/>
      <c r="AH75" s="183">
        <f t="array" ref="AH75">SUM(AH11:AI11*AH24:AI24)/AH32</f>
        <v>0.26176294999023114</v>
      </c>
      <c r="AI75" s="129"/>
      <c r="AJ75" s="183">
        <f t="array" ref="AJ75">SUM(AJ11:AK11*AJ24:AK24)/AJ32</f>
        <v>0.26544573796510412</v>
      </c>
      <c r="AK75" s="129"/>
      <c r="AL75" s="183">
        <f t="array" ref="AL75">SUM(AL11:AM11*AL24:AM24)/AL32</f>
        <v>0.26912861298555474</v>
      </c>
      <c r="AM75" s="129"/>
      <c r="AN75" s="183">
        <f t="array" ref="AN75">SUM(AN11:AO11*AN24:AO24)/AN32</f>
        <v>0.27271466360872687</v>
      </c>
      <c r="AO75" s="129"/>
      <c r="AP75" s="183">
        <f t="array" ref="AP75">SUM(AP11:AQ11*AP24:AQ24)/AP32</f>
        <v>0.27341269581225797</v>
      </c>
      <c r="AQ75" s="129"/>
      <c r="AR75" s="183">
        <f t="array" ref="AR75">SUM(AR11:AS11*AR24:AS24)/AR32</f>
        <v>0.27410303924822704</v>
      </c>
      <c r="AS75" s="129"/>
      <c r="AT75" s="183">
        <f t="array" ref="AT75">SUM(AT11:AU11*AT24:AU24)/AT32</f>
        <v>0.27478523731209742</v>
      </c>
      <c r="AU75" s="129"/>
      <c r="AV75" s="183">
        <f t="array" ref="AV75">SUM(AV11:AW11*AV24:AW24)/AV32</f>
        <v>0.27545888768859372</v>
      </c>
      <c r="XFD75" s="183"/>
    </row>
    <row r="76" spans="1:48 16384:16384" x14ac:dyDescent="0.2">
      <c r="A76" t="s">
        <v>171</v>
      </c>
      <c r="B76" s="183">
        <f t="array" ref="B76">SUM(B12:C12*B25:C25)/B32</f>
        <v>0.22301874374724831</v>
      </c>
      <c r="D76" s="183">
        <f t="array" ref="D76">SUM(D12:E12*D25:E25)/D32</f>
        <v>0.22298377109235726</v>
      </c>
      <c r="E76" s="129"/>
      <c r="F76" s="183">
        <f t="array" ref="F76">SUM(F12:G12*F25:G25)/F32</f>
        <v>0.22298908607807152</v>
      </c>
      <c r="G76" s="129"/>
      <c r="H76" s="183">
        <f t="array" ref="H76">SUM(H12:I12*H25:I25)/H32</f>
        <v>0.22303898306973216</v>
      </c>
      <c r="I76" s="129"/>
      <c r="J76" s="183">
        <f t="array" ref="J76">SUM(J12:K12*J25:K25)/J32</f>
        <v>0.2231380708712758</v>
      </c>
      <c r="K76" s="129"/>
      <c r="L76" s="183">
        <f t="array" ref="L76">SUM(L12:M12*L25:M25)/L32</f>
        <v>0.22329112239140744</v>
      </c>
      <c r="M76" s="129"/>
      <c r="N76" s="183">
        <f t="array" ref="N76">SUM(N12:O12*N25:O25)/N32</f>
        <v>0.22350286022872878</v>
      </c>
      <c r="O76" s="129"/>
      <c r="P76" s="183">
        <f t="array" ref="P76">SUM(P12:Q12*P25:Q25)/P32</f>
        <v>0.22377752552629585</v>
      </c>
      <c r="Q76" s="129"/>
      <c r="R76" s="183">
        <f t="array" ref="R76">SUM(R12:S12*R25:S25)/R32</f>
        <v>0.22411820196961968</v>
      </c>
      <c r="S76" s="129"/>
      <c r="T76" s="183">
        <f t="array" ref="T76">SUM(T12:U12*T25:U25)/T32</f>
        <v>0.22452573082816163</v>
      </c>
      <c r="U76" s="129"/>
      <c r="V76" s="183">
        <f t="array" ref="V76">SUM(V12:W12*V25:W25)/V32</f>
        <v>0.22499711187649807</v>
      </c>
      <c r="W76" s="129"/>
      <c r="X76" s="183">
        <f t="array" ref="X76">SUM(X12:Y12*X25:Y25)/X32</f>
        <v>0.22552318946372985</v>
      </c>
      <c r="Y76" s="129"/>
      <c r="Z76" s="183">
        <f t="array" ref="Z76">SUM(Z12:AA12*Z25:AA25)/Z32</f>
        <v>0.22608576201675026</v>
      </c>
      <c r="AA76" s="129"/>
      <c r="AB76" s="183">
        <f t="array" ref="AB76">SUM(AB12:AC12*AB25:AC25)/AB32</f>
        <v>0.2266545197046354</v>
      </c>
      <c r="AC76" s="129"/>
      <c r="AD76" s="183">
        <f t="array" ref="AD76">SUM(AD12:AE12*AD25:AE25)/AD32</f>
        <v>0.22718538614683789</v>
      </c>
      <c r="AE76" s="129"/>
      <c r="AF76" s="183">
        <f t="array" ref="AF76">SUM(AF12:AG12*AF25:AG25)/AF32</f>
        <v>0.22762307576220428</v>
      </c>
      <c r="AG76" s="129"/>
      <c r="AH76" s="183">
        <f t="array" ref="AH76">SUM(AH12:AI12*AH25:AI25)/AH32</f>
        <v>0.22791105768794176</v>
      </c>
      <c r="AI76" s="129"/>
      <c r="AJ76" s="183">
        <f t="array" ref="AJ76">SUM(AJ12:AK12*AJ25:AK25)/AJ32</f>
        <v>0.22800844623597247</v>
      </c>
      <c r="AK76" s="129"/>
      <c r="AL76" s="183">
        <f t="array" ref="AL76">SUM(AL12:AM12*AL25:AM25)/AL32</f>
        <v>0.22790574386157345</v>
      </c>
      <c r="AM76" s="129"/>
      <c r="AN76" s="183">
        <f t="array" ref="AN76">SUM(AN12:AO12*AN25:AO25)/AN32</f>
        <v>0.2276276903493902</v>
      </c>
      <c r="AO76" s="129"/>
      <c r="AP76" s="183">
        <f t="array" ref="AP76">SUM(AP12:AQ12*AP25:AQ25)/AP32</f>
        <v>0.22755494853501412</v>
      </c>
      <c r="AQ76" s="129"/>
      <c r="AR76" s="183">
        <f t="array" ref="AR76">SUM(AR12:AS12*AR25:AS25)/AR32</f>
        <v>0.22747745993319277</v>
      </c>
      <c r="AS76" s="129"/>
      <c r="AT76" s="183">
        <f t="array" ref="AT76">SUM(AT12:AU12*AT25:AU25)/AT32</f>
        <v>0.22739564401489337</v>
      </c>
      <c r="AU76" s="129"/>
      <c r="AV76" s="183">
        <f t="array" ref="AV76">SUM(AV12:AW12*AV25:AW25)/AV32</f>
        <v>0.22730991535483008</v>
      </c>
      <c r="XFD76" s="183"/>
    </row>
    <row r="77" spans="1:48 16384:16384" x14ac:dyDescent="0.2">
      <c r="A77" t="s">
        <v>172</v>
      </c>
      <c r="B77" s="183">
        <f t="array" ref="B77">SUM(B4:C4*B19:C19)/B32</f>
        <v>0.14586087017236474</v>
      </c>
      <c r="D77" s="183">
        <f t="array" ref="D77">SUM(D4:E4*D19:E19)/D32</f>
        <v>0.14582589926735429</v>
      </c>
      <c r="E77" s="129"/>
      <c r="F77" s="183">
        <f t="array" ref="F77">SUM(F4:G4*F19:G19)/F32</f>
        <v>0.1458312143837798</v>
      </c>
      <c r="G77" s="129"/>
      <c r="H77" s="183">
        <f t="array" ref="H77">SUM(H4:I4*H19:I19)/H32</f>
        <v>0.14588110929920675</v>
      </c>
      <c r="I77" s="129"/>
      <c r="J77" s="183">
        <f t="array" ref="J77">SUM(J4:K4*J19:K19)/J32</f>
        <v>0.14598019765122797</v>
      </c>
      <c r="K77" s="129"/>
      <c r="L77" s="183">
        <f t="array" ref="L77">SUM(L4:M4*L19:M19)/L32</f>
        <v>0.14613324836349106</v>
      </c>
      <c r="M77" s="129"/>
      <c r="N77" s="183">
        <f t="array" ref="N77">SUM(N4:O4*N19:O19)/N32</f>
        <v>0.14634498582479424</v>
      </c>
      <c r="O77" s="129"/>
      <c r="P77" s="183">
        <f t="array" ref="P77">SUM(P4:Q4*P19:Q19)/P32</f>
        <v>0.14661965492629442</v>
      </c>
      <c r="Q77" s="129"/>
      <c r="R77" s="183">
        <f t="array" ref="R77">SUM(R4:S4*R19:S19)/R32</f>
        <v>0.14696032856434649</v>
      </c>
      <c r="S77" s="129"/>
      <c r="T77" s="183">
        <f t="array" ref="T77">SUM(T4:U4*T19:U19)/T32</f>
        <v>0.14736785645009576</v>
      </c>
      <c r="U77" s="129"/>
      <c r="V77" s="183">
        <f t="array" ref="V77">SUM(V4:W4*V19:W19)/V32</f>
        <v>0.14783923787974845</v>
      </c>
      <c r="W77" s="129"/>
      <c r="X77" s="183">
        <f t="array" ref="X77">SUM(X4:Y4*X19:Y19)/X32</f>
        <v>0.14836531593220156</v>
      </c>
      <c r="Y77" s="129"/>
      <c r="Z77" s="183">
        <f t="array" ref="Z77">SUM(Z4:AA4*Z19:AA19)/Z32</f>
        <v>0.14892788853904571</v>
      </c>
      <c r="AA77" s="129"/>
      <c r="AB77" s="183">
        <f t="array" ref="AB77">SUM(AB4:AC4*AB19:AC19)/AB32</f>
        <v>0.14949664589310518</v>
      </c>
      <c r="AC77" s="129"/>
      <c r="AD77" s="183">
        <f t="array" ref="AD77">SUM(AD4:AE4*AD19:AE19)/AD32</f>
        <v>0.1500275110470822</v>
      </c>
      <c r="AE77" s="129"/>
      <c r="AF77" s="183">
        <f t="array" ref="AF77">SUM(AF4:AG4*AF19:AG19)/AF32</f>
        <v>0.15046520226384433</v>
      </c>
      <c r="AG77" s="129"/>
      <c r="AH77" s="183">
        <f t="array" ref="AH77">SUM(AH4:AI4*AH19:AI19)/AH32</f>
        <v>0.15075318415711311</v>
      </c>
      <c r="AI77" s="129"/>
      <c r="AJ77" s="183">
        <f t="array" ref="AJ77">SUM(AJ4:AK4*AJ19:AK19)/AJ32</f>
        <v>0.15085057261852608</v>
      </c>
      <c r="AK77" s="129"/>
      <c r="AL77" s="183">
        <f t="array" ref="AL77">SUM(AL4:AM4*AL19:AM19)/AL32</f>
        <v>0.15074787058091912</v>
      </c>
      <c r="AM77" s="129"/>
      <c r="AN77" s="183">
        <f t="array" ref="AN77">SUM(AN4:AO4*AN19:AO19)/AN32</f>
        <v>0.15046981876514884</v>
      </c>
      <c r="AO77" s="129"/>
      <c r="AP77" s="183">
        <f t="array" ref="AP77">SUM(AP4:AQ4*AP19:AQ19)/AP32</f>
        <v>0.15039707609835576</v>
      </c>
      <c r="AQ77" s="129"/>
      <c r="AR77" s="183">
        <f t="array" ref="AR77">SUM(AR4:AS4*AR19:AS19)/AR32</f>
        <v>0.15031958558494002</v>
      </c>
      <c r="AS77" s="129"/>
      <c r="AT77" s="183">
        <f t="array" ref="AT77">SUM(AT4:AU4*AT19:AU19)/AT32</f>
        <v>0.15023776876950873</v>
      </c>
      <c r="AU77" s="129"/>
      <c r="AV77" s="183">
        <f t="array" ref="AV77">SUM(AV4:AW4*AV19:AW19)/AV32</f>
        <v>0.15015204284447109</v>
      </c>
      <c r="XFD77" s="183"/>
    </row>
    <row r="78" spans="1:48 16384:16384" x14ac:dyDescent="0.2">
      <c r="A78" t="s">
        <v>173</v>
      </c>
      <c r="B78" s="183">
        <f t="array" ref="B78">SUM(B13:C13*B26:C26)/B32</f>
        <v>0.346887593115773</v>
      </c>
      <c r="D78" s="183">
        <f t="array" ref="D78">SUM(D13:E13*D26:E26)/D32</f>
        <v>0.34569030099789411</v>
      </c>
      <c r="E78" s="129"/>
      <c r="F78" s="183">
        <f t="array" ref="F78">SUM(F13:G13*F26:G26)/F32</f>
        <v>0.34445643941506532</v>
      </c>
      <c r="G78" s="129"/>
      <c r="H78" s="183">
        <f t="array" ref="H78">SUM(H13:I13*H26:I26)/H32</f>
        <v>0.34318355905652842</v>
      </c>
      <c r="I78" s="129"/>
      <c r="J78" s="183">
        <f t="array" ref="J78">SUM(J13:K13*J26:K26)/J32</f>
        <v>0.34186922827143518</v>
      </c>
      <c r="K78" s="129"/>
      <c r="L78" s="183">
        <f t="array" ref="L78">SUM(L13:M13*L26:M26)/L32</f>
        <v>0.34051104478169114</v>
      </c>
      <c r="M78" s="129"/>
      <c r="N78" s="183">
        <f t="array" ref="N78">SUM(N13:O13*N26:O26)/N32</f>
        <v>0.33910681451523011</v>
      </c>
      <c r="O78" s="129"/>
      <c r="P78" s="183">
        <f t="array" ref="P78">SUM(P13:Q13*P26:Q26)/P32</f>
        <v>0.33765468260459658</v>
      </c>
      <c r="Q78" s="129"/>
      <c r="R78" s="183">
        <f t="array" ref="R78">SUM(R13:S13*R26:S26)/R32</f>
        <v>0.33615339307204023</v>
      </c>
      <c r="S78" s="129"/>
      <c r="T78" s="183">
        <f t="array" ref="T78">SUM(T13:U13*T26:U26)/T32</f>
        <v>0.33460266389464605</v>
      </c>
      <c r="U78" s="129"/>
      <c r="V78" s="183">
        <f t="array" ref="V78">SUM(V13:W13*V26:W26)/V32</f>
        <v>0.33300370910243776</v>
      </c>
      <c r="W78" s="129"/>
      <c r="X78" s="183">
        <f t="array" ref="X78">SUM(X13:Y13*X26:Y26)/X32</f>
        <v>0.3313600153914904</v>
      </c>
      <c r="Y78" s="129"/>
      <c r="Z78" s="183">
        <f t="array" ref="Z78">SUM(Z13:AA13*Z26:AA26)/Z32</f>
        <v>0.32967844286890519</v>
      </c>
      <c r="AA78" s="129"/>
      <c r="AB78" s="183">
        <f t="array" ref="AB78">SUM(AB13:AC13*AB26:AC26)/AB32</f>
        <v>0.32797065886099785</v>
      </c>
      <c r="AC78" s="129"/>
      <c r="AD78" s="183">
        <f t="array" ref="AD78">SUM(AD13:AE13*AD26:AE26)/AD32</f>
        <v>0.32625478382508732</v>
      </c>
      <c r="AE78" s="129"/>
      <c r="AF78" s="183">
        <f t="array" ref="AF78">SUM(AF13:AG13*AF26:AG26)/AF32</f>
        <v>0.32455660786654267</v>
      </c>
      <c r="AG78" s="129"/>
      <c r="AH78" s="183">
        <f t="array" ref="AH78">SUM(AH13:AI13*AH26:AI26)/AH32</f>
        <v>0.32290907683618902</v>
      </c>
      <c r="AI78" s="129"/>
      <c r="AJ78" s="183">
        <f t="array" ref="AJ78">SUM(AJ13:AK13*AJ26:AK26)/AJ32</f>
        <v>0.32134837762211887</v>
      </c>
      <c r="AK78" s="129"/>
      <c r="AL78" s="183">
        <f t="array" ref="AL78">SUM(AL13:AM13*AL26:AM26)/AL32</f>
        <v>0.31990666533323753</v>
      </c>
      <c r="AM78" s="129"/>
      <c r="AN78" s="183">
        <f t="array" ref="AN78">SUM(AN13:AO13*AN26:AO26)/AN32</f>
        <v>0.31860458695963817</v>
      </c>
      <c r="AO78" s="129"/>
      <c r="AP78" s="183">
        <f t="array" ref="AP78">SUM(AP13:AQ13*AP26:AQ26)/AP32</f>
        <v>0.31836169337035186</v>
      </c>
      <c r="AQ78" s="129"/>
      <c r="AR78" s="183">
        <f t="array" ref="AR78">SUM(AR13:AS13*AR26:AS26)/AR32</f>
        <v>0.31812464106470328</v>
      </c>
      <c r="AS78" s="129"/>
      <c r="AT78" s="183">
        <f t="array" ref="AT78">SUM(AT13:AU13*AT26:AU26)/AT32</f>
        <v>0.31789338725186367</v>
      </c>
      <c r="AU78" s="129"/>
      <c r="AV78" s="183">
        <f t="array" ref="AV78">SUM(AV13:AW13*AV26:AW26)/AV32</f>
        <v>0.31766787345813696</v>
      </c>
      <c r="XFD78" s="183"/>
    </row>
    <row r="79" spans="1:48 16384:16384" x14ac:dyDescent="0.2">
      <c r="A79" t="s">
        <v>174</v>
      </c>
      <c r="B79" s="183">
        <f t="array" ref="B79">SUM(B15:C15*B27:C27)/B32</f>
        <v>0.45460968782440875</v>
      </c>
      <c r="D79" s="183">
        <f t="array" ref="D79">SUM(D15:E15*D27:E27)/D32</f>
        <v>0.45249137201902767</v>
      </c>
      <c r="F79" s="183">
        <f t="array" ref="F79">SUM(F15:G15*F27:G27)/F32</f>
        <v>0.45034222938685226</v>
      </c>
      <c r="H79" s="183">
        <f t="array" ref="H79">SUM(H15:I15*H27:I27)/H32</f>
        <v>0.44815595000722991</v>
      </c>
      <c r="J79" s="183">
        <f t="array" ref="J79">SUM(J15:K15*J27:K27)/J32</f>
        <v>0.44592489892116144</v>
      </c>
      <c r="L79" s="183">
        <f t="array" ref="L79">SUM(L15:M15*L27:M27)/L32</f>
        <v>0.44363965646746412</v>
      </c>
      <c r="N79" s="183">
        <f t="array" ref="N79">SUM(N15:O15*N27:O27)/N32</f>
        <v>0.441288639906049</v>
      </c>
      <c r="P79" s="183">
        <f t="array" ref="P79">SUM(P15:Q15*P27:Q27)/P32</f>
        <v>0.4388574320797613</v>
      </c>
      <c r="R79" s="183">
        <f t="array" ref="R79">SUM(R15:S15*R27:S27)/R32</f>
        <v>0.43632805293507254</v>
      </c>
      <c r="T79" s="183">
        <f t="array" ref="T79">SUM(T15:U15*T27:U27)/T32</f>
        <v>0.4336780525214059</v>
      </c>
      <c r="V79" s="183">
        <f t="array" ref="V79">SUM(V15:W15*V27:W27)/V32</f>
        <v>0.43087965763129371</v>
      </c>
      <c r="X79" s="183">
        <f t="array" ref="X79">SUM(X15:Y15*X27:Y27)/X32</f>
        <v>0.4278990714033552</v>
      </c>
      <c r="Z79" s="183">
        <f t="array" ref="Z79">SUM(Z15:AA15*Z27:AA27)/Z32</f>
        <v>0.42469689940940064</v>
      </c>
      <c r="AB79" s="183">
        <f t="array" ref="AB79">SUM(AB15:AC15*AB27:AC27)/AB32</f>
        <v>0.42123077814086535</v>
      </c>
      <c r="AD79" s="183">
        <f t="array" ref="AD79">SUM(AD15:AE15*AD27:AE27)/AD32</f>
        <v>0.41746251553789748</v>
      </c>
      <c r="AF79" s="183">
        <f t="array" ref="AF79">SUM(AF15:AG15*AF27:AG27)/AF32</f>
        <v>0.41337166055772229</v>
      </c>
      <c r="AH79" s="183">
        <f t="array" ref="AH79">SUM(AH15:AI15*AH27:AI27)/AH32</f>
        <v>0.40897442912312088</v>
      </c>
      <c r="AJ79" s="183">
        <f t="array" ref="AJ79">SUM(AJ15:AK15*AJ27:AK27)/AJ32</f>
        <v>0.40433934586572085</v>
      </c>
      <c r="AL79" s="183">
        <f t="array" ref="AL79">SUM(AL15:AM15*AL27:AM27)/AL32</f>
        <v>0.39958512087745857</v>
      </c>
      <c r="AN79" s="183">
        <f t="array" ref="AN79">SUM(AN15:AO15*AN27:AO27)/AN32</f>
        <v>0.39485415944444052</v>
      </c>
      <c r="AP79" s="183">
        <f t="array" ref="AP79">SUM(AP15:AQ15*AP27:AQ27)/AP32</f>
        <v>0.39392270722327599</v>
      </c>
      <c r="AR79" s="183">
        <f t="array" ref="AR79">SUM(AR15:AS15*AR27:AS27)/AR32</f>
        <v>0.39299835405407285</v>
      </c>
      <c r="AT79" s="183">
        <f t="array" ref="AT79">SUM(AT15:AU15*AT27:AU27)/AT32</f>
        <v>0.39208190388287739</v>
      </c>
      <c r="AV79" s="183">
        <f t="array" ref="AV79">SUM(AV15:AW15*AV27:AW27)/AV32</f>
        <v>0.39117408870583725</v>
      </c>
      <c r="XFD79" s="183"/>
    </row>
    <row r="80" spans="1:48 16384:16384" x14ac:dyDescent="0.2">
      <c r="A80" t="s">
        <v>153</v>
      </c>
      <c r="B80" s="195">
        <f>B55</f>
        <v>0.19850271905982084</v>
      </c>
      <c r="D80" s="195">
        <f>D55</f>
        <v>0.20181834204980734</v>
      </c>
      <c r="F80" s="195">
        <f>F55</f>
        <v>0.20520135182285706</v>
      </c>
      <c r="H80" s="195">
        <f>H55</f>
        <v>0.2086604886002188</v>
      </c>
      <c r="J80" s="195">
        <f>J55</f>
        <v>0.21220588127751372</v>
      </c>
      <c r="L80" s="195">
        <f>L55</f>
        <v>0.21584929411146095</v>
      </c>
      <c r="N80" s="195">
        <f>N55</f>
        <v>0.21960453753152775</v>
      </c>
      <c r="P80" s="195">
        <f>P55</f>
        <v>0.22348788474685669</v>
      </c>
      <c r="R80" s="195">
        <f>R55</f>
        <v>0.22751855391903514</v>
      </c>
      <c r="T80" s="195">
        <f>T55</f>
        <v>0.23171927560094135</v>
      </c>
      <c r="V80" s="195">
        <f>V55</f>
        <v>0.23611663678096695</v>
      </c>
      <c r="X80" s="195">
        <f>X55</f>
        <v>0.24074090985557911</v>
      </c>
      <c r="Z80" s="195">
        <f>Z55</f>
        <v>0.24562465433256084</v>
      </c>
      <c r="AB80" s="195">
        <f>AB55</f>
        <v>0.25079856361470804</v>
      </c>
      <c r="AD80" s="195">
        <f>AD55</f>
        <v>0.25628270539192244</v>
      </c>
      <c r="AF80" s="195">
        <f>AF55</f>
        <v>0.2620717267565717</v>
      </c>
      <c r="AH80" s="195">
        <f>AH55</f>
        <v>0.26811649242829716</v>
      </c>
      <c r="AJ80" s="195">
        <f>AJ55</f>
        <v>0.27431228084205106</v>
      </c>
      <c r="AL80" s="195">
        <f>AL55</f>
        <v>0.28050821556116667</v>
      </c>
      <c r="AN80" s="195">
        <f>AN55</f>
        <v>0.28654126572487187</v>
      </c>
      <c r="AP80" s="195">
        <f>AP55</f>
        <v>0.28771560490629178</v>
      </c>
      <c r="AR80" s="195">
        <f>AR55</f>
        <v>0.28887700096256752</v>
      </c>
      <c r="AT80" s="195">
        <f>AT55</f>
        <v>0.29002469994653385</v>
      </c>
      <c r="AV80" s="195">
        <f>AV55</f>
        <v>0.29115804319660937</v>
      </c>
      <c r="XFD80" s="195"/>
    </row>
    <row r="81" spans="1:48 16384:16384" x14ac:dyDescent="0.2">
      <c r="A81" t="s">
        <v>175</v>
      </c>
      <c r="B81" s="195">
        <f>B51/B$32</f>
        <v>-2.7543485504603994E-2</v>
      </c>
      <c r="D81" s="195">
        <f>D51/D$32</f>
        <v>-2.4227862514617508E-2</v>
      </c>
      <c r="F81" s="195">
        <f>F51/F$32</f>
        <v>-2.084485274156777E-2</v>
      </c>
      <c r="H81" s="195">
        <f>H51/H$32</f>
        <v>-1.7385715964206051E-2</v>
      </c>
      <c r="J81" s="195">
        <f>J51/J$32</f>
        <v>-1.3840323286911111E-2</v>
      </c>
      <c r="L81" s="195">
        <f>L51/L$32</f>
        <v>-1.0196910452963904E-2</v>
      </c>
      <c r="N81" s="195">
        <f>N51/N$32</f>
        <v>-6.4416670328971085E-3</v>
      </c>
      <c r="P81" s="195">
        <f>P51/P$32</f>
        <v>-2.5583198175681446E-3</v>
      </c>
      <c r="R81" s="195">
        <f>R51/R$32</f>
        <v>1.4723493546102938E-3</v>
      </c>
      <c r="T81" s="195">
        <f>T51/T$32</f>
        <v>5.673071036516499E-3</v>
      </c>
      <c r="V81" s="195">
        <f>V51/V$32</f>
        <v>1.0070432216542094E-2</v>
      </c>
      <c r="X81" s="195">
        <f>X51/X$32</f>
        <v>1.4694705291154289E-2</v>
      </c>
      <c r="Z81" s="195">
        <f>Z51/Z$32</f>
        <v>1.9578449768136004E-2</v>
      </c>
      <c r="AB81" s="195">
        <f>AB51/AB$32</f>
        <v>2.4752359050283172E-2</v>
      </c>
      <c r="AD81" s="195">
        <f>AD51/AD$32</f>
        <v>3.0236500827497622E-2</v>
      </c>
      <c r="AF81" s="195">
        <f>AF51/AF$32</f>
        <v>3.6025522192146837E-2</v>
      </c>
      <c r="AH81" s="195">
        <f>AH51/AH$32</f>
        <v>4.2070287863872326E-2</v>
      </c>
      <c r="AJ81" s="195">
        <f>AJ51/AJ$32</f>
        <v>4.8266076277626212E-2</v>
      </c>
      <c r="AL81" s="195">
        <f>AL51/AL$32</f>
        <v>5.4462010996741798E-2</v>
      </c>
      <c r="AN81" s="195">
        <f>AN51/AN$32</f>
        <v>6.0495061160447054E-2</v>
      </c>
      <c r="AP81" s="195">
        <f>AP51/AP$32</f>
        <v>6.1669400341866916E-2</v>
      </c>
      <c r="AR81" s="195">
        <f>AR51/AR$32</f>
        <v>6.283079639814268E-2</v>
      </c>
      <c r="AT81" s="195">
        <f>AT51/AT$32</f>
        <v>6.3978495382109035E-2</v>
      </c>
      <c r="AV81" s="195">
        <f>AV51/AV$32</f>
        <v>6.5111838632184532E-2</v>
      </c>
      <c r="XFD81" s="195"/>
    </row>
    <row r="82" spans="1:48 16384:16384" x14ac:dyDescent="0.2">
      <c r="A82" t="s">
        <v>176</v>
      </c>
      <c r="B82" s="195">
        <f>B52/B$32</f>
        <v>0.14069693704202227</v>
      </c>
      <c r="D82" s="195">
        <f>D52/D$32</f>
        <v>0.14021131767403899</v>
      </c>
      <c r="F82" s="195">
        <f>F52/F$32</f>
        <v>0.13971086580178108</v>
      </c>
      <c r="H82" s="195">
        <f>H52/H$32</f>
        <v>0.13919458798954085</v>
      </c>
      <c r="J82" s="195">
        <f>J52/J$32</f>
        <v>0.13866149796443597</v>
      </c>
      <c r="L82" s="195">
        <f>L52/L$32</f>
        <v>0.1381106213671163</v>
      </c>
      <c r="N82" s="195">
        <f>N52/N$32</f>
        <v>0.13754106828619411</v>
      </c>
      <c r="P82" s="195">
        <f>P52/P$32</f>
        <v>0.13695208639101597</v>
      </c>
      <c r="R82" s="195">
        <f>R52/R$32</f>
        <v>0.13634316625943479</v>
      </c>
      <c r="T82" s="195">
        <f>T52/T$32</f>
        <v>0.13571419350350161</v>
      </c>
      <c r="V82" s="195">
        <f>V52/V$32</f>
        <v>0.13506566053144664</v>
      </c>
      <c r="X82" s="195">
        <f>X52/X$32</f>
        <v>0.13439898154045618</v>
      </c>
      <c r="Z82" s="195">
        <f>Z52/Z$32</f>
        <v>0.13371693897670614</v>
      </c>
      <c r="AB82" s="195">
        <f>AB52/AB$32</f>
        <v>0.13302426508519075</v>
      </c>
      <c r="AD82" s="195">
        <f>AD52/AD$32</f>
        <v>0.13232830948836169</v>
      </c>
      <c r="AF82" s="195">
        <f>AF52/AF$32</f>
        <v>0.13163953260309011</v>
      </c>
      <c r="AH82" s="195">
        <f>AH52/AH$32</f>
        <v>0.13097129720276815</v>
      </c>
      <c r="AJ82" s="195">
        <f>AJ52/AJ$32</f>
        <v>0.1303382806192368</v>
      </c>
      <c r="AL82" s="195">
        <f>AL52/AL$32</f>
        <v>0.12975352490249442</v>
      </c>
      <c r="AN82" s="195">
        <f>AN52/AN$32</f>
        <v>0.12922540443180078</v>
      </c>
      <c r="AP82" s="195">
        <f>AP52/AP$32</f>
        <v>0.12912688726163402</v>
      </c>
      <c r="AR82" s="195">
        <f>AR52/AR$32</f>
        <v>0.12903073930481629</v>
      </c>
      <c r="AT82" s="195">
        <f>AT52/AT$32</f>
        <v>0.12893694320547017</v>
      </c>
      <c r="AV82" s="195">
        <f>AV52/AV$32</f>
        <v>0.12884547524677761</v>
      </c>
    </row>
    <row r="83" spans="1:48 16384:16384" x14ac:dyDescent="0.2">
      <c r="A83" t="s">
        <v>177</v>
      </c>
      <c r="B83" s="195">
        <f>B53/B$32</f>
        <v>0.18438881036940691</v>
      </c>
      <c r="D83" s="195">
        <f>D53/D$32</f>
        <v>0.18352962557462135</v>
      </c>
      <c r="F83" s="195">
        <f>F53/F$32</f>
        <v>0.18265793747849338</v>
      </c>
      <c r="H83" s="195">
        <f>H53/H$32</f>
        <v>0.18177118678940679</v>
      </c>
      <c r="J83" s="195">
        <f>J53/J$32</f>
        <v>0.18086627678275413</v>
      </c>
      <c r="L83" s="195">
        <f>L53/L$32</f>
        <v>0.17993938686217317</v>
      </c>
      <c r="N83" s="195">
        <f>N53/N$32</f>
        <v>0.17898581909067959</v>
      </c>
      <c r="P83" s="195">
        <f>P53/P$32</f>
        <v>0.17799972589720781</v>
      </c>
      <c r="R83" s="195">
        <f>R53/R$32</f>
        <v>0.17697381460681208</v>
      </c>
      <c r="T83" s="195">
        <f>T53/T$32</f>
        <v>0.17589897956294656</v>
      </c>
      <c r="V83" s="195">
        <f>V53/V$32</f>
        <v>0.17476395600636344</v>
      </c>
      <c r="X83" s="195">
        <f>X53/X$32</f>
        <v>0.17355503599543462</v>
      </c>
      <c r="Z83" s="195">
        <f>Z53/Z$32</f>
        <v>0.17225624122625768</v>
      </c>
      <c r="AB83" s="195">
        <f>AB53/AB$32</f>
        <v>0.17085038914167083</v>
      </c>
      <c r="AD83" s="195">
        <f>AD53/AD$32</f>
        <v>0.16932198911604457</v>
      </c>
      <c r="AF83" s="195">
        <f>AF53/AF$32</f>
        <v>0.16766274624597263</v>
      </c>
      <c r="AH83" s="195">
        <f>AH53/AH$32</f>
        <v>0.16587923767838073</v>
      </c>
      <c r="AJ83" s="195">
        <f>AJ53/AJ$32</f>
        <v>0.16399925687136097</v>
      </c>
      <c r="AL83" s="195">
        <f>AL53/AL$32</f>
        <v>0.16207095240867037</v>
      </c>
      <c r="AN83" s="195">
        <f>AN53/AN$32</f>
        <v>0.16015208359900548</v>
      </c>
      <c r="AP83" s="195">
        <f>AP53/AP$32</f>
        <v>0.15977428837911392</v>
      </c>
      <c r="AR83" s="195">
        <f>AR53/AR$32</f>
        <v>0.15939937252097142</v>
      </c>
      <c r="AT83" s="195">
        <f>AT53/AT$32</f>
        <v>0.15902766210354002</v>
      </c>
      <c r="AV83" s="195">
        <f>AV53/AV$32</f>
        <v>0.15865945402304182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AW39"/>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4.7297706922975379E-2</v>
      </c>
      <c r="E2" s="189"/>
      <c r="F2" s="188">
        <v>9.1852978935893365E-2</v>
      </c>
      <c r="G2" s="189"/>
      <c r="H2" s="188">
        <v>0.13973560805567337</v>
      </c>
      <c r="I2" s="189"/>
      <c r="J2" s="188">
        <v>0.19127117220039824</v>
      </c>
      <c r="K2" s="189"/>
      <c r="L2" s="188">
        <v>0.24681432654652222</v>
      </c>
      <c r="M2" s="189"/>
      <c r="N2" s="188">
        <v>0.30674225424817358</v>
      </c>
      <c r="O2" s="189"/>
      <c r="P2" s="188">
        <v>0.37145074456193977</v>
      </c>
      <c r="Q2" s="189"/>
      <c r="R2" s="188">
        <v>0.44134807549639032</v>
      </c>
      <c r="S2" s="189"/>
      <c r="T2" s="188">
        <v>0.51686768243953551</v>
      </c>
      <c r="U2" s="189"/>
      <c r="V2" s="188">
        <v>0.59854324576196116</v>
      </c>
      <c r="W2" s="189"/>
      <c r="X2" s="188">
        <v>0.68728090730395208</v>
      </c>
      <c r="Y2" s="189"/>
      <c r="Z2" s="188">
        <v>0.78516066108492111</v>
      </c>
      <c r="AA2" s="189"/>
      <c r="AB2" s="188">
        <v>0.89755259383625641</v>
      </c>
      <c r="AC2" s="189"/>
      <c r="AD2" s="188">
        <v>1.0383004761332535</v>
      </c>
      <c r="AE2" s="189"/>
      <c r="AF2" s="188">
        <v>1.2422650733012184</v>
      </c>
      <c r="AG2" s="189"/>
      <c r="AH2" s="188">
        <v>1.5992785084218379</v>
      </c>
      <c r="AI2" s="189"/>
      <c r="AJ2" s="188">
        <v>2.3708065380718661</v>
      </c>
      <c r="AK2" s="189"/>
      <c r="AL2" s="188">
        <v>4.5132420941802227</v>
      </c>
      <c r="AM2" s="189"/>
      <c r="AN2" s="188">
        <v>13.683962883183757</v>
      </c>
      <c r="AO2" s="189"/>
      <c r="AP2" s="188">
        <v>19.150493259920101</v>
      </c>
      <c r="AQ2" s="189"/>
      <c r="AR2" s="188">
        <v>29.063021172417937</v>
      </c>
      <c r="AS2" s="189"/>
      <c r="AT2" s="188">
        <v>50.843486073567533</v>
      </c>
      <c r="AU2" s="189"/>
      <c r="AV2" s="188">
        <v>123.54395776478378</v>
      </c>
      <c r="AW2" s="189"/>
    </row>
    <row r="3" spans="1:49" x14ac:dyDescent="0.2">
      <c r="A3" t="s">
        <v>12</v>
      </c>
      <c r="B3" s="81">
        <v>1000</v>
      </c>
      <c r="C3" s="82">
        <v>1000</v>
      </c>
      <c r="D3" s="81">
        <v>997.37598330646961</v>
      </c>
      <c r="E3" s="82">
        <v>1018.4776453052975</v>
      </c>
      <c r="F3" s="81">
        <v>995.04460621127691</v>
      </c>
      <c r="G3" s="82">
        <v>1039.0195789998465</v>
      </c>
      <c r="H3" s="81">
        <v>993.09287003250654</v>
      </c>
      <c r="I3" s="82">
        <v>1061.9264913290847</v>
      </c>
      <c r="J3" s="81">
        <v>991.64107323133476</v>
      </c>
      <c r="K3" s="82">
        <v>1087.5565834290844</v>
      </c>
      <c r="L3" s="81">
        <v>990.85622451739175</v>
      </c>
      <c r="M3" s="82">
        <v>1116.3399390405259</v>
      </c>
      <c r="N3" s="81">
        <v>990.97577120025517</v>
      </c>
      <c r="O3" s="82">
        <v>1148.7980577821334</v>
      </c>
      <c r="P3" s="81">
        <v>992.34119285679242</v>
      </c>
      <c r="Q3" s="82">
        <v>1185.5725623966803</v>
      </c>
      <c r="R3" s="81">
        <v>995.45239490398058</v>
      </c>
      <c r="S3" s="82">
        <v>1227.4703251438161</v>
      </c>
      <c r="T3" s="81">
        <v>1001.0527378911727</v>
      </c>
      <c r="U3" s="82">
        <v>1275.5441949602077</v>
      </c>
      <c r="V3" s="81">
        <v>1010.2637206183807</v>
      </c>
      <c r="W3" s="82">
        <v>1331.2477901428451</v>
      </c>
      <c r="X3" s="81">
        <v>1024.7976786675465</v>
      </c>
      <c r="Y3" s="82">
        <v>1396.7595298112515</v>
      </c>
      <c r="Z3" s="81">
        <v>1047.2908727666411</v>
      </c>
      <c r="AA3" s="82">
        <v>1475.6831200807055</v>
      </c>
      <c r="AB3" s="81">
        <v>1081.8202400298194</v>
      </c>
      <c r="AC3" s="82">
        <v>1574.5733804497538</v>
      </c>
      <c r="AD3" s="81">
        <v>1134.7390724686556</v>
      </c>
      <c r="AE3" s="82">
        <v>1706.264964666985</v>
      </c>
      <c r="AF3" s="81">
        <v>1216.3012727992966</v>
      </c>
      <c r="AG3" s="82">
        <v>1897.451275677231</v>
      </c>
      <c r="AH3" s="81">
        <v>1344.9096659065549</v>
      </c>
      <c r="AI3" s="82">
        <v>2208.6516841688181</v>
      </c>
      <c r="AJ3" s="81">
        <v>1560.1580600708801</v>
      </c>
      <c r="AK3" s="82">
        <v>2799.966392685124</v>
      </c>
      <c r="AL3" s="81">
        <v>1965.0027198349228</v>
      </c>
      <c r="AM3" s="82">
        <v>4206.1533261292343</v>
      </c>
      <c r="AN3" s="81">
        <v>2946.2490200388493</v>
      </c>
      <c r="AO3" s="82">
        <v>9320.4015811910631</v>
      </c>
      <c r="AP3" s="81">
        <v>3349.9593455028098</v>
      </c>
      <c r="AQ3" s="82">
        <v>12145.891094772931</v>
      </c>
      <c r="AR3" s="81">
        <v>3944.7339763135537</v>
      </c>
      <c r="AS3" s="82">
        <v>17091.813432878505</v>
      </c>
      <c r="AT3" s="81">
        <v>4944.34554301765</v>
      </c>
      <c r="AU3" s="82">
        <v>27543.235030059433</v>
      </c>
      <c r="AV3" s="81">
        <v>7178.7787424694216</v>
      </c>
      <c r="AW3" s="82">
        <v>60833.364578185334</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997.24558777878508</v>
      </c>
      <c r="E5" s="40">
        <v>1016.091428673255</v>
      </c>
      <c r="F5" s="39">
        <v>994.79658973156666</v>
      </c>
      <c r="G5" s="40">
        <v>1033.6682171656071</v>
      </c>
      <c r="H5" s="39">
        <v>992.74510028068653</v>
      </c>
      <c r="I5" s="40">
        <v>1052.8798544608308</v>
      </c>
      <c r="J5" s="39">
        <v>991.21834133259165</v>
      </c>
      <c r="K5" s="40">
        <v>1073.888521577114</v>
      </c>
      <c r="L5" s="39">
        <v>990.39269569774979</v>
      </c>
      <c r="M5" s="40">
        <v>1096.8687243951106</v>
      </c>
      <c r="N5" s="39">
        <v>990.5184686112533</v>
      </c>
      <c r="O5" s="40">
        <v>1122.0055268178623</v>
      </c>
      <c r="P5" s="39">
        <v>991.95469164588644</v>
      </c>
      <c r="Q5" s="40">
        <v>1149.4932954941814</v>
      </c>
      <c r="R5" s="39">
        <v>995.22507077543958</v>
      </c>
      <c r="S5" s="40">
        <v>1179.5360935983451</v>
      </c>
      <c r="T5" s="39">
        <v>1001.1044618951108</v>
      </c>
      <c r="U5" s="40">
        <v>1212.3556208132673</v>
      </c>
      <c r="V5" s="39">
        <v>1010.7537137070676</v>
      </c>
      <c r="W5" s="40">
        <v>1248.2186877832319</v>
      </c>
      <c r="X5" s="39">
        <v>1025.9278144959078</v>
      </c>
      <c r="Y5" s="40">
        <v>1287.5077939177086</v>
      </c>
      <c r="Z5" s="39">
        <v>1049.2909939682147</v>
      </c>
      <c r="AA5" s="40">
        <v>1330.869833477946</v>
      </c>
      <c r="AB5" s="39">
        <v>1084.8816933658827</v>
      </c>
      <c r="AC5" s="40">
        <v>1379.4571202834613</v>
      </c>
      <c r="AD5" s="39">
        <v>1138.8184429888511</v>
      </c>
      <c r="AE5" s="40">
        <v>1435.1601867136999</v>
      </c>
      <c r="AF5" s="39">
        <v>1220.6158371401345</v>
      </c>
      <c r="AG5" s="40">
        <v>1500.3603222135882</v>
      </c>
      <c r="AH5" s="39">
        <v>1346.6331780245807</v>
      </c>
      <c r="AI5" s="40">
        <v>1576.0483141079803</v>
      </c>
      <c r="AJ5" s="39">
        <v>1550.4453900989688</v>
      </c>
      <c r="AK5" s="40">
        <v>1656.3007320072329</v>
      </c>
      <c r="AL5" s="39">
        <v>1913.411372434688</v>
      </c>
      <c r="AM5" s="40">
        <v>1720.4325991616697</v>
      </c>
      <c r="AN5" s="39">
        <v>2704.8514671983121</v>
      </c>
      <c r="AO5" s="40">
        <v>1747.2734240409129</v>
      </c>
      <c r="AP5" s="39">
        <v>3000.1372146724389</v>
      </c>
      <c r="AQ5" s="40">
        <v>1748.8043343747809</v>
      </c>
      <c r="AR5" s="39">
        <v>3407.6731181019995</v>
      </c>
      <c r="AS5" s="40">
        <v>1749.6150666428846</v>
      </c>
      <c r="AT5" s="39">
        <v>4028.1406956273554</v>
      </c>
      <c r="AU5" s="40">
        <v>1749.9606977582118</v>
      </c>
      <c r="AV5" s="39">
        <v>5182.7201144139535</v>
      </c>
      <c r="AW5" s="40">
        <v>1750.0591696535362</v>
      </c>
    </row>
    <row r="6" spans="1:49" x14ac:dyDescent="0.2">
      <c r="A6" t="s">
        <v>77</v>
      </c>
      <c r="B6" s="39">
        <v>999.99999999999943</v>
      </c>
      <c r="C6" s="40">
        <v>999.99999999999886</v>
      </c>
      <c r="D6" s="39">
        <v>997.03552652423548</v>
      </c>
      <c r="E6" s="40">
        <v>1019.9310458806063</v>
      </c>
      <c r="F6" s="39">
        <v>994.40080813375573</v>
      </c>
      <c r="G6" s="40">
        <v>1042.0563880324123</v>
      </c>
      <c r="H6" s="39">
        <v>992.19450427977711</v>
      </c>
      <c r="I6" s="40">
        <v>1066.6913330620719</v>
      </c>
      <c r="J6" s="39">
        <v>990.55297728574578</v>
      </c>
      <c r="K6" s="40">
        <v>1094.2109974185485</v>
      </c>
      <c r="L6" s="39">
        <v>989.66542728133288</v>
      </c>
      <c r="M6" s="40">
        <v>1125.065220729585</v>
      </c>
      <c r="N6" s="39">
        <v>989.80062323552943</v>
      </c>
      <c r="O6" s="40">
        <v>1159.7988567710308</v>
      </c>
      <c r="P6" s="39">
        <v>991.34463263180282</v>
      </c>
      <c r="Q6" s="40">
        <v>1199.0816656216412</v>
      </c>
      <c r="R6" s="39">
        <v>994.86171347874597</v>
      </c>
      <c r="S6" s="40">
        <v>1243.7554161654402</v>
      </c>
      <c r="T6" s="39">
        <v>1001.1890428674598</v>
      </c>
      <c r="U6" s="40">
        <v>1294.918390065159</v>
      </c>
      <c r="V6" s="39">
        <v>1011.5857960479424</v>
      </c>
      <c r="W6" s="40">
        <v>1354.0876385532779</v>
      </c>
      <c r="X6" s="39">
        <v>1027.966497097691</v>
      </c>
      <c r="Y6" s="40">
        <v>1423.5387778659963</v>
      </c>
      <c r="Z6" s="39">
        <v>1053.2620756824158</v>
      </c>
      <c r="AA6" s="40">
        <v>1507.0399323238248</v>
      </c>
      <c r="AB6" s="39">
        <v>1091.9714331550356</v>
      </c>
      <c r="AC6" s="40">
        <v>1611.4476556254601</v>
      </c>
      <c r="AD6" s="39">
        <v>1151.040450165088</v>
      </c>
      <c r="AE6" s="40">
        <v>1750.1804068432166</v>
      </c>
      <c r="AF6" s="39">
        <v>1241.5671680087498</v>
      </c>
      <c r="AG6" s="40">
        <v>1951.1078403145887</v>
      </c>
      <c r="AH6" s="39">
        <v>1383.3102308221178</v>
      </c>
      <c r="AI6" s="40">
        <v>2277.3022453641679</v>
      </c>
      <c r="AJ6" s="39">
        <v>1618.5939802163566</v>
      </c>
      <c r="AK6" s="40">
        <v>2895.3292056693795</v>
      </c>
      <c r="AL6" s="39">
        <v>2057.1370459679765</v>
      </c>
      <c r="AM6" s="40">
        <v>4360.8548737494202</v>
      </c>
      <c r="AN6" s="39">
        <v>3110.4694499541829</v>
      </c>
      <c r="AO6" s="40">
        <v>9679.2340806132579</v>
      </c>
      <c r="AP6" s="39">
        <v>3542.0349640269965</v>
      </c>
      <c r="AQ6" s="40">
        <v>12615.697099877883</v>
      </c>
      <c r="AR6" s="39">
        <v>4176.9040419787161</v>
      </c>
      <c r="AS6" s="40">
        <v>17755.115909243468</v>
      </c>
      <c r="AT6" s="39">
        <v>5242.3980996148039</v>
      </c>
      <c r="AU6" s="40">
        <v>28614.34813590259</v>
      </c>
      <c r="AV6" s="39">
        <v>7620.9333237718747</v>
      </c>
      <c r="AW6" s="40">
        <v>63201.506763970123</v>
      </c>
    </row>
    <row r="7" spans="1:49" x14ac:dyDescent="0.2">
      <c r="A7" t="s">
        <v>13</v>
      </c>
      <c r="B7" s="31">
        <v>1015.9116825427475</v>
      </c>
      <c r="C7" s="32">
        <v>1015.9116825427475</v>
      </c>
      <c r="D7" s="31">
        <v>1013.1134429886766</v>
      </c>
      <c r="E7" s="32">
        <v>1013.1134429886766</v>
      </c>
      <c r="F7" s="31">
        <v>1010.6254772619831</v>
      </c>
      <c r="G7" s="32">
        <v>1010.6254772619831</v>
      </c>
      <c r="H7" s="31">
        <v>1008.5413451622208</v>
      </c>
      <c r="I7" s="32">
        <v>1008.5413451622208</v>
      </c>
      <c r="J7" s="31">
        <v>1006.9902929104245</v>
      </c>
      <c r="K7" s="32">
        <v>1006.9902929104245</v>
      </c>
      <c r="L7" s="31">
        <v>1006.1515098643482</v>
      </c>
      <c r="M7" s="32">
        <v>1006.1515098643482</v>
      </c>
      <c r="N7" s="31">
        <v>1006.2792840365239</v>
      </c>
      <c r="O7" s="32">
        <v>1006.2792840365239</v>
      </c>
      <c r="P7" s="31">
        <v>1007.7383597961447</v>
      </c>
      <c r="Q7" s="32">
        <v>1007.7383597961447</v>
      </c>
      <c r="R7" s="31">
        <v>1011.0607761602017</v>
      </c>
      <c r="S7" s="32">
        <v>1011.0607761602017</v>
      </c>
      <c r="T7" s="31">
        <v>1017.0337182849138</v>
      </c>
      <c r="U7" s="32">
        <v>1017.0337182849138</v>
      </c>
      <c r="V7" s="31">
        <v>1026.8365059284774</v>
      </c>
      <c r="W7" s="32">
        <v>1026.8365059284774</v>
      </c>
      <c r="X7" s="31">
        <v>1042.2520521919414</v>
      </c>
      <c r="Y7" s="32">
        <v>1042.2520521919414</v>
      </c>
      <c r="Z7" s="31">
        <v>1065.9869791592009</v>
      </c>
      <c r="AA7" s="32">
        <v>1065.9869791592009</v>
      </c>
      <c r="AB7" s="31">
        <v>1102.1439864671588</v>
      </c>
      <c r="AC7" s="32">
        <v>1102.1439864671588</v>
      </c>
      <c r="AD7" s="31">
        <v>1156.9389605275155</v>
      </c>
      <c r="AE7" s="32">
        <v>1156.9389605275155</v>
      </c>
      <c r="AF7" s="31">
        <v>1240.0378888473583</v>
      </c>
      <c r="AG7" s="32">
        <v>1240.0378888473583</v>
      </c>
      <c r="AH7" s="31">
        <v>1368.0603776548389</v>
      </c>
      <c r="AI7" s="32">
        <v>1368.0603776548389</v>
      </c>
      <c r="AJ7" s="31">
        <v>1575.1155849460897</v>
      </c>
      <c r="AK7" s="32">
        <v>1575.1155849460897</v>
      </c>
      <c r="AL7" s="31">
        <v>1943.8569667665515</v>
      </c>
      <c r="AM7" s="32">
        <v>1943.8569667665515</v>
      </c>
      <c r="AN7" s="31">
        <v>2747.8902050696561</v>
      </c>
      <c r="AO7" s="32">
        <v>2747.8902050696561</v>
      </c>
      <c r="AP7" s="31">
        <v>3047.8744456169893</v>
      </c>
      <c r="AQ7" s="32">
        <v>3047.8744456169893</v>
      </c>
      <c r="AR7" s="31">
        <v>3461.8949309666928</v>
      </c>
      <c r="AS7" s="32">
        <v>3461.8949309666928</v>
      </c>
      <c r="AT7" s="31">
        <v>4092.2351916136995</v>
      </c>
      <c r="AU7" s="32">
        <v>4092.2351916136995</v>
      </c>
      <c r="AV7" s="31">
        <v>5265.18591158242</v>
      </c>
      <c r="AW7" s="32">
        <v>5265.18591158242</v>
      </c>
    </row>
    <row r="8" spans="1:49" x14ac:dyDescent="0.2">
      <c r="B8" s="33">
        <v>1005.7716594496609</v>
      </c>
      <c r="C8" s="34">
        <v>1005.7716594496609</v>
      </c>
      <c r="D8" s="33">
        <v>1064.15022327359</v>
      </c>
      <c r="E8" s="34">
        <v>1064.15022327359</v>
      </c>
      <c r="F8" s="33">
        <v>1128.613722143622</v>
      </c>
      <c r="G8" s="34">
        <v>1128.613722143622</v>
      </c>
      <c r="H8" s="33">
        <v>1200.0046611334838</v>
      </c>
      <c r="I8" s="34">
        <v>1200.0046611334838</v>
      </c>
      <c r="J8" s="33">
        <v>1279.2924379117214</v>
      </c>
      <c r="K8" s="34">
        <v>1279.2924379117214</v>
      </c>
      <c r="L8" s="33">
        <v>1367.5916399166326</v>
      </c>
      <c r="M8" s="34">
        <v>1367.5916399166326</v>
      </c>
      <c r="N8" s="33">
        <v>1466.1720313928829</v>
      </c>
      <c r="O8" s="34">
        <v>1466.1720313928829</v>
      </c>
      <c r="P8" s="33">
        <v>1576.473435974453</v>
      </c>
      <c r="Q8" s="34">
        <v>1576.473435974453</v>
      </c>
      <c r="R8" s="33">
        <v>1700.122078486505</v>
      </c>
      <c r="S8" s="34">
        <v>1700.122078486505</v>
      </c>
      <c r="T8" s="33">
        <v>1838.9830608355651</v>
      </c>
      <c r="U8" s="34">
        <v>1838.9830608355651</v>
      </c>
      <c r="V8" s="33">
        <v>1995.3315525897435</v>
      </c>
      <c r="W8" s="34">
        <v>1995.3315525897435</v>
      </c>
      <c r="X8" s="33">
        <v>2172.3873186823812</v>
      </c>
      <c r="Y8" s="34">
        <v>2172.3873186823812</v>
      </c>
      <c r="Z8" s="33">
        <v>2375.8164717494692</v>
      </c>
      <c r="AA8" s="34">
        <v>2375.8164717494692</v>
      </c>
      <c r="AB8" s="33">
        <v>2617.5924366797744</v>
      </c>
      <c r="AC8" s="34">
        <v>2617.5924366797744</v>
      </c>
      <c r="AD8" s="33">
        <v>2925.2876919060232</v>
      </c>
      <c r="AE8" s="34">
        <v>2925.2876919060232</v>
      </c>
      <c r="AF8" s="33">
        <v>3364.2055478664906</v>
      </c>
      <c r="AG8" s="34">
        <v>3364.2055478664906</v>
      </c>
      <c r="AH8" s="33">
        <v>4096.5885110953432</v>
      </c>
      <c r="AI8" s="34">
        <v>4096.5885110953432</v>
      </c>
      <c r="AJ8" s="33">
        <v>5583.0693364631989</v>
      </c>
      <c r="AK8" s="34">
        <v>5583.0693364631989</v>
      </c>
      <c r="AL8" s="33">
        <v>9485.161425898008</v>
      </c>
      <c r="AM8" s="34">
        <v>9485.161425898008</v>
      </c>
      <c r="AN8" s="33">
        <v>25656.898105390159</v>
      </c>
      <c r="AO8" s="34">
        <v>25656.898105390159</v>
      </c>
      <c r="AP8" s="33">
        <v>35239.269952738083</v>
      </c>
      <c r="AQ8" s="34">
        <v>35239.269952738083</v>
      </c>
      <c r="AR8" s="33">
        <v>52598.714792066457</v>
      </c>
      <c r="AS8" s="34">
        <v>52598.714792066457</v>
      </c>
      <c r="AT8" s="33">
        <v>90724.063063518377</v>
      </c>
      <c r="AU8" s="34">
        <v>90724.063063518377</v>
      </c>
      <c r="AV8" s="33">
        <v>217959.29531120259</v>
      </c>
      <c r="AW8" s="34">
        <v>217959.29531120259</v>
      </c>
    </row>
    <row r="9" spans="1:49" x14ac:dyDescent="0.2">
      <c r="A9" t="s">
        <v>14</v>
      </c>
      <c r="B9" s="39">
        <v>1015.9116825427475</v>
      </c>
      <c r="C9" s="40">
        <v>1005.7716594496609</v>
      </c>
      <c r="D9" s="39">
        <v>1013.1134429886766</v>
      </c>
      <c r="E9" s="40">
        <v>1064.15022327359</v>
      </c>
      <c r="F9" s="39">
        <v>1010.6254772619831</v>
      </c>
      <c r="G9" s="40">
        <v>1128.613722143622</v>
      </c>
      <c r="H9" s="39">
        <v>1008.5413451622208</v>
      </c>
      <c r="I9" s="40">
        <v>1200.0046611334838</v>
      </c>
      <c r="J9" s="39">
        <v>1006.9902929104245</v>
      </c>
      <c r="K9" s="40">
        <v>1279.2924379117214</v>
      </c>
      <c r="L9" s="39">
        <v>1006.1515098643482</v>
      </c>
      <c r="M9" s="40">
        <v>1367.5916399166326</v>
      </c>
      <c r="N9" s="39">
        <v>1006.2792840365239</v>
      </c>
      <c r="O9" s="40">
        <v>1466.1720313928829</v>
      </c>
      <c r="P9" s="39">
        <v>1007.7383597961447</v>
      </c>
      <c r="Q9" s="40">
        <v>1576.473435974453</v>
      </c>
      <c r="R9" s="39">
        <v>1011.0607761602017</v>
      </c>
      <c r="S9" s="40">
        <v>1700.122078486505</v>
      </c>
      <c r="T9" s="39">
        <v>1017.0337182849138</v>
      </c>
      <c r="U9" s="40">
        <v>1838.9830608355651</v>
      </c>
      <c r="V9" s="39">
        <v>1026.8365059284774</v>
      </c>
      <c r="W9" s="40">
        <v>1995.3315525897435</v>
      </c>
      <c r="X9" s="39">
        <v>1042.2520521919414</v>
      </c>
      <c r="Y9" s="40">
        <v>2172.3873186823812</v>
      </c>
      <c r="Z9" s="39">
        <v>1065.9869791592009</v>
      </c>
      <c r="AA9" s="40">
        <v>2375.8164717494692</v>
      </c>
      <c r="AB9" s="39">
        <v>1102.1439864671588</v>
      </c>
      <c r="AC9" s="40">
        <v>2617.5924366797744</v>
      </c>
      <c r="AD9" s="39">
        <v>1156.9389605275155</v>
      </c>
      <c r="AE9" s="40">
        <v>2925.2876919060232</v>
      </c>
      <c r="AF9" s="39">
        <v>1240.0378888473583</v>
      </c>
      <c r="AG9" s="40">
        <v>3364.2055478664906</v>
      </c>
      <c r="AH9" s="39">
        <v>1368.0603776548389</v>
      </c>
      <c r="AI9" s="40">
        <v>4096.5885110953432</v>
      </c>
      <c r="AJ9" s="39">
        <v>1575.1155849460897</v>
      </c>
      <c r="AK9" s="40">
        <v>5583.0693364631989</v>
      </c>
      <c r="AL9" s="39">
        <v>1943.8569667665515</v>
      </c>
      <c r="AM9" s="40">
        <v>9485.161425898008</v>
      </c>
      <c r="AN9" s="39">
        <v>2747.8902050696561</v>
      </c>
      <c r="AO9" s="40">
        <v>25656.898105390159</v>
      </c>
      <c r="AP9" s="39">
        <v>3047.8744456169893</v>
      </c>
      <c r="AQ9" s="40">
        <v>35239.269952738083</v>
      </c>
      <c r="AR9" s="39">
        <v>3461.8949309666928</v>
      </c>
      <c r="AS9" s="40">
        <v>52598.714792066457</v>
      </c>
      <c r="AT9" s="39">
        <v>4092.2351916136995</v>
      </c>
      <c r="AU9" s="40">
        <v>90724.063063518377</v>
      </c>
      <c r="AV9" s="39">
        <v>5265.18591158242</v>
      </c>
      <c r="AW9" s="40">
        <v>217959.29531120259</v>
      </c>
    </row>
    <row r="10" spans="1:49" x14ac:dyDescent="0.2">
      <c r="A10" t="s">
        <v>15</v>
      </c>
      <c r="B10" s="39">
        <v>1015.9116825427475</v>
      </c>
      <c r="C10" s="40">
        <v>1005.7716594496609</v>
      </c>
      <c r="D10" s="39">
        <v>1013.1134429886766</v>
      </c>
      <c r="E10" s="40">
        <v>1064.15022327359</v>
      </c>
      <c r="F10" s="39">
        <v>1010.6254772619831</v>
      </c>
      <c r="G10" s="40">
        <v>1128.613722143622</v>
      </c>
      <c r="H10" s="39">
        <v>1008.5413451622208</v>
      </c>
      <c r="I10" s="40">
        <v>1200.0046611334838</v>
      </c>
      <c r="J10" s="39">
        <v>1006.9902929104245</v>
      </c>
      <c r="K10" s="40">
        <v>1279.2924379117214</v>
      </c>
      <c r="L10" s="39">
        <v>1006.1515098643482</v>
      </c>
      <c r="M10" s="40">
        <v>1367.5916399166326</v>
      </c>
      <c r="N10" s="39">
        <v>1006.2792840365239</v>
      </c>
      <c r="O10" s="40">
        <v>1466.1720313928829</v>
      </c>
      <c r="P10" s="39">
        <v>1007.7383597961447</v>
      </c>
      <c r="Q10" s="40">
        <v>1576.473435974453</v>
      </c>
      <c r="R10" s="39">
        <v>1011.0607761602017</v>
      </c>
      <c r="S10" s="40">
        <v>1700.122078486505</v>
      </c>
      <c r="T10" s="39">
        <v>1017.0337182849138</v>
      </c>
      <c r="U10" s="40">
        <v>1838.9830608355651</v>
      </c>
      <c r="V10" s="39">
        <v>1026.8365059284774</v>
      </c>
      <c r="W10" s="40">
        <v>1995.3315525897435</v>
      </c>
      <c r="X10" s="39">
        <v>1042.2520521919414</v>
      </c>
      <c r="Y10" s="40">
        <v>2172.3873186823812</v>
      </c>
      <c r="Z10" s="39">
        <v>1065.9869791592009</v>
      </c>
      <c r="AA10" s="40">
        <v>2375.8164717494692</v>
      </c>
      <c r="AB10" s="39">
        <v>1102.1439864671588</v>
      </c>
      <c r="AC10" s="40">
        <v>2617.5924366797744</v>
      </c>
      <c r="AD10" s="39">
        <v>1156.9389605275155</v>
      </c>
      <c r="AE10" s="40">
        <v>2925.2876919060232</v>
      </c>
      <c r="AF10" s="39">
        <v>1240.0378888473583</v>
      </c>
      <c r="AG10" s="40">
        <v>3364.2055478664906</v>
      </c>
      <c r="AH10" s="39">
        <v>1368.0603776548389</v>
      </c>
      <c r="AI10" s="40">
        <v>4096.5885110953432</v>
      </c>
      <c r="AJ10" s="39">
        <v>1575.1155849460897</v>
      </c>
      <c r="AK10" s="40">
        <v>5583.0693364631989</v>
      </c>
      <c r="AL10" s="39">
        <v>1943.8569667665515</v>
      </c>
      <c r="AM10" s="40">
        <v>9485.161425898008</v>
      </c>
      <c r="AN10" s="39">
        <v>2747.8902050696561</v>
      </c>
      <c r="AO10" s="40">
        <v>25656.898105390159</v>
      </c>
      <c r="AP10" s="39">
        <v>3047.8744456169893</v>
      </c>
      <c r="AQ10" s="40">
        <v>35239.269952738083</v>
      </c>
      <c r="AR10" s="39">
        <v>3461.8949309666928</v>
      </c>
      <c r="AS10" s="40">
        <v>52598.714792066457</v>
      </c>
      <c r="AT10" s="39">
        <v>4092.2351916136995</v>
      </c>
      <c r="AU10" s="40">
        <v>90724.063063518377</v>
      </c>
      <c r="AV10" s="39">
        <v>5265.18591158242</v>
      </c>
      <c r="AW10" s="40">
        <v>217959.29531120259</v>
      </c>
    </row>
    <row r="11" spans="1:49" x14ac:dyDescent="0.2">
      <c r="A11" t="s">
        <v>29</v>
      </c>
      <c r="B11" s="39">
        <v>1015.9116825427475</v>
      </c>
      <c r="C11" s="40">
        <v>1005.7716594496609</v>
      </c>
      <c r="D11" s="39">
        <v>1013.1134429886766</v>
      </c>
      <c r="E11" s="40">
        <v>1064.15022327359</v>
      </c>
      <c r="F11" s="39">
        <v>1010.6254772619831</v>
      </c>
      <c r="G11" s="40">
        <v>1128.613722143622</v>
      </c>
      <c r="H11" s="39">
        <v>1008.5413451622208</v>
      </c>
      <c r="I11" s="40">
        <v>1200.0046611334838</v>
      </c>
      <c r="J11" s="39">
        <v>1006.9902929104245</v>
      </c>
      <c r="K11" s="40">
        <v>1279.2924379117214</v>
      </c>
      <c r="L11" s="39">
        <v>1006.1515098643482</v>
      </c>
      <c r="M11" s="40">
        <v>1367.5916399166326</v>
      </c>
      <c r="N11" s="39">
        <v>1006.2792840365239</v>
      </c>
      <c r="O11" s="40">
        <v>1466.1720313928829</v>
      </c>
      <c r="P11" s="39">
        <v>1007.7383597961447</v>
      </c>
      <c r="Q11" s="40">
        <v>1576.473435974453</v>
      </c>
      <c r="R11" s="39">
        <v>1011.0607761602017</v>
      </c>
      <c r="S11" s="40">
        <v>1700.122078486505</v>
      </c>
      <c r="T11" s="39">
        <v>1017.0337182849138</v>
      </c>
      <c r="U11" s="40">
        <v>1838.9830608355651</v>
      </c>
      <c r="V11" s="39">
        <v>1026.8365059284774</v>
      </c>
      <c r="W11" s="40">
        <v>1995.3315525897435</v>
      </c>
      <c r="X11" s="39">
        <v>1042.2520521919414</v>
      </c>
      <c r="Y11" s="40">
        <v>2172.3873186823812</v>
      </c>
      <c r="Z11" s="39">
        <v>1065.9869791592009</v>
      </c>
      <c r="AA11" s="40">
        <v>2375.8164717494692</v>
      </c>
      <c r="AB11" s="39">
        <v>1102.1439864671588</v>
      </c>
      <c r="AC11" s="40">
        <v>2617.5924366797744</v>
      </c>
      <c r="AD11" s="39">
        <v>1156.9389605275155</v>
      </c>
      <c r="AE11" s="40">
        <v>2925.2876919060232</v>
      </c>
      <c r="AF11" s="39">
        <v>1240.0378888473583</v>
      </c>
      <c r="AG11" s="40">
        <v>3364.2055478664906</v>
      </c>
      <c r="AH11" s="39">
        <v>1368.0603776548389</v>
      </c>
      <c r="AI11" s="40">
        <v>4096.5885110953432</v>
      </c>
      <c r="AJ11" s="39">
        <v>1575.1155849460897</v>
      </c>
      <c r="AK11" s="40">
        <v>5583.0693364631989</v>
      </c>
      <c r="AL11" s="39">
        <v>1943.8569667665515</v>
      </c>
      <c r="AM11" s="40">
        <v>9485.161425898008</v>
      </c>
      <c r="AN11" s="39">
        <v>2747.8902050696561</v>
      </c>
      <c r="AO11" s="40">
        <v>25656.898105390159</v>
      </c>
      <c r="AP11" s="39">
        <v>3047.8744456169893</v>
      </c>
      <c r="AQ11" s="40">
        <v>35239.269952738083</v>
      </c>
      <c r="AR11" s="39">
        <v>3461.8949309666928</v>
      </c>
      <c r="AS11" s="40">
        <v>52598.714792066457</v>
      </c>
      <c r="AT11" s="39">
        <v>4092.2351916136995</v>
      </c>
      <c r="AU11" s="40">
        <v>90724.063063518377</v>
      </c>
      <c r="AV11" s="39">
        <v>5265.18591158242</v>
      </c>
      <c r="AW11" s="40">
        <v>217959.29531120259</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992.84705063520585</v>
      </c>
      <c r="E13" s="94">
        <v>992.84705063520585</v>
      </c>
      <c r="F13" s="93">
        <v>985.65728655281828</v>
      </c>
      <c r="G13" s="94">
        <v>985.65728655281828</v>
      </c>
      <c r="H13" s="93">
        <v>978.47782316715745</v>
      </c>
      <c r="I13" s="94">
        <v>978.47782316715745</v>
      </c>
      <c r="J13" s="93">
        <v>971.38281598979643</v>
      </c>
      <c r="K13" s="94">
        <v>971.38281598979643</v>
      </c>
      <c r="L13" s="93">
        <v>964.48544407438021</v>
      </c>
      <c r="M13" s="94">
        <v>964.48544407438021</v>
      </c>
      <c r="N13" s="93">
        <v>957.9600426794583</v>
      </c>
      <c r="O13" s="94">
        <v>957.9600426794583</v>
      </c>
      <c r="P13" s="93">
        <v>952.07332617472844</v>
      </c>
      <c r="Q13" s="94">
        <v>952.07332617472844</v>
      </c>
      <c r="R13" s="93">
        <v>947.23558141797207</v>
      </c>
      <c r="S13" s="94">
        <v>947.23558141797207</v>
      </c>
      <c r="T13" s="93">
        <v>944.08071855030516</v>
      </c>
      <c r="U13" s="94">
        <v>944.08071855030516</v>
      </c>
      <c r="V13" s="93">
        <v>943.59290299700228</v>
      </c>
      <c r="W13" s="94">
        <v>943.59290299700228</v>
      </c>
      <c r="X13" s="93">
        <v>947.30521178501215</v>
      </c>
      <c r="Y13" s="94">
        <v>947.30521178501215</v>
      </c>
      <c r="Z13" s="93">
        <v>957.60769302982737</v>
      </c>
      <c r="AA13" s="94">
        <v>957.60769302982737</v>
      </c>
      <c r="AB13" s="93">
        <v>978.22005898093846</v>
      </c>
      <c r="AC13" s="94">
        <v>978.22005898093846</v>
      </c>
      <c r="AD13" s="93">
        <v>1014.9499329242581</v>
      </c>
      <c r="AE13" s="94">
        <v>1014.9499329242581</v>
      </c>
      <c r="AF13" s="93">
        <v>1077.1720520062233</v>
      </c>
      <c r="AG13" s="94">
        <v>1077.1720520062233</v>
      </c>
      <c r="AH13" s="93">
        <v>1181.7756956082021</v>
      </c>
      <c r="AI13" s="94">
        <v>1181.7756956082021</v>
      </c>
      <c r="AJ13" s="93">
        <v>1365.7401568337382</v>
      </c>
      <c r="AK13" s="94">
        <v>1365.7401568337382</v>
      </c>
      <c r="AL13" s="93">
        <v>1729.6663518395508</v>
      </c>
      <c r="AM13" s="94">
        <v>1729.6663518395508</v>
      </c>
      <c r="AN13" s="93">
        <v>2688.7633628727258</v>
      </c>
      <c r="AO13" s="94">
        <v>2688.7633628727258</v>
      </c>
      <c r="AP13" s="93">
        <v>3113.7740986803765</v>
      </c>
      <c r="AQ13" s="94">
        <v>3113.7740986803765</v>
      </c>
      <c r="AR13" s="93">
        <v>3771.2574369367967</v>
      </c>
      <c r="AS13" s="94">
        <v>3771.2574369367967</v>
      </c>
      <c r="AT13" s="93">
        <v>4956.3649547739624</v>
      </c>
      <c r="AU13" s="94">
        <v>4956.3649547739624</v>
      </c>
      <c r="AV13" s="93">
        <v>7928.7060083893994</v>
      </c>
      <c r="AW13" s="94">
        <v>7928.7060083893994</v>
      </c>
    </row>
    <row r="14" spans="1:49" x14ac:dyDescent="0.2">
      <c r="A14" t="s">
        <v>36</v>
      </c>
      <c r="B14" s="39">
        <v>1457.0034251455234</v>
      </c>
      <c r="C14" s="40">
        <v>1457.0034251455236</v>
      </c>
      <c r="D14" s="39">
        <v>1446.5815534211256</v>
      </c>
      <c r="E14" s="40">
        <v>1446.5815534211258</v>
      </c>
      <c r="F14" s="39">
        <v>1436.1060425270987</v>
      </c>
      <c r="G14" s="40">
        <v>1436.1060425270989</v>
      </c>
      <c r="H14" s="39">
        <v>1425.6455397834841</v>
      </c>
      <c r="I14" s="40">
        <v>1425.6455397834843</v>
      </c>
      <c r="J14" s="39">
        <v>1415.3080900246371</v>
      </c>
      <c r="K14" s="40">
        <v>1415.3080900246373</v>
      </c>
      <c r="L14" s="39">
        <v>1405.2585955193731</v>
      </c>
      <c r="M14" s="40">
        <v>1405.2585955193733</v>
      </c>
      <c r="N14" s="39">
        <v>1395.7510633365223</v>
      </c>
      <c r="O14" s="40">
        <v>1395.7510633365225</v>
      </c>
      <c r="P14" s="39">
        <v>1387.1740972262703</v>
      </c>
      <c r="Q14" s="40">
        <v>1387.1740972262705</v>
      </c>
      <c r="R14" s="39">
        <v>1380.1254865456965</v>
      </c>
      <c r="S14" s="40">
        <v>1380.1254865456967</v>
      </c>
      <c r="T14" s="39">
        <v>1375.5288405416413</v>
      </c>
      <c r="U14" s="40">
        <v>1375.5288405416416</v>
      </c>
      <c r="V14" s="39">
        <v>1374.8180916096399</v>
      </c>
      <c r="W14" s="40">
        <v>1374.8180916096401</v>
      </c>
      <c r="X14" s="39">
        <v>1380.226938228968</v>
      </c>
      <c r="Y14" s="40">
        <v>1380.2269382289683</v>
      </c>
      <c r="Z14" s="39">
        <v>1395.2376886901613</v>
      </c>
      <c r="AA14" s="40">
        <v>1395.2376886901616</v>
      </c>
      <c r="AB14" s="39">
        <v>1425.269976481283</v>
      </c>
      <c r="AC14" s="40">
        <v>1425.2699764812833</v>
      </c>
      <c r="AD14" s="39">
        <v>1478.785528621863</v>
      </c>
      <c r="AE14" s="40">
        <v>1478.7855286218633</v>
      </c>
      <c r="AF14" s="39">
        <v>1569.4433692440991</v>
      </c>
      <c r="AG14" s="40">
        <v>1569.4433692440994</v>
      </c>
      <c r="AH14" s="39">
        <v>1721.8512362548838</v>
      </c>
      <c r="AI14" s="40">
        <v>1721.851236254884</v>
      </c>
      <c r="AJ14" s="39">
        <v>1989.8880863655406</v>
      </c>
      <c r="AK14" s="40">
        <v>1989.8880863655411</v>
      </c>
      <c r="AL14" s="39">
        <v>2520.1297989891873</v>
      </c>
      <c r="AM14" s="40">
        <v>2520.1297989891877</v>
      </c>
      <c r="AN14" s="39">
        <v>3917.5374291113571</v>
      </c>
      <c r="AO14" s="40">
        <v>3917.5374291113576</v>
      </c>
      <c r="AP14" s="39">
        <v>4536.7795269067228</v>
      </c>
      <c r="AQ14" s="40">
        <v>4536.7795269067237</v>
      </c>
      <c r="AR14" s="39">
        <v>5494.7350027224402</v>
      </c>
      <c r="AS14" s="40">
        <v>5494.7350027224411</v>
      </c>
      <c r="AT14" s="39">
        <v>7221.4407153768998</v>
      </c>
      <c r="AU14" s="40">
        <v>7221.4407153769007</v>
      </c>
      <c r="AV14" s="39">
        <v>11552.151811195245</v>
      </c>
      <c r="AW14" s="40">
        <v>11552.151811195246</v>
      </c>
    </row>
    <row r="15" spans="1:49" x14ac:dyDescent="0.2">
      <c r="A15" t="s">
        <v>18</v>
      </c>
      <c r="B15" s="144">
        <v>1000</v>
      </c>
      <c r="C15" s="145">
        <v>1000</v>
      </c>
      <c r="D15" s="144">
        <v>997.24558777878508</v>
      </c>
      <c r="E15" s="145">
        <v>997.24558777878508</v>
      </c>
      <c r="F15" s="144">
        <v>994.79658973156666</v>
      </c>
      <c r="G15" s="145">
        <v>994.79658973156666</v>
      </c>
      <c r="H15" s="144">
        <v>992.74510028068653</v>
      </c>
      <c r="I15" s="145">
        <v>992.74510028068653</v>
      </c>
      <c r="J15" s="144">
        <v>991.21834133259165</v>
      </c>
      <c r="K15" s="145">
        <v>991.21834133259165</v>
      </c>
      <c r="L15" s="144">
        <v>990.39269569774979</v>
      </c>
      <c r="M15" s="145">
        <v>990.39269569774979</v>
      </c>
      <c r="N15" s="144">
        <v>990.5184686112533</v>
      </c>
      <c r="O15" s="145">
        <v>990.5184686112533</v>
      </c>
      <c r="P15" s="144">
        <v>991.95469164588644</v>
      </c>
      <c r="Q15" s="145">
        <v>991.95469164588644</v>
      </c>
      <c r="R15" s="144">
        <v>995.22507077543958</v>
      </c>
      <c r="S15" s="145">
        <v>995.22507077543958</v>
      </c>
      <c r="T15" s="144">
        <v>1001.1044618951108</v>
      </c>
      <c r="U15" s="145">
        <v>1001.1044618951108</v>
      </c>
      <c r="V15" s="144">
        <v>1010.7537137070676</v>
      </c>
      <c r="W15" s="145">
        <v>1010.7537137070676</v>
      </c>
      <c r="X15" s="144">
        <v>1025.9278144959078</v>
      </c>
      <c r="Y15" s="145">
        <v>1025.9278144959078</v>
      </c>
      <c r="Z15" s="144">
        <v>1049.2909939682147</v>
      </c>
      <c r="AA15" s="145">
        <v>1049.2909939682147</v>
      </c>
      <c r="AB15" s="144">
        <v>1084.8816933658827</v>
      </c>
      <c r="AC15" s="145">
        <v>1084.8816933658827</v>
      </c>
      <c r="AD15" s="144">
        <v>1138.8184429888511</v>
      </c>
      <c r="AE15" s="145">
        <v>1138.8184429888511</v>
      </c>
      <c r="AF15" s="144">
        <v>1220.6158371401345</v>
      </c>
      <c r="AG15" s="145">
        <v>1220.6158371401345</v>
      </c>
      <c r="AH15" s="144">
        <v>1346.6331780245807</v>
      </c>
      <c r="AI15" s="145">
        <v>1346.6331780245807</v>
      </c>
      <c r="AJ15" s="144">
        <v>1550.4453900989688</v>
      </c>
      <c r="AK15" s="145">
        <v>1550.4453900989688</v>
      </c>
      <c r="AL15" s="144">
        <v>1913.411372434688</v>
      </c>
      <c r="AM15" s="145">
        <v>1913.411372434688</v>
      </c>
      <c r="AN15" s="144">
        <v>2704.8514671983121</v>
      </c>
      <c r="AO15" s="145">
        <v>2704.8514671983121</v>
      </c>
      <c r="AP15" s="144">
        <v>3000.1372146724389</v>
      </c>
      <c r="AQ15" s="145">
        <v>3000.1372146724389</v>
      </c>
      <c r="AR15" s="144">
        <v>3407.6731181019995</v>
      </c>
      <c r="AS15" s="145">
        <v>3407.6731181019995</v>
      </c>
      <c r="AT15" s="144">
        <v>4028.1406956273554</v>
      </c>
      <c r="AU15" s="145">
        <v>4028.1406956273554</v>
      </c>
      <c r="AV15" s="144">
        <v>5182.7201144139535</v>
      </c>
      <c r="AW15" s="145">
        <v>5182.7201144139535</v>
      </c>
    </row>
    <row r="16" spans="1:49" s="27" customFormat="1" x14ac:dyDescent="0.2">
      <c r="A16" t="s">
        <v>61</v>
      </c>
      <c r="B16" s="39">
        <v>1000</v>
      </c>
      <c r="C16" s="40">
        <v>1000</v>
      </c>
      <c r="D16" s="39">
        <v>994.89974855093703</v>
      </c>
      <c r="E16" s="40">
        <v>995.98983367310586</v>
      </c>
      <c r="F16" s="39">
        <v>989.92075183142845</v>
      </c>
      <c r="G16" s="40">
        <v>992.18670550682509</v>
      </c>
      <c r="H16" s="39">
        <v>985.13068240922405</v>
      </c>
      <c r="I16" s="40">
        <v>988.6696918486366</v>
      </c>
      <c r="J16" s="39">
        <v>980.62791015181381</v>
      </c>
      <c r="K16" s="40">
        <v>985.55064006156692</v>
      </c>
      <c r="L16" s="39">
        <v>976.55440755542884</v>
      </c>
      <c r="M16" s="40">
        <v>982.98760268671924</v>
      </c>
      <c r="N16" s="39">
        <v>973.11906566922175</v>
      </c>
      <c r="O16" s="40">
        <v>981.20883079429632</v>
      </c>
      <c r="P16" s="39">
        <v>970.63053124265048</v>
      </c>
      <c r="Q16" s="40">
        <v>980.54653272852499</v>
      </c>
      <c r="R16" s="39">
        <v>969.55055100205959</v>
      </c>
      <c r="S16" s="40">
        <v>981.49143690733547</v>
      </c>
      <c r="T16" s="39">
        <v>970.5769417032858</v>
      </c>
      <c r="U16" s="40">
        <v>984.77740244722213</v>
      </c>
      <c r="V16" s="39">
        <v>974.77398491324402</v>
      </c>
      <c r="W16" s="40">
        <v>991.5138894870073</v>
      </c>
      <c r="X16" s="39">
        <v>983.77549504032982</v>
      </c>
      <c r="Y16" s="40">
        <v>1003.3913907029528</v>
      </c>
      <c r="Z16" s="39">
        <v>1000.0963211908023</v>
      </c>
      <c r="AA16" s="40">
        <v>1022.9945863565796</v>
      </c>
      <c r="AB16" s="39">
        <v>1027.6020398318349</v>
      </c>
      <c r="AC16" s="40">
        <v>1054.2697638465515</v>
      </c>
      <c r="AD16" s="39">
        <v>1072.2443912870997</v>
      </c>
      <c r="AE16" s="40">
        <v>1103.246303998689</v>
      </c>
      <c r="AF16" s="39">
        <v>1143.4680845262274</v>
      </c>
      <c r="AG16" s="40">
        <v>1179.4007791863089</v>
      </c>
      <c r="AH16" s="39">
        <v>1257.934293162896</v>
      </c>
      <c r="AI16" s="40">
        <v>1299.2515641476696</v>
      </c>
      <c r="AJ16" s="39">
        <v>1451.0935575567721</v>
      </c>
      <c r="AK16" s="40">
        <v>1497.3697693038134</v>
      </c>
      <c r="AL16" s="39">
        <v>1814.753611589915</v>
      </c>
      <c r="AM16" s="40">
        <v>1860.683520381119</v>
      </c>
      <c r="AN16" s="39">
        <v>2696.2703894674992</v>
      </c>
      <c r="AO16" s="40">
        <v>2700.2580366536158</v>
      </c>
      <c r="AP16" s="39">
        <v>3060.5658788636961</v>
      </c>
      <c r="AQ16" s="40">
        <v>3032.5073902389076</v>
      </c>
      <c r="AR16" s="39">
        <v>3600.1456762007938</v>
      </c>
      <c r="AS16" s="40">
        <v>3510.8829971265291</v>
      </c>
      <c r="AT16" s="39">
        <v>4515.8588675212141</v>
      </c>
      <c r="AU16" s="40">
        <v>4290.1088009279729</v>
      </c>
      <c r="AV16" s="39">
        <v>6603.464992985344</v>
      </c>
      <c r="AW16" s="40">
        <v>5948.3543409101503</v>
      </c>
    </row>
    <row r="17" spans="1:49" x14ac:dyDescent="0.2">
      <c r="A17" t="s">
        <v>62</v>
      </c>
      <c r="B17" s="33">
        <v>1000.0000000000002</v>
      </c>
      <c r="C17" s="34">
        <v>999.99999999999977</v>
      </c>
      <c r="D17" s="33">
        <v>997.49725306501944</v>
      </c>
      <c r="E17" s="34">
        <v>1028.8944194848784</v>
      </c>
      <c r="F17" s="33">
        <v>995.27528364827515</v>
      </c>
      <c r="G17" s="34">
        <v>1060.8412875786405</v>
      </c>
      <c r="H17" s="33">
        <v>993.41635131897942</v>
      </c>
      <c r="I17" s="34">
        <v>1096.2714343811706</v>
      </c>
      <c r="J17" s="33">
        <v>992.03430047302879</v>
      </c>
      <c r="K17" s="34">
        <v>1135.6892991947889</v>
      </c>
      <c r="L17" s="33">
        <v>991.28741397878389</v>
      </c>
      <c r="M17" s="34">
        <v>1179.6882499405119</v>
      </c>
      <c r="N17" s="33">
        <v>991.40116634032938</v>
      </c>
      <c r="O17" s="34">
        <v>1228.9673011261771</v>
      </c>
      <c r="P17" s="33">
        <v>992.70071024127117</v>
      </c>
      <c r="Q17" s="34">
        <v>1284.3562529526616</v>
      </c>
      <c r="R17" s="33">
        <v>995.66382440243058</v>
      </c>
      <c r="S17" s="34">
        <v>1346.8536041160307</v>
      </c>
      <c r="T17" s="33">
        <v>1001.0046391369699</v>
      </c>
      <c r="U17" s="34">
        <v>1417.7002535180438</v>
      </c>
      <c r="V17" s="33">
        <v>1009.8082051353576</v>
      </c>
      <c r="W17" s="34">
        <v>1498.5396167163333</v>
      </c>
      <c r="X17" s="33">
        <v>1023.7475011609208</v>
      </c>
      <c r="Y17" s="34">
        <v>1591.7968429585912</v>
      </c>
      <c r="Z17" s="33">
        <v>1045.4332750012773</v>
      </c>
      <c r="AA17" s="34">
        <v>1701.5858803487006</v>
      </c>
      <c r="AB17" s="33">
        <v>1078.9787005571843</v>
      </c>
      <c r="AC17" s="34">
        <v>1835.8324053795307</v>
      </c>
      <c r="AD17" s="33">
        <v>1130.9546875592371</v>
      </c>
      <c r="AE17" s="34">
        <v>2011.1215980888917</v>
      </c>
      <c r="AF17" s="33">
        <v>1212.2985737972876</v>
      </c>
      <c r="AG17" s="34">
        <v>2263.9751692604582</v>
      </c>
      <c r="AH17" s="33">
        <v>1343.3082883381187</v>
      </c>
      <c r="AI17" s="34">
        <v>2680.7755923848908</v>
      </c>
      <c r="AJ17" s="33">
        <v>1569.2284146424929</v>
      </c>
      <c r="AK17" s="34">
        <v>3497.9310249454161</v>
      </c>
      <c r="AL17" s="33">
        <v>2013.8462199131664</v>
      </c>
      <c r="AM17" s="34">
        <v>5536.0625022954964</v>
      </c>
      <c r="AN17" s="33">
        <v>3183.9072857688807</v>
      </c>
      <c r="AO17" s="34">
        <v>13456.291929421217</v>
      </c>
      <c r="AP17" s="33">
        <v>3700.0147729887622</v>
      </c>
      <c r="AQ17" s="34">
        <v>17999.154205582257</v>
      </c>
      <c r="AR17" s="33">
        <v>4494.9064210511087</v>
      </c>
      <c r="AS17" s="34">
        <v>26103.966915244477</v>
      </c>
      <c r="AT17" s="33">
        <v>5918.8546841583538</v>
      </c>
      <c r="AU17" s="34">
        <v>43609.633704635053</v>
      </c>
      <c r="AV17" s="33">
        <v>9468.2925858823201</v>
      </c>
      <c r="AW17" s="34">
        <v>100909.04863376828</v>
      </c>
    </row>
    <row r="18" spans="1:49" x14ac:dyDescent="0.2">
      <c r="A18" t="s">
        <v>19</v>
      </c>
      <c r="B18" s="31">
        <v>27857.010133999996</v>
      </c>
      <c r="C18" s="32">
        <v>1236.7674480000003</v>
      </c>
      <c r="D18" s="31">
        <v>27684.691055926432</v>
      </c>
      <c r="E18" s="32">
        <v>1155.6857690438292</v>
      </c>
      <c r="F18" s="31">
        <v>27484.643064614786</v>
      </c>
      <c r="G18" s="32">
        <v>1074.5380355802479</v>
      </c>
      <c r="H18" s="31">
        <v>27250.899278653189</v>
      </c>
      <c r="I18" s="32">
        <v>993.39256487851765</v>
      </c>
      <c r="J18" s="31">
        <v>26975.814338765827</v>
      </c>
      <c r="K18" s="32">
        <v>912.34440631246639</v>
      </c>
      <c r="L18" s="31">
        <v>26649.618361493474</v>
      </c>
      <c r="M18" s="32">
        <v>831.51958363612346</v>
      </c>
      <c r="N18" s="31">
        <v>26259.68953894138</v>
      </c>
      <c r="O18" s="32">
        <v>751.09038346281295</v>
      </c>
      <c r="P18" s="31">
        <v>25789.804941337607</v>
      </c>
      <c r="Q18" s="32">
        <v>671.28457468173156</v>
      </c>
      <c r="R18" s="31">
        <v>25219.260760084308</v>
      </c>
      <c r="S18" s="32">
        <v>592.3993333751298</v>
      </c>
      <c r="T18" s="31">
        <v>24522.203493846278</v>
      </c>
      <c r="U18" s="32">
        <v>514.81102840577728</v>
      </c>
      <c r="V18" s="31">
        <v>23667.746829083218</v>
      </c>
      <c r="W18" s="32">
        <v>438.97367848828776</v>
      </c>
      <c r="X18" s="31">
        <v>22622.052383576993</v>
      </c>
      <c r="Y18" s="32">
        <v>365.39861540168931</v>
      </c>
      <c r="Z18" s="31">
        <v>21354.176315532095</v>
      </c>
      <c r="AA18" s="32">
        <v>294.61214965005036</v>
      </c>
      <c r="AB18" s="31">
        <v>19847.162255154348</v>
      </c>
      <c r="AC18" s="32">
        <v>227.12288852221693</v>
      </c>
      <c r="AD18" s="31">
        <v>18112.098083244357</v>
      </c>
      <c r="AE18" s="32">
        <v>163.54308903400292</v>
      </c>
      <c r="AF18" s="31">
        <v>16193.85444423604</v>
      </c>
      <c r="AG18" s="32">
        <v>105.13868075253518</v>
      </c>
      <c r="AH18" s="31">
        <v>14149.929246802898</v>
      </c>
      <c r="AI18" s="32">
        <v>55.030918873888233</v>
      </c>
      <c r="AJ18" s="31">
        <v>11997.545250716614</v>
      </c>
      <c r="AK18" s="32">
        <v>19.21252807685341</v>
      </c>
      <c r="AL18" s="31">
        <v>9648.5673702811964</v>
      </c>
      <c r="AM18" s="32">
        <v>2.8896821914876996</v>
      </c>
      <c r="AN18" s="31">
        <v>6746.1879474796633</v>
      </c>
      <c r="AO18" s="32">
        <v>6.3228798219178858E-2</v>
      </c>
      <c r="AP18" s="31">
        <v>6002.4985093993128</v>
      </c>
      <c r="AQ18" s="32">
        <v>1.7586102818410373E-2</v>
      </c>
      <c r="AR18" s="31">
        <v>5146.3912486731033</v>
      </c>
      <c r="AS18" s="32">
        <v>3.3676988953018293E-3</v>
      </c>
      <c r="AT18" s="31">
        <v>4111.9427449512841</v>
      </c>
      <c r="AU18" s="32">
        <v>3.3305058135355399E-4</v>
      </c>
      <c r="AV18" s="31">
        <v>2742.5561603223423</v>
      </c>
      <c r="AW18" s="32">
        <v>6.9982168543424644E-6</v>
      </c>
    </row>
    <row r="19" spans="1:49" x14ac:dyDescent="0.2">
      <c r="A19" t="s">
        <v>3</v>
      </c>
      <c r="B19" s="39">
        <v>1886.3937399999918</v>
      </c>
      <c r="C19" s="40">
        <v>262.78711299999571</v>
      </c>
      <c r="D19" s="39">
        <v>1862.9893487342877</v>
      </c>
      <c r="E19" s="40">
        <v>266.10857850721004</v>
      </c>
      <c r="F19" s="39">
        <v>1839.2023811459994</v>
      </c>
      <c r="G19" s="40">
        <v>270.00468763999805</v>
      </c>
      <c r="H19" s="39">
        <v>1815.0093952182067</v>
      </c>
      <c r="I19" s="40">
        <v>274.49741914468262</v>
      </c>
      <c r="J19" s="39">
        <v>1790.4019699247663</v>
      </c>
      <c r="K19" s="40">
        <v>279.59595854291905</v>
      </c>
      <c r="L19" s="39">
        <v>1765.398977595501</v>
      </c>
      <c r="M19" s="40">
        <v>285.28830480518258</v>
      </c>
      <c r="N19" s="39">
        <v>1740.0713145688615</v>
      </c>
      <c r="O19" s="40">
        <v>291.52924978204663</v>
      </c>
      <c r="P19" s="39">
        <v>1714.5826432060605</v>
      </c>
      <c r="Q19" s="40">
        <v>298.22449833231332</v>
      </c>
      <c r="R19" s="39">
        <v>1689.2642643498848</v>
      </c>
      <c r="S19" s="40">
        <v>305.21108015397868</v>
      </c>
      <c r="T19" s="39">
        <v>1664.7487648708452</v>
      </c>
      <c r="U19" s="40">
        <v>312.23878178373155</v>
      </c>
      <c r="V19" s="39">
        <v>1642.2101692599995</v>
      </c>
      <c r="W19" s="40">
        <v>318.96035063859057</v>
      </c>
      <c r="X19" s="39">
        <v>1623.790280363487</v>
      </c>
      <c r="Y19" s="40">
        <v>324.94966631840992</v>
      </c>
      <c r="Z19" s="39">
        <v>1613.3372464502306</v>
      </c>
      <c r="AA19" s="40">
        <v>329.76630554451481</v>
      </c>
      <c r="AB19" s="39">
        <v>1617.629460960492</v>
      </c>
      <c r="AC19" s="40">
        <v>333.046542812903</v>
      </c>
      <c r="AD19" s="39">
        <v>1648.3466412190298</v>
      </c>
      <c r="AE19" s="40">
        <v>334.44675167330132</v>
      </c>
      <c r="AF19" s="39">
        <v>1725.5458474844781</v>
      </c>
      <c r="AG19" s="40">
        <v>332.90958409856728</v>
      </c>
      <c r="AH19" s="39">
        <v>1885.949204553978</v>
      </c>
      <c r="AI19" s="40">
        <v>324.27399196547657</v>
      </c>
      <c r="AJ19" s="39">
        <v>2208.2659376215338</v>
      </c>
      <c r="AK19" s="40">
        <v>296.65532819238251</v>
      </c>
      <c r="AL19" s="39">
        <v>2894.7235744478771</v>
      </c>
      <c r="AM19" s="40">
        <v>230.22617485267168</v>
      </c>
      <c r="AN19" s="39">
        <v>4666.467083632645</v>
      </c>
      <c r="AO19" s="40">
        <v>122.46656928599829</v>
      </c>
      <c r="AP19" s="39">
        <v>5392.2884217232422</v>
      </c>
      <c r="AQ19" s="40">
        <v>98.317072570973224</v>
      </c>
      <c r="AR19" s="39">
        <v>6438.3006729641329</v>
      </c>
      <c r="AS19" s="40">
        <v>73.874636755843724</v>
      </c>
      <c r="AT19" s="39">
        <v>8114.308262108354</v>
      </c>
      <c r="AU19" s="40">
        <v>49.288685903333899</v>
      </c>
      <c r="AV19" s="39">
        <v>11451.259310722504</v>
      </c>
      <c r="AW19" s="40">
        <v>24.649890455330176</v>
      </c>
    </row>
    <row r="20" spans="1:49" x14ac:dyDescent="0.2">
      <c r="A20" t="s">
        <v>114</v>
      </c>
      <c r="B20" s="79">
        <v>26548.356269999993</v>
      </c>
      <c r="C20" s="80">
        <v>1408.5418709999938</v>
      </c>
      <c r="D20" s="79">
        <v>26364.00686980084</v>
      </c>
      <c r="E20" s="80">
        <v>1338.1147774499941</v>
      </c>
      <c r="F20" s="79">
        <v>26155.693316458994</v>
      </c>
      <c r="G20" s="80">
        <v>1267.6876838999945</v>
      </c>
      <c r="H20" s="79">
        <v>25918.428378271037</v>
      </c>
      <c r="I20" s="80">
        <v>1197.2605903499943</v>
      </c>
      <c r="J20" s="79">
        <v>25645.854790289901</v>
      </c>
      <c r="K20" s="80">
        <v>1126.8334967999951</v>
      </c>
      <c r="L20" s="79">
        <v>25329.890011503579</v>
      </c>
      <c r="M20" s="80">
        <v>1056.4064032499953</v>
      </c>
      <c r="N20" s="79">
        <v>24960.149548161735</v>
      </c>
      <c r="O20" s="80">
        <v>985.97930969999561</v>
      </c>
      <c r="P20" s="79">
        <v>24523.363843350024</v>
      </c>
      <c r="Q20" s="80">
        <v>915.55221614999607</v>
      </c>
      <c r="R20" s="79">
        <v>24002.709524259473</v>
      </c>
      <c r="S20" s="80">
        <v>845.12512259999642</v>
      </c>
      <c r="T20" s="79">
        <v>23377.345620639724</v>
      </c>
      <c r="U20" s="80">
        <v>774.69802904999653</v>
      </c>
      <c r="V20" s="79">
        <v>22622.64266552528</v>
      </c>
      <c r="W20" s="80">
        <v>704.27093549999688</v>
      </c>
      <c r="X20" s="79">
        <v>21712.089431816497</v>
      </c>
      <c r="Y20" s="80">
        <v>633.84384194999734</v>
      </c>
      <c r="Z20" s="79">
        <v>20622.369286875903</v>
      </c>
      <c r="AA20" s="80">
        <v>563.41674839999757</v>
      </c>
      <c r="AB20" s="79">
        <v>19342.810339324125</v>
      </c>
      <c r="AC20" s="80">
        <v>492.98965484999775</v>
      </c>
      <c r="AD20" s="79">
        <v>17887.302557936269</v>
      </c>
      <c r="AE20" s="80">
        <v>422.56256129999798</v>
      </c>
      <c r="AF20" s="79">
        <v>16299.48161957726</v>
      </c>
      <c r="AG20" s="80">
        <v>352.13546774999827</v>
      </c>
      <c r="AH20" s="79">
        <v>14636.48059825422</v>
      </c>
      <c r="AI20" s="80">
        <v>281.70837419999856</v>
      </c>
      <c r="AJ20" s="79">
        <v>12928.368300513814</v>
      </c>
      <c r="AK20" s="80">
        <v>211.28128064999876</v>
      </c>
      <c r="AL20" s="79">
        <v>11127.450904737259</v>
      </c>
      <c r="AM20" s="80">
        <v>140.85418709999905</v>
      </c>
      <c r="AN20" s="79">
        <v>8976.4921274260378</v>
      </c>
      <c r="AO20" s="80">
        <v>70.42709354999927</v>
      </c>
      <c r="AP20" s="79">
        <v>8431.3315551759279</v>
      </c>
      <c r="AQ20" s="80">
        <v>56.341674839999328</v>
      </c>
      <c r="AR20" s="79">
        <v>7802.9835009985372</v>
      </c>
      <c r="AS20" s="80">
        <v>42.256256129999379</v>
      </c>
      <c r="AT20" s="79">
        <v>7037.9719324170292</v>
      </c>
      <c r="AU20" s="80">
        <v>28.17083741999943</v>
      </c>
      <c r="AV20" s="79">
        <v>5999.8864019333514</v>
      </c>
      <c r="AW20" s="80">
        <v>14.08541870999948</v>
      </c>
    </row>
    <row r="21" spans="1:49" x14ac:dyDescent="0.2">
      <c r="A21" t="s">
        <v>76</v>
      </c>
      <c r="B21" s="79">
        <v>24661.962529999968</v>
      </c>
      <c r="C21" s="80">
        <v>1145.7547579999921</v>
      </c>
      <c r="D21" s="79">
        <v>24501.0328204609</v>
      </c>
      <c r="E21" s="80">
        <v>1072.1689712457251</v>
      </c>
      <c r="F21" s="79">
        <v>24316.54510387154</v>
      </c>
      <c r="G21" s="80">
        <v>998.37576175675997</v>
      </c>
      <c r="H21" s="79">
        <v>24103.523329152282</v>
      </c>
      <c r="I21" s="80">
        <v>924.42313434255823</v>
      </c>
      <c r="J21" s="79">
        <v>23855.604098111915</v>
      </c>
      <c r="K21" s="80">
        <v>850.3822640946554</v>
      </c>
      <c r="L21" s="79">
        <v>23564.669864214291</v>
      </c>
      <c r="M21" s="80">
        <v>776.35575394033765</v>
      </c>
      <c r="N21" s="79">
        <v>23220.249869783886</v>
      </c>
      <c r="O21" s="80">
        <v>702.48820292212929</v>
      </c>
      <c r="P21" s="79">
        <v>22808.902614519888</v>
      </c>
      <c r="Q21" s="80">
        <v>628.97860405379481</v>
      </c>
      <c r="R21" s="79">
        <v>22313.487119867881</v>
      </c>
      <c r="S21" s="80">
        <v>556.0936829504069</v>
      </c>
      <c r="T21" s="79">
        <v>21712.599036999283</v>
      </c>
      <c r="U21" s="80">
        <v>484.1777801749343</v>
      </c>
      <c r="V21" s="79">
        <v>20980.632604539445</v>
      </c>
      <c r="W21" s="80">
        <v>413.65398450528232</v>
      </c>
      <c r="X21" s="79">
        <v>20089.415598574906</v>
      </c>
      <c r="Y21" s="80">
        <v>345.0058768248486</v>
      </c>
      <c r="Z21" s="79">
        <v>19012.864507544629</v>
      </c>
      <c r="AA21" s="80">
        <v>278.73714296982286</v>
      </c>
      <c r="AB21" s="79">
        <v>17735.8407603878</v>
      </c>
      <c r="AC21" s="80">
        <v>215.34149492495425</v>
      </c>
      <c r="AD21" s="79">
        <v>16265.321896496745</v>
      </c>
      <c r="AE21" s="80">
        <v>155.41155910595415</v>
      </c>
      <c r="AF21" s="79">
        <v>14634.616652893297</v>
      </c>
      <c r="AG21" s="80">
        <v>100.15872963538234</v>
      </c>
      <c r="AH21" s="79">
        <v>12885.049774818381</v>
      </c>
      <c r="AI21" s="80">
        <v>52.567464035706571</v>
      </c>
      <c r="AJ21" s="79">
        <v>11019.726576430063</v>
      </c>
      <c r="AK21" s="80">
        <v>18.405514162895606</v>
      </c>
      <c r="AL21" s="79">
        <v>8942.8497573189961</v>
      </c>
      <c r="AM21" s="80">
        <v>2.7755929005984026</v>
      </c>
      <c r="AN21" s="79">
        <v>6305.6754400549617</v>
      </c>
      <c r="AO21" s="80">
        <v>6.0833273385980678E-2</v>
      </c>
      <c r="AP21" s="79">
        <v>5619.0476232950559</v>
      </c>
      <c r="AQ21" s="80">
        <v>1.6922773118207033E-2</v>
      </c>
      <c r="AR21" s="79">
        <v>4824.5581517991159</v>
      </c>
      <c r="AS21" s="80">
        <v>3.2410737757092908E-3</v>
      </c>
      <c r="AT21" s="79">
        <v>3859.9954656307559</v>
      </c>
      <c r="AU21" s="80">
        <v>3.2055268461369114E-4</v>
      </c>
      <c r="AV21" s="79">
        <v>2577.6990552466764</v>
      </c>
      <c r="AW21" s="80">
        <v>6.7358571795824232E-6</v>
      </c>
    </row>
    <row r="22" spans="1:49" x14ac:dyDescent="0.2">
      <c r="A22" t="s">
        <v>28</v>
      </c>
      <c r="B22" s="39">
        <v>6533.6044688320699</v>
      </c>
      <c r="C22" s="40">
        <v>379.90788307663399</v>
      </c>
      <c r="D22" s="39">
        <v>6468.6302356900196</v>
      </c>
      <c r="E22" s="40">
        <v>363.00862023391085</v>
      </c>
      <c r="F22" s="39">
        <v>6396.5505996865913</v>
      </c>
      <c r="G22" s="40">
        <v>346.00654872843415</v>
      </c>
      <c r="H22" s="39">
        <v>6315.9971150050915</v>
      </c>
      <c r="I22" s="40">
        <v>328.89700333123739</v>
      </c>
      <c r="J22" s="39">
        <v>6225.2440945715443</v>
      </c>
      <c r="K22" s="40">
        <v>311.67443801416243</v>
      </c>
      <c r="L22" s="39">
        <v>6122.1208130662235</v>
      </c>
      <c r="M22" s="40">
        <v>294.33207521659756</v>
      </c>
      <c r="N22" s="39">
        <v>6003.8679387519796</v>
      </c>
      <c r="O22" s="40">
        <v>276.86166161129796</v>
      </c>
      <c r="P22" s="39">
        <v>5866.9974021139624</v>
      </c>
      <c r="Q22" s="40">
        <v>259.25318773447253</v>
      </c>
      <c r="R22" s="39">
        <v>5707.1352378208758</v>
      </c>
      <c r="S22" s="40">
        <v>241.49491254385646</v>
      </c>
      <c r="T22" s="39">
        <v>5518.9252845426918</v>
      </c>
      <c r="U22" s="40">
        <v>223.57365021562623</v>
      </c>
      <c r="V22" s="39">
        <v>5296.1181963290737</v>
      </c>
      <c r="W22" s="40">
        <v>205.4759212141627</v>
      </c>
      <c r="X22" s="39">
        <v>5032.0932849729334</v>
      </c>
      <c r="Y22" s="40">
        <v>187.1895122669589</v>
      </c>
      <c r="Z22" s="39">
        <v>4721.1766173490341</v>
      </c>
      <c r="AA22" s="40">
        <v>168.70392362871723</v>
      </c>
      <c r="AB22" s="39">
        <v>4361.0220247055076</v>
      </c>
      <c r="AC22" s="40">
        <v>150.00356968385441</v>
      </c>
      <c r="AD22" s="39">
        <v>3955.5011173333946</v>
      </c>
      <c r="AE22" s="40">
        <v>131.03827226695131</v>
      </c>
      <c r="AF22" s="39">
        <v>3515.6937965031602</v>
      </c>
      <c r="AG22" s="40">
        <v>111.64879272475169</v>
      </c>
      <c r="AH22" s="39">
        <v>3055.2089582070794</v>
      </c>
      <c r="AI22" s="40">
        <v>91.445471039175317</v>
      </c>
      <c r="AJ22" s="39">
        <v>2579.1781831728895</v>
      </c>
      <c r="AK22" s="40">
        <v>69.768039619696154</v>
      </c>
      <c r="AL22" s="39">
        <v>2071.12380185856</v>
      </c>
      <c r="AM22" s="40">
        <v>46.247614506573022</v>
      </c>
      <c r="AN22" s="39">
        <v>1460.5499008607032</v>
      </c>
      <c r="AO22" s="40">
        <v>22.095562635568228</v>
      </c>
      <c r="AP22" s="39">
        <v>1307.0681069309726</v>
      </c>
      <c r="AQ22" s="40">
        <v>17.393694946936371</v>
      </c>
      <c r="AR22" s="39">
        <v>1131.6849977010154</v>
      </c>
      <c r="AS22" s="40">
        <v>12.783222201895887</v>
      </c>
      <c r="AT22" s="39">
        <v>921.11760665263193</v>
      </c>
      <c r="AU22" s="40">
        <v>8.2941038596597494</v>
      </c>
      <c r="AV22" s="39">
        <v>642.44363645460874</v>
      </c>
      <c r="AW22" s="40">
        <v>3.9771278320070986</v>
      </c>
    </row>
    <row r="23" spans="1:49" x14ac:dyDescent="0.2">
      <c r="A23" t="s">
        <v>7</v>
      </c>
      <c r="B23" s="110">
        <v>3278.5018080150408</v>
      </c>
      <c r="C23" s="8">
        <v>0</v>
      </c>
      <c r="D23" s="110">
        <v>3262.2778284551368</v>
      </c>
      <c r="E23" s="8">
        <v>0</v>
      </c>
      <c r="F23" s="110">
        <v>3242.6287263258141</v>
      </c>
      <c r="G23" s="8">
        <v>0</v>
      </c>
      <c r="H23" s="110">
        <v>3218.8083245481639</v>
      </c>
      <c r="I23" s="8">
        <v>0</v>
      </c>
      <c r="J23" s="110">
        <v>3189.8606100487923</v>
      </c>
      <c r="K23" s="8">
        <v>0</v>
      </c>
      <c r="L23" s="110">
        <v>3154.5651454187437</v>
      </c>
      <c r="M23" s="8">
        <v>0</v>
      </c>
      <c r="N23" s="110">
        <v>3111.3472787205937</v>
      </c>
      <c r="O23" s="8">
        <v>0</v>
      </c>
      <c r="P23" s="110">
        <v>3058.1880753968785</v>
      </c>
      <c r="Q23" s="8">
        <v>0</v>
      </c>
      <c r="R23" s="110">
        <v>2992.520457161866</v>
      </c>
      <c r="S23" s="8">
        <v>0</v>
      </c>
      <c r="T23" s="110">
        <v>2911.1577449110255</v>
      </c>
      <c r="U23" s="8">
        <v>0</v>
      </c>
      <c r="V23" s="110">
        <v>2810.3315346112504</v>
      </c>
      <c r="W23" s="8">
        <v>0</v>
      </c>
      <c r="X23" s="110">
        <v>2685.9952465572187</v>
      </c>
      <c r="Y23" s="8">
        <v>0</v>
      </c>
      <c r="Z23" s="110">
        <v>2534.63208765942</v>
      </c>
      <c r="AA23" s="8">
        <v>0</v>
      </c>
      <c r="AB23" s="110">
        <v>2354.769170078785</v>
      </c>
      <c r="AC23" s="8">
        <v>0</v>
      </c>
      <c r="AD23" s="110">
        <v>2148.9217464957605</v>
      </c>
      <c r="AE23" s="8">
        <v>0</v>
      </c>
      <c r="AF23" s="110">
        <v>1924.5687765036043</v>
      </c>
      <c r="AG23" s="8">
        <v>0</v>
      </c>
      <c r="AH23" s="110">
        <v>1691.9349485919454</v>
      </c>
      <c r="AI23" s="8">
        <v>0</v>
      </c>
      <c r="AJ23" s="110">
        <v>1458.1659535049355</v>
      </c>
      <c r="AK23" s="8">
        <v>0</v>
      </c>
      <c r="AL23" s="110">
        <v>1219.4150137087806</v>
      </c>
      <c r="AM23" s="8">
        <v>0</v>
      </c>
      <c r="AN23" s="110">
        <v>939.26971760250672</v>
      </c>
      <c r="AO23" s="8">
        <v>0</v>
      </c>
      <c r="AP23" s="110">
        <v>867.56966238094481</v>
      </c>
      <c r="AQ23" s="8">
        <v>0</v>
      </c>
      <c r="AR23" s="110">
        <v>784.01105407205591</v>
      </c>
      <c r="AS23" s="8">
        <v>0</v>
      </c>
      <c r="AT23" s="110">
        <v>680.44357160873767</v>
      </c>
      <c r="AU23" s="8">
        <v>0</v>
      </c>
      <c r="AV23" s="110">
        <v>535.12172714900009</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3195.0476039999967</v>
      </c>
      <c r="C25" s="40">
        <v>91.012690000004142</v>
      </c>
      <c r="D25" s="39">
        <v>3183.6458253934934</v>
      </c>
      <c r="E25" s="40">
        <v>83.501488561262761</v>
      </c>
      <c r="F25" s="39">
        <v>3168.0537394748758</v>
      </c>
      <c r="G25" s="40">
        <v>76.101872448555298</v>
      </c>
      <c r="H25" s="39">
        <v>3147.2903915109005</v>
      </c>
      <c r="I25" s="40">
        <v>68.83578355873297</v>
      </c>
      <c r="J25" s="39">
        <v>3120.0857770158045</v>
      </c>
      <c r="K25" s="40">
        <v>61.72831253432534</v>
      </c>
      <c r="L25" s="39">
        <v>3084.8011385406603</v>
      </c>
      <c r="M25" s="40">
        <v>54.807769442452283</v>
      </c>
      <c r="N25" s="39">
        <v>3039.2982421654715</v>
      </c>
      <c r="O25" s="40">
        <v>48.106323772904332</v>
      </c>
      <c r="P25" s="39">
        <v>2980.8025412345082</v>
      </c>
      <c r="Q25" s="40">
        <v>41.659926979006535</v>
      </c>
      <c r="R25" s="39">
        <v>2905.7394317175713</v>
      </c>
      <c r="S25" s="40">
        <v>35.508183311203844</v>
      </c>
      <c r="T25" s="39">
        <v>2809.6026791622221</v>
      </c>
      <c r="U25" s="40">
        <v>29.693441827924381</v>
      </c>
      <c r="V25" s="39">
        <v>2686.9559949229001</v>
      </c>
      <c r="W25" s="40">
        <v>24.258795086418427</v>
      </c>
      <c r="X25" s="39">
        <v>2531.7805761401828</v>
      </c>
      <c r="Y25" s="40">
        <v>19.24482814700314</v>
      </c>
      <c r="Z25" s="39">
        <v>2338.5048197656342</v>
      </c>
      <c r="AA25" s="40">
        <v>14.68596385578339</v>
      </c>
      <c r="AB25" s="39">
        <v>2104.0303185990124</v>
      </c>
      <c r="AC25" s="40">
        <v>10.609984260051313</v>
      </c>
      <c r="AD25" s="39">
        <v>1830.4618726113617</v>
      </c>
      <c r="AE25" s="40">
        <v>7.0496504168783583</v>
      </c>
      <c r="AF25" s="39">
        <v>1526.7462433119786</v>
      </c>
      <c r="AG25" s="40">
        <v>4.0750001105851341</v>
      </c>
      <c r="AH25" s="39">
        <v>1206.3554520900409</v>
      </c>
      <c r="AI25" s="40">
        <v>1.8321005756165636</v>
      </c>
      <c r="AJ25" s="39">
        <v>881.60381324041441</v>
      </c>
      <c r="AK25" s="40">
        <v>0.50442714381588882</v>
      </c>
      <c r="AL25" s="39">
        <v>562.79359431228318</v>
      </c>
      <c r="AM25" s="40">
        <v>5.0484144506646123E-2</v>
      </c>
      <c r="AN25" s="39">
        <v>262.33881162930453</v>
      </c>
      <c r="AO25" s="40">
        <v>4.9810944012613763E-4</v>
      </c>
      <c r="AP25" s="39">
        <v>205.26283166695887</v>
      </c>
      <c r="AQ25" s="40">
        <v>1.0628444291638121E-4</v>
      </c>
      <c r="AR25" s="39">
        <v>149.42796860607072</v>
      </c>
      <c r="AS25" s="40">
        <v>1.4458599479953044E-5</v>
      </c>
      <c r="AT25" s="39">
        <v>95.232890598353308</v>
      </c>
      <c r="AU25" s="40">
        <v>8.8688873328617774E-7</v>
      </c>
      <c r="AV25" s="39">
        <v>43.731234960481743</v>
      </c>
      <c r="AW25" s="40">
        <v>8.4309268578319944E-9</v>
      </c>
    </row>
    <row r="26" spans="1:49" x14ac:dyDescent="0.2">
      <c r="A26" t="s">
        <v>27</v>
      </c>
      <c r="B26" s="31">
        <v>5036.2953101960647</v>
      </c>
      <c r="C26" s="32">
        <v>74.905331803938267</v>
      </c>
      <c r="D26" s="31">
        <v>5014.3505024196793</v>
      </c>
      <c r="E26" s="32">
        <v>70.348123935483983</v>
      </c>
      <c r="F26" s="31">
        <v>4988.0414838547167</v>
      </c>
      <c r="G26" s="32">
        <v>65.762976208697395</v>
      </c>
      <c r="H26" s="31">
        <v>4956.328715264377</v>
      </c>
      <c r="I26" s="32">
        <v>61.150368724250562</v>
      </c>
      <c r="J26" s="31">
        <v>4917.859174406417</v>
      </c>
      <c r="K26" s="32">
        <v>56.511808451354682</v>
      </c>
      <c r="L26" s="31">
        <v>4870.8776066506034</v>
      </c>
      <c r="M26" s="32">
        <v>51.850156454567106</v>
      </c>
      <c r="N26" s="31">
        <v>4813.0801785026497</v>
      </c>
      <c r="O26" s="32">
        <v>47.170440146693572</v>
      </c>
      <c r="P26" s="31">
        <v>4741.4576845416323</v>
      </c>
      <c r="Q26" s="32">
        <v>42.480564984899985</v>
      </c>
      <c r="R26" s="31">
        <v>4652.1032550299324</v>
      </c>
      <c r="S26" s="32">
        <v>37.792335603608656</v>
      </c>
      <c r="T26" s="31">
        <v>4540.0443727813672</v>
      </c>
      <c r="U26" s="32">
        <v>33.122440062472243</v>
      </c>
      <c r="V26" s="31">
        <v>4399.2026265074701</v>
      </c>
      <c r="W26" s="32">
        <v>28.49307549770376</v>
      </c>
      <c r="X26" s="31">
        <v>4222.7039350007462</v>
      </c>
      <c r="Y26" s="32">
        <v>23.931773889273515</v>
      </c>
      <c r="Z26" s="31">
        <v>4003.8953312392027</v>
      </c>
      <c r="AA26" s="32">
        <v>19.470271407517497</v>
      </c>
      <c r="AB26" s="31">
        <v>3738.394620863452</v>
      </c>
      <c r="AC26" s="32">
        <v>15.144279604717497</v>
      </c>
      <c r="AD26" s="31">
        <v>3426.8213914042635</v>
      </c>
      <c r="AE26" s="32">
        <v>11.002601738733505</v>
      </c>
      <c r="AF26" s="31">
        <v>3076.1214531210107</v>
      </c>
      <c r="AG26" s="32">
        <v>7.1425097758470377</v>
      </c>
      <c r="AH26" s="31">
        <v>2695.8075658134067</v>
      </c>
      <c r="AI26" s="32">
        <v>3.7861719951621033</v>
      </c>
      <c r="AJ26" s="31">
        <v>2287.7067953418677</v>
      </c>
      <c r="AK26" s="32">
        <v>1.3492532138453379</v>
      </c>
      <c r="AL26" s="31">
        <v>1832.4672953906113</v>
      </c>
      <c r="AM26" s="32">
        <v>0.21108278835491054</v>
      </c>
      <c r="AN26" s="31">
        <v>1256.3573708960257</v>
      </c>
      <c r="AO26" s="32">
        <v>5.0347250501006817E-3</v>
      </c>
      <c r="AP26" s="31">
        <v>1107.259087635161</v>
      </c>
      <c r="AQ26" s="32">
        <v>1.4429328104914522E-3</v>
      </c>
      <c r="AR26" s="31">
        <v>935.70271621183895</v>
      </c>
      <c r="AS26" s="32">
        <v>2.8730857897510712E-4</v>
      </c>
      <c r="AT26" s="31">
        <v>729.71844426912696</v>
      </c>
      <c r="AU26" s="32">
        <v>3.000962537605119E-5</v>
      </c>
      <c r="AV26" s="31">
        <v>463.0183556720857</v>
      </c>
      <c r="AW26" s="32">
        <v>6.9015814998215703E-7</v>
      </c>
    </row>
    <row r="27" spans="1:49" x14ac:dyDescent="0.2">
      <c r="A27" t="s">
        <v>2</v>
      </c>
      <c r="B27" s="33">
        <v>6425.1981590000414</v>
      </c>
      <c r="C27" s="34">
        <v>273.22915400000028</v>
      </c>
      <c r="D27" s="33">
        <v>6388.7236013574566</v>
      </c>
      <c r="E27" s="34">
        <v>256.43594537872332</v>
      </c>
      <c r="F27" s="33">
        <v>6346.041366186234</v>
      </c>
      <c r="G27" s="34">
        <v>239.54912104964762</v>
      </c>
      <c r="H27" s="33">
        <v>6295.778094997685</v>
      </c>
      <c r="I27" s="34">
        <v>222.57191248435564</v>
      </c>
      <c r="J27" s="33">
        <v>6236.1673215068467</v>
      </c>
      <c r="K27" s="34">
        <v>205.51178049874895</v>
      </c>
      <c r="L27" s="33">
        <v>6164.9425323142896</v>
      </c>
      <c r="M27" s="34">
        <v>188.38121058363603</v>
      </c>
      <c r="N27" s="33">
        <v>6079.1643355175302</v>
      </c>
      <c r="O27" s="34">
        <v>171.20124090745372</v>
      </c>
      <c r="P27" s="33">
        <v>5975.0396359972347</v>
      </c>
      <c r="Q27" s="34">
        <v>154.00376984568257</v>
      </c>
      <c r="R27" s="33">
        <v>5847.7082184816272</v>
      </c>
      <c r="S27" s="34">
        <v>136.83541272833534</v>
      </c>
      <c r="T27" s="33">
        <v>5691.0756103686717</v>
      </c>
      <c r="U27" s="34">
        <v>119.76119198930857</v>
      </c>
      <c r="V27" s="33">
        <v>5497.8273875252307</v>
      </c>
      <c r="W27" s="34">
        <v>102.86665113581394</v>
      </c>
      <c r="X27" s="33">
        <v>5259.9051013401386</v>
      </c>
      <c r="Y27" s="34">
        <v>86.257155696681096</v>
      </c>
      <c r="Z27" s="33">
        <v>4969.876049597241</v>
      </c>
      <c r="AA27" s="34">
        <v>70.053548952582801</v>
      </c>
      <c r="AB27" s="33">
        <v>4623.5625237244858</v>
      </c>
      <c r="AC27" s="34">
        <v>54.390253572402948</v>
      </c>
      <c r="AD27" s="33">
        <v>4223.4158661748743</v>
      </c>
      <c r="AE27" s="34">
        <v>39.44647411855091</v>
      </c>
      <c r="AF27" s="33">
        <v>3779.9899022540167</v>
      </c>
      <c r="AG27" s="34">
        <v>25.569432337439178</v>
      </c>
      <c r="AH27" s="33">
        <v>3307.119967666209</v>
      </c>
      <c r="AI27" s="34">
        <v>13.54277068466393</v>
      </c>
      <c r="AJ27" s="33">
        <v>2809.6303286812858</v>
      </c>
      <c r="AK27" s="34">
        <v>4.8288585700027422</v>
      </c>
      <c r="AL27" s="33">
        <v>2268.0768554442693</v>
      </c>
      <c r="AM27" s="34">
        <v>0.758385929728008</v>
      </c>
      <c r="AN27" s="33">
        <v>1599.96793397887</v>
      </c>
      <c r="AO27" s="34">
        <v>1.8348537985827505E-2</v>
      </c>
      <c r="AP27" s="33">
        <v>1428.4609977923637</v>
      </c>
      <c r="AQ27" s="34">
        <v>5.2927614714493188E-3</v>
      </c>
      <c r="AR27" s="33">
        <v>1230.6135825017943</v>
      </c>
      <c r="AS27" s="34">
        <v>1.064062438557483E-3</v>
      </c>
      <c r="AT27" s="33">
        <v>990.71389939686935</v>
      </c>
      <c r="AU27" s="34">
        <v>1.1292331987370626E-4</v>
      </c>
      <c r="AV27" s="33">
        <v>671.06859436371008</v>
      </c>
      <c r="AW27" s="34">
        <v>2.6832411676799925E-6</v>
      </c>
    </row>
    <row r="28" spans="1:49" x14ac:dyDescent="0.2">
      <c r="A28" t="s">
        <v>35</v>
      </c>
      <c r="B28" s="39">
        <v>13763.097676000029</v>
      </c>
      <c r="C28" s="40">
        <v>382.36647899999997</v>
      </c>
      <c r="D28" s="39">
        <v>13694.639467273984</v>
      </c>
      <c r="E28" s="40">
        <v>358.93329569716803</v>
      </c>
      <c r="F28" s="39">
        <v>13613.591593514191</v>
      </c>
      <c r="G28" s="40">
        <v>335.36556613631979</v>
      </c>
      <c r="H28" s="39">
        <v>13517.060244601946</v>
      </c>
      <c r="I28" s="40">
        <v>311.66721155487971</v>
      </c>
      <c r="J28" s="39">
        <v>13401.30050189569</v>
      </c>
      <c r="K28" s="40">
        <v>287.84788355541201</v>
      </c>
      <c r="L28" s="39">
        <v>13261.479931696567</v>
      </c>
      <c r="M28" s="40">
        <v>263.92423698694222</v>
      </c>
      <c r="N28" s="39">
        <v>13091.292499330108</v>
      </c>
      <c r="O28" s="40">
        <v>239.92464761257219</v>
      </c>
      <c r="P28" s="39">
        <v>12882.549517010983</v>
      </c>
      <c r="Q28" s="40">
        <v>215.8925602798785</v>
      </c>
      <c r="R28" s="39">
        <v>12624.6868525017</v>
      </c>
      <c r="S28" s="40">
        <v>191.89184112928862</v>
      </c>
      <c r="T28" s="39">
        <v>12304.354910636803</v>
      </c>
      <c r="U28" s="40">
        <v>168.01191297367743</v>
      </c>
      <c r="V28" s="39">
        <v>11905.378055699135</v>
      </c>
      <c r="W28" s="40">
        <v>144.37079182841597</v>
      </c>
      <c r="X28" s="39">
        <v>11409.689227680085</v>
      </c>
      <c r="Y28" s="40">
        <v>121.1141488313051</v>
      </c>
      <c r="Z28" s="39">
        <v>10800.191560628127</v>
      </c>
      <c r="AA28" s="40">
        <v>98.409332592593032</v>
      </c>
      <c r="AB28" s="39">
        <v>10066.387135272371</v>
      </c>
      <c r="AC28" s="40">
        <v>76.443126987028762</v>
      </c>
      <c r="AD28" s="39">
        <v>9211.7411327891587</v>
      </c>
      <c r="AE28" s="40">
        <v>55.466182160634588</v>
      </c>
      <c r="AF28" s="39">
        <v>8257.0856889644856</v>
      </c>
      <c r="AG28" s="40">
        <v>35.967602713069795</v>
      </c>
      <c r="AH28" s="39">
        <v>7230.3117193842436</v>
      </c>
      <c r="AI28" s="40">
        <v>19.054330924078204</v>
      </c>
      <c r="AJ28" s="39">
        <v>6139.1347523636687</v>
      </c>
      <c r="AK28" s="40">
        <v>6.7930745054040189</v>
      </c>
      <c r="AL28" s="39">
        <v>4936.1078155964296</v>
      </c>
      <c r="AM28" s="40">
        <v>1.0657697915316964</v>
      </c>
      <c r="AN28" s="39">
        <v>3430.4803682328252</v>
      </c>
      <c r="AO28" s="40">
        <v>2.5684135656501798E-2</v>
      </c>
      <c r="AP28" s="39">
        <v>3041.5843760254406</v>
      </c>
      <c r="AQ28" s="40">
        <v>7.3949625858794922E-3</v>
      </c>
      <c r="AR28" s="39">
        <v>2592.9415446888438</v>
      </c>
      <c r="AS28" s="40">
        <v>1.4824366057210009E-3</v>
      </c>
      <c r="AT28" s="39">
        <v>2050.6295107432811</v>
      </c>
      <c r="AU28" s="40">
        <v>1.5654235870828968E-4</v>
      </c>
      <c r="AV28" s="39">
        <v>1336.6950604917758</v>
      </c>
      <c r="AW28" s="40">
        <v>3.6782105503412045E-6</v>
      </c>
    </row>
    <row r="29" spans="1:49" x14ac:dyDescent="0.2">
      <c r="A29" t="s">
        <v>53</v>
      </c>
      <c r="B29" s="33">
        <v>14362.768558000025</v>
      </c>
      <c r="C29" s="34">
        <v>817.26650999999993</v>
      </c>
      <c r="D29" s="33">
        <v>14272.707968811159</v>
      </c>
      <c r="E29" s="34">
        <v>760.97197150144666</v>
      </c>
      <c r="F29" s="33">
        <v>14168.481016983182</v>
      </c>
      <c r="G29" s="34">
        <v>704.91719975823969</v>
      </c>
      <c r="H29" s="33">
        <v>14047.061713741963</v>
      </c>
      <c r="I29" s="34">
        <v>649.16976891870399</v>
      </c>
      <c r="J29" s="33">
        <v>13904.57427996717</v>
      </c>
      <c r="K29" s="34">
        <v>593.81584804745114</v>
      </c>
      <c r="L29" s="33">
        <v>13736.066631281854</v>
      </c>
      <c r="M29" s="34">
        <v>538.96226841700798</v>
      </c>
      <c r="N29" s="33">
        <v>13535.140699254958</v>
      </c>
      <c r="O29" s="34">
        <v>484.74577950492102</v>
      </c>
      <c r="P29" s="33">
        <v>13293.569130540984</v>
      </c>
      <c r="Q29" s="34">
        <v>431.33752645163423</v>
      </c>
      <c r="R29" s="33">
        <v>13000.84107620619</v>
      </c>
      <c r="S29" s="34">
        <v>378.95001723021932</v>
      </c>
      <c r="T29" s="33">
        <v>12643.804130646189</v>
      </c>
      <c r="U29" s="34">
        <v>327.84033276357684</v>
      </c>
      <c r="V29" s="33">
        <v>12206.683346177624</v>
      </c>
      <c r="W29" s="34">
        <v>278.30491270613857</v>
      </c>
      <c r="X29" s="33">
        <v>11672.055893463385</v>
      </c>
      <c r="Y29" s="34">
        <v>230.66115112482382</v>
      </c>
      <c r="Z29" s="33">
        <v>11023.669497721239</v>
      </c>
      <c r="AA29" s="34">
        <v>185.21452529745275</v>
      </c>
      <c r="AB29" s="33">
        <v>10251.835805175535</v>
      </c>
      <c r="AC29" s="34">
        <v>142.23353856302231</v>
      </c>
      <c r="AD29" s="33">
        <v>9360.2615523530985</v>
      </c>
      <c r="AE29" s="34">
        <v>102.02831216167296</v>
      </c>
      <c r="AF29" s="33">
        <v>8368.6612453277703</v>
      </c>
      <c r="AG29" s="34">
        <v>65.311975648369483</v>
      </c>
      <c r="AH29" s="33">
        <v>7301.6350593090183</v>
      </c>
      <c r="AI29" s="34">
        <v>33.980971521280452</v>
      </c>
      <c r="AJ29" s="33">
        <v>6160.7524955269291</v>
      </c>
      <c r="AK29" s="34">
        <v>11.744369961628719</v>
      </c>
      <c r="AL29" s="33">
        <v>4889.9260339798875</v>
      </c>
      <c r="AM29" s="34">
        <v>1.734463555131561</v>
      </c>
      <c r="AN29" s="33">
        <v>3294.4158848231032</v>
      </c>
      <c r="AO29" s="34">
        <v>3.6742509289176654E-2</v>
      </c>
      <c r="AP29" s="33">
        <v>2886.8284451498084</v>
      </c>
      <c r="AQ29" s="34">
        <v>1.0126452139641532E-2</v>
      </c>
      <c r="AR29" s="33">
        <v>2421.6669028442116</v>
      </c>
      <c r="AS29" s="34">
        <v>1.9188343431754552E-3</v>
      </c>
      <c r="AT29" s="33">
        <v>1869.220411591145</v>
      </c>
      <c r="AU29" s="34">
        <v>1.8738603896199571E-4</v>
      </c>
      <c r="AV29" s="33">
        <v>1164.9423088419587</v>
      </c>
      <c r="AW29" s="34">
        <v>3.873799658414811E-6</v>
      </c>
    </row>
    <row r="30" spans="1:49" x14ac:dyDescent="0.2">
      <c r="A30" t="s">
        <v>48</v>
      </c>
      <c r="B30" s="112">
        <v>2924829.9599999995</v>
      </c>
      <c r="D30" s="112">
        <v>2945975.121849535</v>
      </c>
      <c r="F30" s="112">
        <v>2964762.2564651496</v>
      </c>
      <c r="H30" s="112">
        <v>2980676.7828670521</v>
      </c>
      <c r="J30" s="112">
        <v>2993057.4584567528</v>
      </c>
      <c r="L30" s="112">
        <v>3001061.7752480181</v>
      </c>
      <c r="N30" s="112">
        <v>3003610.2412380385</v>
      </c>
      <c r="P30" s="112">
        <v>2999339.0142183099</v>
      </c>
      <c r="R30" s="112">
        <v>2986559.0536533343</v>
      </c>
      <c r="T30" s="112">
        <v>2963273.1693098806</v>
      </c>
      <c r="V30" s="112">
        <v>2927335.4297485165</v>
      </c>
      <c r="X30" s="112">
        <v>2876928.9219065029</v>
      </c>
      <c r="Z30" s="112">
        <v>2811640.3167173835</v>
      </c>
      <c r="AB30" s="112">
        <v>2734445.3080887673</v>
      </c>
      <c r="AD30" s="112">
        <v>2654663.9295752756</v>
      </c>
      <c r="AF30" s="112">
        <v>2591413.3001538119</v>
      </c>
      <c r="AH30" s="112">
        <v>2577776.5973486425</v>
      </c>
      <c r="AJ30" s="112">
        <v>2670744.6762320092</v>
      </c>
      <c r="AL30" s="112">
        <v>2975074.4899716759</v>
      </c>
      <c r="AN30" s="112">
        <v>3712277.6663349634</v>
      </c>
      <c r="AP30" s="112">
        <v>3964446.4569527963</v>
      </c>
      <c r="AR30" s="112">
        <v>4284810.5976143628</v>
      </c>
      <c r="AT30" s="112">
        <v>4710946.9557187567</v>
      </c>
      <c r="AV30" s="112">
        <v>5315236.7963647936</v>
      </c>
    </row>
    <row r="31" spans="1:49" x14ac:dyDescent="0.2">
      <c r="A31" t="s">
        <v>47</v>
      </c>
      <c r="B31" s="77">
        <v>1</v>
      </c>
      <c r="D31" s="77">
        <v>0.98812212735407079</v>
      </c>
      <c r="F31" s="77">
        <v>0.97509074916931782</v>
      </c>
      <c r="H31" s="77">
        <v>0.96070193341948407</v>
      </c>
      <c r="J31" s="77">
        <v>0.94470151994452678</v>
      </c>
      <c r="L31" s="77">
        <v>0.92677347032181268</v>
      </c>
      <c r="N31" s="77">
        <v>0.90652073549800705</v>
      </c>
      <c r="P31" s="77">
        <v>0.88344725270175462</v>
      </c>
      <c r="R31" s="77">
        <v>0.8569383306438042</v>
      </c>
      <c r="T31" s="77">
        <v>0.82625042352331945</v>
      </c>
      <c r="V31" s="77">
        <v>0.7905274328413846</v>
      </c>
      <c r="X31" s="77">
        <v>0.74887661342006406</v>
      </c>
      <c r="Z31" s="77">
        <v>0.70055122039960915</v>
      </c>
      <c r="AB31" s="77">
        <v>0.64527041341966085</v>
      </c>
      <c r="AD31" s="77">
        <v>0.58359068063464847</v>
      </c>
      <c r="AF31" s="77">
        <v>0.51698834120279658</v>
      </c>
      <c r="AH31" s="77">
        <v>0.44712897035204396</v>
      </c>
      <c r="AJ31" s="77">
        <v>0.37423503473877034</v>
      </c>
      <c r="AL31" s="77">
        <v>0.29521699241933191</v>
      </c>
      <c r="AN31" s="77">
        <v>0.19941274059682706</v>
      </c>
      <c r="AP31" s="77">
        <v>0.1755406116196965</v>
      </c>
      <c r="AR31" s="77">
        <v>0.14854301012815282</v>
      </c>
      <c r="AT31" s="77">
        <v>0.11669576496327633</v>
      </c>
      <c r="AV31" s="77">
        <v>7.5948576952393321E-2</v>
      </c>
    </row>
    <row r="32" spans="1:49" x14ac:dyDescent="0.2">
      <c r="A32" t="s">
        <v>64</v>
      </c>
      <c r="B32" s="83">
        <v>14734457.915000005</v>
      </c>
      <c r="D32" s="83">
        <v>14621159.108335488</v>
      </c>
      <c r="F32" s="83">
        <v>14497404.238399629</v>
      </c>
      <c r="H32" s="83">
        <v>14361228.863428844</v>
      </c>
      <c r="J32" s="83">
        <v>14210186.259247584</v>
      </c>
      <c r="L32" s="83">
        <v>14041246.523667736</v>
      </c>
      <c r="N32" s="83">
        <v>13850638.713677764</v>
      </c>
      <c r="P32" s="83">
        <v>13633732.276049906</v>
      </c>
      <c r="R32" s="83">
        <v>13384962.874840191</v>
      </c>
      <c r="T32" s="83">
        <v>13097966.371635983</v>
      </c>
      <c r="V32" s="83">
        <v>12766199.808846479</v>
      </c>
      <c r="X32" s="83">
        <v>12384565.639119975</v>
      </c>
      <c r="Z32" s="83">
        <v>11952798.798857899</v>
      </c>
      <c r="AB32" s="83">
        <v>11481257.494774336</v>
      </c>
      <c r="AD32" s="83">
        <v>10998509.33766597</v>
      </c>
      <c r="AF32" s="83">
        <v>10557745.073206447</v>
      </c>
      <c r="AH32" s="83">
        <v>10239805.482239006</v>
      </c>
      <c r="AJ32" s="83">
        <v>10160665.706505148</v>
      </c>
      <c r="AL32" s="83">
        <v>10486211.765179055</v>
      </c>
      <c r="AN32" s="83">
        <v>11418064.116103588</v>
      </c>
      <c r="AP32" s="83">
        <v>11697800.495516889</v>
      </c>
      <c r="AR32" s="83">
        <v>12007119.956488132</v>
      </c>
      <c r="AT32" s="83">
        <v>12318433.459257573</v>
      </c>
      <c r="AV32" s="83">
        <v>12464333.936487548</v>
      </c>
    </row>
    <row r="33" spans="1:49 16319:16384" x14ac:dyDescent="0.2">
      <c r="A33" t="s">
        <v>54</v>
      </c>
      <c r="B33" s="111">
        <v>7019665.6909999922</v>
      </c>
      <c r="D33" s="111">
        <v>6939751.9537727237</v>
      </c>
      <c r="F33" s="111">
        <v>6855024.7414851505</v>
      </c>
      <c r="H33" s="111">
        <v>6764622.1634382596</v>
      </c>
      <c r="J33" s="111">
        <v>6667483.1258733924</v>
      </c>
      <c r="L33" s="111">
        <v>6562307.1850640625</v>
      </c>
      <c r="N33" s="111">
        <v>6447494.7556766272</v>
      </c>
      <c r="P33" s="111">
        <v>6321104.1025896594</v>
      </c>
      <c r="R33" s="111">
        <v>6180831.4158603903</v>
      </c>
      <c r="T33" s="111">
        <v>6024081.2586707929</v>
      </c>
      <c r="V33" s="111">
        <v>5848240.0925988378</v>
      </c>
      <c r="X33" s="111">
        <v>5651357.6757234074</v>
      </c>
      <c r="Z33" s="111">
        <v>5433522.3610108197</v>
      </c>
      <c r="AB33" s="111">
        <v>5199122.4088594327</v>
      </c>
      <c r="AD33" s="111">
        <v>4959597.9960842654</v>
      </c>
      <c r="AF33" s="111">
        <v>4735203.0011467375</v>
      </c>
      <c r="AH33" s="111">
        <v>4554324.7872300111</v>
      </c>
      <c r="AJ33" s="111">
        <v>4452023.5553344321</v>
      </c>
      <c r="AL33" s="111">
        <v>4464634.5204363354</v>
      </c>
      <c r="AN33" s="111">
        <v>4580334.365712624</v>
      </c>
      <c r="AP33" s="111">
        <v>4596720.5935065523</v>
      </c>
      <c r="AR33" s="111">
        <v>4590155.6157133328</v>
      </c>
      <c r="AT33" s="111">
        <v>4521904.687178026</v>
      </c>
      <c r="AV33" s="111">
        <v>4249437.163273422</v>
      </c>
    </row>
    <row r="34" spans="1:49 16319:16384" x14ac:dyDescent="0.2">
      <c r="A34" t="s">
        <v>75</v>
      </c>
      <c r="B34" s="111">
        <v>1136879.4410000131</v>
      </c>
      <c r="D34" s="111">
        <v>1138049.3867132585</v>
      </c>
      <c r="F34" s="111">
        <v>1134948.5431374335</v>
      </c>
      <c r="H34" s="111">
        <v>1126619.360706744</v>
      </c>
      <c r="J34" s="111">
        <v>1111816.1610824442</v>
      </c>
      <c r="L34" s="111">
        <v>1088921.6255824291</v>
      </c>
      <c r="N34" s="111">
        <v>1055804.0015874677</v>
      </c>
      <c r="P34" s="111">
        <v>1009655.3266751408</v>
      </c>
      <c r="R34" s="111">
        <v>946772.2705249117</v>
      </c>
      <c r="T34" s="111">
        <v>862308.57433556952</v>
      </c>
      <c r="V34" s="111">
        <v>750044.27011072857</v>
      </c>
      <c r="X34" s="111">
        <v>602285.45760528918</v>
      </c>
      <c r="Z34" s="111">
        <v>410087.23162667226</v>
      </c>
      <c r="AB34" s="111">
        <v>163964.29908566852</v>
      </c>
      <c r="AD34" s="111">
        <v>-145281.8698640911</v>
      </c>
      <c r="AF34" s="111">
        <v>-527634.18816048175</v>
      </c>
      <c r="AH34" s="111">
        <v>-1002035.643853797</v>
      </c>
      <c r="AJ34" s="111">
        <v>-1622813.0254296861</v>
      </c>
      <c r="AL34" s="111">
        <v>-2562105.6708437591</v>
      </c>
      <c r="AN34" s="111">
        <v>-4526594.3431798983</v>
      </c>
      <c r="AP34" s="111">
        <v>-5285342.5563428141</v>
      </c>
      <c r="AR34" s="111">
        <v>-6362747.3266553069</v>
      </c>
      <c r="AT34" s="111">
        <v>-8068364.0565264458</v>
      </c>
      <c r="AV34" s="111">
        <v>-11432177.966208922</v>
      </c>
    </row>
    <row r="35" spans="1:49 16319:16384" x14ac:dyDescent="0.2">
      <c r="A35" t="s">
        <v>78</v>
      </c>
      <c r="B35" s="192">
        <v>1</v>
      </c>
      <c r="D35" s="192">
        <v>1.0005003086604178</v>
      </c>
      <c r="F35" s="192">
        <v>1.0014987201713226</v>
      </c>
      <c r="H35" s="192">
        <v>1.0031101903490349</v>
      </c>
      <c r="J35" s="192">
        <v>1.0054872800560621</v>
      </c>
      <c r="L35" s="192">
        <v>1.0088343664017825</v>
      </c>
      <c r="N35" s="192">
        <v>1.013431878670096</v>
      </c>
      <c r="P35" s="192">
        <v>1.0196707186134681</v>
      </c>
      <c r="R35" s="192">
        <v>1.0281074842634514</v>
      </c>
      <c r="T35" s="192">
        <v>1.0395512270722105</v>
      </c>
      <c r="V35" s="192">
        <v>1.055202367561288</v>
      </c>
      <c r="X35" s="192">
        <v>1.0768772399328856</v>
      </c>
      <c r="Z35" s="192">
        <v>1.1073727938464852</v>
      </c>
      <c r="AB35" s="192">
        <v>1.1510621994509307</v>
      </c>
      <c r="AD35" s="192">
        <v>1.2149161641278012</v>
      </c>
      <c r="AF35" s="192">
        <v>1.310560533890474</v>
      </c>
      <c r="AH35" s="192">
        <v>1.459651304845299</v>
      </c>
      <c r="AJ35" s="192">
        <v>1.7105589212766372</v>
      </c>
      <c r="AL35" s="192">
        <v>2.1958419311501078</v>
      </c>
      <c r="AN35" s="192">
        <v>3.4643588552656546</v>
      </c>
      <c r="AP35" s="192">
        <v>4.0260307524600876</v>
      </c>
      <c r="AR35" s="192">
        <v>4.8950978190294379</v>
      </c>
      <c r="AT35" s="192">
        <v>6.4621806257110315</v>
      </c>
      <c r="AV35" s="192">
        <v>10.394615965177801</v>
      </c>
    </row>
    <row r="36" spans="1:49 16319:16384" x14ac:dyDescent="0.2">
      <c r="A36" t="s">
        <v>21</v>
      </c>
      <c r="B36" s="35">
        <v>0.47195767671988198</v>
      </c>
      <c r="C36" s="36">
        <v>0.31738834428178964</v>
      </c>
      <c r="D36" s="35">
        <v>0.47200087349014869</v>
      </c>
      <c r="E36" s="36">
        <v>0.31973726323525609</v>
      </c>
      <c r="F36" s="35">
        <v>0.47204003916445925</v>
      </c>
      <c r="G36" s="36">
        <v>0.32225693756240154</v>
      </c>
      <c r="H36" s="35">
        <v>0.47207340299517425</v>
      </c>
      <c r="I36" s="36">
        <v>0.3249606837239557</v>
      </c>
      <c r="J36" s="35">
        <v>0.47209856281000634</v>
      </c>
      <c r="K36" s="36">
        <v>0.32786107526382763</v>
      </c>
      <c r="L36" s="35">
        <v>0.47211228734656457</v>
      </c>
      <c r="M36" s="36">
        <v>0.33096886147163779</v>
      </c>
      <c r="N36" s="35">
        <v>0.47211019124251197</v>
      </c>
      <c r="O36" s="36">
        <v>0.33429075384510237</v>
      </c>
      <c r="P36" s="35">
        <v>0.47208639328930541</v>
      </c>
      <c r="Q36" s="36">
        <v>0.33782647122806442</v>
      </c>
      <c r="R36" s="35">
        <v>0.47203313542250908</v>
      </c>
      <c r="S36" s="36">
        <v>0.34156421697799305</v>
      </c>
      <c r="T36" s="35">
        <v>0.47194060733297927</v>
      </c>
      <c r="U36" s="36">
        <v>0.3454749908446787</v>
      </c>
      <c r="V36" s="35">
        <v>0.47179750813570426</v>
      </c>
      <c r="W36" s="36">
        <v>0.34950687154940357</v>
      </c>
      <c r="X36" s="35">
        <v>0.47159368896496312</v>
      </c>
      <c r="Y36" s="36">
        <v>0.35358405070857679</v>
      </c>
      <c r="Z36" s="35">
        <v>0.47132775632106677</v>
      </c>
      <c r="AA36" s="36">
        <v>0.35762262090496316</v>
      </c>
      <c r="AB36" s="35">
        <v>0.47102500158614641</v>
      </c>
      <c r="AC36" s="36">
        <v>0.36158812285748299</v>
      </c>
      <c r="AD36" s="35">
        <v>0.47077361743622814</v>
      </c>
      <c r="AE36" s="36">
        <v>0.36563534071059001</v>
      </c>
      <c r="AF36" s="35">
        <v>0.47078928201031378</v>
      </c>
      <c r="AG36" s="36">
        <v>0.37038044178792806</v>
      </c>
      <c r="AH36" s="35">
        <v>0.47153476526074134</v>
      </c>
      <c r="AI36" s="36">
        <v>0.37739682872032665</v>
      </c>
      <c r="AJ36" s="35">
        <v>0.47402532214449666</v>
      </c>
      <c r="AK36" s="36">
        <v>0.39033248276630561</v>
      </c>
      <c r="AL36" s="35">
        <v>0.48082984687973562</v>
      </c>
      <c r="AM36" s="36">
        <v>0.41813626554187378</v>
      </c>
      <c r="AN36" s="35">
        <v>0.50106177818823394</v>
      </c>
      <c r="AO36" s="36">
        <v>0.48937625705225329</v>
      </c>
      <c r="AP36" s="35">
        <v>0.50983770142618023</v>
      </c>
      <c r="AQ36" s="36">
        <v>0.51777594070103328</v>
      </c>
      <c r="AR36" s="35">
        <v>0.52287142629562733</v>
      </c>
      <c r="AS36" s="36">
        <v>0.55809296632368577</v>
      </c>
      <c r="AT36" s="35">
        <v>0.54476096788391004</v>
      </c>
      <c r="AU36" s="36">
        <v>0.62202749889201359</v>
      </c>
      <c r="AV36" s="35">
        <v>0.59285436675066627</v>
      </c>
      <c r="AW36" s="36">
        <v>0.7515284087811186</v>
      </c>
    </row>
    <row r="37" spans="1:49 16319:16384" x14ac:dyDescent="0.2">
      <c r="B37" s="37">
        <v>2.1403217525954466E-2</v>
      </c>
      <c r="C37" s="38">
        <v>0.3496246130199252</v>
      </c>
      <c r="D37" s="37">
        <v>2.0780030688434918E-2</v>
      </c>
      <c r="E37" s="38">
        <v>0.34595694523730969</v>
      </c>
      <c r="F37" s="37">
        <v>2.0153813713220156E-2</v>
      </c>
      <c r="G37" s="38">
        <v>0.34225025218351957</v>
      </c>
      <c r="H37" s="37">
        <v>1.9525579835519967E-2</v>
      </c>
      <c r="I37" s="38">
        <v>0.33851067088261033</v>
      </c>
      <c r="J37" s="37">
        <v>1.8896730211043537E-2</v>
      </c>
      <c r="K37" s="38">
        <v>0.33474691715789384</v>
      </c>
      <c r="L37" s="37">
        <v>1.8269138760068027E-2</v>
      </c>
      <c r="M37" s="38">
        <v>0.33097087243897899</v>
      </c>
      <c r="N37" s="37">
        <v>1.7645360560403202E-2</v>
      </c>
      <c r="O37" s="38">
        <v>0.3271989299417048</v>
      </c>
      <c r="P37" s="37">
        <v>1.7028817098661345E-2</v>
      </c>
      <c r="Q37" s="38">
        <v>0.32345321931835019</v>
      </c>
      <c r="R37" s="37">
        <v>1.6424059507521519E-2</v>
      </c>
      <c r="S37" s="38">
        <v>0.31976331071013903</v>
      </c>
      <c r="T37" s="37">
        <v>1.5836986635828894E-2</v>
      </c>
      <c r="U37" s="38">
        <v>0.31616762903732398</v>
      </c>
      <c r="V37" s="37">
        <v>1.5274878988840656E-2</v>
      </c>
      <c r="W37" s="38">
        <v>0.31271367448016579</v>
      </c>
      <c r="X37" s="37">
        <v>1.474579714018533E-2</v>
      </c>
      <c r="Y37" s="38">
        <v>0.30945417272563808</v>
      </c>
      <c r="Z37" s="37">
        <v>1.4256410011841483E-2</v>
      </c>
      <c r="AA37" s="38">
        <v>0.30643320702475685</v>
      </c>
      <c r="AB37" s="37">
        <v>1.380650473342732E-2</v>
      </c>
      <c r="AC37" s="38">
        <v>0.30365123615898398</v>
      </c>
      <c r="AD37" s="37">
        <v>1.3377736446758944E-2</v>
      </c>
      <c r="AE37" s="38">
        <v>0.30099351084503184</v>
      </c>
      <c r="AF37" s="37">
        <v>1.2914999539860169E-2</v>
      </c>
      <c r="AG37" s="38">
        <v>0.29811152923995171</v>
      </c>
      <c r="AH37" s="37">
        <v>1.2301770838859388E-2</v>
      </c>
      <c r="AI37" s="38">
        <v>0.29426577021210965</v>
      </c>
      <c r="AJ37" s="37">
        <v>1.1333734589739764E-2</v>
      </c>
      <c r="AK37" s="38">
        <v>0.28815818089579992</v>
      </c>
      <c r="AL37" s="37">
        <v>9.7219939702585731E-3</v>
      </c>
      <c r="AM37" s="38">
        <v>0.27797475254851289</v>
      </c>
      <c r="AN37" s="37">
        <v>7.1618170192720675E-3</v>
      </c>
      <c r="AO37" s="38">
        <v>0.26202057086544756</v>
      </c>
      <c r="AP37" s="37">
        <v>6.4878723278120791E-3</v>
      </c>
      <c r="AQ37" s="38">
        <v>0.25792604317155954</v>
      </c>
      <c r="AR37" s="37">
        <v>5.726766418109281E-3</v>
      </c>
      <c r="AS37" s="38">
        <v>0.25338929502791058</v>
      </c>
      <c r="AT37" s="37">
        <v>4.8338831842412834E-3</v>
      </c>
      <c r="AU37" s="38">
        <v>0.24822368128569466</v>
      </c>
      <c r="AV37" s="37">
        <v>3.6857182110273316E-3</v>
      </c>
      <c r="AW37" s="38">
        <v>0.24192994695805867</v>
      </c>
    </row>
    <row r="38" spans="1:49 16319:16384" x14ac:dyDescent="0.2">
      <c r="A38" t="s">
        <v>22</v>
      </c>
      <c r="B38" s="35">
        <v>0.18079094942242827</v>
      </c>
      <c r="C38" s="36">
        <v>6.0565413429233668E-2</v>
      </c>
      <c r="D38" s="35">
        <v>0.18112358531616204</v>
      </c>
      <c r="E38" s="36">
        <v>6.087132490494139E-2</v>
      </c>
      <c r="F38" s="35">
        <v>0.18148467390055326</v>
      </c>
      <c r="G38" s="36">
        <v>6.1201161830614539E-2</v>
      </c>
      <c r="H38" s="35">
        <v>0.18187762042579211</v>
      </c>
      <c r="I38" s="36">
        <v>6.1557103290508987E-2</v>
      </c>
      <c r="J38" s="35">
        <v>0.18230623597298284</v>
      </c>
      <c r="K38" s="36">
        <v>6.1941310825552542E-2</v>
      </c>
      <c r="L38" s="35">
        <v>0.18277476024529585</v>
      </c>
      <c r="M38" s="36">
        <v>6.2355905350819682E-2</v>
      </c>
      <c r="N38" s="35">
        <v>0.18328777921632206</v>
      </c>
      <c r="O38" s="36">
        <v>6.2802614951904812E-2</v>
      </c>
      <c r="P38" s="35">
        <v>0.18385007933664943</v>
      </c>
      <c r="Q38" s="36">
        <v>6.3282498342883575E-2</v>
      </c>
      <c r="R38" s="35">
        <v>0.18446628151738023</v>
      </c>
      <c r="S38" s="36">
        <v>6.3795371592150513E-2</v>
      </c>
      <c r="T38" s="35">
        <v>0.18514014753693192</v>
      </c>
      <c r="U38" s="36">
        <v>6.433902584613034E-2</v>
      </c>
      <c r="V38" s="35">
        <v>0.18587331773811588</v>
      </c>
      <c r="W38" s="36">
        <v>6.4908391764687504E-2</v>
      </c>
      <c r="X38" s="35">
        <v>0.18666316669244021</v>
      </c>
      <c r="Y38" s="36">
        <v>6.5494976938992727E-2</v>
      </c>
      <c r="Z38" s="35">
        <v>0.1874994039609453</v>
      </c>
      <c r="AA38" s="36">
        <v>6.6087808770428857E-2</v>
      </c>
      <c r="AB38" s="35">
        <v>0.18835915043182475</v>
      </c>
      <c r="AC38" s="36">
        <v>6.6678790954334391E-2</v>
      </c>
      <c r="AD38" s="35">
        <v>0.18920068650547131</v>
      </c>
      <c r="AE38" s="36">
        <v>6.7276470095571625E-2</v>
      </c>
      <c r="AF38" s="35">
        <v>0.18995610116873132</v>
      </c>
      <c r="AG38" s="36">
        <v>6.7934177266864862E-2</v>
      </c>
      <c r="AH38" s="35">
        <v>0.19051738837651858</v>
      </c>
      <c r="AI38" s="36">
        <v>6.8800813663291646E-2</v>
      </c>
      <c r="AJ38" s="35">
        <v>0.19068123916475521</v>
      </c>
      <c r="AK38" s="36">
        <v>7.0227780979582363E-2</v>
      </c>
      <c r="AL38" s="35">
        <v>0.18992117949394657</v>
      </c>
      <c r="AM38" s="36">
        <v>7.304705997659848E-2</v>
      </c>
      <c r="AN38" s="35">
        <v>0.18623219226576596</v>
      </c>
      <c r="AO38" s="36">
        <v>7.9627087528187826E-2</v>
      </c>
      <c r="AP38" s="35">
        <v>0.18446636611426123</v>
      </c>
      <c r="AQ38" s="36">
        <v>8.204960617999392E-2</v>
      </c>
      <c r="AR38" s="35">
        <v>0.18181725232279836</v>
      </c>
      <c r="AS38" s="36">
        <v>8.5313024681607452E-2</v>
      </c>
      <c r="AT38" s="35">
        <v>0.17746318213333301</v>
      </c>
      <c r="AU38" s="36">
        <v>9.0105308491247149E-2</v>
      </c>
      <c r="AV38" s="35">
        <v>0.168827301468155</v>
      </c>
      <c r="AW38" s="36">
        <v>9.8619143182724744E-2</v>
      </c>
    </row>
    <row r="39" spans="1:49 16319:16384" x14ac:dyDescent="0.2">
      <c r="A39" t="s">
        <v>23</v>
      </c>
      <c r="B39" s="37">
        <v>0.23064923795098771</v>
      </c>
      <c r="C39" s="38">
        <v>0.22092201281804777</v>
      </c>
      <c r="D39" s="37">
        <v>0.23076737928739968</v>
      </c>
      <c r="E39" s="38">
        <v>0.22189071826236015</v>
      </c>
      <c r="F39" s="37">
        <v>0.23089407969632578</v>
      </c>
      <c r="G39" s="38">
        <v>0.22293219329392253</v>
      </c>
      <c r="H39" s="37">
        <v>0.23103010402043653</v>
      </c>
      <c r="I39" s="38">
        <v>0.22405232367686789</v>
      </c>
      <c r="J39" s="37">
        <v>0.23117623969353573</v>
      </c>
      <c r="K39" s="38">
        <v>0.22525679894217904</v>
      </c>
      <c r="L39" s="37">
        <v>0.23133323894882221</v>
      </c>
      <c r="M39" s="38">
        <v>0.22655053986806936</v>
      </c>
      <c r="N39" s="37">
        <v>0.23150175962676681</v>
      </c>
      <c r="O39" s="38">
        <v>0.22793693632203191</v>
      </c>
      <c r="P39" s="37">
        <v>0.23168223449492034</v>
      </c>
      <c r="Q39" s="38">
        <v>0.22941651820123918</v>
      </c>
      <c r="R39" s="37">
        <v>0.23187468792650204</v>
      </c>
      <c r="S39" s="38">
        <v>0.2309850889749161</v>
      </c>
      <c r="T39" s="37">
        <v>0.23207847581057786</v>
      </c>
      <c r="U39" s="38">
        <v>0.23263136448373062</v>
      </c>
      <c r="V39" s="37">
        <v>0.23229196371026889</v>
      </c>
      <c r="W39" s="38">
        <v>0.2343344400285233</v>
      </c>
      <c r="X39" s="37">
        <v>0.23251228545287472</v>
      </c>
      <c r="Y39" s="38">
        <v>0.23606317063313731</v>
      </c>
      <c r="Z39" s="37">
        <v>0.23273555374656948</v>
      </c>
      <c r="AA39" s="38">
        <v>0.23778228099484228</v>
      </c>
      <c r="AB39" s="37">
        <v>0.23295836776482931</v>
      </c>
      <c r="AC39" s="38">
        <v>0.23947499931114405</v>
      </c>
      <c r="AD39" s="37">
        <v>0.23318203373037105</v>
      </c>
      <c r="AE39" s="38">
        <v>0.24119927262930341</v>
      </c>
      <c r="AF39" s="37">
        <v>0.23342125960626053</v>
      </c>
      <c r="AG39" s="38">
        <v>0.24319719587904978</v>
      </c>
      <c r="AH39" s="37">
        <v>0.2337198942823997</v>
      </c>
      <c r="AI39" s="38">
        <v>0.24609384981739557</v>
      </c>
      <c r="AJ39" s="37">
        <v>0.23418376592607279</v>
      </c>
      <c r="AK39" s="38">
        <v>0.25133905078428403</v>
      </c>
      <c r="AL39" s="37">
        <v>0.23506876911387195</v>
      </c>
      <c r="AM39" s="38">
        <v>0.26244613748945417</v>
      </c>
      <c r="AN39" s="37">
        <v>0.23716622579076066</v>
      </c>
      <c r="AO39" s="38">
        <v>0.29019273657904093</v>
      </c>
      <c r="AP39" s="37">
        <v>0.23797773469756578</v>
      </c>
      <c r="AQ39" s="38">
        <v>0.30096272756397641</v>
      </c>
      <c r="AR39" s="37">
        <v>0.23912165302610525</v>
      </c>
      <c r="AS39" s="38">
        <v>0.31596127552909287</v>
      </c>
      <c r="AT39" s="37">
        <v>0.24093572329363908</v>
      </c>
      <c r="AU39" s="38">
        <v>0.33905756721628749</v>
      </c>
      <c r="AV39" s="37">
        <v>0.24468727535002857</v>
      </c>
      <c r="AW39" s="38">
        <v>0.38341783679009805</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B42" s="167"/>
      <c r="C42" s="126"/>
      <c r="D42" s="167"/>
      <c r="E42" s="126"/>
      <c r="F42" s="167"/>
      <c r="G42" s="126"/>
      <c r="H42" s="167"/>
      <c r="I42" s="126"/>
      <c r="J42" s="167"/>
      <c r="K42" s="126"/>
      <c r="L42" s="167"/>
      <c r="M42" s="126"/>
      <c r="N42" s="167"/>
      <c r="O42" s="126"/>
      <c r="P42" s="167"/>
      <c r="Q42" s="126"/>
      <c r="R42" s="167"/>
      <c r="S42" s="126"/>
      <c r="T42" s="167"/>
      <c r="U42" s="126"/>
      <c r="V42" s="167"/>
      <c r="W42" s="126"/>
      <c r="X42" s="167"/>
      <c r="Y42" s="152"/>
      <c r="Z42" s="167"/>
      <c r="AA42" s="126"/>
      <c r="AB42" s="167"/>
      <c r="AC42" s="126"/>
      <c r="AD42" s="167"/>
      <c r="AE42" s="126"/>
      <c r="AF42" s="167"/>
      <c r="AG42" s="126"/>
      <c r="AH42" s="167"/>
      <c r="AI42" s="126"/>
      <c r="AJ42" s="167"/>
      <c r="AK42" s="126"/>
      <c r="AL42" s="167"/>
      <c r="AM42" s="126"/>
      <c r="AN42" s="167"/>
      <c r="AO42" s="126"/>
      <c r="AP42" s="167"/>
      <c r="AQ42" s="126"/>
      <c r="AR42" s="167"/>
      <c r="AS42" s="126"/>
      <c r="AT42" s="167"/>
      <c r="AU42" s="126"/>
      <c r="AV42" s="167"/>
      <c r="XFD42" s="167"/>
    </row>
    <row r="43" spans="1:49 16319:16384" x14ac:dyDescent="0.2">
      <c r="B43" s="152"/>
      <c r="C43" s="126"/>
      <c r="D43" s="152"/>
      <c r="E43" s="126"/>
      <c r="F43" s="152"/>
      <c r="G43" s="126"/>
      <c r="H43" s="152"/>
      <c r="I43" s="126"/>
      <c r="J43" s="152"/>
      <c r="K43" s="126"/>
      <c r="L43" s="152"/>
      <c r="M43" s="126"/>
      <c r="N43" s="152"/>
      <c r="O43" s="126"/>
      <c r="P43" s="152"/>
      <c r="Q43" s="126"/>
      <c r="R43" s="152"/>
      <c r="S43" s="126"/>
      <c r="T43" s="152"/>
      <c r="U43" s="126"/>
      <c r="V43" s="152"/>
      <c r="W43" s="126"/>
      <c r="X43" s="152"/>
      <c r="Y43" s="126"/>
      <c r="Z43" s="152"/>
      <c r="AA43" s="126"/>
      <c r="AB43" s="152"/>
      <c r="AC43" s="126"/>
      <c r="AD43" s="152"/>
      <c r="AE43" s="126"/>
      <c r="AF43" s="152"/>
      <c r="AG43" s="126"/>
      <c r="AH43" s="152"/>
      <c r="AI43" s="126"/>
      <c r="AJ43" s="152"/>
      <c r="AK43" s="126"/>
      <c r="AL43" s="152"/>
      <c r="AM43" s="126"/>
      <c r="AN43" s="152"/>
      <c r="AO43" s="126"/>
      <c r="AP43" s="152"/>
      <c r="AQ43" s="126"/>
      <c r="AR43" s="152"/>
      <c r="AS43" s="126"/>
      <c r="AT43" s="152"/>
      <c r="AU43" s="126"/>
      <c r="AV43" s="152"/>
    </row>
    <row r="44" spans="1:49 16319:16384" x14ac:dyDescent="0.2">
      <c r="B44" s="183"/>
      <c r="D44" s="183"/>
      <c r="F44" s="183"/>
      <c r="H44" s="183"/>
      <c r="J44" s="183"/>
      <c r="L44" s="183"/>
      <c r="N44" s="183"/>
      <c r="P44" s="183"/>
      <c r="R44" s="183"/>
      <c r="T44" s="183"/>
      <c r="V44" s="183"/>
      <c r="X44" s="183"/>
      <c r="Z44" s="183"/>
      <c r="AB44" s="183"/>
      <c r="AD44" s="183"/>
      <c r="AF44" s="183"/>
      <c r="AH44" s="183"/>
      <c r="AJ44" s="183"/>
      <c r="AL44" s="183"/>
      <c r="AN44" s="183"/>
      <c r="AP44" s="183"/>
      <c r="AR44" s="183"/>
      <c r="AT44" s="183"/>
      <c r="AV44" s="183"/>
    </row>
    <row r="45" spans="1:49 16319:16384" x14ac:dyDescent="0.2">
      <c r="B45" s="183"/>
      <c r="D45" s="183"/>
      <c r="F45" s="183"/>
      <c r="H45" s="183"/>
      <c r="J45" s="183"/>
      <c r="L45" s="183"/>
      <c r="N45" s="183"/>
      <c r="P45" s="183"/>
      <c r="R45" s="183"/>
      <c r="T45" s="183"/>
      <c r="V45" s="183"/>
      <c r="X45" s="183"/>
      <c r="Z45" s="183"/>
      <c r="AB45" s="183"/>
      <c r="AD45" s="183"/>
      <c r="AF45" s="183"/>
      <c r="AH45" s="183"/>
      <c r="AJ45" s="183"/>
      <c r="AL45" s="183"/>
      <c r="AN45" s="183"/>
      <c r="AP45" s="183"/>
      <c r="AR45" s="183"/>
      <c r="AT45" s="183"/>
      <c r="AV45" s="183"/>
      <c r="XCQ45" s="183"/>
    </row>
    <row r="46" spans="1:49 16319:16384" x14ac:dyDescent="0.2">
      <c r="B46" s="183"/>
      <c r="D46" s="183"/>
      <c r="F46" s="183"/>
      <c r="H46" s="183"/>
      <c r="J46" s="183"/>
      <c r="L46" s="183"/>
      <c r="N46" s="183"/>
      <c r="P46" s="183"/>
      <c r="R46" s="183"/>
      <c r="T46" s="183"/>
      <c r="V46" s="183"/>
      <c r="X46" s="183"/>
      <c r="Z46" s="183"/>
      <c r="AB46" s="183"/>
      <c r="AD46" s="183"/>
      <c r="AF46" s="183"/>
      <c r="AH46" s="183"/>
      <c r="AJ46" s="183"/>
      <c r="AL46" s="183"/>
      <c r="AN46" s="183"/>
      <c r="AP46" s="183"/>
      <c r="AR46" s="183"/>
      <c r="AT46" s="183"/>
      <c r="AV46" s="183"/>
      <c r="XCS46" s="183"/>
    </row>
    <row r="48" spans="1:49 16319:16384" x14ac:dyDescent="0.2">
      <c r="B48" s="181"/>
      <c r="C48" s="181"/>
      <c r="D48" s="181"/>
      <c r="E48" s="181"/>
      <c r="F48" s="181"/>
      <c r="G48" s="181"/>
      <c r="H48" s="181"/>
      <c r="I48" s="181"/>
      <c r="J48" s="181"/>
      <c r="K48" s="181"/>
      <c r="L48" s="181"/>
      <c r="M48" s="181"/>
      <c r="N48" s="181"/>
      <c r="O48" s="181"/>
      <c r="P48" s="181"/>
      <c r="Q48" s="181"/>
      <c r="R48" s="181"/>
      <c r="S48" s="181"/>
      <c r="T48" s="181"/>
      <c r="U48" s="181"/>
      <c r="V48" s="181"/>
      <c r="W48" s="181"/>
      <c r="X48" s="181"/>
      <c r="Y48" s="181"/>
      <c r="Z48" s="181"/>
      <c r="AA48" s="181"/>
      <c r="AB48" s="181"/>
      <c r="AC48" s="181"/>
      <c r="AD48" s="181"/>
      <c r="AE48" s="181"/>
      <c r="AF48" s="181"/>
      <c r="AG48" s="181"/>
      <c r="AH48" s="181"/>
      <c r="AI48" s="181"/>
      <c r="AJ48" s="181"/>
      <c r="AK48" s="181"/>
      <c r="AL48" s="181"/>
      <c r="AM48" s="181"/>
      <c r="AN48" s="181"/>
      <c r="AO48" s="181"/>
      <c r="AP48" s="181"/>
      <c r="AQ48" s="181"/>
      <c r="AR48" s="181"/>
      <c r="AS48" s="181"/>
      <c r="AT48" s="181"/>
      <c r="AU48" s="181"/>
      <c r="AV48" s="181"/>
    </row>
    <row r="49" spans="2:48 16321:16384" x14ac:dyDescent="0.2">
      <c r="B49" s="181"/>
      <c r="C49" s="181"/>
      <c r="D49" s="181"/>
      <c r="E49" s="181"/>
      <c r="F49" s="181"/>
      <c r="G49" s="181"/>
      <c r="H49" s="181"/>
      <c r="I49" s="181"/>
      <c r="J49" s="181"/>
      <c r="K49" s="181"/>
      <c r="L49" s="181"/>
      <c r="M49" s="181"/>
      <c r="N49" s="181"/>
      <c r="O49" s="181"/>
      <c r="P49" s="181"/>
      <c r="Q49" s="181"/>
      <c r="R49" s="181"/>
      <c r="S49" s="181"/>
      <c r="T49" s="181"/>
      <c r="U49" s="181"/>
      <c r="V49" s="181"/>
      <c r="W49" s="181"/>
      <c r="X49" s="181"/>
      <c r="Y49" s="181"/>
      <c r="Z49" s="181"/>
      <c r="AA49" s="181"/>
      <c r="AB49" s="181"/>
      <c r="AC49" s="181"/>
      <c r="AD49" s="181"/>
      <c r="AE49" s="181"/>
      <c r="AF49" s="181"/>
      <c r="AG49" s="181"/>
      <c r="AH49" s="181"/>
      <c r="AI49" s="181"/>
      <c r="AJ49" s="181"/>
      <c r="AK49" s="181"/>
      <c r="AL49" s="181"/>
      <c r="AM49" s="181"/>
      <c r="AN49" s="181"/>
      <c r="AO49" s="181"/>
      <c r="AP49" s="181"/>
      <c r="AQ49" s="181"/>
      <c r="AR49" s="181"/>
      <c r="AS49" s="181"/>
      <c r="AT49" s="181"/>
      <c r="AU49" s="181"/>
      <c r="AV49" s="181"/>
    </row>
    <row r="51" spans="2:48 16321:16384" x14ac:dyDescent="0.2">
      <c r="B51" s="27"/>
      <c r="D51" s="27"/>
      <c r="F51" s="27"/>
      <c r="H51" s="27"/>
      <c r="J51" s="27"/>
      <c r="L51" s="27"/>
      <c r="N51" s="27"/>
      <c r="P51" s="27"/>
      <c r="R51" s="27"/>
      <c r="T51" s="27"/>
      <c r="V51" s="27"/>
      <c r="X51" s="27"/>
      <c r="Z51" s="27"/>
      <c r="AB51" s="27"/>
      <c r="AD51" s="27"/>
      <c r="AF51" s="27"/>
      <c r="AH51" s="27"/>
      <c r="AJ51" s="27"/>
      <c r="AL51" s="27"/>
      <c r="AN51" s="27"/>
      <c r="AP51" s="27"/>
      <c r="AQ51" s="27"/>
      <c r="AR51" s="27"/>
      <c r="AT51" s="27"/>
      <c r="AV51" s="27"/>
      <c r="XFD51" s="27"/>
    </row>
    <row r="52" spans="2:48 16321:16384" x14ac:dyDescent="0.2">
      <c r="B52" s="27"/>
      <c r="D52" s="27"/>
      <c r="F52" s="27"/>
      <c r="H52" s="27"/>
      <c r="J52" s="27"/>
      <c r="L52" s="27"/>
      <c r="N52" s="27"/>
      <c r="P52" s="27"/>
      <c r="R52" s="27"/>
      <c r="T52" s="27"/>
      <c r="V52" s="27"/>
      <c r="X52" s="27"/>
      <c r="Z52" s="27"/>
      <c r="AB52" s="27"/>
      <c r="AD52" s="27"/>
      <c r="AF52" s="27"/>
      <c r="AH52" s="27"/>
      <c r="AJ52" s="27"/>
      <c r="AL52" s="27"/>
      <c r="AN52" s="27"/>
      <c r="AP52" s="27"/>
      <c r="AQ52" s="27"/>
      <c r="AR52" s="27"/>
      <c r="AT52" s="27"/>
      <c r="AV52" s="27"/>
    </row>
    <row r="53" spans="2:48 16321:16384" x14ac:dyDescent="0.2">
      <c r="B53" s="27"/>
      <c r="D53" s="27"/>
      <c r="F53" s="27"/>
      <c r="H53" s="27"/>
      <c r="J53" s="27"/>
      <c r="L53" s="27"/>
      <c r="N53" s="27"/>
      <c r="P53" s="27"/>
      <c r="R53" s="27"/>
      <c r="T53" s="27"/>
      <c r="V53" s="27"/>
      <c r="X53" s="27"/>
      <c r="Z53" s="27"/>
      <c r="AB53" s="27"/>
      <c r="AD53" s="27"/>
      <c r="AF53" s="27"/>
      <c r="AH53" s="27"/>
      <c r="AJ53" s="27"/>
      <c r="AL53" s="27"/>
      <c r="AN53" s="27"/>
      <c r="AP53" s="27"/>
      <c r="AQ53" s="27"/>
      <c r="AR53" s="27"/>
      <c r="AT53" s="27"/>
      <c r="AV53" s="27"/>
      <c r="XFD53" s="27"/>
    </row>
    <row r="55" spans="2:48 16321:16384" x14ac:dyDescent="0.2">
      <c r="B55" s="183"/>
      <c r="D55" s="183"/>
      <c r="F55" s="183"/>
      <c r="H55" s="183"/>
      <c r="J55" s="183"/>
      <c r="L55" s="183"/>
      <c r="N55" s="183"/>
      <c r="P55" s="183"/>
      <c r="R55" s="183"/>
      <c r="T55" s="183"/>
      <c r="V55" s="183"/>
      <c r="X55" s="183"/>
      <c r="Z55" s="183"/>
      <c r="AB55" s="183"/>
      <c r="AD55" s="183"/>
      <c r="AF55" s="183"/>
      <c r="AH55" s="183"/>
      <c r="AJ55" s="183"/>
      <c r="AL55" s="183"/>
      <c r="AN55" s="183"/>
      <c r="AP55" s="183"/>
      <c r="AR55" s="183"/>
      <c r="AT55" s="183"/>
      <c r="AV55" s="183"/>
      <c r="XCS55" s="183"/>
      <c r="XFD55" s="183"/>
    </row>
    <row r="56" spans="2:48 16321:16384" x14ac:dyDescent="0.2">
      <c r="B56" s="183"/>
      <c r="D56" s="183"/>
      <c r="F56" s="183"/>
      <c r="H56" s="183"/>
      <c r="J56" s="183"/>
      <c r="L56" s="183"/>
      <c r="N56" s="183"/>
      <c r="P56" s="183"/>
      <c r="R56" s="183"/>
      <c r="T56" s="183"/>
      <c r="V56" s="183"/>
      <c r="X56" s="183"/>
      <c r="Z56" s="183"/>
      <c r="AB56" s="183"/>
      <c r="AD56" s="183"/>
      <c r="AF56" s="183"/>
      <c r="AH56" s="183"/>
      <c r="AJ56" s="183"/>
      <c r="AL56" s="183"/>
      <c r="AN56" s="183"/>
      <c r="AP56" s="183"/>
      <c r="AR56" s="183"/>
      <c r="AT56" s="183"/>
      <c r="AV56" s="183"/>
      <c r="XFD56" s="183"/>
    </row>
    <row r="57" spans="2:48 16321:16384" x14ac:dyDescent="0.2">
      <c r="B57" s="183"/>
      <c r="D57" s="183"/>
      <c r="F57" s="183"/>
      <c r="H57" s="183"/>
      <c r="J57" s="183"/>
      <c r="L57" s="183"/>
      <c r="N57" s="183"/>
      <c r="P57" s="183"/>
      <c r="R57" s="183"/>
      <c r="T57" s="183"/>
      <c r="V57" s="183"/>
      <c r="X57" s="183"/>
      <c r="Y57" s="183"/>
      <c r="Z57" s="183"/>
      <c r="AB57" s="183"/>
      <c r="AD57" s="183"/>
      <c r="AF57" s="183"/>
      <c r="AH57" s="183"/>
      <c r="AJ57" s="183"/>
      <c r="AL57" s="183"/>
      <c r="AN57" s="183"/>
      <c r="AP57" s="183"/>
      <c r="AR57" s="183"/>
      <c r="AT57" s="183"/>
      <c r="AV57" s="183"/>
      <c r="XFD57" s="183"/>
    </row>
    <row r="58" spans="2:48 16321:16384" x14ac:dyDescent="0.2">
      <c r="B58" s="183"/>
      <c r="D58" s="183"/>
      <c r="F58" s="183"/>
      <c r="H58" s="183"/>
      <c r="J58" s="183"/>
      <c r="L58" s="183"/>
      <c r="N58" s="183"/>
      <c r="P58" s="183"/>
      <c r="R58" s="183"/>
      <c r="T58" s="183"/>
      <c r="V58" s="183"/>
      <c r="X58" s="183"/>
      <c r="Y58" s="183"/>
      <c r="Z58" s="183"/>
      <c r="AB58" s="183"/>
      <c r="AD58" s="183"/>
      <c r="AF58" s="183"/>
      <c r="AH58" s="183"/>
      <c r="AJ58" s="183"/>
      <c r="AL58" s="183"/>
      <c r="AN58" s="183"/>
      <c r="AP58" s="183"/>
      <c r="AR58" s="183"/>
      <c r="AT58" s="183"/>
      <c r="AV58" s="183"/>
      <c r="XFD58" s="183"/>
    </row>
    <row r="59" spans="2:48 16321:16384" x14ac:dyDescent="0.2">
      <c r="B59" s="183"/>
      <c r="D59" s="183"/>
      <c r="F59" s="183"/>
      <c r="H59" s="183"/>
      <c r="J59" s="183"/>
      <c r="L59" s="183"/>
      <c r="N59" s="183"/>
      <c r="P59" s="183"/>
      <c r="R59" s="183"/>
      <c r="T59" s="183"/>
      <c r="V59" s="183"/>
      <c r="X59" s="183"/>
      <c r="Z59" s="183"/>
      <c r="AB59" s="183"/>
      <c r="AD59" s="183"/>
      <c r="AF59" s="183"/>
      <c r="AH59" s="183"/>
      <c r="AJ59" s="183"/>
      <c r="AL59" s="183"/>
      <c r="AN59" s="183"/>
      <c r="AP59" s="183"/>
      <c r="AR59" s="183"/>
      <c r="AT59" s="183"/>
      <c r="AV59" s="183"/>
      <c r="XFD59" s="183"/>
    </row>
    <row r="60" spans="2:48 16321:16384" x14ac:dyDescent="0.2">
      <c r="B60" s="183"/>
      <c r="D60" s="183"/>
      <c r="F60" s="183"/>
      <c r="H60" s="183"/>
      <c r="J60" s="183"/>
      <c r="L60" s="183"/>
      <c r="N60" s="183"/>
      <c r="P60" s="183"/>
      <c r="R60" s="183"/>
      <c r="T60" s="183"/>
      <c r="V60" s="183"/>
      <c r="X60" s="183"/>
      <c r="Z60" s="183"/>
      <c r="AB60" s="183"/>
      <c r="AD60" s="183"/>
      <c r="AF60" s="183"/>
      <c r="AH60" s="183"/>
      <c r="AJ60" s="183"/>
      <c r="AL60" s="183"/>
      <c r="AN60" s="183"/>
      <c r="AP60" s="183"/>
      <c r="AR60" s="183"/>
      <c r="AT60" s="183"/>
      <c r="AV60" s="183"/>
      <c r="XFD60" s="183"/>
    </row>
    <row r="65" spans="2:48 16384:16384" x14ac:dyDescent="0.2">
      <c r="B65" s="181"/>
      <c r="C65" s="181"/>
      <c r="D65" s="181"/>
      <c r="E65" s="181"/>
      <c r="F65" s="181"/>
      <c r="G65" s="181"/>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c r="AG65" s="181"/>
      <c r="AH65" s="181"/>
      <c r="AI65" s="181"/>
      <c r="AJ65" s="181"/>
      <c r="AK65" s="181"/>
      <c r="AL65" s="181"/>
      <c r="AM65" s="181"/>
      <c r="AN65" s="181"/>
      <c r="AO65" s="181"/>
      <c r="AP65" s="181"/>
      <c r="AQ65" s="181"/>
      <c r="AR65" s="181"/>
      <c r="AS65" s="181"/>
      <c r="AT65" s="181"/>
      <c r="AU65" s="181"/>
      <c r="AV65" s="181"/>
    </row>
    <row r="66" spans="2:48 16384:16384" x14ac:dyDescent="0.2">
      <c r="B66" s="181"/>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81"/>
      <c r="AL66" s="181"/>
      <c r="AM66" s="181"/>
      <c r="AN66" s="181"/>
      <c r="AO66" s="181"/>
      <c r="AP66" s="181"/>
      <c r="AQ66" s="181"/>
      <c r="AR66" s="181"/>
      <c r="AS66" s="181"/>
      <c r="AT66" s="181"/>
      <c r="AU66" s="181"/>
      <c r="AV66" s="181"/>
      <c r="XFD66" s="181"/>
    </row>
    <row r="67" spans="2:48 16384:16384" x14ac:dyDescent="0.2">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81"/>
      <c r="AS67" s="181"/>
      <c r="AT67" s="181"/>
      <c r="AU67" s="181"/>
      <c r="AV67" s="181"/>
      <c r="XFD67" s="181"/>
    </row>
    <row r="68" spans="2:48 16384:16384" x14ac:dyDescent="0.2">
      <c r="B68" s="181"/>
      <c r="C68" s="181"/>
      <c r="D68" s="181"/>
      <c r="E68" s="181"/>
      <c r="F68" s="181"/>
      <c r="G68" s="181"/>
      <c r="H68" s="181"/>
      <c r="I68" s="181"/>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c r="AG68" s="181"/>
      <c r="AH68" s="181"/>
      <c r="AI68" s="181"/>
      <c r="AJ68" s="181"/>
      <c r="AK68" s="181"/>
      <c r="AL68" s="181"/>
      <c r="AM68" s="181"/>
      <c r="AN68" s="181"/>
      <c r="AO68" s="181"/>
      <c r="AP68" s="181"/>
      <c r="AQ68" s="181"/>
      <c r="AR68" s="181"/>
      <c r="AS68" s="181"/>
      <c r="AT68" s="181"/>
      <c r="AU68" s="181"/>
      <c r="AV68" s="181"/>
      <c r="XFD68" s="181"/>
    </row>
    <row r="69" spans="2:48 16384:16384" x14ac:dyDescent="0.2">
      <c r="B69" s="181"/>
      <c r="C69" s="181"/>
      <c r="D69" s="181"/>
      <c r="E69" s="181"/>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row>
    <row r="70" spans="2:48 16384:16384" x14ac:dyDescent="0.2">
      <c r="B70" s="129"/>
      <c r="C70" s="129"/>
      <c r="D70" s="129"/>
      <c r="E70" s="129"/>
      <c r="F70" s="129"/>
      <c r="G70" s="129"/>
      <c r="H70" s="129"/>
      <c r="I70" s="129"/>
      <c r="J70" s="129"/>
      <c r="K70" s="129"/>
      <c r="L70" s="129"/>
      <c r="M70" s="129"/>
      <c r="N70" s="129"/>
      <c r="O70" s="129"/>
      <c r="P70" s="129"/>
      <c r="Q70" s="129"/>
      <c r="R70" s="129"/>
      <c r="S70" s="129"/>
      <c r="T70" s="129"/>
      <c r="U70" s="129"/>
      <c r="V70" s="129"/>
      <c r="W70" s="129"/>
      <c r="X70" s="129"/>
      <c r="Y70" s="129"/>
      <c r="Z70" s="129"/>
      <c r="AA70" s="129"/>
      <c r="AB70" s="129"/>
      <c r="AC70" s="129"/>
      <c r="AD70" s="129"/>
      <c r="AE70" s="129"/>
      <c r="AF70" s="129"/>
      <c r="AG70" s="129"/>
      <c r="AH70" s="129"/>
      <c r="AI70" s="129"/>
      <c r="AJ70" s="129"/>
      <c r="AK70" s="129"/>
      <c r="AL70" s="129"/>
      <c r="AM70" s="129"/>
      <c r="AN70" s="129"/>
      <c r="AO70" s="129"/>
      <c r="AP70" s="129"/>
      <c r="AQ70" s="129"/>
      <c r="AR70" s="129"/>
      <c r="AS70" s="129"/>
      <c r="AT70" s="129"/>
      <c r="AU70" s="129"/>
      <c r="AV70" s="129"/>
    </row>
    <row r="71" spans="2:48 16384:16384" x14ac:dyDescent="0.2">
      <c r="B71" s="129"/>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XFD71" s="129"/>
    </row>
    <row r="72" spans="2:48 16384:16384" x14ac:dyDescent="0.2">
      <c r="B72" s="129"/>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129"/>
      <c r="AB72" s="129"/>
      <c r="AC72" s="129"/>
      <c r="AD72" s="129"/>
      <c r="AE72" s="129"/>
      <c r="AF72" s="129"/>
      <c r="AG72" s="129"/>
      <c r="AH72" s="129"/>
      <c r="AI72" s="129"/>
      <c r="AJ72" s="129"/>
      <c r="AK72" s="129"/>
      <c r="AL72" s="129"/>
      <c r="AM72" s="129"/>
      <c r="AN72" s="129"/>
      <c r="AO72" s="129"/>
      <c r="AP72" s="129"/>
      <c r="AQ72" s="129"/>
      <c r="AR72" s="129"/>
      <c r="AS72" s="129"/>
      <c r="AT72" s="129"/>
      <c r="AU72" s="129"/>
      <c r="AV72" s="129"/>
      <c r="XFD72" s="129"/>
    </row>
    <row r="73" spans="2:48 16384:16384" x14ac:dyDescent="0.2">
      <c r="B73" s="183"/>
      <c r="D73" s="183"/>
      <c r="E73" s="129"/>
      <c r="F73" s="183"/>
      <c r="G73" s="129"/>
      <c r="H73" s="183"/>
      <c r="I73" s="129"/>
      <c r="J73" s="183"/>
      <c r="K73" s="129"/>
      <c r="L73" s="183"/>
      <c r="M73" s="129"/>
      <c r="N73" s="183"/>
      <c r="O73" s="129"/>
      <c r="P73" s="183"/>
      <c r="Q73" s="129"/>
      <c r="R73" s="183"/>
      <c r="S73" s="129"/>
      <c r="T73" s="183"/>
      <c r="U73" s="129"/>
      <c r="V73" s="183"/>
      <c r="W73" s="129"/>
      <c r="X73" s="183"/>
      <c r="Y73" s="129"/>
      <c r="Z73" s="183"/>
      <c r="AA73" s="129"/>
      <c r="AB73" s="183"/>
      <c r="AC73" s="129"/>
      <c r="AD73" s="183"/>
      <c r="AE73" s="129"/>
      <c r="AF73" s="183"/>
      <c r="AG73" s="129"/>
      <c r="AH73" s="183"/>
      <c r="AI73" s="129"/>
      <c r="AJ73" s="183"/>
      <c r="AK73" s="129"/>
      <c r="AL73" s="183"/>
      <c r="AM73" s="129"/>
      <c r="AN73" s="183"/>
      <c r="AO73" s="129"/>
      <c r="AP73" s="183"/>
      <c r="AQ73" s="129"/>
      <c r="AR73" s="183"/>
      <c r="AS73" s="129"/>
      <c r="AT73" s="183"/>
      <c r="AU73" s="129"/>
      <c r="AV73" s="183"/>
      <c r="XFD73" s="183"/>
    </row>
    <row r="74" spans="2:48 16384:16384" x14ac:dyDescent="0.2">
      <c r="B74" s="183"/>
      <c r="D74" s="183"/>
      <c r="E74" s="129"/>
      <c r="F74" s="183"/>
      <c r="G74" s="129"/>
      <c r="H74" s="183"/>
      <c r="I74" s="129"/>
      <c r="J74" s="183"/>
      <c r="K74" s="129"/>
      <c r="L74" s="183"/>
      <c r="M74" s="129"/>
      <c r="N74" s="183"/>
      <c r="O74" s="129"/>
      <c r="P74" s="183"/>
      <c r="Q74" s="129"/>
      <c r="R74" s="183"/>
      <c r="S74" s="129"/>
      <c r="T74" s="183"/>
      <c r="U74" s="129"/>
      <c r="V74" s="183"/>
      <c r="W74" s="129"/>
      <c r="X74" s="183"/>
      <c r="Y74" s="129"/>
      <c r="Z74" s="183"/>
      <c r="AA74" s="129"/>
      <c r="AB74" s="183"/>
      <c r="AC74" s="129"/>
      <c r="AD74" s="183"/>
      <c r="AE74" s="129"/>
      <c r="AF74" s="183"/>
      <c r="AG74" s="129"/>
      <c r="AH74" s="183"/>
      <c r="AI74" s="129"/>
      <c r="AJ74" s="183"/>
      <c r="AK74" s="129"/>
      <c r="AL74" s="183"/>
      <c r="AM74" s="129"/>
      <c r="AN74" s="183"/>
      <c r="AO74" s="129"/>
      <c r="AP74" s="183"/>
      <c r="AQ74" s="129"/>
      <c r="AR74" s="183"/>
      <c r="AS74" s="129"/>
      <c r="AT74" s="183"/>
      <c r="AU74" s="129"/>
      <c r="AV74" s="183"/>
      <c r="XFD74" s="183"/>
    </row>
    <row r="75" spans="2:48 16384:16384" x14ac:dyDescent="0.2">
      <c r="B75" s="183"/>
      <c r="D75" s="183"/>
      <c r="E75" s="129"/>
      <c r="F75" s="183"/>
      <c r="G75" s="129"/>
      <c r="H75" s="183"/>
      <c r="I75" s="129"/>
      <c r="J75" s="183"/>
      <c r="K75" s="129"/>
      <c r="L75" s="183"/>
      <c r="M75" s="129"/>
      <c r="N75" s="183"/>
      <c r="O75" s="129"/>
      <c r="P75" s="183"/>
      <c r="Q75" s="129"/>
      <c r="R75" s="183"/>
      <c r="S75" s="129"/>
      <c r="T75" s="183"/>
      <c r="U75" s="129"/>
      <c r="V75" s="183"/>
      <c r="W75" s="129"/>
      <c r="X75" s="183"/>
      <c r="Y75" s="129"/>
      <c r="Z75" s="183"/>
      <c r="AA75" s="129"/>
      <c r="AB75" s="183"/>
      <c r="AC75" s="129"/>
      <c r="AD75" s="183"/>
      <c r="AE75" s="129"/>
      <c r="AF75" s="183"/>
      <c r="AG75" s="129"/>
      <c r="AH75" s="183"/>
      <c r="AI75" s="129"/>
      <c r="AJ75" s="183"/>
      <c r="AK75" s="129"/>
      <c r="AL75" s="183"/>
      <c r="AM75" s="129"/>
      <c r="AN75" s="183"/>
      <c r="AO75" s="129"/>
      <c r="AP75" s="183"/>
      <c r="AQ75" s="129"/>
      <c r="AR75" s="183"/>
      <c r="AS75" s="129"/>
      <c r="AT75" s="183"/>
      <c r="AU75" s="129"/>
      <c r="AV75" s="183"/>
      <c r="XFD75" s="183"/>
    </row>
    <row r="76" spans="2:48 16384:16384" x14ac:dyDescent="0.2">
      <c r="B76" s="183"/>
      <c r="D76" s="183"/>
      <c r="E76" s="129"/>
      <c r="F76" s="183"/>
      <c r="G76" s="129"/>
      <c r="H76" s="183"/>
      <c r="I76" s="129"/>
      <c r="J76" s="183"/>
      <c r="K76" s="129"/>
      <c r="L76" s="183"/>
      <c r="M76" s="129"/>
      <c r="N76" s="183"/>
      <c r="O76" s="129"/>
      <c r="P76" s="183"/>
      <c r="Q76" s="129"/>
      <c r="R76" s="183"/>
      <c r="S76" s="129"/>
      <c r="T76" s="183"/>
      <c r="U76" s="129"/>
      <c r="V76" s="183"/>
      <c r="W76" s="129"/>
      <c r="X76" s="183"/>
      <c r="Y76" s="129"/>
      <c r="Z76" s="183"/>
      <c r="AA76" s="129"/>
      <c r="AB76" s="183"/>
      <c r="AC76" s="129"/>
      <c r="AD76" s="183"/>
      <c r="AE76" s="129"/>
      <c r="AF76" s="183"/>
      <c r="AG76" s="129"/>
      <c r="AH76" s="183"/>
      <c r="AI76" s="129"/>
      <c r="AJ76" s="183"/>
      <c r="AK76" s="129"/>
      <c r="AL76" s="183"/>
      <c r="AM76" s="129"/>
      <c r="AN76" s="183"/>
      <c r="AO76" s="129"/>
      <c r="AP76" s="183"/>
      <c r="AQ76" s="129"/>
      <c r="AR76" s="183"/>
      <c r="AS76" s="129"/>
      <c r="AT76" s="183"/>
      <c r="AU76" s="129"/>
      <c r="AV76" s="183"/>
      <c r="XFD76" s="183"/>
    </row>
    <row r="77" spans="2:48 16384:16384" x14ac:dyDescent="0.2">
      <c r="B77" s="183"/>
      <c r="D77" s="183"/>
      <c r="E77" s="129"/>
      <c r="F77" s="183"/>
      <c r="G77" s="129"/>
      <c r="H77" s="183"/>
      <c r="I77" s="129"/>
      <c r="J77" s="183"/>
      <c r="K77" s="129"/>
      <c r="L77" s="183"/>
      <c r="M77" s="129"/>
      <c r="N77" s="183"/>
      <c r="O77" s="129"/>
      <c r="P77" s="183"/>
      <c r="Q77" s="129"/>
      <c r="R77" s="183"/>
      <c r="S77" s="129"/>
      <c r="T77" s="183"/>
      <c r="U77" s="129"/>
      <c r="V77" s="183"/>
      <c r="W77" s="129"/>
      <c r="X77" s="183"/>
      <c r="Y77" s="129"/>
      <c r="Z77" s="183"/>
      <c r="AA77" s="129"/>
      <c r="AB77" s="183"/>
      <c r="AC77" s="129"/>
      <c r="AD77" s="183"/>
      <c r="AE77" s="129"/>
      <c r="AF77" s="183"/>
      <c r="AG77" s="129"/>
      <c r="AH77" s="183"/>
      <c r="AI77" s="129"/>
      <c r="AJ77" s="183"/>
      <c r="AK77" s="129"/>
      <c r="AL77" s="183"/>
      <c r="AM77" s="129"/>
      <c r="AN77" s="183"/>
      <c r="AO77" s="129"/>
      <c r="AP77" s="183"/>
      <c r="AQ77" s="129"/>
      <c r="AR77" s="183"/>
      <c r="AS77" s="129"/>
      <c r="AT77" s="183"/>
      <c r="AU77" s="129"/>
      <c r="AV77" s="183"/>
      <c r="XFD77" s="183"/>
    </row>
    <row r="78" spans="2:48 16384:16384" x14ac:dyDescent="0.2">
      <c r="B78" s="183"/>
      <c r="D78" s="183"/>
      <c r="E78" s="129"/>
      <c r="F78" s="183"/>
      <c r="G78" s="129"/>
      <c r="H78" s="183"/>
      <c r="I78" s="129"/>
      <c r="J78" s="183"/>
      <c r="K78" s="129"/>
      <c r="L78" s="183"/>
      <c r="M78" s="129"/>
      <c r="N78" s="183"/>
      <c r="O78" s="129"/>
      <c r="P78" s="183"/>
      <c r="Q78" s="129"/>
      <c r="R78" s="183"/>
      <c r="S78" s="129"/>
      <c r="T78" s="183"/>
      <c r="U78" s="129"/>
      <c r="V78" s="183"/>
      <c r="W78" s="129"/>
      <c r="X78" s="183"/>
      <c r="Y78" s="129"/>
      <c r="Z78" s="183"/>
      <c r="AA78" s="129"/>
      <c r="AB78" s="183"/>
      <c r="AC78" s="129"/>
      <c r="AD78" s="183"/>
      <c r="AE78" s="129"/>
      <c r="AF78" s="183"/>
      <c r="AG78" s="129"/>
      <c r="AH78" s="183"/>
      <c r="AI78" s="129"/>
      <c r="AJ78" s="183"/>
      <c r="AK78" s="129"/>
      <c r="AL78" s="183"/>
      <c r="AM78" s="129"/>
      <c r="AN78" s="183"/>
      <c r="AO78" s="129"/>
      <c r="AP78" s="183"/>
      <c r="AQ78" s="129"/>
      <c r="AR78" s="183"/>
      <c r="AS78" s="129"/>
      <c r="AT78" s="183"/>
      <c r="AU78" s="129"/>
      <c r="AV78" s="183"/>
      <c r="XFD78" s="183"/>
    </row>
    <row r="79" spans="2:48 16384:16384" x14ac:dyDescent="0.2">
      <c r="B79" s="183"/>
      <c r="D79" s="183"/>
      <c r="F79" s="183"/>
      <c r="H79" s="183"/>
      <c r="J79" s="183"/>
      <c r="L79" s="183"/>
      <c r="N79" s="183"/>
      <c r="P79" s="183"/>
      <c r="R79" s="183"/>
      <c r="T79" s="183"/>
      <c r="V79" s="183"/>
      <c r="X79" s="183"/>
      <c r="Z79" s="183"/>
      <c r="AB79" s="183"/>
      <c r="AD79" s="183"/>
      <c r="AF79" s="183"/>
      <c r="AH79" s="183"/>
      <c r="AJ79" s="183"/>
      <c r="AL79" s="183"/>
      <c r="AN79" s="183"/>
      <c r="AP79" s="183"/>
      <c r="AR79" s="183"/>
      <c r="AT79" s="183"/>
      <c r="AV79" s="183"/>
      <c r="XFD79" s="183"/>
    </row>
    <row r="80" spans="2:48 16384:16384" x14ac:dyDescent="0.2">
      <c r="B80" s="195"/>
      <c r="D80" s="195"/>
      <c r="F80" s="195"/>
      <c r="H80" s="195"/>
      <c r="J80" s="195"/>
      <c r="L80" s="195"/>
      <c r="N80" s="195"/>
      <c r="P80" s="195"/>
      <c r="R80" s="195"/>
      <c r="T80" s="195"/>
      <c r="V80" s="195"/>
      <c r="X80" s="195"/>
      <c r="Z80" s="195"/>
      <c r="AB80" s="195"/>
      <c r="AD80" s="195"/>
      <c r="AF80" s="195"/>
      <c r="AH80" s="195"/>
      <c r="AJ80" s="195"/>
      <c r="AL80" s="195"/>
      <c r="AN80" s="195"/>
      <c r="AP80" s="195"/>
      <c r="AR80" s="195"/>
      <c r="AT80" s="195"/>
      <c r="AV80" s="195"/>
      <c r="XFD80" s="195"/>
    </row>
    <row r="81" spans="2:48 16384:16384" x14ac:dyDescent="0.2">
      <c r="B81" s="195"/>
      <c r="D81" s="195"/>
      <c r="F81" s="195"/>
      <c r="H81" s="195"/>
      <c r="J81" s="195"/>
      <c r="L81" s="195"/>
      <c r="N81" s="195"/>
      <c r="P81" s="195"/>
      <c r="R81" s="195"/>
      <c r="T81" s="195"/>
      <c r="V81" s="195"/>
      <c r="X81" s="195"/>
      <c r="Z81" s="195"/>
      <c r="AB81" s="195"/>
      <c r="AD81" s="195"/>
      <c r="AF81" s="195"/>
      <c r="AH81" s="195"/>
      <c r="AJ81" s="195"/>
      <c r="AL81" s="195"/>
      <c r="AN81" s="195"/>
      <c r="AP81" s="195"/>
      <c r="AR81" s="195"/>
      <c r="AT81" s="195"/>
      <c r="AV81" s="195"/>
      <c r="XFD81" s="195"/>
    </row>
    <row r="82" spans="2:48 16384:16384" x14ac:dyDescent="0.2">
      <c r="B82" s="195"/>
      <c r="D82" s="195"/>
      <c r="F82" s="195"/>
      <c r="H82" s="195"/>
      <c r="J82" s="195"/>
      <c r="L82" s="195"/>
      <c r="N82" s="195"/>
      <c r="P82" s="195"/>
      <c r="R82" s="195"/>
      <c r="T82" s="195"/>
      <c r="V82" s="195"/>
      <c r="X82" s="195"/>
      <c r="Z82" s="195"/>
      <c r="AB82" s="195"/>
      <c r="AD82" s="195"/>
      <c r="AF82" s="195"/>
      <c r="AH82" s="195"/>
      <c r="AJ82" s="195"/>
      <c r="AL82" s="195"/>
      <c r="AN82" s="195"/>
      <c r="AP82" s="195"/>
      <c r="AR82" s="195"/>
      <c r="AT82" s="195"/>
      <c r="AV82" s="195"/>
    </row>
    <row r="83" spans="2:48 16384:16384" x14ac:dyDescent="0.2">
      <c r="B83" s="195"/>
      <c r="D83" s="195"/>
      <c r="F83" s="195"/>
      <c r="H83" s="195"/>
      <c r="J83" s="195"/>
      <c r="L83" s="195"/>
      <c r="N83" s="195"/>
      <c r="P83" s="195"/>
      <c r="R83" s="195"/>
      <c r="T83" s="195"/>
      <c r="V83" s="195"/>
      <c r="X83" s="195"/>
      <c r="Z83" s="195"/>
      <c r="AB83" s="195"/>
      <c r="AD83" s="195"/>
      <c r="AF83" s="195"/>
      <c r="AH83" s="195"/>
      <c r="AJ83" s="195"/>
      <c r="AL83" s="195"/>
      <c r="AN83" s="195"/>
      <c r="AP83" s="195"/>
      <c r="AR83" s="195"/>
      <c r="AT83" s="195"/>
      <c r="AV83" s="19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abSelected="1" topLeftCell="I1" workbookViewId="0">
      <selection activeCell="T11" sqref="T11"/>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1</v>
      </c>
      <c r="C3" s="129">
        <f>NeoClassical!D$31</f>
        <v>0.99296618797721159</v>
      </c>
      <c r="D3" s="129">
        <f>NeoClassical!F$31</f>
        <v>0.98543593577150623</v>
      </c>
      <c r="E3" s="129">
        <f>NeoClassical!H$31</f>
        <v>0.97734343283897884</v>
      </c>
      <c r="F3" s="129">
        <f>NeoClassical!J$31</f>
        <v>0.9686095807600773</v>
      </c>
      <c r="G3" s="129">
        <f>NeoClassical!L$31</f>
        <v>0.95913801550647804</v>
      </c>
      <c r="H3" s="129">
        <f>NeoClassical!N$31</f>
        <v>0.94880931839787208</v>
      </c>
      <c r="I3" s="129">
        <f>NeoClassical!P$31</f>
        <v>0.93747272306712592</v>
      </c>
      <c r="J3" s="129">
        <f>NeoClassical!R$31</f>
        <v>0.92493361836966159</v>
      </c>
      <c r="K3" s="129">
        <f>NeoClassical!T$31</f>
        <v>0.91093365050145381</v>
      </c>
      <c r="L3" s="129">
        <f>NeoClassical!V$31</f>
        <v>0.89511891517756226</v>
      </c>
      <c r="M3" s="129">
        <f>NeoClassical!X$31</f>
        <v>0.8769859690404449</v>
      </c>
      <c r="N3" s="129">
        <f>NeoClassical!Z$31</f>
        <v>0.85578686084429412</v>
      </c>
      <c r="O3" s="129">
        <f>NeoClassical!AB$31</f>
        <v>0.83035539263281732</v>
      </c>
      <c r="P3" s="129">
        <f>NeoClassical!AD$31</f>
        <v>0.79877987389764271</v>
      </c>
      <c r="Q3" s="129">
        <f>NeoClassical!AF$31</f>
        <v>0.75779707181759326</v>
      </c>
      <c r="R3" s="129">
        <f>NeoClassical!AH$31</f>
        <v>0.70178267971210484</v>
      </c>
      <c r="S3" s="129">
        <f>NeoClassical!AJ$31</f>
        <v>0.62134217313259998</v>
      </c>
      <c r="T3" s="129">
        <f>NeoClassical!AL$31</f>
        <v>0.50021770375087438</v>
      </c>
      <c r="U3" s="129">
        <f>NeoClassical!AN$31</f>
        <v>0.30277591568107937</v>
      </c>
      <c r="V3" s="129">
        <f>NeoClassical!AP$31</f>
        <v>0.24785259629937384</v>
      </c>
      <c r="W3" s="129">
        <f>NeoClassical!AR$31</f>
        <v>0.18594523773702273</v>
      </c>
      <c r="X3" s="129">
        <f>NeoClassical!AT$31</f>
        <v>0.11716973070114529</v>
      </c>
      <c r="Y3" s="129">
        <f>NeoClassical!AV$31</f>
        <v>4.5874414528498011E-2</v>
      </c>
    </row>
    <row r="4" spans="1:26" x14ac:dyDescent="0.2">
      <c r="A4" t="s">
        <v>147</v>
      </c>
      <c r="B4" s="129">
        <f>Kaldorian!B$31</f>
        <v>1</v>
      </c>
      <c r="C4" s="129">
        <f>Kaldorian!D$31</f>
        <v>0.99787000699331885</v>
      </c>
      <c r="D4" s="129">
        <f>Kaldorian!F$31</f>
        <v>0.99532457432441968</v>
      </c>
      <c r="E4" s="129">
        <f>Kaldorian!H$31</f>
        <v>0.99230772772139486</v>
      </c>
      <c r="F4" s="129">
        <f>Kaldorian!J$31</f>
        <v>0.98875221316949147</v>
      </c>
      <c r="G4" s="129">
        <f>Kaldorian!L$31</f>
        <v>0.98457566864662005</v>
      </c>
      <c r="H4" s="129">
        <f>Kaldorian!N$31</f>
        <v>0.97967680576695637</v>
      </c>
      <c r="I4" s="129">
        <f>Kaldorian!P$31</f>
        <v>0.97392789581583339</v>
      </c>
      <c r="J4" s="129">
        <f>Kaldorian!R$31</f>
        <v>0.96716509623754765</v>
      </c>
      <c r="K4" s="129">
        <f>Kaldorian!T$31</f>
        <v>0.95917311624726387</v>
      </c>
      <c r="L4" s="129">
        <f>Kaldorian!V$31</f>
        <v>0.94966059360215016</v>
      </c>
      <c r="M4" s="129">
        <f>Kaldorian!X$31</f>
        <v>0.93821937797721033</v>
      </c>
      <c r="N4" s="129">
        <f>Kaldorian!Z$31</f>
        <v>0.92425327861234552</v>
      </c>
      <c r="O4" s="129">
        <f>Kaldorian!AB$31</f>
        <v>0.90684744656527938</v>
      </c>
      <c r="P4" s="129">
        <f>Kaldorian!AD$31</f>
        <v>0.88451667787402954</v>
      </c>
      <c r="Q4" s="129">
        <f>Kaldorian!AF$31</f>
        <v>0.85470837445853487</v>
      </c>
      <c r="R4" s="129">
        <f>Kaldorian!AH$31</f>
        <v>0.81283061625239261</v>
      </c>
      <c r="S4" s="129">
        <f>Kaldorian!AJ$31</f>
        <v>0.75034380684715762</v>
      </c>
      <c r="T4" s="129">
        <f>Kaldorian!AL$31</f>
        <v>0.64976921130084964</v>
      </c>
      <c r="U4" s="129">
        <f>Kaldorian!AN$31</f>
        <v>0</v>
      </c>
      <c r="V4" s="129">
        <f>Kaldorian!AP$31</f>
        <v>0</v>
      </c>
      <c r="W4" s="129">
        <f>Kaldorian!AR$31</f>
        <v>0</v>
      </c>
      <c r="X4" s="129">
        <f>Kaldorian!AT$31</f>
        <v>0</v>
      </c>
      <c r="Y4" s="129">
        <f>Kaldorian!AV$31</f>
        <v>0</v>
      </c>
    </row>
    <row r="5" spans="1:26" x14ac:dyDescent="0.2">
      <c r="A5" t="s">
        <v>90</v>
      </c>
      <c r="B5" s="129">
        <f>Johansen!B$31</f>
        <v>1</v>
      </c>
      <c r="C5" s="129">
        <f>Johansen!D$31</f>
        <v>0.99789306599996375</v>
      </c>
      <c r="D5" s="129">
        <f>Johansen!F$31</f>
        <v>0.99537168063367842</v>
      </c>
      <c r="E5" s="129">
        <f>Johansen!H$31</f>
        <v>0.99237988884740147</v>
      </c>
      <c r="F5" s="129">
        <f>Johansen!J$31</f>
        <v>0.98885035933294385</v>
      </c>
      <c r="G5" s="129">
        <f>Johansen!L$31</f>
        <v>0.98470098810371876</v>
      </c>
      <c r="H5" s="129">
        <f>Johansen!N$31</f>
        <v>0.97983010747358756</v>
      </c>
      <c r="I5" s="129">
        <f>Johansen!P$31</f>
        <v>0.97410974924082494</v>
      </c>
      <c r="J5" s="129">
        <f>Johansen!R$31</f>
        <v>0.96737560182921001</v>
      </c>
      <c r="K5" s="129">
        <f>Johansen!T$31</f>
        <v>0.95941140450904627</v>
      </c>
      <c r="L5" s="129">
        <f>Johansen!V$31</f>
        <v>0.94992431030601987</v>
      </c>
      <c r="M5" s="129">
        <f>Johansen!X$31</f>
        <v>0.93850373262754094</v>
      </c>
      <c r="N5" s="129">
        <f>Johansen!Z$31</f>
        <v>0.92454964528615258</v>
      </c>
      <c r="O5" s="129">
        <f>Johansen!AB$31</f>
        <v>0.90714107179495906</v>
      </c>
      <c r="P5" s="129">
        <f>Johansen!AD$31</f>
        <v>0.88478410795358442</v>
      </c>
      <c r="Q5" s="129">
        <f>Johansen!AF$31</f>
        <v>0.85491688203818483</v>
      </c>
      <c r="R5" s="129">
        <f>Johansen!AH$31</f>
        <v>0.81295123169048444</v>
      </c>
      <c r="S5" s="129">
        <f>Johansen!AJ$31</f>
        <v>0.75038438523377871</v>
      </c>
      <c r="T5" s="129">
        <f>Johansen!AL$31</f>
        <v>0.64977481690370842</v>
      </c>
      <c r="U5" s="129">
        <f>Johansen!AN$31</f>
        <v>0.46490814669884761</v>
      </c>
      <c r="V5" s="129">
        <f>Johansen!AP$31</f>
        <v>0.40746159595838494</v>
      </c>
      <c r="W5" s="129">
        <f>Johansen!AR$31</f>
        <v>0.33808043570136642</v>
      </c>
      <c r="X5" s="129">
        <f>Johansen!AT$31</f>
        <v>0.2523639357740759</v>
      </c>
      <c r="Y5" s="129">
        <f>Johansen!AV$31</f>
        <v>0.1433912494942329</v>
      </c>
    </row>
    <row r="6" spans="1:26" x14ac:dyDescent="0.2">
      <c r="A6" t="s">
        <v>130</v>
      </c>
      <c r="B6" s="129">
        <f>'Keynes-M'!B$31</f>
        <v>1</v>
      </c>
      <c r="C6" s="129">
        <f>'Keynes-M'!D$31</f>
        <v>1.0112986096159524</v>
      </c>
      <c r="D6" s="129">
        <f>'Keynes-M'!F$31</f>
        <v>1.0222054037481272</v>
      </c>
      <c r="E6" s="129">
        <f>'Keynes-M'!H$31</f>
        <v>1.0326961359410609</v>
      </c>
      <c r="F6" s="129">
        <f>'Keynes-M'!J$31</f>
        <v>1.0427392190536204</v>
      </c>
      <c r="G6" s="129">
        <f>'Keynes-M'!L$31</f>
        <v>1.0522953745244874</v>
      </c>
      <c r="H6" s="129">
        <f>'Keynes-M'!N$31</f>
        <v>1.0613171186879689</v>
      </c>
      <c r="I6" s="129">
        <f>'Keynes-M'!P$31</f>
        <v>1.0697491860342756</v>
      </c>
      <c r="J6" s="129">
        <f>'Keynes-M'!R$31</f>
        <v>1.0775296769678369</v>
      </c>
      <c r="K6" s="129">
        <f>'Keynes-M'!T$31</f>
        <v>1.084593389548471</v>
      </c>
      <c r="L6" s="129">
        <f>'Keynes-M'!V$31</f>
        <v>1.0908784352558614</v>
      </c>
      <c r="M6" s="129">
        <f>'Keynes-M'!X$31</f>
        <v>1.0963363881604449</v>
      </c>
      <c r="N6" s="129">
        <f>'Keynes-M'!Z$31</f>
        <v>1.1009356659009153</v>
      </c>
      <c r="O6" s="129">
        <f>'Keynes-M'!AB$31</f>
        <v>1.1045910899302431</v>
      </c>
      <c r="P6" s="129">
        <f>'Keynes-M'!AD$31</f>
        <v>1.1067240183449485</v>
      </c>
      <c r="Q6" s="129">
        <f>'Keynes-M'!AF$31</f>
        <v>0</v>
      </c>
      <c r="R6" s="129">
        <f>'Keynes-M'!AH$31</f>
        <v>0</v>
      </c>
      <c r="S6" s="129">
        <f>'Keynes-M'!AJ$31</f>
        <v>0</v>
      </c>
      <c r="T6" s="129">
        <f>'Keynes-M'!AL$31</f>
        <v>0</v>
      </c>
      <c r="U6" s="129"/>
      <c r="V6" s="129"/>
      <c r="W6" s="129"/>
      <c r="X6" s="129"/>
      <c r="Y6" s="129"/>
    </row>
    <row r="7" spans="1:26" x14ac:dyDescent="0.2">
      <c r="A7" t="s">
        <v>146</v>
      </c>
      <c r="B7" s="129">
        <f>Keynesian!B$31</f>
        <v>1</v>
      </c>
      <c r="C7" s="129">
        <f>Keynesian!D$31</f>
        <v>0.97769882610947667</v>
      </c>
      <c r="D7" s="129">
        <f>Keynesian!F$31</f>
        <v>0.95313400068404119</v>
      </c>
      <c r="E7" s="129">
        <f>Keynesian!H$31</f>
        <v>0.92608586209399102</v>
      </c>
      <c r="F7" s="129">
        <f>Keynesian!J$31</f>
        <v>0.89632717222323022</v>
      </c>
      <c r="G7" s="129">
        <f>Keynesian!L$31</f>
        <v>0.86363445613485001</v>
      </c>
      <c r="H7" s="129">
        <f>Keynesian!N$31</f>
        <v>0.82780276759861049</v>
      </c>
      <c r="I7" s="129">
        <f>Keynesian!P$31</f>
        <v>0.78867298702707789</v>
      </c>
      <c r="J7" s="129">
        <f>Keynesian!R$31</f>
        <v>0.74617464374592357</v>
      </c>
      <c r="K7" s="129">
        <f>Keynesian!T$31</f>
        <v>0.70040384382478971</v>
      </c>
      <c r="L7" s="129">
        <f>Keynesian!V$31</f>
        <v>0.65179573038998551</v>
      </c>
      <c r="M7" s="129">
        <f>Keynesian!X$31</f>
        <v>0.60162191090227546</v>
      </c>
      <c r="N7" s="129">
        <f>Keynesian!Z$31</f>
        <v>0</v>
      </c>
      <c r="O7" s="129">
        <f>Keynesian!AB$31</f>
        <v>0</v>
      </c>
      <c r="P7" s="129"/>
      <c r="Q7" s="129"/>
      <c r="R7" s="129"/>
      <c r="S7" s="129"/>
      <c r="T7" s="129"/>
      <c r="U7" s="129"/>
      <c r="V7" s="129"/>
      <c r="W7" s="129"/>
      <c r="X7" s="129"/>
      <c r="Y7" s="129"/>
    </row>
    <row r="8" spans="1:26" x14ac:dyDescent="0.2">
      <c r="A8" t="s">
        <v>131</v>
      </c>
      <c r="B8" s="129">
        <f>'Keynes-K'!B$31</f>
        <v>1</v>
      </c>
      <c r="C8" s="129">
        <f>'Keynes-K'!D$31</f>
        <v>1.0027756281775111</v>
      </c>
      <c r="D8" s="129">
        <f>'Keynes-K'!F$31</f>
        <v>1.0045738425733204</v>
      </c>
      <c r="E8" s="129">
        <f>'Keynes-K'!H$31</f>
        <v>1.0053207321185449</v>
      </c>
      <c r="F8" s="129">
        <f>'Keynes-K'!J$31</f>
        <v>1.0049180870405912</v>
      </c>
      <c r="G8" s="129">
        <f>'Keynes-K'!L$31</f>
        <v>1.0032382592258045</v>
      </c>
      <c r="H8" s="129">
        <f>'Keynes-K'!N$31</f>
        <v>1.0001157844814981</v>
      </c>
      <c r="I8" s="129">
        <f>'Keynes-K'!P$31</f>
        <v>0.99533591411020861</v>
      </c>
      <c r="J8" s="129">
        <f>'Keynes-K'!R$31</f>
        <v>0.98861727680147471</v>
      </c>
      <c r="K8" s="129">
        <f>'Keynes-K'!T$31</f>
        <v>0.9795857345771477</v>
      </c>
      <c r="L8" s="129">
        <f>'Keynes-K'!V$31</f>
        <v>0.96773349518965968</v>
      </c>
      <c r="M8" s="129">
        <f>'Keynes-K'!X$31</f>
        <v>0.95235264879402348</v>
      </c>
      <c r="N8" s="129">
        <f>'Keynes-K'!Z$31</f>
        <v>0.93242314659715342</v>
      </c>
      <c r="O8" s="129">
        <f>'Keynes-K'!AB$31</f>
        <v>0.90641390343058592</v>
      </c>
      <c r="P8" s="129">
        <f>'Keynes-K'!AD$31</f>
        <v>0.87191598655320002</v>
      </c>
      <c r="Q8" s="129">
        <f>'Keynes-K'!AF$31</f>
        <v>0.82494442120374989</v>
      </c>
      <c r="R8" s="129">
        <f>'Keynes-K'!AH$31</f>
        <v>0.75862832480268994</v>
      </c>
      <c r="S8" s="129">
        <f>'Keynes-K'!AJ$31</f>
        <v>0.66099970343096981</v>
      </c>
      <c r="T8" s="129">
        <f>'Keynes-K'!AL$31</f>
        <v>0.51239709132760769</v>
      </c>
      <c r="U8" s="129"/>
      <c r="V8" s="129"/>
      <c r="W8" s="129"/>
      <c r="X8" s="129"/>
      <c r="Y8" s="129"/>
    </row>
    <row r="9" spans="1:26" x14ac:dyDescent="0.2">
      <c r="A9" t="s">
        <v>142</v>
      </c>
      <c r="B9" s="129">
        <f>'Neo-K1'!B$31</f>
        <v>1</v>
      </c>
      <c r="C9" s="129">
        <f>'Neo-K1'!D$31</f>
        <v>0.98920384481853063</v>
      </c>
      <c r="D9" s="129">
        <f>'Neo-K1'!F$31</f>
        <v>0.97748815664141953</v>
      </c>
      <c r="E9" s="129">
        <f>'Neo-K1'!H$31</f>
        <v>0.96470927868053213</v>
      </c>
      <c r="F9" s="129">
        <f>'Neo-K1'!J$31</f>
        <v>0.95069080907202208</v>
      </c>
      <c r="G9" s="129">
        <f>'Neo-K1'!L$31</f>
        <v>0.93521480978141025</v>
      </c>
      <c r="H9" s="129">
        <f>'Neo-K1'!N$31</f>
        <v>0.91800809832753749</v>
      </c>
      <c r="I9" s="129">
        <f>'Neo-K1'!P$31</f>
        <v>0.89872506293272125</v>
      </c>
      <c r="J9" s="129">
        <f>'Neo-K1'!R$31</f>
        <v>0.87692355900321073</v>
      </c>
      <c r="K9" s="129">
        <f>'Neo-K1'!T$31</f>
        <v>0.8520320572980975</v>
      </c>
      <c r="L9" s="129">
        <f>'Neo-K1'!V$31</f>
        <v>0.82330643750659172</v>
      </c>
      <c r="M9" s="129">
        <f>'Neo-K1'!X$31</f>
        <v>0.78977454392124402</v>
      </c>
      <c r="N9" s="129">
        <f>'Neo-K1'!Z$31</f>
        <v>0.75017171100251678</v>
      </c>
      <c r="O9" s="129">
        <f>'Neo-K1'!AB$31</f>
        <v>0.70288172583264152</v>
      </c>
      <c r="P9" s="129">
        <f>'Neo-K1'!AD$31</f>
        <v>0.64591908831988087</v>
      </c>
      <c r="Q9" s="129">
        <f>'Neo-K1'!AF$31</f>
        <v>0.57702080254679045</v>
      </c>
      <c r="R9" s="129">
        <f>'Neo-K1'!AH$31</f>
        <v>0.49392835730684626</v>
      </c>
      <c r="S9" s="129">
        <f>'Neo-K1'!AJ$31</f>
        <v>0.39486995897169774</v>
      </c>
      <c r="T9" s="129">
        <f>'Neo-K1'!AL$31</f>
        <v>0.27906819015296724</v>
      </c>
      <c r="U9" s="129">
        <f>'Neo-K1'!AN$31</f>
        <v>0.1469637825189794</v>
      </c>
      <c r="V9" s="129">
        <f>'Neo-K1'!AP$31</f>
        <v>0.11870113855164308</v>
      </c>
      <c r="W9" s="129">
        <f>'Neo-K1'!AR$31</f>
        <v>8.9857526296882803E-2</v>
      </c>
      <c r="X9" s="129">
        <f>'Neo-K1'!AT$31</f>
        <v>6.0448631543672506E-2</v>
      </c>
      <c r="Y9" s="129">
        <f>'Neo-K1'!AV$31</f>
        <v>3.0490622187023645E-2</v>
      </c>
    </row>
    <row r="10" spans="1:26" x14ac:dyDescent="0.2">
      <c r="A10" t="s">
        <v>141</v>
      </c>
      <c r="B10" s="129">
        <f>'Neo-K2'!B$31</f>
        <v>1</v>
      </c>
      <c r="C10" s="129">
        <f>'Neo-K2'!D$31</f>
        <v>0.98812212735407079</v>
      </c>
      <c r="D10" s="129">
        <f>'Neo-K2'!F$31</f>
        <v>0.97509074916931782</v>
      </c>
      <c r="E10" s="129">
        <f>'Neo-K2'!H$31</f>
        <v>0.96070193341948407</v>
      </c>
      <c r="F10" s="129">
        <f>'Neo-K2'!J$31</f>
        <v>0.94470151994452678</v>
      </c>
      <c r="G10" s="129">
        <f>'Neo-K2'!L$31</f>
        <v>0.92677347032181268</v>
      </c>
      <c r="H10" s="129">
        <f>'Neo-K2'!N$31</f>
        <v>0.90652073549800705</v>
      </c>
      <c r="I10" s="129">
        <f>'Neo-K2'!P$31</f>
        <v>0.88344725270175462</v>
      </c>
      <c r="J10" s="129">
        <f>'Neo-K2'!R$31</f>
        <v>0.8569383306438042</v>
      </c>
      <c r="K10" s="129">
        <f>'Neo-K2'!T$31</f>
        <v>0.82625042352331945</v>
      </c>
      <c r="L10" s="129">
        <f>'Neo-K2'!V$31</f>
        <v>0.7905274328413846</v>
      </c>
      <c r="M10" s="129">
        <f>'Neo-K2'!X$31</f>
        <v>0.74887661342006406</v>
      </c>
      <c r="N10" s="129">
        <f>'Neo-K2'!Z$31</f>
        <v>0.70055122039960915</v>
      </c>
      <c r="O10" s="129">
        <f>'Neo-K2'!AB$31</f>
        <v>0.64527041341966085</v>
      </c>
      <c r="P10" s="129">
        <f>'Neo-K2'!AD$31</f>
        <v>0.58359068063464847</v>
      </c>
      <c r="Q10" s="129">
        <f>'Neo-K2'!AF$31</f>
        <v>0.51698834120279658</v>
      </c>
      <c r="R10" s="129">
        <f>'Neo-K2'!AH$31</f>
        <v>0.44712897035204396</v>
      </c>
      <c r="S10" s="129">
        <f>'Neo-K2'!AJ$31</f>
        <v>0.37423503473877034</v>
      </c>
      <c r="T10" s="129">
        <f>'Neo-K2'!AL$31</f>
        <v>0.29521699241933191</v>
      </c>
      <c r="U10" s="129">
        <f>'Neo-K2'!AN$31</f>
        <v>0.19941274059682706</v>
      </c>
      <c r="V10" s="129">
        <f>'Neo-K2'!AP$31</f>
        <v>0.1755406116196965</v>
      </c>
      <c r="W10" s="129">
        <f>'Neo-K2'!AR$31</f>
        <v>0.14854301012815282</v>
      </c>
      <c r="X10" s="129">
        <f>'Neo-K2'!AT$31</f>
        <v>0.11669576496327633</v>
      </c>
      <c r="Y10" s="129">
        <f>'Neo-K2'!AV$31</f>
        <v>7.5948576952393321E-2</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5.3826806255889689E-2</v>
      </c>
      <c r="D14" s="129">
        <f>NeoClassical!F2</f>
        <v>0.10643729405667772</v>
      </c>
      <c r="E14" s="129">
        <f>NeoClassical!H2</f>
        <v>0.16432981763103588</v>
      </c>
      <c r="F14" s="129">
        <f>NeoClassical!J2</f>
        <v>0.22841385697015329</v>
      </c>
      <c r="G14" s="129">
        <f>NeoClassical!L2</f>
        <v>0.29985141605384441</v>
      </c>
      <c r="H14" s="129">
        <f>NeoClassical!N2</f>
        <v>0.380161009186406</v>
      </c>
      <c r="I14" s="129">
        <f>NeoClassical!P2</f>
        <v>0.47137902607793886</v>
      </c>
      <c r="J14" s="129">
        <f>NeoClassical!R2</f>
        <v>0.57632190333126854</v>
      </c>
      <c r="K14" s="129">
        <f>NeoClassical!T2</f>
        <v>0.69902529991275597</v>
      </c>
      <c r="L14" s="129">
        <f>NeoClassical!V2</f>
        <v>0.84552044741147214</v>
      </c>
      <c r="M14" s="129">
        <f>NeoClassical!X2</f>
        <v>1.0252769651161187</v>
      </c>
      <c r="N14" s="129">
        <f>NeoClassical!Z2</f>
        <v>1.254061413060811</v>
      </c>
      <c r="O14" s="129">
        <f>NeoClassical!AB2</f>
        <v>1.5600266144421695</v>
      </c>
      <c r="P14" s="129">
        <f>NeoClassical!AD2</f>
        <v>1.9977427031002679</v>
      </c>
      <c r="Q14" s="129">
        <f>NeoClassical!AF2</f>
        <v>2.6832905951016759</v>
      </c>
      <c r="R14" s="129">
        <f>NeoClassical!AH2</f>
        <v>3.8884238726982976</v>
      </c>
      <c r="S14" s="129">
        <f>NeoClassical!AJ2</f>
        <v>6.3171649316262384</v>
      </c>
      <c r="T14" s="129">
        <f>NeoClassical!AL2</f>
        <v>12.166820328183054</v>
      </c>
      <c r="U14" s="129">
        <f>NeoClassical!AN2</f>
        <v>32.335691511161919</v>
      </c>
      <c r="V14" s="129">
        <f>NeoClassical!AP2</f>
        <v>42.531624712359729</v>
      </c>
      <c r="W14" s="129">
        <f>NeoClassical!AR2</f>
        <v>58.794677975776672</v>
      </c>
      <c r="X14" s="129">
        <f>NeoClassical!AT2</f>
        <v>87.63150708207435</v>
      </c>
      <c r="Y14" s="129">
        <f>NeoClassical!AV2</f>
        <v>148.55324279396211</v>
      </c>
      <c r="Z14" s="129"/>
    </row>
    <row r="15" spans="1:26" x14ac:dyDescent="0.2">
      <c r="A15" t="s">
        <v>147</v>
      </c>
      <c r="B15" s="129">
        <f>Kaldorian!B2</f>
        <v>5.7716594496607888E-3</v>
      </c>
      <c r="C15" s="129">
        <f>Kaldorian!D2</f>
        <v>5.733192406430266E-2</v>
      </c>
      <c r="D15" s="129">
        <f>Kaldorian!F2</f>
        <v>0.1137669530427904</v>
      </c>
      <c r="E15" s="129">
        <f>Kaldorian!H2</f>
        <v>0.17584594695567424</v>
      </c>
      <c r="F15" s="129">
        <f>Kaldorian!J2</f>
        <v>0.24453290981002296</v>
      </c>
      <c r="G15" s="129">
        <f>Kaldorian!L2</f>
        <v>0.32105575718883911</v>
      </c>
      <c r="H15" s="129">
        <f>Kaldorian!N2</f>
        <v>0.40702950664873838</v>
      </c>
      <c r="I15" s="129">
        <f>Kaldorian!P2</f>
        <v>0.5046192110370975</v>
      </c>
      <c r="J15" s="129">
        <f>Kaldorian!R2</f>
        <v>0.61683247406449304</v>
      </c>
      <c r="K15" s="129">
        <f>Kaldorian!T2</f>
        <v>0.74800251854177291</v>
      </c>
      <c r="L15" s="129">
        <f>Kaldorian!V2</f>
        <v>0.90464901434183687</v>
      </c>
      <c r="M15" s="129">
        <f>Kaldorian!X2</f>
        <v>1.0970947848260506</v>
      </c>
      <c r="N15" s="129">
        <f>Kaldorian!Z2</f>
        <v>1.3427030230503485</v>
      </c>
      <c r="O15" s="129">
        <f>Kaldorian!AB2</f>
        <v>1.672849159741602</v>
      </c>
      <c r="P15" s="129">
        <f>Kaldorian!AD2</f>
        <v>2.1492052460687172</v>
      </c>
      <c r="Q15" s="129">
        <f>Kaldorian!AF2</f>
        <v>2.9049054757331763</v>
      </c>
      <c r="R15" s="129">
        <f>Kaldorian!AH2</f>
        <v>4.2554916822806765</v>
      </c>
      <c r="S15" s="129">
        <f>Kaldorian!AJ2</f>
        <v>7.0232993510271635</v>
      </c>
      <c r="T15" s="129">
        <f>Kaldorian!AL2</f>
        <v>13.785729914213345</v>
      </c>
      <c r="U15" s="129"/>
      <c r="V15" s="129"/>
      <c r="W15" s="129"/>
      <c r="X15" s="129"/>
      <c r="Y15" s="129"/>
      <c r="Z15" s="129"/>
    </row>
    <row r="16" spans="1:26" x14ac:dyDescent="0.2">
      <c r="A16" t="s">
        <v>90</v>
      </c>
      <c r="B16" s="129">
        <f>Johansen!B2</f>
        <v>5.7716594496607888E-3</v>
      </c>
      <c r="C16" s="129">
        <f>Johansen!D2</f>
        <v>5.5723088998547082E-2</v>
      </c>
      <c r="D16" s="129">
        <f>Johansen!F2</f>
        <v>0.11042248398172445</v>
      </c>
      <c r="E16" s="129">
        <f>Johansen!H2</f>
        <v>0.17063098825914153</v>
      </c>
      <c r="F16" s="129">
        <f>Johansen!J2</f>
        <v>0.23730376789910101</v>
      </c>
      <c r="G16" s="129">
        <f>Johansen!L2</f>
        <v>0.31166548537448158</v>
      </c>
      <c r="H16" s="129">
        <f>Johansen!N2</f>
        <v>0.39532346163037296</v>
      </c>
      <c r="I16" s="129">
        <f>Johansen!P2</f>
        <v>0.49044459607027058</v>
      </c>
      <c r="J16" s="129">
        <f>Johansen!R2</f>
        <v>0.60004458433545649</v>
      </c>
      <c r="K16" s="129">
        <f>Johansen!T2</f>
        <v>0.72847702789119162</v>
      </c>
      <c r="L16" s="129">
        <f>Johansen!V2</f>
        <v>0.88230447282099778</v>
      </c>
      <c r="M16" s="129">
        <f>Johansen!X2</f>
        <v>1.0719344245451174</v>
      </c>
      <c r="N16" s="129">
        <f>Johansen!Z2</f>
        <v>1.3148984765241982</v>
      </c>
      <c r="O16" s="129">
        <f>Johansen!AB2</f>
        <v>1.6429156014845263</v>
      </c>
      <c r="P16" s="129">
        <f>Johansen!AD2</f>
        <v>2.1183706363064818</v>
      </c>
      <c r="Q16" s="129">
        <f>Johansen!AF2</f>
        <v>2.8757641760284707</v>
      </c>
      <c r="R16" s="129">
        <f>Johansen!AH2</f>
        <v>4.232414068593239</v>
      </c>
      <c r="S16" s="129">
        <f>Johansen!AJ2</f>
        <v>7.0101485081741179</v>
      </c>
      <c r="T16" s="129">
        <f>Johansen!AL2</f>
        <v>13.78125186245124</v>
      </c>
      <c r="U16" s="129">
        <f>Johansen!AN2</f>
        <v>37.302173316757795</v>
      </c>
      <c r="V16" s="129">
        <f>Johansen!AP2</f>
        <v>49.110569423839529</v>
      </c>
      <c r="W16" s="129">
        <f>Johansen!AR2</f>
        <v>67.693674190408998</v>
      </c>
      <c r="X16" s="129">
        <f>Johansen!AT2</f>
        <v>99.705947158431087</v>
      </c>
      <c r="Y16" s="129">
        <f>Johansen!AV2</f>
        <v>163.02977805445803</v>
      </c>
      <c r="Z16" s="129"/>
    </row>
    <row r="17" spans="1:26" x14ac:dyDescent="0.2">
      <c r="A17" t="s">
        <v>130</v>
      </c>
      <c r="B17" s="129">
        <f>'Keynes-M'!B2</f>
        <v>5.7716594496607888E-3</v>
      </c>
      <c r="C17" s="129">
        <f>'Keynes-M'!D2</f>
        <v>6.1597304985443399E-2</v>
      </c>
      <c r="D17" s="129">
        <f>'Keynes-M'!F2</f>
        <v>0.12297823845261331</v>
      </c>
      <c r="E17" s="129">
        <f>'Keynes-M'!H2</f>
        <v>0.19095671533868494</v>
      </c>
      <c r="F17" s="129">
        <f>'Keynes-M'!J2</f>
        <v>0.26689491797427473</v>
      </c>
      <c r="G17" s="129">
        <f>'Keynes-M'!L2</f>
        <v>0.35261927921098285</v>
      </c>
      <c r="H17" s="129">
        <f>'Keynes-M'!N2</f>
        <v>0.45065051843234394</v>
      </c>
      <c r="I17" s="129">
        <f>'Keynes-M'!P2</f>
        <v>0.56458483105756718</v>
      </c>
      <c r="J17" s="129">
        <f>'Keynes-M'!R2</f>
        <v>0.69975388717807263</v>
      </c>
      <c r="K17" s="129">
        <f>'Keynes-M'!T2</f>
        <v>0.86442640471117937</v>
      </c>
      <c r="L17" s="129">
        <f>'Keynes-M'!V2</f>
        <v>1.0721274838250701</v>
      </c>
      <c r="M17" s="129">
        <f>'Keynes-M'!X2</f>
        <v>1.3464168235284113</v>
      </c>
      <c r="N17" s="129">
        <f>'Keynes-M'!Z2</f>
        <v>1.7314238009485905</v>
      </c>
      <c r="O17" s="129">
        <f>'Keynes-M'!AB2</f>
        <v>2.3164321946024451</v>
      </c>
      <c r="P17" s="129">
        <f>'Keynes-M'!AD2</f>
        <v>3.2941242984046712</v>
      </c>
      <c r="Q17" s="129">
        <f>'Keynes-M'!AF2</f>
        <v>0</v>
      </c>
      <c r="R17" s="129"/>
      <c r="S17" s="129"/>
      <c r="T17" s="129"/>
      <c r="U17" s="129"/>
      <c r="V17" s="129"/>
      <c r="W17" s="129"/>
      <c r="X17" s="129"/>
      <c r="Y17" s="129"/>
      <c r="Z17" s="129"/>
    </row>
    <row r="18" spans="1:26" x14ac:dyDescent="0.2">
      <c r="A18" t="s">
        <v>146</v>
      </c>
      <c r="B18" s="129">
        <f>Keynesian!B2</f>
        <v>5.7716594496607888E-3</v>
      </c>
      <c r="C18" s="129">
        <f>Keynesian!D2</f>
        <v>3.5321047603244171E-2</v>
      </c>
      <c r="D18" s="129">
        <f>Keynesian!F2</f>
        <v>6.5893470162731144E-2</v>
      </c>
      <c r="E18" s="129">
        <f>Keynesian!H2</f>
        <v>9.7399810094390804E-2</v>
      </c>
      <c r="F18" s="129">
        <f>Keynesian!J2</f>
        <v>0.12970297565016586</v>
      </c>
      <c r="G18" s="129">
        <f>Keynesian!L2</f>
        <v>0.16260658055301122</v>
      </c>
      <c r="H18" s="129">
        <f>Keynesian!N2</f>
        <v>0.1958396776508709</v>
      </c>
      <c r="I18" s="129">
        <f>Keynesian!P2</f>
        <v>0.22904087415042632</v>
      </c>
      <c r="J18" s="129">
        <f>Keynesian!R2</f>
        <v>0.26173496471689095</v>
      </c>
      <c r="K18" s="129">
        <f>Keynesian!T2</f>
        <v>0.29329058291344895</v>
      </c>
      <c r="L18" s="129">
        <f>Keynesian!V2</f>
        <v>0.32281544199785661</v>
      </c>
      <c r="M18" s="129">
        <f>Keynesian!X2</f>
        <v>0.34878813634059186</v>
      </c>
      <c r="N18" s="129">
        <f>Keynesian!Z2</f>
        <v>0</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6.1692434892421988E-2</v>
      </c>
      <c r="D19" s="129">
        <f>'Keynes-K'!F2</f>
        <v>0.12244159806063513</v>
      </c>
      <c r="E19" s="129">
        <f>'Keynes-K'!H2</f>
        <v>0.18877164195265397</v>
      </c>
      <c r="F19" s="129">
        <f>'Keynes-K'!J2</f>
        <v>0.26161832174956012</v>
      </c>
      <c r="G19" s="129">
        <f>'Keynes-K'!L2</f>
        <v>0.34216561729218048</v>
      </c>
      <c r="H19" s="129">
        <f>'Keynes-K'!N2</f>
        <v>0.4319494489535422</v>
      </c>
      <c r="I19" s="129">
        <f>'Keynes-K'!P2</f>
        <v>0.53301192704299349</v>
      </c>
      <c r="J19" s="129">
        <f>'Keynes-K'!R2</f>
        <v>0.64814794055571545</v>
      </c>
      <c r="K19" s="129">
        <f>'Keynes-K'!T2</f>
        <v>0.78130786476492908</v>
      </c>
      <c r="L19" s="129">
        <f>'Keynes-K'!V2</f>
        <v>0.93828320210320515</v>
      </c>
      <c r="M19" s="129">
        <f>'Keynes-K'!X2</f>
        <v>1.1279187643426889</v>
      </c>
      <c r="N19" s="129">
        <f>'Keynes-K'!Z2</f>
        <v>1.3643588651128182</v>
      </c>
      <c r="O19" s="129">
        <f>'Keynes-K'!AB2</f>
        <v>1.671381869689512</v>
      </c>
      <c r="P19" s="129">
        <f>'Keynes-K'!AD2</f>
        <v>2.0910386981846805</v>
      </c>
      <c r="Q19" s="129">
        <f>'Keynes-K'!AF2</f>
        <v>2.7006940334751128</v>
      </c>
      <c r="R19" s="129">
        <f>'Keynes-K'!AH2</f>
        <v>3.6426014450345385</v>
      </c>
      <c r="S19" s="129">
        <f>'Keynes-K'!AJ2</f>
        <v>5.1512404591900003</v>
      </c>
      <c r="T19" s="129">
        <f>'Keynes-K'!AL2</f>
        <v>7.4618729343776664</v>
      </c>
      <c r="U19" s="129"/>
      <c r="V19" s="129"/>
      <c r="W19" s="129"/>
      <c r="X19" s="129"/>
      <c r="Y19" s="129"/>
      <c r="Z19" s="129"/>
    </row>
    <row r="20" spans="1:26" x14ac:dyDescent="0.2">
      <c r="A20" t="s">
        <v>141</v>
      </c>
      <c r="B20" s="129">
        <f>'Neo-K2'!B$2</f>
        <v>5.7716594496607888E-3</v>
      </c>
      <c r="C20" s="129">
        <f>'Neo-K2'!D$2</f>
        <v>4.7297706922975379E-2</v>
      </c>
      <c r="D20" s="129">
        <f>'Neo-K2'!F$2</f>
        <v>9.1852978935893365E-2</v>
      </c>
      <c r="E20" s="129">
        <f>'Neo-K2'!H$2</f>
        <v>0.13973560805567337</v>
      </c>
      <c r="F20" s="129">
        <f>'Neo-K2'!J$2</f>
        <v>0.19127117220039824</v>
      </c>
      <c r="G20" s="129">
        <f>'Neo-K2'!L$2</f>
        <v>0.24681432654652222</v>
      </c>
      <c r="H20" s="129">
        <f>'Neo-K2'!N$2</f>
        <v>0.30674225424817358</v>
      </c>
      <c r="I20" s="129">
        <f>'Neo-K2'!P$2</f>
        <v>0.37145074456193977</v>
      </c>
      <c r="J20" s="129">
        <f>'Neo-K2'!R$2</f>
        <v>0.44134807549639032</v>
      </c>
      <c r="K20" s="129">
        <f>'Neo-K2'!T$2</f>
        <v>0.51686768243953551</v>
      </c>
      <c r="L20" s="129">
        <f>'Neo-K2'!V$2</f>
        <v>0.59854324576196116</v>
      </c>
      <c r="M20" s="129">
        <f>'Neo-K2'!X$2</f>
        <v>0.68728090730395208</v>
      </c>
      <c r="N20" s="129">
        <f>'Neo-K2'!Z$2</f>
        <v>0.78516066108492111</v>
      </c>
      <c r="O20" s="129">
        <f>'Neo-K2'!AB$2</f>
        <v>0.89755259383625641</v>
      </c>
      <c r="P20" s="129">
        <f>'Neo-K2'!AD$2</f>
        <v>1.0383004761332535</v>
      </c>
      <c r="Q20" s="129">
        <f>'Neo-K2'!AF$2</f>
        <v>1.2422650733012184</v>
      </c>
      <c r="R20" s="129">
        <f>'Neo-K2'!AH$2</f>
        <v>1.5992785084218379</v>
      </c>
      <c r="S20" s="129">
        <f>'Neo-K2'!AJ$2</f>
        <v>2.3708065380718661</v>
      </c>
      <c r="T20" s="129">
        <f>'Neo-K2'!AL$2</f>
        <v>4.5132420941802227</v>
      </c>
      <c r="U20" s="129">
        <f>'Neo-K2'!AN$2</f>
        <v>13.683962883183757</v>
      </c>
      <c r="V20" s="129">
        <f>'Neo-K2'!AP$2</f>
        <v>19.150493259920101</v>
      </c>
      <c r="W20" s="129">
        <f>'Neo-K2'!AR$2</f>
        <v>29.063021172417937</v>
      </c>
      <c r="X20" s="129">
        <f>'Neo-K2'!AT$2</f>
        <v>50.843486073567533</v>
      </c>
      <c r="Y20" s="129">
        <f>'Neo-K2'!AV$2</f>
        <v>123.54395776478378</v>
      </c>
      <c r="Z20" s="129"/>
    </row>
    <row r="21" spans="1:26" x14ac:dyDescent="0.2">
      <c r="A21" t="s">
        <v>142</v>
      </c>
      <c r="B21" s="129">
        <f>'Neo-K1'!B$2</f>
        <v>5.7716594496607888E-3</v>
      </c>
      <c r="C21" s="129">
        <f>'Neo-K1'!D$2</f>
        <v>4.8832483530291716E-2</v>
      </c>
      <c r="D21" s="129">
        <f>'Neo-K1'!F$2</f>
        <v>9.5472642043200717E-2</v>
      </c>
      <c r="E21" s="129">
        <f>'Neo-K1'!H$2</f>
        <v>0.14615764861661035</v>
      </c>
      <c r="F21" s="129">
        <f>'Neo-K1'!J$2</f>
        <v>0.20144065267200961</v>
      </c>
      <c r="G21" s="129">
        <f>'Neo-K1'!L$2</f>
        <v>0.26198456178306145</v>
      </c>
      <c r="H21" s="129">
        <f>'Neo-K1'!N$2</f>
        <v>0.32859065692880468</v>
      </c>
      <c r="I21" s="129">
        <f>'Neo-K1'!P$2</f>
        <v>0.40223565063034261</v>
      </c>
      <c r="J21" s="129">
        <f>'Neo-K1'!R$2</f>
        <v>0.4841180996450446</v>
      </c>
      <c r="K21" s="129">
        <f>'Neo-K1'!T$2</f>
        <v>0.5757166554066</v>
      </c>
      <c r="L21" s="129">
        <f>'Neo-K1'!V$2</f>
        <v>0.67885453570643106</v>
      </c>
      <c r="M21" s="129">
        <f>'Neo-K1'!X$2</f>
        <v>0.79576097980694416</v>
      </c>
      <c r="N21" s="129">
        <f>'Neo-K1'!Z$2</f>
        <v>0.92909727843248024</v>
      </c>
      <c r="O21" s="129">
        <f>'Neo-K1'!AB$2</f>
        <v>1.0818816454146589</v>
      </c>
      <c r="P21" s="129">
        <f>'Neo-K1'!AD$2</f>
        <v>1.2571948221785134</v>
      </c>
      <c r="Q21" s="129">
        <f>'Neo-K1'!AF$2</f>
        <v>1.457522735782748</v>
      </c>
      <c r="R21" s="129">
        <f>'Neo-K1'!AH$2</f>
        <v>1.6836983144931683</v>
      </c>
      <c r="S21" s="129">
        <f>'Neo-K1'!AJ$2</f>
        <v>1.9337772790759795</v>
      </c>
      <c r="T21" s="129">
        <f>'Neo-K1'!AL$2</f>
        <v>2.2026168027899713</v>
      </c>
      <c r="U21" s="129">
        <f>'Neo-K1'!AN$2</f>
        <v>2.4827747679293974</v>
      </c>
      <c r="V21" s="129">
        <f>'Neo-K1'!AP$2</f>
        <v>2.5394563105798564</v>
      </c>
      <c r="W21" s="129">
        <f>'Neo-K1'!AR$2</f>
        <v>2.5962108075547436</v>
      </c>
      <c r="X21" s="129">
        <f>'Neo-K1'!AT$2</f>
        <v>2.652981269074798</v>
      </c>
      <c r="Y21" s="129">
        <f>'Neo-K1'!AV$2</f>
        <v>2.7097135861331729</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1.0014892437601794</v>
      </c>
      <c r="D25" s="129">
        <f>NeoClassical!F$69</f>
        <v>1.0028499743539647</v>
      </c>
      <c r="E25" s="129">
        <f>NeoClassical!H$69</f>
        <v>1.0040618665746357</v>
      </c>
      <c r="F25" s="129">
        <f>NeoClassical!J$69</f>
        <v>1.0051001757207918</v>
      </c>
      <c r="G25" s="129">
        <f>NeoClassical!L$69</f>
        <v>1.0059344170879259</v>
      </c>
      <c r="H25" s="129">
        <f>NeoClassical!N$69</f>
        <v>1.0065265708275997</v>
      </c>
      <c r="I25" s="129">
        <f>NeoClassical!P$69</f>
        <v>1.0068287335935222</v>
      </c>
      <c r="J25" s="129">
        <f>NeoClassical!R$69</f>
        <v>1.0067797476665905</v>
      </c>
      <c r="K25" s="129">
        <f>NeoClassical!T$69</f>
        <v>1.0063001414127226</v>
      </c>
      <c r="L25" s="129">
        <f>NeoClassical!V$69</f>
        <v>1.0052846598843939</v>
      </c>
      <c r="M25" s="129">
        <f>NeoClassical!X$69</f>
        <v>1.0035902449845593</v>
      </c>
      <c r="N25" s="129">
        <f>NeoClassical!Z$69</f>
        <v>1.0010155610625682</v>
      </c>
      <c r="O25" s="129">
        <f>NeoClassical!AB$69</f>
        <v>0.99726269462716743</v>
      </c>
      <c r="P25" s="129">
        <f>NeoClassical!AD$69</f>
        <v>0.99185498695930274</v>
      </c>
      <c r="Q25" s="129">
        <f>NeoClassical!AF$69</f>
        <v>0.98393064661281937</v>
      </c>
      <c r="R25" s="129">
        <f>NeoClassical!AH$69</f>
        <v>0.97163532765092353</v>
      </c>
      <c r="S25" s="129">
        <f>NeoClassical!AJ$69</f>
        <v>0.95020840180557387</v>
      </c>
      <c r="T25" s="129">
        <f>NeoClassical!AL$69</f>
        <v>0.90570434539433009</v>
      </c>
      <c r="U25" s="129">
        <f>NeoClassical!AN$69</f>
        <v>0.78471873222316124</v>
      </c>
      <c r="V25" s="129">
        <f>NeoClassical!AP$69</f>
        <v>0.73436909530907679</v>
      </c>
      <c r="W25" s="129">
        <f>NeoClassical!AR$69</f>
        <v>0.66310775460601767</v>
      </c>
      <c r="X25" s="129">
        <f>NeoClassical!AT$69</f>
        <v>0.5551795365174611</v>
      </c>
      <c r="Y25" s="129">
        <f>NeoClassical!AV$69</f>
        <v>0.37323662067754088</v>
      </c>
    </row>
    <row r="26" spans="1:26" x14ac:dyDescent="0.2">
      <c r="A26" t="s">
        <v>147</v>
      </c>
      <c r="B26" s="129">
        <f>Kaldorian!B$69</f>
        <v>1</v>
      </c>
      <c r="C26" s="129">
        <f>Kaldorian!D$69</f>
        <v>1.001567034752975</v>
      </c>
      <c r="D26" s="129">
        <f>Kaldorian!F$69</f>
        <v>1.0030107974495426</v>
      </c>
      <c r="E26" s="129">
        <f>Kaldorian!H$69</f>
        <v>1.0043116458078927</v>
      </c>
      <c r="F26" s="129">
        <f>Kaldorian!J$69</f>
        <v>1.0054456721622214</v>
      </c>
      <c r="G26" s="129">
        <f>Kaldorian!L$69</f>
        <v>1.0063830980512232</v>
      </c>
      <c r="H26" s="129">
        <f>Kaldorian!N$69</f>
        <v>1.0070872107957511</v>
      </c>
      <c r="I26" s="129">
        <f>Kaldorian!P$69</f>
        <v>1.007511552289738</v>
      </c>
      <c r="J26" s="129">
        <f>Kaldorian!R$69</f>
        <v>1.0075969188072231</v>
      </c>
      <c r="K26" s="129">
        <f>Kaldorian!T$69</f>
        <v>1.0072667859928011</v>
      </c>
      <c r="L26" s="129">
        <f>Kaldorian!V$69</f>
        <v>1.0064203452792431</v>
      </c>
      <c r="M26" s="129">
        <f>Kaldorian!X$69</f>
        <v>1.0049218742311521</v>
      </c>
      <c r="N26" s="129">
        <f>Kaldorian!Z$69</f>
        <v>1.0025828450324712</v>
      </c>
      <c r="O26" s="129">
        <f>Kaldorian!AB$69</f>
        <v>0.99912893141038384</v>
      </c>
      <c r="P26" s="129">
        <f>Kaldorian!AD$69</f>
        <v>0.99412849546554105</v>
      </c>
      <c r="Q26" s="129">
        <f>Kaldorian!AF$69</f>
        <v>0.98680485083191016</v>
      </c>
      <c r="R26" s="129">
        <f>Kaldorian!AH$69</f>
        <v>0.97544585526747551</v>
      </c>
      <c r="S26" s="129">
        <f>Kaldorian!AJ$69</f>
        <v>0.95546058059037842</v>
      </c>
      <c r="T26" s="129">
        <f>Kaldorian!AL$69</f>
        <v>0.9130078742683454</v>
      </c>
      <c r="U26" s="129"/>
      <c r="V26" s="129"/>
      <c r="W26" s="129"/>
      <c r="X26" s="129"/>
      <c r="Y26" s="129"/>
    </row>
    <row r="27" spans="1:26" x14ac:dyDescent="0.2">
      <c r="A27" t="s">
        <v>90</v>
      </c>
      <c r="B27" s="129">
        <f>Johansen!B$69</f>
        <v>1</v>
      </c>
      <c r="C27" s="129">
        <f>Johansen!D$69</f>
        <v>1.0015536185783145</v>
      </c>
      <c r="D27" s="129">
        <f>Johansen!F$69</f>
        <v>1.002982836201717</v>
      </c>
      <c r="E27" s="129">
        <f>Johansen!H$69</f>
        <v>1.0042678304933976</v>
      </c>
      <c r="F27" s="129">
        <f>Johansen!J$69</f>
        <v>1.0053844900117321</v>
      </c>
      <c r="G27" s="129">
        <f>Johansen!L$69</f>
        <v>1.0063031443953085</v>
      </c>
      <c r="H27" s="129">
        <f>Johansen!N$69</f>
        <v>1.0069868615666737</v>
      </c>
      <c r="I27" s="129">
        <f>Johansen!P$69</f>
        <v>1.007389260065791</v>
      </c>
      <c r="J27" s="129">
        <f>Johansen!R$69</f>
        <v>1.0074514122861233</v>
      </c>
      <c r="K27" s="129">
        <f>Johansen!T$69</f>
        <v>1.0070972691597562</v>
      </c>
      <c r="L27" s="129">
        <f>Johansen!V$69</f>
        <v>1.0062270586819881</v>
      </c>
      <c r="M27" s="129">
        <f>Johansen!X$69</f>
        <v>1.0047069059903433</v>
      </c>
      <c r="N27" s="129">
        <f>Johansen!Z$69</f>
        <v>1.0023515437362793</v>
      </c>
      <c r="O27" s="129">
        <f>Johansen!AB$69</f>
        <v>0.99889207302335259</v>
      </c>
      <c r="P27" s="129">
        <f>Johansen!AD$69</f>
        <v>0.99390543905196715</v>
      </c>
      <c r="Q27" s="129">
        <f>Johansen!AF$69</f>
        <v>0.98662496662611898</v>
      </c>
      <c r="R27" s="129">
        <f>Johansen!AH$69</f>
        <v>0.97533832914294027</v>
      </c>
      <c r="S27" s="129">
        <f>Johansen!AJ$69</f>
        <v>0.95542324577859283</v>
      </c>
      <c r="T27" s="129">
        <f>Johansen!AL$69</f>
        <v>0.91300258799571266</v>
      </c>
      <c r="U27" s="129">
        <f>Johansen!AN$69</f>
        <v>0.79404438108507325</v>
      </c>
      <c r="V27" s="129">
        <f>Johansen!AP$69</f>
        <v>0.74362340598645027</v>
      </c>
      <c r="W27" s="129">
        <f>Johansen!AR$69</f>
        <v>0.67168055131897919</v>
      </c>
      <c r="X27" s="129">
        <f>Johansen!AT$69</f>
        <v>0.56189921178520574</v>
      </c>
      <c r="Y27" s="129">
        <f>Johansen!AV$69</f>
        <v>0.37615670671547646</v>
      </c>
    </row>
    <row r="28" spans="1:26" x14ac:dyDescent="0.2">
      <c r="A28" t="s">
        <v>130</v>
      </c>
      <c r="B28" s="129">
        <f>'Keynes-M'!B$69</f>
        <v>1</v>
      </c>
      <c r="C28" s="129">
        <f>'Keynes-M'!D$69</f>
        <v>1.0158432711076204</v>
      </c>
      <c r="D28" s="129">
        <f>'Keynes-M'!F$69</f>
        <v>1.0317709457133857</v>
      </c>
      <c r="E28" s="129">
        <f>'Keynes-M'!H$69</f>
        <v>1.0478238411416312</v>
      </c>
      <c r="F28" s="129">
        <f>'Keynes-M'!J$69</f>
        <v>1.0640513321208618</v>
      </c>
      <c r="G28" s="129">
        <f>'Keynes-M'!L$69</f>
        <v>1.0805171311715118</v>
      </c>
      <c r="H28" s="129">
        <f>'Keynes-M'!N$69</f>
        <v>1.0973082321052452</v>
      </c>
      <c r="I28" s="129">
        <f>'Keynes-M'!P$69</f>
        <v>1.1145504033270597</v>
      </c>
      <c r="J28" s="129">
        <f>'Keynes-M'!R$69</f>
        <v>1.1324341732665788</v>
      </c>
      <c r="K28" s="129">
        <f>'Keynes-M'!T$69</f>
        <v>1.1512608993152726</v>
      </c>
      <c r="L28" s="129">
        <f>'Keynes-M'!V$69</f>
        <v>1.1715260932497844</v>
      </c>
      <c r="M28" s="129">
        <f>'Keynes-M'!X$69</f>
        <v>1.194073268361272</v>
      </c>
      <c r="N28" s="129">
        <f>'Keynes-M'!Z$69</f>
        <v>1.2203744809908907</v>
      </c>
      <c r="O28" s="129">
        <f>'Keynes-M'!AB$69</f>
        <v>1.2529849575657219</v>
      </c>
      <c r="P28" s="129">
        <f>'Keynes-M'!AD$69</f>
        <v>1.2959517358064956</v>
      </c>
      <c r="Q28" s="129" t="e">
        <f>'Keynes-M'!AF$69</f>
        <v>#DIV/0!</v>
      </c>
      <c r="R28" s="129"/>
      <c r="S28" s="129"/>
      <c r="T28" s="129"/>
      <c r="U28" s="129"/>
      <c r="V28" s="129"/>
      <c r="W28" s="129"/>
      <c r="X28" s="129"/>
      <c r="Y28" s="129"/>
    </row>
    <row r="29" spans="1:26" x14ac:dyDescent="0.2">
      <c r="A29" t="s">
        <v>146</v>
      </c>
      <c r="B29" s="129">
        <f>Keynesian!B$69</f>
        <v>1</v>
      </c>
      <c r="C29" s="129">
        <f>Keynesian!D$69</f>
        <v>0.97979417347181397</v>
      </c>
      <c r="D29" s="129">
        <f>Keynesian!F$69</f>
        <v>0.95726020175248594</v>
      </c>
      <c r="E29" s="129">
        <f>Keynesian!H$69</f>
        <v>0.93215043533526776</v>
      </c>
      <c r="F29" s="129">
        <f>Keynesian!J$69</f>
        <v>0.90420556649622308</v>
      </c>
      <c r="G29" s="129">
        <f>Keynesian!L$69</f>
        <v>0.87316654748984845</v>
      </c>
      <c r="H29" s="129">
        <f>Keynesian!N$69</f>
        <v>0.83879048915723453</v>
      </c>
      <c r="I29" s="129">
        <f>Keynesian!P$69</f>
        <v>0.80088042497973144</v>
      </c>
      <c r="J29" s="129">
        <f>Keynesian!R$69</f>
        <v>0.75933240498967092</v>
      </c>
      <c r="K29" s="129">
        <f>Keynesian!T$69</f>
        <v>0.7142211487514275</v>
      </c>
      <c r="L29" s="129">
        <f>Keynesian!V$69</f>
        <v>0.66598850028474732</v>
      </c>
      <c r="M29" s="129">
        <f>Keynesian!X$69</f>
        <v>0.61598340122840267</v>
      </c>
      <c r="N29" s="129" t="e">
        <f>Keynesian!Z$69</f>
        <v>#DIV/0!</v>
      </c>
      <c r="O29" s="129" t="e">
        <f>Keynesian!AB$69</f>
        <v>#DIV/0!</v>
      </c>
      <c r="P29" s="129"/>
      <c r="Q29" s="129"/>
      <c r="R29" s="129"/>
      <c r="S29" s="129"/>
      <c r="T29" s="129"/>
      <c r="U29" s="129"/>
      <c r="V29" s="129"/>
      <c r="W29" s="129"/>
      <c r="X29" s="129"/>
      <c r="Y29" s="129"/>
    </row>
    <row r="30" spans="1:26" x14ac:dyDescent="0.2">
      <c r="A30" t="s">
        <v>131</v>
      </c>
      <c r="B30" s="129">
        <f>'Keynes-K'!B$69</f>
        <v>1</v>
      </c>
      <c r="C30" s="129">
        <f>'Keynes-K'!D$69</f>
        <v>1.0068470227143056</v>
      </c>
      <c r="D30" s="129">
        <f>'Keynes-K'!F$69</f>
        <v>1.0130306531830959</v>
      </c>
      <c r="E30" s="129">
        <f>'Keynes-K'!H$69</f>
        <v>1.0185074175553797</v>
      </c>
      <c r="F30" s="129">
        <f>'Keynes-K'!J$69</f>
        <v>1.0232143941569181</v>
      </c>
      <c r="G30" s="129">
        <f>'Keynes-K'!L$69</f>
        <v>1.027065174742704</v>
      </c>
      <c r="H30" s="129">
        <f>'Keynes-K'!N$69</f>
        <v>1.0299430599648203</v>
      </c>
      <c r="I30" s="129">
        <f>'Keynes-K'!P$69</f>
        <v>1.0316917192847137</v>
      </c>
      <c r="J30" s="129">
        <f>'Keynes-K'!R$69</f>
        <v>1.0321009001985404</v>
      </c>
      <c r="K30" s="129">
        <f>'Keynes-K'!T$69</f>
        <v>1.0308845727851996</v>
      </c>
      <c r="L30" s="129">
        <f>'Keynes-K'!V$69</f>
        <v>1.0276461131163521</v>
      </c>
      <c r="M30" s="129">
        <f>'Keynes-K'!X$69</f>
        <v>1.0218198965620235</v>
      </c>
      <c r="N30" s="129">
        <f>'Keynes-K'!Z$69</f>
        <v>1.0125680804509323</v>
      </c>
      <c r="O30" s="129">
        <f>'Keynes-K'!AB$69</f>
        <v>0.99858397453408587</v>
      </c>
      <c r="P30" s="129">
        <f>'Keynes-K'!AD$69</f>
        <v>0.97768884089592256</v>
      </c>
      <c r="Q30" s="129">
        <f>'Keynes-K'!AF$69</f>
        <v>0.94593861470507079</v>
      </c>
      <c r="R30" s="129">
        <f>'Keynes-K'!AH$69</f>
        <v>0.89555682552656324</v>
      </c>
      <c r="S30" s="129">
        <f>'Keynes-K'!AJ$69</f>
        <v>0.81034951722977877</v>
      </c>
      <c r="T30" s="129">
        <f>'Keynes-K'!AL$69</f>
        <v>0.6576332458570241</v>
      </c>
      <c r="U30" s="129"/>
      <c r="V30" s="129"/>
      <c r="W30" s="129"/>
      <c r="X30" s="129"/>
      <c r="Y30" s="129"/>
    </row>
    <row r="31" spans="1:26" x14ac:dyDescent="0.2">
      <c r="A31" t="s">
        <v>142</v>
      </c>
      <c r="B31" s="129">
        <f>'Neo-K1'!B$69</f>
        <v>1</v>
      </c>
      <c r="C31" s="129">
        <f>'Neo-K1'!D$69</f>
        <v>0.99648336978545804</v>
      </c>
      <c r="D31" s="129">
        <f>'Neo-K1'!F$69</f>
        <v>0.9922511093291434</v>
      </c>
      <c r="E31" s="129">
        <f>'Neo-K1'!H$69</f>
        <v>0.98716517588304764</v>
      </c>
      <c r="F31" s="129">
        <f>'Neo-K1'!J$69</f>
        <v>0.98105111868177886</v>
      </c>
      <c r="G31" s="129">
        <f>'Neo-K1'!L$69</f>
        <v>0.97368718605039151</v>
      </c>
      <c r="H31" s="129">
        <f>'Neo-K1'!N$69</f>
        <v>0.96478707846021594</v>
      </c>
      <c r="I31" s="129">
        <f>'Neo-K1'!P$69</f>
        <v>0.95397750442197327</v>
      </c>
      <c r="J31" s="129">
        <f>'Neo-K1'!R$69</f>
        <v>0.94076583910406786</v>
      </c>
      <c r="K31" s="129">
        <f>'Neo-K1'!T$69</f>
        <v>0.92449405758325631</v>
      </c>
      <c r="L31" s="129">
        <f>'Neo-K1'!V$69</f>
        <v>0.90427527442354794</v>
      </c>
      <c r="M31" s="129">
        <f>'Neo-K1'!X$69</f>
        <v>0.87890607060072468</v>
      </c>
      <c r="N31" s="129">
        <f>'Neo-K1'!Z$69</f>
        <v>0.84675339771162683</v>
      </c>
      <c r="O31" s="129">
        <f>'Neo-K1'!AB$69</f>
        <v>0.80562554565884903</v>
      </c>
      <c r="P31" s="129">
        <f>'Neo-K1'!AD$69</f>
        <v>0.75266609450377775</v>
      </c>
      <c r="Q31" s="129">
        <f>'Neo-K1'!AF$69</f>
        <v>0.68436314923490771</v>
      </c>
      <c r="R31" s="129">
        <f>'Neo-K1'!AH$69</f>
        <v>0.59681663449013933</v>
      </c>
      <c r="S31" s="129">
        <f>'Neo-K1'!AJ$69</f>
        <v>0.48636119600054867</v>
      </c>
      <c r="T31" s="129">
        <f>'Neo-K1'!AL$69</f>
        <v>0.35040048428231674</v>
      </c>
      <c r="U31" s="129">
        <f>'Neo-K1'!AN$69</f>
        <v>0.18801927521404083</v>
      </c>
      <c r="V31" s="129">
        <f>'Neo-K1'!AP$69</f>
        <v>0.15241625125559993</v>
      </c>
      <c r="W31" s="129">
        <f>'Neo-K1'!AR$69</f>
        <v>0.11579712760715169</v>
      </c>
      <c r="X31" s="129">
        <f>'Neo-K1'!AT$69</f>
        <v>7.8176873188120027E-2</v>
      </c>
      <c r="Y31" s="129">
        <f>'Neo-K1'!AV$69</f>
        <v>3.9571931436339094E-2</v>
      </c>
    </row>
    <row r="32" spans="1:26" x14ac:dyDescent="0.2">
      <c r="A32" t="s">
        <v>141</v>
      </c>
      <c r="B32" s="129">
        <f>'Neo-K2'!B$69</f>
        <v>0</v>
      </c>
      <c r="C32" s="129">
        <f>'Neo-K2'!D$69</f>
        <v>0</v>
      </c>
      <c r="D32" s="129">
        <f>'Neo-K2'!F$69</f>
        <v>0</v>
      </c>
      <c r="E32" s="129">
        <f>'Neo-K2'!H$69</f>
        <v>0</v>
      </c>
      <c r="F32" s="129">
        <f>'Neo-K2'!J$69</f>
        <v>0</v>
      </c>
      <c r="G32" s="129">
        <f>'Neo-K2'!L$69</f>
        <v>0</v>
      </c>
      <c r="H32" s="129">
        <f>'Neo-K2'!N$69</f>
        <v>0</v>
      </c>
      <c r="I32" s="129">
        <f>'Neo-K2'!P$69</f>
        <v>0</v>
      </c>
      <c r="J32" s="129">
        <f>'Neo-K2'!R$69</f>
        <v>0</v>
      </c>
      <c r="K32" s="129">
        <f>'Neo-K2'!T$69</f>
        <v>0</v>
      </c>
      <c r="L32" s="129">
        <f>'Neo-K2'!V$69</f>
        <v>0</v>
      </c>
      <c r="M32" s="129">
        <f>'Neo-K2'!X$69</f>
        <v>0</v>
      </c>
      <c r="N32" s="129">
        <f>'Neo-K2'!Z$69</f>
        <v>0</v>
      </c>
      <c r="O32" s="129">
        <f>'Neo-K2'!AB$69</f>
        <v>0</v>
      </c>
      <c r="P32" s="129">
        <f>'Neo-K2'!AD$69</f>
        <v>0</v>
      </c>
      <c r="Q32" s="129">
        <f>'Neo-K2'!AF$69</f>
        <v>0</v>
      </c>
      <c r="R32" s="129">
        <f>'Neo-K2'!AH$69</f>
        <v>0</v>
      </c>
      <c r="S32" s="129">
        <f>'Neo-K2'!AJ$69</f>
        <v>0</v>
      </c>
      <c r="T32" s="129">
        <f>'Neo-K2'!AL$69</f>
        <v>0</v>
      </c>
      <c r="U32" s="129">
        <f>'Neo-K2'!AN$69</f>
        <v>0</v>
      </c>
      <c r="V32" s="129">
        <f>'Neo-K2'!AP$69</f>
        <v>0</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0.56579827058704746</v>
      </c>
      <c r="D36" s="167">
        <f>NeoClassical!F$43</f>
        <v>0.56438743824727899</v>
      </c>
      <c r="E36" s="167">
        <f>NeoClassical!H$43</f>
        <v>0.56296738184706674</v>
      </c>
      <c r="F36" s="167">
        <f>NeoClassical!J$43</f>
        <v>0.56153748713784801</v>
      </c>
      <c r="G36" s="167">
        <f>NeoClassical!L$43</f>
        <v>0.56009731225855752</v>
      </c>
      <c r="H36" s="167">
        <f>NeoClassical!N$43</f>
        <v>0.55864679482981816</v>
      </c>
      <c r="I36" s="167">
        <f>NeoClassical!P$43</f>
        <v>0.55718650383839319</v>
      </c>
      <c r="J36" s="167">
        <f>NeoClassical!R$43</f>
        <v>0.55571808300579351</v>
      </c>
      <c r="K36" s="167">
        <f>NeoClassical!T$43</f>
        <v>0.55424504637317462</v>
      </c>
      <c r="L36" s="167">
        <f>NeoClassical!V$43</f>
        <v>0.55277397833485464</v>
      </c>
      <c r="M36" s="167">
        <f>NeoClassical!X$43</f>
        <v>0.55131658382597037</v>
      </c>
      <c r="N36" s="167">
        <f>NeoClassical!Z$43</f>
        <v>0.54989306187837206</v>
      </c>
      <c r="O36" s="167">
        <f>NeoClassical!AB$43</f>
        <v>0.54853750907572818</v>
      </c>
      <c r="P36" s="167">
        <f>NeoClassical!AD$43</f>
        <v>0.54730579735697005</v>
      </c>
      <c r="Q36" s="167">
        <f>NeoClassical!AF$43</f>
        <v>0.54628235281865689</v>
      </c>
      <c r="R36" s="167">
        <f>NeoClassical!AH$43</f>
        <v>0.54556746301667425</v>
      </c>
      <c r="S36" s="167">
        <f>NeoClassical!AJ$43</f>
        <v>0.5452059536805558</v>
      </c>
      <c r="T36" s="167">
        <f>NeoClassical!AL$43</f>
        <v>0.54509925797687442</v>
      </c>
      <c r="U36" s="167">
        <f>NeoClassical!AN$43</f>
        <v>0.54508573309079411</v>
      </c>
      <c r="V36" s="167">
        <f>NeoClassical!AP$43</f>
        <v>0.54508550034885295</v>
      </c>
      <c r="W36" s="167">
        <f>NeoClassical!AR$43</f>
        <v>0.54508541573268354</v>
      </c>
      <c r="X36" s="167">
        <f>NeoClassical!AT$43</f>
        <v>0.54508539155278912</v>
      </c>
      <c r="Y36" s="167">
        <f>NeoClassical!AV$43</f>
        <v>0.5450853866121167</v>
      </c>
      <c r="Z36" s="129"/>
    </row>
    <row r="37" spans="1:26" x14ac:dyDescent="0.2">
      <c r="A37" t="s">
        <v>147</v>
      </c>
      <c r="B37" s="167">
        <f>Kaldorian!B$43</f>
        <v>0.56058995943839207</v>
      </c>
      <c r="C37" s="167">
        <f>Kaldorian!D$43</f>
        <v>0.561310972223796</v>
      </c>
      <c r="D37" s="167">
        <f>Kaldorian!F$43</f>
        <v>0.55518872160428312</v>
      </c>
      <c r="E37" s="167">
        <f>Kaldorian!H$43</f>
        <v>0.54879926756609487</v>
      </c>
      <c r="F37" s="167">
        <f>Kaldorian!J$43</f>
        <v>0.54210011223185761</v>
      </c>
      <c r="G37" s="167">
        <f>Kaldorian!L$43</f>
        <v>0.53503810845489419</v>
      </c>
      <c r="H37" s="167">
        <f>Kaldorian!N$43</f>
        <v>0.52754473807551994</v>
      </c>
      <c r="I37" s="167">
        <f>Kaldorian!P$43</f>
        <v>0.51952988817543932</v>
      </c>
      <c r="J37" s="167">
        <f>Kaldorian!R$43</f>
        <v>0.51087067606874603</v>
      </c>
      <c r="K37" s="167">
        <f>Kaldorian!T$43</f>
        <v>0.50139320333287241</v>
      </c>
      <c r="L37" s="167">
        <f>Kaldorian!V$43</f>
        <v>0.49083995079170156</v>
      </c>
      <c r="M37" s="167">
        <f>Kaldorian!X$43</f>
        <v>0.47880975484307997</v>
      </c>
      <c r="N37" s="167">
        <f>Kaldorian!Z$43</f>
        <v>0.46464042108206566</v>
      </c>
      <c r="O37" s="167">
        <f>Kaldorian!AB$43</f>
        <v>0.44716630141226832</v>
      </c>
      <c r="P37" s="167">
        <f>Kaldorian!AD$43</f>
        <v>0.4241890401440303</v>
      </c>
      <c r="Q37" s="167">
        <f>Kaldorian!AF$43</f>
        <v>0.39127434274685446</v>
      </c>
      <c r="R37" s="167">
        <f>Kaldorian!AH$43</f>
        <v>0.33896951318390534</v>
      </c>
      <c r="S37" s="167">
        <f>Kaldorian!AJ$43</f>
        <v>0.24564077385192196</v>
      </c>
      <c r="T37" s="167">
        <f>Kaldorian!AL$43</f>
        <v>4.6645109422502357E-2</v>
      </c>
      <c r="U37" s="167"/>
      <c r="V37" s="167"/>
      <c r="W37" s="167"/>
      <c r="X37" s="167"/>
      <c r="Y37" s="167"/>
      <c r="Z37" s="129"/>
    </row>
    <row r="38" spans="1:26" x14ac:dyDescent="0.2">
      <c r="A38" t="s">
        <v>90</v>
      </c>
      <c r="B38" s="167">
        <f>Johansen!B$43</f>
        <v>0.56058995943839207</v>
      </c>
      <c r="C38" s="167">
        <f>Johansen!D$43</f>
        <v>0.5657871366638485</v>
      </c>
      <c r="D38" s="167">
        <f>Johansen!F$43</f>
        <v>0.56436432167076689</v>
      </c>
      <c r="E38" s="167">
        <f>Johansen!H$43</f>
        <v>0.56293136652874964</v>
      </c>
      <c r="F38" s="167">
        <f>Johansen!J$43</f>
        <v>0.56148760195292891</v>
      </c>
      <c r="G38" s="167">
        <f>Johansen!L$43</f>
        <v>0.56003256099218646</v>
      </c>
      <c r="H38" s="167">
        <f>Johansen!N$43</f>
        <v>0.55856621097563541</v>
      </c>
      <c r="I38" s="167">
        <f>Johansen!P$43</f>
        <v>0.55708924092340673</v>
      </c>
      <c r="J38" s="167">
        <f>Johansen!R$43</f>
        <v>0.55560356087548124</v>
      </c>
      <c r="K38" s="167">
        <f>Johansen!T$43</f>
        <v>0.55411318484143601</v>
      </c>
      <c r="L38" s="167">
        <f>Johansen!V$43</f>
        <v>0.5526255739744681</v>
      </c>
      <c r="M38" s="167">
        <f>Johansen!X$43</f>
        <v>0.55115390401324127</v>
      </c>
      <c r="N38" s="167">
        <f>Johansen!Z$43</f>
        <v>0.54972076917734669</v>
      </c>
      <c r="O38" s="167">
        <f>Johansen!AB$43</f>
        <v>0.54836408355954702</v>
      </c>
      <c r="P38" s="167">
        <f>Johansen!AD$43</f>
        <v>0.54714524702695089</v>
      </c>
      <c r="Q38" s="167">
        <f>Johansen!AF$43</f>
        <v>0.54615462670409942</v>
      </c>
      <c r="R38" s="167">
        <f>Johansen!AH$43</f>
        <v>0.54549117001925429</v>
      </c>
      <c r="S38" s="167">
        <f>Johansen!AJ$43</f>
        <v>0.54517873528677663</v>
      </c>
      <c r="T38" s="167">
        <f>Johansen!AL$43</f>
        <v>0.54509509735714434</v>
      </c>
      <c r="U38" s="167">
        <f>Johansen!AN$43</f>
        <v>0.54508560614133716</v>
      </c>
      <c r="V38" s="167">
        <f>Johansen!AP$43</f>
        <v>0.54508545793909113</v>
      </c>
      <c r="W38" s="167">
        <f>Johansen!AR$43</f>
        <v>0.54508540487725665</v>
      </c>
      <c r="X38" s="167">
        <f>Johansen!AT$43</f>
        <v>0.54508538964382935</v>
      </c>
      <c r="Y38" s="167">
        <f>Johansen!AV$43</f>
        <v>0.54508538651705596</v>
      </c>
      <c r="Z38" s="129"/>
    </row>
    <row r="39" spans="1:26" x14ac:dyDescent="0.2">
      <c r="A39" t="s">
        <v>130</v>
      </c>
      <c r="B39" s="167">
        <f>'Keynes-M'!B$43</f>
        <v>0.56058995943839207</v>
      </c>
      <c r="C39" s="167">
        <f>'Keynes-M'!D$43</f>
        <v>0.5807654763870489</v>
      </c>
      <c r="D39" s="167">
        <f>'Keynes-M'!F$43</f>
        <v>0.59466927290350347</v>
      </c>
      <c r="E39" s="167">
        <f>'Keynes-M'!H$43</f>
        <v>0.60899283767244183</v>
      </c>
      <c r="F39" s="167">
        <f>'Keynes-M'!J$43</f>
        <v>0.62383660499855997</v>
      </c>
      <c r="G39" s="167">
        <f>'Keynes-M'!L$43</f>
        <v>0.63932975842617545</v>
      </c>
      <c r="H39" s="167">
        <f>'Keynes-M'!N$43</f>
        <v>0.65564468693795408</v>
      </c>
      <c r="I39" s="167">
        <f>'Keynes-M'!P$43</f>
        <v>0.67302035146171058</v>
      </c>
      <c r="J39" s="167">
        <f>'Keynes-M'!R$43</f>
        <v>0.69180117083706449</v>
      </c>
      <c r="K39" s="167">
        <f>'Keynes-M'!T$43</f>
        <v>0.7125044426224304</v>
      </c>
      <c r="L39" s="167">
        <f>'Keynes-M'!V$43</f>
        <v>0.73594144842526621</v>
      </c>
      <c r="M39" s="167">
        <f>'Keynes-M'!X$43</f>
        <v>0.76344255676783412</v>
      </c>
      <c r="N39" s="167">
        <f>'Keynes-M'!Z$43</f>
        <v>0.7972819497812863</v>
      </c>
      <c r="O39" s="167">
        <f>'Keynes-M'!AB$43</f>
        <v>0.84144378765200278</v>
      </c>
      <c r="P39" s="167">
        <f>'Keynes-M'!AD$43</f>
        <v>0.90272796209155914</v>
      </c>
      <c r="Q39" s="167" t="e">
        <f>'Keynes-M'!AF$43</f>
        <v>#DIV/0!</v>
      </c>
      <c r="R39" s="167"/>
      <c r="S39" s="167"/>
      <c r="T39" s="167"/>
      <c r="U39" s="167"/>
      <c r="V39" s="167"/>
      <c r="W39" s="167"/>
      <c r="X39" s="167"/>
      <c r="Y39" s="167"/>
    </row>
    <row r="40" spans="1:26" x14ac:dyDescent="0.2">
      <c r="A40" t="s">
        <v>146</v>
      </c>
      <c r="B40" s="167">
        <f>Keynesian!B$43</f>
        <v>0.56058995943839207</v>
      </c>
      <c r="C40" s="167">
        <f>Keynesian!D$43</f>
        <v>0.57451572899101488</v>
      </c>
      <c r="D40" s="167">
        <f>Keynesian!F$43</f>
        <v>0.58180492490347402</v>
      </c>
      <c r="E40" s="167">
        <f>Keynesian!H$43</f>
        <v>0.58904141579820468</v>
      </c>
      <c r="F40" s="167">
        <f>Keynesian!J$43</f>
        <v>0.59619125267706374</v>
      </c>
      <c r="G40" s="167">
        <f>Keynesian!L$43</f>
        <v>0.60321374969209363</v>
      </c>
      <c r="H40" s="167">
        <f>Keynesian!N$43</f>
        <v>0.6100583560908247</v>
      </c>
      <c r="I40" s="167">
        <f>Keynesian!P$43</f>
        <v>0.6166646232602534</v>
      </c>
      <c r="J40" s="167">
        <f>Keynesian!R$43</f>
        <v>0.62295889483537792</v>
      </c>
      <c r="K40" s="167">
        <f>Keynesian!T$43</f>
        <v>0.62884688220213658</v>
      </c>
      <c r="L40" s="167">
        <f>Keynesian!V$43</f>
        <v>0.6341983487402737</v>
      </c>
      <c r="M40" s="167">
        <f>Keynesian!X$43</f>
        <v>0.6387807425706169</v>
      </c>
      <c r="N40" s="167" t="e">
        <f>Keynesian!Z$43</f>
        <v>#DIV/0!</v>
      </c>
      <c r="O40" s="167" t="e">
        <f>Keynesian!AB$43</f>
        <v>#DIV/0!</v>
      </c>
      <c r="P40" s="167"/>
      <c r="Q40" s="167"/>
      <c r="R40" s="167"/>
      <c r="S40" s="167"/>
      <c r="T40" s="167"/>
      <c r="U40" s="167"/>
      <c r="V40" s="167"/>
      <c r="W40" s="167"/>
      <c r="X40" s="167"/>
      <c r="Y40" s="167"/>
    </row>
    <row r="41" spans="1:26" x14ac:dyDescent="0.2">
      <c r="A41" t="s">
        <v>131</v>
      </c>
      <c r="B41" s="167">
        <f>'Keynes-K'!B$43</f>
        <v>0.56058995943839207</v>
      </c>
      <c r="C41" s="167">
        <f>'Keynes-K'!D$43</f>
        <v>0.5608277336710451</v>
      </c>
      <c r="D41" s="167">
        <f>'Keynes-K'!F$43</f>
        <v>0.55427715744380268</v>
      </c>
      <c r="E41" s="167">
        <f>'Keynes-K'!H$43</f>
        <v>0.54751249426391857</v>
      </c>
      <c r="F41" s="167">
        <f>'Keynes-K'!J$43</f>
        <v>0.54049075367002108</v>
      </c>
      <c r="G41" s="167">
        <f>'Keynes-K'!L$43</f>
        <v>0.53315979134880553</v>
      </c>
      <c r="H41" s="167">
        <f>'Keynes-K'!N$43</f>
        <v>0.52545428180814713</v>
      </c>
      <c r="I41" s="167">
        <f>'Keynes-K'!P$43</f>
        <v>0.51728991135702118</v>
      </c>
      <c r="J41" s="167">
        <f>'Keynes-K'!R$43</f>
        <v>0.50855406364510425</v>
      </c>
      <c r="K41" s="167">
        <f>'Keynes-K'!T$43</f>
        <v>0.4990908442434287</v>
      </c>
      <c r="L41" s="167">
        <f>'Keynes-K'!V$43</f>
        <v>0.48867559263966243</v>
      </c>
      <c r="M41" s="167">
        <f>'Keynes-K'!X$43</f>
        <v>0.47697095227819297</v>
      </c>
      <c r="N41" s="167">
        <f>'Keynes-K'!Z$43</f>
        <v>0.46344788654344748</v>
      </c>
      <c r="O41" s="167">
        <f>'Keynes-K'!AB$43</f>
        <v>0.44724055434741006</v>
      </c>
      <c r="P41" s="167">
        <f>'Keynes-K'!AD$43</f>
        <v>0.42687963861096218</v>
      </c>
      <c r="Q41" s="167">
        <f>'Keynes-K'!AF$43</f>
        <v>0.39983337824182802</v>
      </c>
      <c r="R41" s="167">
        <f>'Keynes-K'!AH$43</f>
        <v>0.3619077860095159</v>
      </c>
      <c r="S41" s="167">
        <f>'Keynes-K'!AJ$43</f>
        <v>0.30724465961128178</v>
      </c>
      <c r="T41" s="167">
        <f>'Keynes-K'!AL$43</f>
        <v>0.23188786491210767</v>
      </c>
      <c r="U41" s="167"/>
      <c r="V41" s="167"/>
      <c r="W41" s="167"/>
      <c r="X41" s="167"/>
      <c r="Y41" s="167"/>
    </row>
    <row r="42" spans="1:26" x14ac:dyDescent="0.2">
      <c r="A42" t="s">
        <v>142</v>
      </c>
      <c r="B42" s="167">
        <f>'Neo-K1'!B$43</f>
        <v>0.56058995943839207</v>
      </c>
      <c r="C42" s="167">
        <f>'Neo-K1'!D$43</f>
        <v>0.56690273319446993</v>
      </c>
      <c r="D42" s="167">
        <f>'Neo-K1'!F$43</f>
        <v>0.56661170566088126</v>
      </c>
      <c r="E42" s="167">
        <f>'Neo-K1'!H$43</f>
        <v>0.56632576141364122</v>
      </c>
      <c r="F42" s="167">
        <f>'Neo-K1'!J$43</f>
        <v>0.5660424259701845</v>
      </c>
      <c r="G42" s="167">
        <f>'Neo-K1'!L$43</f>
        <v>0.56575815817131114</v>
      </c>
      <c r="H42" s="167">
        <f>'Neo-K1'!N$43</f>
        <v>0.56546797832554929</v>
      </c>
      <c r="I42" s="167">
        <f>'Neo-K1'!P$43</f>
        <v>0.56516495207309303</v>
      </c>
      <c r="J42" s="167">
        <f>'Neo-K1'!R$43</f>
        <v>0.56483952487197342</v>
      </c>
      <c r="K42" s="167">
        <f>'Neo-K1'!T$43</f>
        <v>0.56447863815255972</v>
      </c>
      <c r="L42" s="167">
        <f>'Neo-K1'!V$43</f>
        <v>0.56406472034295041</v>
      </c>
      <c r="M42" s="167">
        <f>'Neo-K1'!X$43</f>
        <v>0.56357451474133624</v>
      </c>
      <c r="N42" s="167">
        <f>'Neo-K1'!Z$43</f>
        <v>0.56297823590941354</v>
      </c>
      <c r="O42" s="167">
        <f>'Neo-K1'!AB$43</f>
        <v>0.56223968259662827</v>
      </c>
      <c r="P42" s="167">
        <f>'Neo-K1'!AD$43</f>
        <v>0.56131881817925455</v>
      </c>
      <c r="Q42" s="167">
        <f>'Neo-K1'!AF$43</f>
        <v>0.56017864912590409</v>
      </c>
      <c r="R42" s="167">
        <f>'Neo-K1'!AH$43</f>
        <v>0.55879716620620001</v>
      </c>
      <c r="S42" s="167">
        <f>'Neo-K1'!AJ$43</f>
        <v>0.55718090960993971</v>
      </c>
      <c r="T42" s="167">
        <f>'Neo-K1'!AL$43</f>
        <v>0.55537134479592798</v>
      </c>
      <c r="U42" s="167">
        <f>'Neo-K1'!AN$43</f>
        <v>0.55343656719404577</v>
      </c>
      <c r="V42" s="167">
        <f>'Neo-K1'!AP$43</f>
        <v>0.5530413229532688</v>
      </c>
      <c r="W42" s="167">
        <f>'Neo-K1'!AR$43</f>
        <v>0.55264469965344298</v>
      </c>
      <c r="X42" s="167">
        <f>'Neo-K1'!AT$43</f>
        <v>0.55224725251525264</v>
      </c>
      <c r="Y42" s="167">
        <f>'Neo-K1'!AV$43</f>
        <v>0.55184950889708773</v>
      </c>
    </row>
    <row r="43" spans="1:26" x14ac:dyDescent="0.2">
      <c r="A43" t="s">
        <v>141</v>
      </c>
      <c r="B43" s="167">
        <f>'Neo-K2'!B$43</f>
        <v>0</v>
      </c>
      <c r="C43" s="167">
        <f>'Neo-K2'!D$43</f>
        <v>0</v>
      </c>
      <c r="D43" s="167">
        <f>'Neo-K2'!F$43</f>
        <v>0</v>
      </c>
      <c r="E43" s="167">
        <f>'Neo-K2'!H$43</f>
        <v>0</v>
      </c>
      <c r="F43" s="167">
        <f>'Neo-K2'!J$43</f>
        <v>0</v>
      </c>
      <c r="G43" s="167">
        <f>'Neo-K2'!L$43</f>
        <v>0</v>
      </c>
      <c r="H43" s="167">
        <f>'Neo-K2'!N$43</f>
        <v>0</v>
      </c>
      <c r="I43" s="167">
        <f>'Neo-K2'!P$43</f>
        <v>0</v>
      </c>
      <c r="J43" s="167">
        <f>'Neo-K2'!R$43</f>
        <v>0</v>
      </c>
      <c r="K43" s="167">
        <f>'Neo-K2'!T$43</f>
        <v>0</v>
      </c>
      <c r="L43" s="167">
        <f>'Neo-K2'!V$43</f>
        <v>0</v>
      </c>
      <c r="M43" s="167">
        <f>'Neo-K2'!X$43</f>
        <v>0</v>
      </c>
      <c r="N43" s="167">
        <f>'Neo-K2'!Z$43</f>
        <v>0</v>
      </c>
      <c r="O43" s="167">
        <f>'Neo-K2'!AB$43</f>
        <v>0</v>
      </c>
      <c r="P43" s="167">
        <f>'Neo-K2'!AD$43</f>
        <v>0</v>
      </c>
      <c r="Q43" s="167">
        <f>'Neo-K2'!AF$43</f>
        <v>0</v>
      </c>
      <c r="R43" s="167">
        <f>'Neo-K2'!AH$43</f>
        <v>0</v>
      </c>
      <c r="S43" s="167">
        <f>'Neo-K2'!AJ$43</f>
        <v>0</v>
      </c>
      <c r="T43" s="167">
        <f>'Neo-K2'!AL$43</f>
        <v>0</v>
      </c>
      <c r="U43" s="167">
        <f>'Neo-K2'!AN$43</f>
        <v>0</v>
      </c>
      <c r="V43" s="167">
        <f>'Neo-K2'!AP$43</f>
        <v>0</v>
      </c>
      <c r="W43" s="167">
        <f>'Neo-K2'!AR$43</f>
        <v>0</v>
      </c>
      <c r="X43" s="167">
        <f>'Neo-K2'!AT$43</f>
        <v>0</v>
      </c>
      <c r="Y43" s="167">
        <f>'Neo-K2'!AV$43</f>
        <v>0</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1.0124980892478193</v>
      </c>
      <c r="D47" s="129">
        <f>NeoClassical!F$48</f>
        <v>1.0251546785014567</v>
      </c>
      <c r="E47" s="129">
        <f>NeoClassical!H$48</f>
        <v>1.0379877770442663</v>
      </c>
      <c r="F47" s="129">
        <f>NeoClassical!J$48</f>
        <v>1.0510189340519107</v>
      </c>
      <c r="G47" s="129">
        <f>NeoClassical!L$48</f>
        <v>1.0642744181767649</v>
      </c>
      <c r="H47" s="129">
        <f>NeoClassical!N$48</f>
        <v>1.07778735996677</v>
      </c>
      <c r="I47" s="129">
        <f>NeoClassical!P$48</f>
        <v>1.0916014014529674</v>
      </c>
      <c r="J47" s="129">
        <f>NeoClassical!R$48</f>
        <v>1.1057767378530687</v>
      </c>
      <c r="K47" s="129">
        <f>NeoClassical!T$48</f>
        <v>1.1204010019656783</v>
      </c>
      <c r="L47" s="129">
        <f>NeoClassical!V$48</f>
        <v>1.1356087263211057</v>
      </c>
      <c r="M47" s="129">
        <f>NeoClassical!X$48</f>
        <v>1.1516176207933333</v>
      </c>
      <c r="N47" s="129">
        <f>NeoClassical!Z$48</f>
        <v>1.1687976182591262</v>
      </c>
      <c r="O47" s="129">
        <f>NeoClassical!AB$48</f>
        <v>1.1878043950808217</v>
      </c>
      <c r="P47" s="129">
        <f>NeoClassical!AD$48</f>
        <v>1.2098315558882269</v>
      </c>
      <c r="Q47" s="129">
        <f>NeoClassical!AF$48</f>
        <v>1.2370257223779131</v>
      </c>
      <c r="R47" s="129">
        <f>NeoClassical!AH$48</f>
        <v>1.2728055922737609</v>
      </c>
      <c r="S47" s="129">
        <f>NeoClassical!AJ$48</f>
        <v>1.3205982396362841</v>
      </c>
      <c r="T47" s="129">
        <f>NeoClassical!AL$48</f>
        <v>1.3775930474116729</v>
      </c>
      <c r="U47" s="129">
        <f>NeoClassical!AN$48</f>
        <v>1.4010314785956959</v>
      </c>
      <c r="V47" s="129">
        <f>NeoClassical!AP$48</f>
        <v>1.3803509467462782</v>
      </c>
      <c r="W47" s="129">
        <f>NeoClassical!AR$48</f>
        <v>1.3301193633507016</v>
      </c>
      <c r="X47" s="129">
        <f>NeoClassical!AT$48</f>
        <v>1.2149901355242709</v>
      </c>
      <c r="Y47" s="129">
        <f>NeoClassical!AV$48</f>
        <v>0.92934824064924215</v>
      </c>
    </row>
    <row r="48" spans="1:26" x14ac:dyDescent="0.2">
      <c r="A48" t="s">
        <v>147</v>
      </c>
      <c r="B48" s="129">
        <f>Kaldorian!B$48</f>
        <v>1</v>
      </c>
      <c r="C48" s="129">
        <f>Kaldorian!D$48</f>
        <v>1.0017313006985811</v>
      </c>
      <c r="D48" s="129">
        <f>Kaldorian!F$48</f>
        <v>1.0033513299309105</v>
      </c>
      <c r="E48" s="129">
        <f>Kaldorian!H$48</f>
        <v>1.004842054176442</v>
      </c>
      <c r="F48" s="129">
        <f>Kaldorian!J$48</f>
        <v>1.0061814191961547</v>
      </c>
      <c r="G48" s="129">
        <f>Kaldorian!L$48</f>
        <v>1.0073417509158931</v>
      </c>
      <c r="H48" s="129">
        <f>Kaldorian!N$48</f>
        <v>1.0082886810303413</v>
      </c>
      <c r="I48" s="129">
        <f>Kaldorian!P$48</f>
        <v>1.0089782338071904</v>
      </c>
      <c r="J48" s="129">
        <f>Kaldorian!R$48</f>
        <v>1.0093536205108813</v>
      </c>
      <c r="K48" s="129">
        <f>Kaldorian!T$48</f>
        <v>1.0093401920820411</v>
      </c>
      <c r="L48" s="129">
        <f>Kaldorian!V$48</f>
        <v>1.0088375118803203</v>
      </c>
      <c r="M48" s="129">
        <f>Kaldorian!X$48</f>
        <v>1.0077067760201097</v>
      </c>
      <c r="N48" s="129">
        <f>Kaldorian!Z$48</f>
        <v>1.0057490292900586</v>
      </c>
      <c r="O48" s="129">
        <f>Kaldorian!AB$48</f>
        <v>1.0026645139238175</v>
      </c>
      <c r="P48" s="129">
        <f>Kaldorian!AD$48</f>
        <v>0.99796700461552545</v>
      </c>
      <c r="Q48" s="129">
        <f>Kaldorian!AF$48</f>
        <v>0.99077549910067853</v>
      </c>
      <c r="R48" s="129">
        <f>Kaldorian!AH$48</f>
        <v>0.97922123908389136</v>
      </c>
      <c r="S48" s="129">
        <f>Kaldorian!AJ$48</f>
        <v>0.95860443392073547</v>
      </c>
      <c r="T48" s="129">
        <f>Kaldorian!AL$48</f>
        <v>0.91521875796801355</v>
      </c>
      <c r="U48" s="129"/>
      <c r="V48" s="129"/>
      <c r="W48" s="129"/>
      <c r="X48" s="129"/>
      <c r="Y48" s="129"/>
    </row>
    <row r="49" spans="1:25" x14ac:dyDescent="0.2">
      <c r="A49" t="s">
        <v>90</v>
      </c>
      <c r="B49" s="129">
        <f>Johansen!B$48</f>
        <v>1</v>
      </c>
      <c r="C49" s="129">
        <f>Johansen!D$48</f>
        <v>1.0017299096800794</v>
      </c>
      <c r="D49" s="129">
        <f>Johansen!F$48</f>
        <v>1.0033474695452518</v>
      </c>
      <c r="E49" s="129">
        <f>Johansen!H$48</f>
        <v>1.0048344662010082</v>
      </c>
      <c r="F49" s="129">
        <f>Johansen!J$48</f>
        <v>1.0061686222995172</v>
      </c>
      <c r="G49" s="129">
        <f>Johansen!L$48</f>
        <v>1.0073223302803613</v>
      </c>
      <c r="H49" s="129">
        <f>Johansen!N$48</f>
        <v>1.008260914517519</v>
      </c>
      <c r="I49" s="129">
        <f>Johansen!P$48</f>
        <v>1.0089403340693055</v>
      </c>
      <c r="J49" s="129">
        <f>Johansen!R$48</f>
        <v>1.0093038383433366</v>
      </c>
      <c r="K49" s="129">
        <f>Johansen!T$48</f>
        <v>1.0092768765896447</v>
      </c>
      <c r="L49" s="129">
        <f>Johansen!V$48</f>
        <v>1.008759452825138</v>
      </c>
      <c r="M49" s="129">
        <f>Johansen!X$48</f>
        <v>1.0076136769613877</v>
      </c>
      <c r="N49" s="129">
        <f>Johansen!Z$48</f>
        <v>1.005642391372612</v>
      </c>
      <c r="O49" s="129">
        <f>Johansen!AB$48</f>
        <v>1.0025490161701056</v>
      </c>
      <c r="P49" s="129">
        <f>Johansen!AD$48</f>
        <v>0.99785270987387908</v>
      </c>
      <c r="Q49" s="129">
        <f>Johansen!AF$48</f>
        <v>0.99067932623908161</v>
      </c>
      <c r="R49" s="129">
        <f>Johansen!AH$48</f>
        <v>0.97916188106929314</v>
      </c>
      <c r="S49" s="129">
        <f>Johansen!AJ$48</f>
        <v>0.95858358345455419</v>
      </c>
      <c r="T49" s="129">
        <f>Johansen!AL$48</f>
        <v>0.91521594037777299</v>
      </c>
      <c r="U49" s="129">
        <f>Johansen!AN$48</f>
        <v>0.7953548675959845</v>
      </c>
      <c r="V49" s="129">
        <f>Johansen!AP$48</f>
        <v>0.74478251757951708</v>
      </c>
      <c r="W49" s="129">
        <f>Johansen!AR$48</f>
        <v>0.67269502251472513</v>
      </c>
      <c r="X49" s="129">
        <f>Johansen!AT$48</f>
        <v>0.56275793300183774</v>
      </c>
      <c r="Y49" s="129">
        <f>Johansen!AV$48</f>
        <v>0.37678058796932051</v>
      </c>
    </row>
    <row r="50" spans="1:25" x14ac:dyDescent="0.2">
      <c r="A50" t="s">
        <v>130</v>
      </c>
      <c r="B50" s="129">
        <f>'Keynes-M'!B$48</f>
        <v>1</v>
      </c>
      <c r="C50" s="129">
        <f>'Keynes-M'!D$48</f>
        <v>1.0161310520795177</v>
      </c>
      <c r="D50" s="129">
        <f>'Keynes-M'!F$48</f>
        <v>1.0323690302053272</v>
      </c>
      <c r="E50" s="129">
        <f>'Keynes-M'!H$48</f>
        <v>1.04875750638062</v>
      </c>
      <c r="F50" s="129">
        <f>'Keynes-M'!J$48</f>
        <v>1.0653488054910747</v>
      </c>
      <c r="G50" s="129">
        <f>'Keynes-M'!L$48</f>
        <v>1.0822096342594556</v>
      </c>
      <c r="H50" s="129">
        <f>'Keynes-M'!N$48</f>
        <v>1.0994297506245658</v>
      </c>
      <c r="I50" s="129">
        <f>'Keynes-M'!P$48</f>
        <v>1.1171369141303404</v>
      </c>
      <c r="J50" s="129">
        <f>'Keynes-M'!R$48</f>
        <v>1.1355218591523928</v>
      </c>
      <c r="K50" s="129">
        <f>'Keynes-M'!T$48</f>
        <v>1.1548824661099735</v>
      </c>
      <c r="L50" s="129">
        <f>'Keynes-M'!V$48</f>
        <v>1.1757034846360617</v>
      </c>
      <c r="M50" s="129">
        <f>'Keynes-M'!X$48</f>
        <v>1.1988035272595181</v>
      </c>
      <c r="N50" s="129">
        <f>'Keynes-M'!Z$48</f>
        <v>1.2256029871314877</v>
      </c>
      <c r="O50" s="129">
        <f>'Keynes-M'!AB$48</f>
        <v>1.2585589129709425</v>
      </c>
      <c r="P50" s="129">
        <f>'Keynes-M'!AD$48</f>
        <v>1.3015616198692332</v>
      </c>
      <c r="Q50" s="129">
        <f>'Keynes-M'!AF$48</f>
        <v>0</v>
      </c>
      <c r="R50" s="129"/>
      <c r="S50" s="129"/>
      <c r="T50" s="129"/>
      <c r="U50" s="129"/>
      <c r="V50" s="129"/>
      <c r="W50" s="129"/>
      <c r="X50" s="129"/>
      <c r="Y50" s="129"/>
    </row>
    <row r="51" spans="1:25" x14ac:dyDescent="0.2">
      <c r="A51" t="s">
        <v>146</v>
      </c>
      <c r="B51" s="129">
        <f>Keynesian!B$48</f>
        <v>1</v>
      </c>
      <c r="C51" s="129">
        <f>Keynesian!D$48</f>
        <v>0.9798900921525342</v>
      </c>
      <c r="D51" s="129">
        <f>Keynesian!F$48</f>
        <v>0.95744545841287187</v>
      </c>
      <c r="E51" s="129">
        <f>Keynesian!H$48</f>
        <v>0.93241733470748478</v>
      </c>
      <c r="F51" s="129">
        <f>Keynesian!J$48</f>
        <v>0.90454527744499824</v>
      </c>
      <c r="G51" s="129">
        <f>Keynesian!L$48</f>
        <v>0.87356917067567186</v>
      </c>
      <c r="H51" s="129">
        <f>Keynesian!N$48</f>
        <v>0.83924529548427185</v>
      </c>
      <c r="I51" s="129">
        <f>Keynesian!P$48</f>
        <v>0.80137636414023916</v>
      </c>
      <c r="J51" s="129">
        <f>Keynesian!R$48</f>
        <v>0.7598591204962083</v>
      </c>
      <c r="K51" s="129">
        <f>Keynesian!T$48</f>
        <v>0.71477100738587862</v>
      </c>
      <c r="L51" s="129">
        <f>Keynesian!V$48</f>
        <v>0.66656108125092006</v>
      </c>
      <c r="M51" s="129">
        <f>Keynesian!X$48</f>
        <v>0.61659795139388307</v>
      </c>
      <c r="N51" s="129">
        <f>Keynesian!Z$48</f>
        <v>0</v>
      </c>
      <c r="O51" s="129">
        <f>Keynesian!AB$48</f>
        <v>0</v>
      </c>
      <c r="P51" s="129"/>
      <c r="Q51" s="129"/>
      <c r="R51" s="129"/>
      <c r="S51" s="129"/>
      <c r="T51" s="129"/>
      <c r="U51" s="129"/>
      <c r="V51" s="129"/>
      <c r="W51" s="129"/>
      <c r="X51" s="129"/>
      <c r="Y51" s="129"/>
    </row>
    <row r="52" spans="1:25" x14ac:dyDescent="0.2">
      <c r="A52" t="s">
        <v>131</v>
      </c>
      <c r="B52" s="129">
        <f>'Keynes-K'!B$48</f>
        <v>1</v>
      </c>
      <c r="C52" s="129">
        <f>'Keynes-K'!D$48</f>
        <v>1.0070354335673408</v>
      </c>
      <c r="D52" s="129">
        <f>'Keynes-K'!F$48</f>
        <v>1.0134191286182765</v>
      </c>
      <c r="E52" s="129">
        <f>'Keynes-K'!H$48</f>
        <v>1.019108979149097</v>
      </c>
      <c r="F52" s="129">
        <f>'Keynes-K'!J$48</f>
        <v>1.0240435457068162</v>
      </c>
      <c r="G52" s="129">
        <f>'Keynes-K'!L$48</f>
        <v>1.0281379209570345</v>
      </c>
      <c r="H52" s="129">
        <f>'Keynes-K'!N$48</f>
        <v>1.0312768550623821</v>
      </c>
      <c r="I52" s="129">
        <f>'Keynes-K'!P$48</f>
        <v>1.0333051947361402</v>
      </c>
      <c r="J52" s="129">
        <f>'Keynes-K'!R$48</f>
        <v>1.0340132334701722</v>
      </c>
      <c r="K52" s="129">
        <f>'Keynes-K'!T$48</f>
        <v>1.033114207699795</v>
      </c>
      <c r="L52" s="129">
        <f>'Keynes-K'!V$48</f>
        <v>1.0302083493747154</v>
      </c>
      <c r="M52" s="129">
        <f>'Keynes-K'!X$48</f>
        <v>1.0247225075447455</v>
      </c>
      <c r="N52" s="129">
        <f>'Keynes-K'!Z$48</f>
        <v>1.0158035233525617</v>
      </c>
      <c r="O52" s="129">
        <f>'Keynes-K'!AB$48</f>
        <v>1.0021159424131989</v>
      </c>
      <c r="P52" s="129">
        <f>'Keynes-K'!AD$48</f>
        <v>0.98143036700808162</v>
      </c>
      <c r="Q52" s="129">
        <f>'Keynes-K'!AF$48</f>
        <v>0.94972178639681859</v>
      </c>
      <c r="R52" s="129">
        <f>'Keynes-K'!AH$48</f>
        <v>0.89910961365676889</v>
      </c>
      <c r="S52" s="129">
        <f>'Keynes-K'!AJ$48</f>
        <v>0.81332820642276782</v>
      </c>
      <c r="T52" s="129">
        <f>'Keynes-K'!AL$48</f>
        <v>0.65974202390936476</v>
      </c>
      <c r="U52" s="129"/>
      <c r="V52" s="129"/>
      <c r="W52" s="129"/>
      <c r="X52" s="129"/>
      <c r="Y52" s="129"/>
    </row>
    <row r="53" spans="1:25" x14ac:dyDescent="0.2">
      <c r="A53" t="s">
        <v>142</v>
      </c>
      <c r="B53" s="129">
        <f>'Neo-K1'!B$48</f>
        <v>1</v>
      </c>
      <c r="C53" s="129">
        <f>'Neo-K1'!D$48</f>
        <v>1.0055492114320903</v>
      </c>
      <c r="D53" s="129">
        <f>'Neo-K1'!F$48</f>
        <v>1.0104969947611724</v>
      </c>
      <c r="E53" s="129">
        <f>'Neo-K1'!H$48</f>
        <v>1.0147035507727986</v>
      </c>
      <c r="F53" s="129">
        <f>'Neo-K1'!J$48</f>
        <v>1.0179882111276846</v>
      </c>
      <c r="G53" s="129">
        <f>'Neo-K1'!L$48</f>
        <v>1.0201164255902637</v>
      </c>
      <c r="H53" s="129">
        <f>'Neo-K1'!N$48</f>
        <v>1.0207788625303011</v>
      </c>
      <c r="I53" s="129">
        <f>'Neo-K1'!P$48</f>
        <v>1.0195636759241657</v>
      </c>
      <c r="J53" s="129">
        <f>'Neo-K1'!R$48</f>
        <v>1.015915871675813</v>
      </c>
      <c r="K53" s="129">
        <f>'Neo-K1'!T$48</f>
        <v>1.0090779655229762</v>
      </c>
      <c r="L53" s="129">
        <f>'Neo-K1'!V$48</f>
        <v>0.99800622493401814</v>
      </c>
      <c r="M53" s="129">
        <f>'Neo-K1'!X$48</f>
        <v>0.9812503685909344</v>
      </c>
      <c r="N53" s="129">
        <f>'Neo-K1'!Z$48</f>
        <v>0.95679086772957733</v>
      </c>
      <c r="O53" s="129">
        <f>'Neo-K1'!AB$48</f>
        <v>0.92183721682217101</v>
      </c>
      <c r="P53" s="129">
        <f>'Neo-K1'!AD$48</f>
        <v>0.87262756551936671</v>
      </c>
      <c r="Q53" s="129">
        <f>'Neo-K1'!AF$48</f>
        <v>0.80434417423474314</v>
      </c>
      <c r="R53" s="129">
        <f>'Neo-K1'!AH$48</f>
        <v>0.71134998851530951</v>
      </c>
      <c r="S53" s="129">
        <f>'Neo-K1'!AJ$48</f>
        <v>0.58793866140883855</v>
      </c>
      <c r="T53" s="129">
        <f>'Neo-K1'!AL$48</f>
        <v>0.42949870660014167</v>
      </c>
      <c r="U53" s="129">
        <f>'Neo-K1'!AN$48</f>
        <v>0.23354294874456677</v>
      </c>
      <c r="V53" s="129">
        <f>'Neo-K1'!AP$48</f>
        <v>0.18980487419734648</v>
      </c>
      <c r="W53" s="129">
        <f>'Neo-K1'!AR$48</f>
        <v>0.14456724840803009</v>
      </c>
      <c r="X53" s="129">
        <f>'Neo-K1'!AT$48</f>
        <v>9.7843107297090434E-2</v>
      </c>
      <c r="Y53" s="129">
        <f>'Neo-K1'!AV$48</f>
        <v>4.9648060285789136E-2</v>
      </c>
    </row>
    <row r="54" spans="1:25" x14ac:dyDescent="0.2">
      <c r="A54" t="s">
        <v>141</v>
      </c>
      <c r="B54" s="129">
        <f>'Neo-K2'!B$48</f>
        <v>0</v>
      </c>
      <c r="C54" s="129">
        <f>'Neo-K2'!D$48</f>
        <v>0</v>
      </c>
      <c r="D54" s="129">
        <f>'Neo-K2'!F$48</f>
        <v>0</v>
      </c>
      <c r="E54" s="129">
        <f>'Neo-K2'!H$48</f>
        <v>0</v>
      </c>
      <c r="F54" s="129">
        <f>'Neo-K2'!J$48</f>
        <v>0</v>
      </c>
      <c r="G54" s="129">
        <f>'Neo-K2'!L$48</f>
        <v>0</v>
      </c>
      <c r="H54" s="129">
        <f>'Neo-K2'!N$48</f>
        <v>0</v>
      </c>
      <c r="I54" s="129">
        <f>'Neo-K2'!P$48</f>
        <v>0</v>
      </c>
      <c r="J54" s="129">
        <f>'Neo-K2'!R$48</f>
        <v>0</v>
      </c>
      <c r="K54" s="129">
        <f>'Neo-K2'!T$48</f>
        <v>0</v>
      </c>
      <c r="L54" s="129">
        <f>'Neo-K2'!V$48</f>
        <v>0</v>
      </c>
      <c r="M54" s="129">
        <f>'Neo-K2'!X$48</f>
        <v>0</v>
      </c>
      <c r="N54" s="129">
        <f>'Neo-K2'!Z$48</f>
        <v>0</v>
      </c>
      <c r="O54" s="129">
        <f>'Neo-K2'!AB$48</f>
        <v>0</v>
      </c>
      <c r="P54" s="129">
        <f>'Neo-K2'!AD$48</f>
        <v>0</v>
      </c>
      <c r="Q54" s="129">
        <f>'Neo-K2'!AF$48</f>
        <v>0</v>
      </c>
      <c r="R54" s="129">
        <f>'Neo-K2'!AH$48</f>
        <v>0</v>
      </c>
      <c r="S54" s="129">
        <f>'Neo-K2'!AJ$48</f>
        <v>0</v>
      </c>
      <c r="T54" s="129">
        <f>'Neo-K2'!AL$48</f>
        <v>0</v>
      </c>
      <c r="U54" s="129">
        <f>'Neo-K2'!AN$48</f>
        <v>0</v>
      </c>
      <c r="V54" s="129">
        <f>'Neo-K2'!AP$48</f>
        <v>0</v>
      </c>
      <c r="W54" s="129">
        <f>'Neo-K2'!AR$48</f>
        <v>0</v>
      </c>
      <c r="X54" s="129">
        <f>'Neo-K2'!AT$48</f>
        <v>0</v>
      </c>
      <c r="Y54" s="129">
        <f>'Neo-K2'!AV$48</f>
        <v>0</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6.1000000000000623E-2</v>
      </c>
      <c r="D58" s="129">
        <f>NeoClassical!F$42</f>
        <v>6.0999999999999791E-2</v>
      </c>
      <c r="E58" s="129">
        <f>NeoClassical!H$42</f>
        <v>6.0999999999999791E-2</v>
      </c>
      <c r="F58" s="129">
        <f>NeoClassical!J$42</f>
        <v>6.0999999999999582E-2</v>
      </c>
      <c r="G58" s="129">
        <f>NeoClassical!L$42</f>
        <v>6.0999999999999582E-2</v>
      </c>
      <c r="H58" s="129">
        <f>NeoClassical!N$42</f>
        <v>6.0999999999999999E-2</v>
      </c>
      <c r="I58" s="129">
        <f>NeoClassical!P$42</f>
        <v>6.0999999999998958E-2</v>
      </c>
      <c r="J58" s="129">
        <f>NeoClassical!R$42</f>
        <v>6.0999999999999582E-2</v>
      </c>
      <c r="K58" s="129">
        <f>NeoClassical!T$42</f>
        <v>6.0999999999999791E-2</v>
      </c>
      <c r="L58" s="129">
        <f>NeoClassical!V$42</f>
        <v>6.0999999999999999E-2</v>
      </c>
      <c r="M58" s="129">
        <f>NeoClassical!X$42</f>
        <v>6.0999999999999791E-2</v>
      </c>
      <c r="N58" s="129">
        <f>NeoClassical!Z$42</f>
        <v>6.1000000000000519E-2</v>
      </c>
      <c r="O58" s="129">
        <f>NeoClassical!AB$42</f>
        <v>6.0999999999999166E-2</v>
      </c>
      <c r="P58" s="129">
        <f>NeoClassical!AD$42</f>
        <v>6.1000000000000519E-2</v>
      </c>
      <c r="Q58" s="129">
        <f>NeoClassical!AF$42</f>
        <v>6.0999999999999791E-2</v>
      </c>
      <c r="R58" s="129">
        <f>NeoClassical!AH$42</f>
        <v>6.0999999999999374E-2</v>
      </c>
      <c r="S58" s="129">
        <f>NeoClassical!AJ$42</f>
        <v>6.0999999999999582E-2</v>
      </c>
      <c r="T58" s="129">
        <f>NeoClassical!AL$42</f>
        <v>6.0999999999999791E-2</v>
      </c>
      <c r="U58" s="129">
        <f>NeoClassical!AN$42</f>
        <v>6.0999999999999791E-2</v>
      </c>
      <c r="V58" s="129">
        <f>NeoClassical!AP$42</f>
        <v>6.0999999999999374E-2</v>
      </c>
      <c r="W58" s="129">
        <f>NeoClassical!AR$42</f>
        <v>6.1000000000000207E-2</v>
      </c>
      <c r="X58" s="129">
        <f>NeoClassical!AT$42</f>
        <v>6.1000000000000311E-2</v>
      </c>
      <c r="Y58" s="129">
        <f>NeoClassical!AV$42</f>
        <v>6.0999999999999791E-2</v>
      </c>
    </row>
    <row r="59" spans="1:25" x14ac:dyDescent="0.2">
      <c r="A59" t="s">
        <v>147</v>
      </c>
      <c r="B59" s="129">
        <f>Kaldorian!B$42</f>
        <v>6.0999999999999999E-2</v>
      </c>
      <c r="C59" s="129">
        <f>Kaldorian!D$42</f>
        <v>6.0999999999999999E-2</v>
      </c>
      <c r="D59" s="129">
        <f>Kaldorian!F$42</f>
        <v>6.0999999999999582E-2</v>
      </c>
      <c r="E59" s="129">
        <f>Kaldorian!H$42</f>
        <v>6.0999999999994788E-2</v>
      </c>
      <c r="F59" s="129">
        <f>Kaldorian!J$42</f>
        <v>6.0999999999998333E-2</v>
      </c>
      <c r="G59" s="129">
        <f>Kaldorian!L$42</f>
        <v>6.1000000000000519E-2</v>
      </c>
      <c r="H59" s="129">
        <f>Kaldorian!N$42</f>
        <v>6.1000000000000519E-2</v>
      </c>
      <c r="I59" s="129">
        <f>Kaldorian!P$42</f>
        <v>6.1000000000000207E-2</v>
      </c>
      <c r="J59" s="129">
        <f>Kaldorian!R$42</f>
        <v>6.0999999999999791E-2</v>
      </c>
      <c r="K59" s="129">
        <f>Kaldorian!T$42</f>
        <v>6.0999999999999582E-2</v>
      </c>
      <c r="L59" s="129">
        <f>Kaldorian!V$42</f>
        <v>6.1000000000000207E-2</v>
      </c>
      <c r="M59" s="129">
        <f>Kaldorian!X$42</f>
        <v>6.0999999999999582E-2</v>
      </c>
      <c r="N59" s="129">
        <f>Kaldorian!Z$42</f>
        <v>6.099999999999875E-2</v>
      </c>
      <c r="O59" s="129">
        <f>Kaldorian!AB$42</f>
        <v>6.0999999999999999E-2</v>
      </c>
      <c r="P59" s="129">
        <f>Kaldorian!AD$42</f>
        <v>6.0999999999998958E-2</v>
      </c>
      <c r="Q59" s="129">
        <f>Kaldorian!AF$42</f>
        <v>6.0999999999999582E-2</v>
      </c>
      <c r="R59" s="129">
        <f>Kaldorian!AH$42</f>
        <v>6.1000000000000207E-2</v>
      </c>
      <c r="S59" s="129">
        <f>Kaldorian!AJ$42</f>
        <v>6.0999999999999582E-2</v>
      </c>
      <c r="T59" s="129">
        <f>Kaldorian!AL$42</f>
        <v>6.0999999999999791E-2</v>
      </c>
      <c r="U59" s="129"/>
      <c r="V59" s="129"/>
      <c r="W59" s="129"/>
      <c r="X59" s="129"/>
      <c r="Y59" s="129"/>
    </row>
    <row r="60" spans="1:25" x14ac:dyDescent="0.2">
      <c r="A60" t="s">
        <v>90</v>
      </c>
      <c r="B60" s="129">
        <f>Johansen!B$42</f>
        <v>6.0999999999999999E-2</v>
      </c>
      <c r="C60" s="129">
        <f>Johansen!D$42</f>
        <v>6.1000000000000623E-2</v>
      </c>
      <c r="D60" s="129">
        <f>Johansen!F$42</f>
        <v>6.0999999999999999E-2</v>
      </c>
      <c r="E60" s="129">
        <f>Johansen!H$42</f>
        <v>6.1000000000000311E-2</v>
      </c>
      <c r="F60" s="129">
        <f>Johansen!J$42</f>
        <v>6.0999999999999582E-2</v>
      </c>
      <c r="G60" s="129">
        <f>Johansen!L$42</f>
        <v>6.1000000000000207E-2</v>
      </c>
      <c r="H60" s="129">
        <f>Johansen!N$42</f>
        <v>6.1000000000000207E-2</v>
      </c>
      <c r="I60" s="129">
        <f>Johansen!P$42</f>
        <v>6.0999999999999582E-2</v>
      </c>
      <c r="J60" s="129">
        <f>Johansen!R$42</f>
        <v>6.0999999999999582E-2</v>
      </c>
      <c r="K60" s="129">
        <f>Johansen!T$42</f>
        <v>6.1000000000000311E-2</v>
      </c>
      <c r="L60" s="129">
        <f>Johansen!V$42</f>
        <v>6.1000000000000519E-2</v>
      </c>
      <c r="M60" s="129">
        <f>Johansen!X$42</f>
        <v>6.1000000000000207E-2</v>
      </c>
      <c r="N60" s="129">
        <f>Johansen!Z$42</f>
        <v>6.0999999999999582E-2</v>
      </c>
      <c r="O60" s="129">
        <f>Johansen!AB$42</f>
        <v>6.0999999999999791E-2</v>
      </c>
      <c r="P60" s="129">
        <f>Johansen!AD$42</f>
        <v>6.1000000000000311E-2</v>
      </c>
      <c r="Q60" s="129">
        <f>Johansen!AF$42</f>
        <v>6.0999999999999791E-2</v>
      </c>
      <c r="R60" s="129">
        <f>Johansen!AH$42</f>
        <v>6.0999999999999166E-2</v>
      </c>
      <c r="S60" s="129">
        <f>Johansen!AJ$42</f>
        <v>6.0999999999999582E-2</v>
      </c>
      <c r="T60" s="129">
        <f>Johansen!AL$42</f>
        <v>6.0999999999999582E-2</v>
      </c>
      <c r="U60" s="129">
        <f>Johansen!AN$42</f>
        <v>6.0999999999999166E-2</v>
      </c>
      <c r="V60" s="129">
        <f>Johansen!AP$42</f>
        <v>6.0999999999999999E-2</v>
      </c>
      <c r="W60" s="129">
        <f>Johansen!AR$42</f>
        <v>6.0999999999999999E-2</v>
      </c>
      <c r="X60" s="129">
        <f>Johansen!AT$42</f>
        <v>6.1000000000000311E-2</v>
      </c>
      <c r="Y60" s="129">
        <f>Johansen!AV$42</f>
        <v>6.1000000000000207E-2</v>
      </c>
    </row>
    <row r="61" spans="1:25" x14ac:dyDescent="0.2">
      <c r="A61" t="s">
        <v>130</v>
      </c>
      <c r="B61" s="129">
        <f>'Keynes-M'!B$42</f>
        <v>6.0999999999999999E-2</v>
      </c>
      <c r="C61" s="129">
        <f>'Keynes-M'!D$42</f>
        <v>3.5678509997193283E-2</v>
      </c>
      <c r="D61" s="129">
        <f>'Keynes-M'!F$42</f>
        <v>8.8519212267934438E-3</v>
      </c>
      <c r="E61" s="129">
        <f>'Keynes-M'!H$42</f>
        <v>-1.9779960210378214E-2</v>
      </c>
      <c r="F61" s="129">
        <f>'Keynes-M'!J$42</f>
        <v>-5.0605360401537208E-2</v>
      </c>
      <c r="G61" s="129">
        <f>'Keynes-M'!L$42</f>
        <v>-8.4142528868647287E-2</v>
      </c>
      <c r="H61" s="129">
        <f>'Keynes-M'!N$42</f>
        <v>-0.12110895235948343</v>
      </c>
      <c r="I61" s="129">
        <f>'Keynes-M'!P$42</f>
        <v>-0.16254107865509662</v>
      </c>
      <c r="J61" s="129">
        <f>'Keynes-M'!R$42</f>
        <v>-0.2100122267914627</v>
      </c>
      <c r="K61" s="129">
        <f>'Keynes-M'!T$42</f>
        <v>-0.26605755662193165</v>
      </c>
      <c r="L61" s="129">
        <f>'Keynes-M'!V$42</f>
        <v>-0.33507283221933837</v>
      </c>
      <c r="M61" s="129">
        <f>'Keynes-M'!X$42</f>
        <v>-0.42542901378199055</v>
      </c>
      <c r="N61" s="129">
        <f>'Keynes-M'!Z$42</f>
        <v>-0.55523016912265222</v>
      </c>
      <c r="O61" s="129">
        <f>'Keynes-M'!AB$42</f>
        <v>-0.7719265554981849</v>
      </c>
      <c r="P61" s="129">
        <f>'Keynes-M'!AD$42</f>
        <v>-1.2548695456689252</v>
      </c>
      <c r="Q61" s="129">
        <f>'Keynes-M'!AF$42</f>
        <v>1</v>
      </c>
      <c r="R61" s="129"/>
      <c r="S61" s="129"/>
      <c r="T61" s="129"/>
      <c r="U61" s="129"/>
      <c r="V61" s="129"/>
      <c r="W61" s="129"/>
      <c r="X61" s="129"/>
      <c r="Y61" s="129"/>
    </row>
    <row r="62" spans="1:25" x14ac:dyDescent="0.2">
      <c r="A62" t="s">
        <v>146</v>
      </c>
      <c r="B62" s="129">
        <f>Keynesian!B$42</f>
        <v>6.0999999999999999E-2</v>
      </c>
      <c r="C62" s="129">
        <f>Keynesian!D$42</f>
        <v>9.7458368008761731E-2</v>
      </c>
      <c r="D62" s="129">
        <f>Keynesian!F$42</f>
        <v>0.13520987924873606</v>
      </c>
      <c r="E62" s="129">
        <f>Keynesian!H$42</f>
        <v>0.17429434806900745</v>
      </c>
      <c r="F62" s="129">
        <f>Keynesian!J$42</f>
        <v>0.21473869451100527</v>
      </c>
      <c r="G62" s="129">
        <f>Keynesian!L$42</f>
        <v>0.25654953023118737</v>
      </c>
      <c r="H62" s="129">
        <f>Keynesian!N$42</f>
        <v>0.2997029458962357</v>
      </c>
      <c r="I62" s="129">
        <f>Keynesian!P$42</f>
        <v>0.34412854548227462</v>
      </c>
      <c r="J62" s="129">
        <f>Keynesian!R$42</f>
        <v>0.38968212770769961</v>
      </c>
      <c r="K62" s="129">
        <f>Keynesian!T$42</f>
        <v>0.43609113812743239</v>
      </c>
      <c r="L62" s="129">
        <f>Keynesian!V$42</f>
        <v>0.48282049295672469</v>
      </c>
      <c r="M62" s="129">
        <f>Keynesian!X$42</f>
        <v>0.52864322319030865</v>
      </c>
      <c r="N62" s="129">
        <f>Keynesian!Z$42</f>
        <v>1</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5.1800074885415839E-2</v>
      </c>
      <c r="D63" s="129">
        <f>'Keynes-K'!F$42</f>
        <v>4.3424518850618862E-2</v>
      </c>
      <c r="E63" s="129">
        <f>'Keynes-K'!H$42</f>
        <v>3.5946903121624713E-2</v>
      </c>
      <c r="F63" s="129">
        <f>'Keynes-K'!J$42</f>
        <v>2.9466937549099299E-2</v>
      </c>
      <c r="G63" s="129">
        <f>'Keynes-K'!L$42</f>
        <v>2.4116711535334255E-2</v>
      </c>
      <c r="H63" s="129">
        <f>'Keynes-K'!N$42</f>
        <v>2.0069595972165698E-2</v>
      </c>
      <c r="I63" s="129">
        <f>'Keynes-K'!P$42</f>
        <v>1.7553073455372548E-2</v>
      </c>
      <c r="J63" s="129">
        <f>'Keynes-K'!R$42</f>
        <v>1.6867471944117085E-2</v>
      </c>
      <c r="K63" s="129">
        <f>'Keynes-K'!T$42</f>
        <v>1.8414376243822368E-2</v>
      </c>
      <c r="L63" s="129">
        <f>'Keynes-K'!V$42</f>
        <v>2.2740485129593174E-2</v>
      </c>
      <c r="M63" s="129">
        <f>'Keynes-K'!X$42</f>
        <v>3.0609898048708149E-2</v>
      </c>
      <c r="N63" s="129">
        <f>'Keynes-K'!Z$42</f>
        <v>4.3127956459543475E-2</v>
      </c>
      <c r="O63" s="129">
        <f>'Keynes-K'!AB$42</f>
        <v>6.1967386393451916E-2</v>
      </c>
      <c r="P63" s="129">
        <f>'Keynes-K'!AD$42</f>
        <v>8.9804532174637672E-2</v>
      </c>
      <c r="Q63" s="129">
        <f>'Keynes-K'!AF$42</f>
        <v>0.13119350745004041</v>
      </c>
      <c r="R63" s="129">
        <f>'Keynes-K'!AH$42</f>
        <v>0.1942675997961609</v>
      </c>
      <c r="S63" s="129">
        <f>'Keynes-K'!AJ$42</f>
        <v>0.29344508566903937</v>
      </c>
      <c r="T63" s="129">
        <f>'Keynes-K'!AL$42</f>
        <v>0.45133894899852744</v>
      </c>
      <c r="U63" s="129"/>
      <c r="V63" s="129"/>
      <c r="W63" s="129"/>
      <c r="X63" s="129"/>
      <c r="Y63" s="129"/>
    </row>
    <row r="64" spans="1:25" x14ac:dyDescent="0.2">
      <c r="A64" t="s">
        <v>142</v>
      </c>
      <c r="B64" s="129">
        <f>'Neo-K1'!B$42</f>
        <v>6.0999999999999999E-2</v>
      </c>
      <c r="C64" s="129">
        <f>'Neo-K1'!D$42</f>
        <v>6.4826687094250823E-2</v>
      </c>
      <c r="D64" s="129">
        <f>'Neo-K1'!F$42</f>
        <v>6.921312655686955E-2</v>
      </c>
      <c r="E64" s="129">
        <f>'Neo-K1'!H$42</f>
        <v>7.4277923817511221E-2</v>
      </c>
      <c r="F64" s="129">
        <f>'Neo-K1'!J$42</f>
        <v>8.0173008590160605E-2</v>
      </c>
      <c r="G64" s="129">
        <f>'Neo-K1'!L$42</f>
        <v>8.7094119495788311E-2</v>
      </c>
      <c r="H64" s="129">
        <f>'Neo-K1'!N$42</f>
        <v>9.5297392981323295E-2</v>
      </c>
      <c r="I64" s="129">
        <f>'Neo-K1'!P$42</f>
        <v>0.10512129267005255</v>
      </c>
      <c r="J64" s="129">
        <f>'Neo-K1'!R$42</f>
        <v>0.11701835332749645</v>
      </c>
      <c r="K64" s="129">
        <f>'Neo-K1'!T$42</f>
        <v>0.13160087843489771</v>
      </c>
      <c r="L64" s="129">
        <f>'Neo-K1'!V$42</f>
        <v>0.14970420126569617</v>
      </c>
      <c r="M64" s="129">
        <f>'Neo-K1'!X$42</f>
        <v>0.1724750481359002</v>
      </c>
      <c r="N64" s="129">
        <f>'Neo-K1'!Z$42</f>
        <v>0.20148627325324997</v>
      </c>
      <c r="O64" s="129">
        <f>'Neo-K1'!AB$42</f>
        <v>0.23886965326107396</v>
      </c>
      <c r="P64" s="129">
        <f>'Neo-K1'!AD$42</f>
        <v>0.28742828290444999</v>
      </c>
      <c r="Q64" s="129">
        <f>'Neo-K1'!AF$42</f>
        <v>0.35063666477179045</v>
      </c>
      <c r="R64" s="129">
        <f>'Neo-K1'!AH$42</f>
        <v>0.43238435287298749</v>
      </c>
      <c r="S64" s="129">
        <f>'Neo-K1'!AJ$42</f>
        <v>0.53636220693529812</v>
      </c>
      <c r="T64" s="129">
        <f>'Neo-K1'!AL$42</f>
        <v>0.66523045341220621</v>
      </c>
      <c r="U64" s="129">
        <f>'Neo-K1'!AN$42</f>
        <v>0.81999960831440988</v>
      </c>
      <c r="V64" s="129">
        <f>'Neo-K1'!AP$42</f>
        <v>0.85402766694275734</v>
      </c>
      <c r="W64" s="129">
        <f>'Neo-K1'!AR$42</f>
        <v>0.8890564854485572</v>
      </c>
      <c r="X64" s="129">
        <f>'Neo-K1'!AT$42</f>
        <v>0.92507203267126803</v>
      </c>
      <c r="Y64" s="129">
        <f>'Neo-K1'!AV$42</f>
        <v>0.96205879619062817</v>
      </c>
    </row>
    <row r="65" spans="1:25" x14ac:dyDescent="0.2">
      <c r="A65" t="s">
        <v>141</v>
      </c>
      <c r="B65" s="129">
        <f>'Neo-K2'!B$42</f>
        <v>0</v>
      </c>
      <c r="C65" s="129">
        <f>'Neo-K2'!D$42</f>
        <v>0</v>
      </c>
      <c r="D65" s="129">
        <f>'Neo-K2'!F$42</f>
        <v>0</v>
      </c>
      <c r="E65" s="129">
        <f>'Neo-K2'!H$42</f>
        <v>0</v>
      </c>
      <c r="F65" s="129">
        <f>'Neo-K2'!J$42</f>
        <v>0</v>
      </c>
      <c r="G65" s="129">
        <f>'Neo-K2'!L$42</f>
        <v>0</v>
      </c>
      <c r="H65" s="129">
        <f>'Neo-K2'!N$42</f>
        <v>0</v>
      </c>
      <c r="I65" s="129">
        <f>'Neo-K2'!P$42</f>
        <v>0</v>
      </c>
      <c r="J65" s="129">
        <f>'Neo-K2'!R$42</f>
        <v>0</v>
      </c>
      <c r="K65" s="129">
        <f>'Neo-K2'!T$42</f>
        <v>0</v>
      </c>
      <c r="L65" s="129">
        <f>'Neo-K2'!V$42</f>
        <v>0</v>
      </c>
      <c r="M65" s="129">
        <f>'Neo-K2'!X$42</f>
        <v>0</v>
      </c>
      <c r="N65" s="129">
        <f>'Neo-K2'!Z$42</f>
        <v>0</v>
      </c>
      <c r="O65" s="129">
        <f>'Neo-K2'!AB$42</f>
        <v>0</v>
      </c>
      <c r="P65" s="129">
        <f>'Neo-K2'!AD$42</f>
        <v>0</v>
      </c>
      <c r="Q65" s="129">
        <f>'Neo-K2'!AF$42</f>
        <v>0</v>
      </c>
      <c r="R65" s="129">
        <f>'Neo-K2'!AH$42</f>
        <v>0</v>
      </c>
      <c r="S65" s="129">
        <f>'Neo-K2'!AJ$42</f>
        <v>0</v>
      </c>
      <c r="T65" s="129">
        <f>'Neo-K2'!AL$42</f>
        <v>0</v>
      </c>
      <c r="U65" s="129">
        <f>'Neo-K2'!AN$42</f>
        <v>0</v>
      </c>
      <c r="V65" s="129">
        <f>'Neo-K2'!AP$42</f>
        <v>0</v>
      </c>
      <c r="W65" s="129">
        <f>'Neo-K2'!AR$42</f>
        <v>0</v>
      </c>
      <c r="X65" s="129">
        <f>'Neo-K2'!AT$42</f>
        <v>0</v>
      </c>
      <c r="Y65" s="129">
        <f>'Neo-K2'!AV$42</f>
        <v>0</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f>HLOOKUP(B$68,Results!$A$1:$AW$39,MATCH('Diagnosis Indicators'!$A69,Results!$A$1:$A$39,0),FALSE)</f>
        <v>1000</v>
      </c>
      <c r="C69" s="27">
        <f>HLOOKUP(C$68,Results!$A$1:$AW$39,MATCH('Diagnosis Indicators'!$A69,Results!$A$1:$A$39,0),FALSE)</f>
        <v>997.37598330646961</v>
      </c>
      <c r="D69" s="27">
        <f>HLOOKUP(D$68,Results!$A$1:$AW$39,MATCH('Diagnosis Indicators'!$A69,Results!$A$1:$A$39,0),FALSE)</f>
        <v>995.04460621127691</v>
      </c>
      <c r="E69" s="27">
        <f>HLOOKUP(E$68,Results!$A$1:$AW$39,MATCH('Diagnosis Indicators'!$A69,Results!$A$1:$A$39,0),FALSE)</f>
        <v>993.09287003250654</v>
      </c>
      <c r="F69" s="27">
        <f>HLOOKUP(F$68,Results!$A$1:$AW$39,MATCH('Diagnosis Indicators'!$A69,Results!$A$1:$A$39,0),FALSE)</f>
        <v>991.64107323133476</v>
      </c>
      <c r="G69" s="27">
        <f>HLOOKUP(G$68,Results!$A$1:$AW$39,MATCH('Diagnosis Indicators'!$A69,Results!$A$1:$A$39,0),FALSE)</f>
        <v>990.85622451739175</v>
      </c>
      <c r="H69" s="27">
        <f>HLOOKUP(H$68,Results!$A$1:$AW$39,MATCH('Diagnosis Indicators'!$A69,Results!$A$1:$A$39,0),FALSE)</f>
        <v>990.97577120025517</v>
      </c>
      <c r="I69" s="27">
        <f>HLOOKUP(I$68,Results!$A$1:$AW$39,MATCH('Diagnosis Indicators'!$A69,Results!$A$1:$A$39,0),FALSE)</f>
        <v>992.34119285679242</v>
      </c>
      <c r="J69" s="27">
        <f>HLOOKUP(J$68,Results!$A$1:$AW$39,MATCH('Diagnosis Indicators'!$A69,Results!$A$1:$A$39,0),FALSE)</f>
        <v>995.45239490398058</v>
      </c>
      <c r="K69" s="27">
        <f>HLOOKUP(K$68,Results!$A$1:$AW$39,MATCH('Diagnosis Indicators'!$A69,Results!$A$1:$A$39,0),FALSE)</f>
        <v>1001.0527378911727</v>
      </c>
      <c r="L69" s="27">
        <f>HLOOKUP(L$68,Results!$A$1:$AW$39,MATCH('Diagnosis Indicators'!$A69,Results!$A$1:$A$39,0),FALSE)</f>
        <v>1010.2637206183807</v>
      </c>
      <c r="M69" s="27">
        <f>HLOOKUP(M$68,Results!$A$1:$AW$39,MATCH('Diagnosis Indicators'!$A69,Results!$A$1:$A$39,0),FALSE)</f>
        <v>1024.7976786675465</v>
      </c>
      <c r="N69" s="27">
        <f>HLOOKUP(N$68,Results!$A$1:$AW$39,MATCH('Diagnosis Indicators'!$A69,Results!$A$1:$A$39,0),FALSE)</f>
        <v>1047.2908727666411</v>
      </c>
      <c r="O69" s="27">
        <f>HLOOKUP(O$68,Results!$A$1:$AW$39,MATCH('Diagnosis Indicators'!$A69,Results!$A$1:$A$39,0),FALSE)</f>
        <v>1081.8202400298194</v>
      </c>
    </row>
    <row r="70" spans="1:25" x14ac:dyDescent="0.2">
      <c r="A70" t="s">
        <v>115</v>
      </c>
      <c r="B70" s="27">
        <f>HLOOKUP(B$68,Results!$A$1:$AW$39,MATCH('Diagnosis Indicators'!$A70,Results!$A$1:$A$39,0),FALSE)</f>
        <v>1000</v>
      </c>
      <c r="C70" s="27">
        <f>HLOOKUP(C$68,Results!$A$1:$AW$39,MATCH('Diagnosis Indicators'!$A70,Results!$A$1:$A$39,0),FALSE)</f>
        <v>997.24558777878508</v>
      </c>
      <c r="D70" s="27">
        <f>HLOOKUP(D$68,Results!$A$1:$AW$39,MATCH('Diagnosis Indicators'!$A70,Results!$A$1:$A$39,0),FALSE)</f>
        <v>994.79658973156666</v>
      </c>
      <c r="E70" s="27">
        <f>HLOOKUP(E$68,Results!$A$1:$AW$39,MATCH('Diagnosis Indicators'!$A70,Results!$A$1:$A$39,0),FALSE)</f>
        <v>992.74510028068653</v>
      </c>
      <c r="F70" s="27">
        <f>HLOOKUP(F$68,Results!$A$1:$AW$39,MATCH('Diagnosis Indicators'!$A70,Results!$A$1:$A$39,0),FALSE)</f>
        <v>991.21834133259165</v>
      </c>
      <c r="G70" s="27">
        <f>HLOOKUP(G$68,Results!$A$1:$AW$39,MATCH('Diagnosis Indicators'!$A70,Results!$A$1:$A$39,0),FALSE)</f>
        <v>990.39269569774979</v>
      </c>
      <c r="H70" s="27">
        <f>HLOOKUP(H$68,Results!$A$1:$AW$39,MATCH('Diagnosis Indicators'!$A70,Results!$A$1:$A$39,0),FALSE)</f>
        <v>990.5184686112533</v>
      </c>
      <c r="I70" s="27">
        <f>HLOOKUP(I$68,Results!$A$1:$AW$39,MATCH('Diagnosis Indicators'!$A70,Results!$A$1:$A$39,0),FALSE)</f>
        <v>991.95469164588644</v>
      </c>
      <c r="J70" s="27">
        <f>HLOOKUP(J$68,Results!$A$1:$AW$39,MATCH('Diagnosis Indicators'!$A70,Results!$A$1:$A$39,0),FALSE)</f>
        <v>995.22507077543958</v>
      </c>
      <c r="K70" s="27">
        <f>HLOOKUP(K$68,Results!$A$1:$AW$39,MATCH('Diagnosis Indicators'!$A70,Results!$A$1:$A$39,0),FALSE)</f>
        <v>1001.1044618951108</v>
      </c>
      <c r="L70" s="27">
        <f>HLOOKUP(L$68,Results!$A$1:$AW$39,MATCH('Diagnosis Indicators'!$A70,Results!$A$1:$A$39,0),FALSE)</f>
        <v>1010.7537137070676</v>
      </c>
      <c r="M70" s="27">
        <f>HLOOKUP(M$68,Results!$A$1:$AW$39,MATCH('Diagnosis Indicators'!$A70,Results!$A$1:$A$39,0),FALSE)</f>
        <v>1025.9278144959078</v>
      </c>
      <c r="N70" s="27">
        <f>HLOOKUP(N$68,Results!$A$1:$AW$39,MATCH('Diagnosis Indicators'!$A70,Results!$A$1:$A$39,0),FALSE)</f>
        <v>1049.2909939682147</v>
      </c>
      <c r="O70" s="27">
        <f>HLOOKUP(O$68,Results!$A$1:$AW$39,MATCH('Diagnosis Indicators'!$A70,Results!$A$1:$A$39,0),FALSE)</f>
        <v>1084.8816933658827</v>
      </c>
    </row>
    <row r="71" spans="1:25" x14ac:dyDescent="0.2">
      <c r="A71" t="s">
        <v>17</v>
      </c>
      <c r="B71" s="27">
        <f>HLOOKUP(B$68,Results!$A$1:$AW$39,MATCH('Diagnosis Indicators'!$A71,Results!$A$1:$A$39,0),FALSE)</f>
        <v>1000</v>
      </c>
      <c r="C71" s="27">
        <f>HLOOKUP(C$68,Results!$A$1:$AW$39,MATCH('Diagnosis Indicators'!$A71,Results!$A$1:$A$39,0),FALSE)</f>
        <v>992.84705063520585</v>
      </c>
      <c r="D71" s="27">
        <f>HLOOKUP(D$68,Results!$A$1:$AW$39,MATCH('Diagnosis Indicators'!$A71,Results!$A$1:$A$39,0),FALSE)</f>
        <v>985.65728655281828</v>
      </c>
      <c r="E71" s="27">
        <f>HLOOKUP(E$68,Results!$A$1:$AW$39,MATCH('Diagnosis Indicators'!$A71,Results!$A$1:$A$39,0),FALSE)</f>
        <v>978.47782316715745</v>
      </c>
      <c r="F71" s="27">
        <f>HLOOKUP(F$68,Results!$A$1:$AW$39,MATCH('Diagnosis Indicators'!$A71,Results!$A$1:$A$39,0),FALSE)</f>
        <v>971.38281598979643</v>
      </c>
      <c r="G71" s="27">
        <f>HLOOKUP(G$68,Results!$A$1:$AW$39,MATCH('Diagnosis Indicators'!$A71,Results!$A$1:$A$39,0),FALSE)</f>
        <v>964.48544407438021</v>
      </c>
      <c r="H71" s="27">
        <f>HLOOKUP(H$68,Results!$A$1:$AW$39,MATCH('Diagnosis Indicators'!$A71,Results!$A$1:$A$39,0),FALSE)</f>
        <v>957.9600426794583</v>
      </c>
      <c r="I71" s="27">
        <f>HLOOKUP(I$68,Results!$A$1:$AW$39,MATCH('Diagnosis Indicators'!$A71,Results!$A$1:$A$39,0),FALSE)</f>
        <v>952.07332617472844</v>
      </c>
      <c r="J71" s="27">
        <f>HLOOKUP(J$68,Results!$A$1:$AW$39,MATCH('Diagnosis Indicators'!$A71,Results!$A$1:$A$39,0),FALSE)</f>
        <v>947.23558141797207</v>
      </c>
      <c r="K71" s="27">
        <f>HLOOKUP(K$68,Results!$A$1:$AW$39,MATCH('Diagnosis Indicators'!$A71,Results!$A$1:$A$39,0),FALSE)</f>
        <v>944.08071855030516</v>
      </c>
      <c r="L71" s="27">
        <f>HLOOKUP(L$68,Results!$A$1:$AW$39,MATCH('Diagnosis Indicators'!$A71,Results!$A$1:$A$39,0),FALSE)</f>
        <v>943.59290299700228</v>
      </c>
      <c r="M71" s="27">
        <f>HLOOKUP(M$68,Results!$A$1:$AW$39,MATCH('Diagnosis Indicators'!$A71,Results!$A$1:$A$39,0),FALSE)</f>
        <v>947.30521178501215</v>
      </c>
      <c r="N71" s="27">
        <f>HLOOKUP(N$68,Results!$A$1:$AW$39,MATCH('Diagnosis Indicators'!$A71,Results!$A$1:$A$39,0),FALSE)</f>
        <v>957.60769302982737</v>
      </c>
      <c r="O71" s="27">
        <f>HLOOKUP(O$68,Results!$A$1:$AW$39,MATCH('Diagnosis Indicators'!$A71,Results!$A$1:$A$39,0),FALSE)</f>
        <v>978.22005898093846</v>
      </c>
    </row>
    <row r="72" spans="1:25" x14ac:dyDescent="0.2">
      <c r="A72" t="s">
        <v>18</v>
      </c>
      <c r="B72" s="27">
        <f>HLOOKUP(B$68,Results!$A$1:$AW$39,MATCH('Diagnosis Indicators'!$A72,Results!$A$1:$A$39,0),FALSE)</f>
        <v>1000</v>
      </c>
      <c r="C72" s="27">
        <f>HLOOKUP(C$68,Results!$A$1:$AW$39,MATCH('Diagnosis Indicators'!$A72,Results!$A$1:$A$39,0),FALSE)</f>
        <v>997.24558777878508</v>
      </c>
      <c r="D72" s="27">
        <f>HLOOKUP(D$68,Results!$A$1:$AW$39,MATCH('Diagnosis Indicators'!$A72,Results!$A$1:$A$39,0),FALSE)</f>
        <v>994.79658973156666</v>
      </c>
      <c r="E72" s="27">
        <f>HLOOKUP(E$68,Results!$A$1:$AW$39,MATCH('Diagnosis Indicators'!$A72,Results!$A$1:$A$39,0),FALSE)</f>
        <v>992.74510028068653</v>
      </c>
      <c r="F72" s="27">
        <f>HLOOKUP(F$68,Results!$A$1:$AW$39,MATCH('Diagnosis Indicators'!$A72,Results!$A$1:$A$39,0),FALSE)</f>
        <v>991.21834133259165</v>
      </c>
      <c r="G72" s="27">
        <f>HLOOKUP(G$68,Results!$A$1:$AW$39,MATCH('Diagnosis Indicators'!$A72,Results!$A$1:$A$39,0),FALSE)</f>
        <v>990.39269569774979</v>
      </c>
      <c r="H72" s="27">
        <f>HLOOKUP(H$68,Results!$A$1:$AW$39,MATCH('Diagnosis Indicators'!$A72,Results!$A$1:$A$39,0),FALSE)</f>
        <v>990.5184686112533</v>
      </c>
      <c r="I72" s="27">
        <f>HLOOKUP(I$68,Results!$A$1:$AW$39,MATCH('Diagnosis Indicators'!$A72,Results!$A$1:$A$39,0),FALSE)</f>
        <v>991.95469164588644</v>
      </c>
      <c r="J72" s="27">
        <f>HLOOKUP(J$68,Results!$A$1:$AW$39,MATCH('Diagnosis Indicators'!$A72,Results!$A$1:$A$39,0),FALSE)</f>
        <v>995.22507077543958</v>
      </c>
      <c r="K72" s="27">
        <f>HLOOKUP(K$68,Results!$A$1:$AW$39,MATCH('Diagnosis Indicators'!$A72,Results!$A$1:$A$39,0),FALSE)</f>
        <v>1001.1044618951108</v>
      </c>
      <c r="L72" s="27">
        <f>HLOOKUP(L$68,Results!$A$1:$AW$39,MATCH('Diagnosis Indicators'!$A72,Results!$A$1:$A$39,0),FALSE)</f>
        <v>1010.7537137070676</v>
      </c>
      <c r="M72" s="27">
        <f>HLOOKUP(M$68,Results!$A$1:$AW$39,MATCH('Diagnosis Indicators'!$A72,Results!$A$1:$A$39,0),FALSE)</f>
        <v>1025.9278144959078</v>
      </c>
      <c r="N72" s="27">
        <f>HLOOKUP(N$68,Results!$A$1:$AW$39,MATCH('Diagnosis Indicators'!$A72,Results!$A$1:$A$39,0),FALSE)</f>
        <v>1049.2909939682147</v>
      </c>
      <c r="O72" s="27">
        <f>HLOOKUP(O$68,Results!$A$1:$AW$39,MATCH('Diagnosis Indicators'!$A72,Results!$A$1:$A$39,0),FALSE)</f>
        <v>1084.8816933658827</v>
      </c>
    </row>
    <row r="73" spans="1:25" x14ac:dyDescent="0.2">
      <c r="A73" t="s">
        <v>61</v>
      </c>
      <c r="B73" s="27">
        <f>HLOOKUP(B$68,Results!$A$1:$AW$39,MATCH('Diagnosis Indicators'!$A73,Results!$A$1:$A$39,0),FALSE)</f>
        <v>1000</v>
      </c>
      <c r="C73" s="27">
        <f>HLOOKUP(C$68,Results!$A$1:$AW$39,MATCH('Diagnosis Indicators'!$A73,Results!$A$1:$A$39,0),FALSE)</f>
        <v>994.89974855093703</v>
      </c>
      <c r="D73" s="27">
        <f>HLOOKUP(D$68,Results!$A$1:$AW$39,MATCH('Diagnosis Indicators'!$A73,Results!$A$1:$A$39,0),FALSE)</f>
        <v>989.92075183142845</v>
      </c>
      <c r="E73" s="27">
        <f>HLOOKUP(E$68,Results!$A$1:$AW$39,MATCH('Diagnosis Indicators'!$A73,Results!$A$1:$A$39,0),FALSE)</f>
        <v>985.13068240922405</v>
      </c>
      <c r="F73" s="27">
        <f>HLOOKUP(F$68,Results!$A$1:$AW$39,MATCH('Diagnosis Indicators'!$A73,Results!$A$1:$A$39,0),FALSE)</f>
        <v>980.62791015181381</v>
      </c>
      <c r="G73" s="27">
        <f>HLOOKUP(G$68,Results!$A$1:$AW$39,MATCH('Diagnosis Indicators'!$A73,Results!$A$1:$A$39,0),FALSE)</f>
        <v>976.55440755542884</v>
      </c>
      <c r="H73" s="27">
        <f>HLOOKUP(H$68,Results!$A$1:$AW$39,MATCH('Diagnosis Indicators'!$A73,Results!$A$1:$A$39,0),FALSE)</f>
        <v>973.11906566922175</v>
      </c>
      <c r="I73" s="27">
        <f>HLOOKUP(I$68,Results!$A$1:$AW$39,MATCH('Diagnosis Indicators'!$A73,Results!$A$1:$A$39,0),FALSE)</f>
        <v>970.63053124265048</v>
      </c>
      <c r="J73" s="27">
        <f>HLOOKUP(J$68,Results!$A$1:$AW$39,MATCH('Diagnosis Indicators'!$A73,Results!$A$1:$A$39,0),FALSE)</f>
        <v>969.55055100205959</v>
      </c>
      <c r="K73" s="27">
        <f>HLOOKUP(K$68,Results!$A$1:$AW$39,MATCH('Diagnosis Indicators'!$A73,Results!$A$1:$A$39,0),FALSE)</f>
        <v>970.5769417032858</v>
      </c>
      <c r="L73" s="27">
        <f>HLOOKUP(L$68,Results!$A$1:$AW$39,MATCH('Diagnosis Indicators'!$A73,Results!$A$1:$A$39,0),FALSE)</f>
        <v>974.77398491324402</v>
      </c>
      <c r="M73" s="27">
        <f>HLOOKUP(M$68,Results!$A$1:$AW$39,MATCH('Diagnosis Indicators'!$A73,Results!$A$1:$A$39,0),FALSE)</f>
        <v>983.77549504032982</v>
      </c>
      <c r="N73" s="27">
        <f>HLOOKUP(N$68,Results!$A$1:$AW$39,MATCH('Diagnosis Indicators'!$A73,Results!$A$1:$A$39,0),FALSE)</f>
        <v>1000.0963211908023</v>
      </c>
      <c r="O73" s="27">
        <f>HLOOKUP(O$68,Results!$A$1:$AW$39,MATCH('Diagnosis Indicators'!$A73,Results!$A$1:$A$39,0),FALSE)</f>
        <v>1027.6020398318349</v>
      </c>
    </row>
    <row r="74" spans="1:25" x14ac:dyDescent="0.2">
      <c r="A74" t="s">
        <v>114</v>
      </c>
      <c r="B74" s="27">
        <f>HLOOKUP(B$68,Results!$A$1:$AW$39,MATCH('Diagnosis Indicators'!$A74,Results!$A$1:$A$39,0),FALSE)</f>
        <v>26548.356269999993</v>
      </c>
      <c r="C74" s="27">
        <f>HLOOKUP(C$68,Results!$A$1:$AW$39,MATCH('Diagnosis Indicators'!$A74,Results!$A$1:$A$39,0),FALSE)</f>
        <v>26364.00686980084</v>
      </c>
      <c r="D74" s="27">
        <f>HLOOKUP(D$68,Results!$A$1:$AW$39,MATCH('Diagnosis Indicators'!$A74,Results!$A$1:$A$39,0),FALSE)</f>
        <v>26155.693316458994</v>
      </c>
      <c r="E74" s="27">
        <f>HLOOKUP(E$68,Results!$A$1:$AW$39,MATCH('Diagnosis Indicators'!$A74,Results!$A$1:$A$39,0),FALSE)</f>
        <v>25918.428378271037</v>
      </c>
      <c r="F74" s="27">
        <f>HLOOKUP(F$68,Results!$A$1:$AW$39,MATCH('Diagnosis Indicators'!$A74,Results!$A$1:$A$39,0),FALSE)</f>
        <v>25645.854790289901</v>
      </c>
      <c r="G74" s="27">
        <f>HLOOKUP(G$68,Results!$A$1:$AW$39,MATCH('Diagnosis Indicators'!$A74,Results!$A$1:$A$39,0),FALSE)</f>
        <v>25329.890011503579</v>
      </c>
      <c r="H74" s="27">
        <f>HLOOKUP(H$68,Results!$A$1:$AW$39,MATCH('Diagnosis Indicators'!$A74,Results!$A$1:$A$39,0),FALSE)</f>
        <v>24960.149548161735</v>
      </c>
      <c r="I74" s="27">
        <f>HLOOKUP(I$68,Results!$A$1:$AW$39,MATCH('Diagnosis Indicators'!$A74,Results!$A$1:$A$39,0),FALSE)</f>
        <v>24523.363843350024</v>
      </c>
      <c r="J74" s="27">
        <f>HLOOKUP(J$68,Results!$A$1:$AW$39,MATCH('Diagnosis Indicators'!$A74,Results!$A$1:$A$39,0),FALSE)</f>
        <v>24002.709524259473</v>
      </c>
      <c r="K74" s="27">
        <f>HLOOKUP(K$68,Results!$A$1:$AW$39,MATCH('Diagnosis Indicators'!$A74,Results!$A$1:$A$39,0),FALSE)</f>
        <v>23377.345620639724</v>
      </c>
      <c r="L74" s="27">
        <f>HLOOKUP(L$68,Results!$A$1:$AW$39,MATCH('Diagnosis Indicators'!$A74,Results!$A$1:$A$39,0),FALSE)</f>
        <v>22622.64266552528</v>
      </c>
      <c r="M74" s="27">
        <f>HLOOKUP(M$68,Results!$A$1:$AW$39,MATCH('Diagnosis Indicators'!$A74,Results!$A$1:$A$39,0),FALSE)</f>
        <v>21712.089431816497</v>
      </c>
      <c r="N74" s="27">
        <f>HLOOKUP(N$68,Results!$A$1:$AW$39,MATCH('Diagnosis Indicators'!$A74,Results!$A$1:$A$39,0),FALSE)</f>
        <v>20622.369286875903</v>
      </c>
      <c r="O74" s="27">
        <f>HLOOKUP(O$68,Results!$A$1:$AW$39,MATCH('Diagnosis Indicators'!$A74,Results!$A$1:$A$39,0),FALSE)</f>
        <v>19342.810339324125</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14621159.108335488</v>
      </c>
      <c r="D76" s="27">
        <f>HLOOKUP(D$68,Results!$A$1:$AW$39,MATCH('Diagnosis Indicators'!$A76,Results!$A$1:$A$39,0),FALSE)</f>
        <v>14497404.238399629</v>
      </c>
      <c r="E76" s="27">
        <f>HLOOKUP(E$68,Results!$A$1:$AW$39,MATCH('Diagnosis Indicators'!$A76,Results!$A$1:$A$39,0),FALSE)</f>
        <v>14361228.863428844</v>
      </c>
      <c r="F76" s="27">
        <f>HLOOKUP(F$68,Results!$A$1:$AW$39,MATCH('Diagnosis Indicators'!$A76,Results!$A$1:$A$39,0),FALSE)</f>
        <v>14210186.259247584</v>
      </c>
      <c r="G76" s="27">
        <f>HLOOKUP(G$68,Results!$A$1:$AW$39,MATCH('Diagnosis Indicators'!$A76,Results!$A$1:$A$39,0),FALSE)</f>
        <v>14041246.523667736</v>
      </c>
      <c r="H76" s="27">
        <f>HLOOKUP(H$68,Results!$A$1:$AW$39,MATCH('Diagnosis Indicators'!$A76,Results!$A$1:$A$39,0),FALSE)</f>
        <v>13850638.713677764</v>
      </c>
      <c r="I76" s="27">
        <f>HLOOKUP(I$68,Results!$A$1:$AW$39,MATCH('Diagnosis Indicators'!$A76,Results!$A$1:$A$39,0),FALSE)</f>
        <v>13633732.276049906</v>
      </c>
      <c r="J76" s="27">
        <f>HLOOKUP(J$68,Results!$A$1:$AW$39,MATCH('Diagnosis Indicators'!$A76,Results!$A$1:$A$39,0),FALSE)</f>
        <v>13384962.874840191</v>
      </c>
      <c r="K76" s="27">
        <f>HLOOKUP(K$68,Results!$A$1:$AW$39,MATCH('Diagnosis Indicators'!$A76,Results!$A$1:$A$39,0),FALSE)</f>
        <v>13097966.371635983</v>
      </c>
      <c r="L76" s="27">
        <f>HLOOKUP(L$68,Results!$A$1:$AW$39,MATCH('Diagnosis Indicators'!$A76,Results!$A$1:$A$39,0),FALSE)</f>
        <v>12766199.808846479</v>
      </c>
      <c r="M76" s="27">
        <f>HLOOKUP(M$68,Results!$A$1:$AW$39,MATCH('Diagnosis Indicators'!$A76,Results!$A$1:$A$39,0),FALSE)</f>
        <v>12384565.639119975</v>
      </c>
      <c r="N76" s="27">
        <f>HLOOKUP(N$68,Results!$A$1:$AW$39,MATCH('Diagnosis Indicators'!$A76,Results!$A$1:$A$39,0),FALSE)</f>
        <v>11952798.798857899</v>
      </c>
      <c r="O76" s="27">
        <f>HLOOKUP(O$68,Results!$A$1:$AW$39,MATCH('Diagnosis Indicators'!$A76,Results!$A$1:$A$39,0),FALSE)</f>
        <v>11481257.494774336</v>
      </c>
    </row>
    <row r="77" spans="1:25" x14ac:dyDescent="0.2">
      <c r="A77" t="s">
        <v>27</v>
      </c>
      <c r="B77" s="27">
        <f>HLOOKUP(B$68,Results!$A$1:$AW$39,MATCH('Diagnosis Indicators'!$A77,Results!$A$1:$A$39,0),FALSE)</f>
        <v>5036.2953101960647</v>
      </c>
      <c r="C77" s="27">
        <f>HLOOKUP(C$68,Results!$A$1:$AW$39,MATCH('Diagnosis Indicators'!$A77,Results!$A$1:$A$39,0),FALSE)</f>
        <v>5014.3505024196793</v>
      </c>
      <c r="D77" s="27">
        <f>HLOOKUP(D$68,Results!$A$1:$AW$39,MATCH('Diagnosis Indicators'!$A77,Results!$A$1:$A$39,0),FALSE)</f>
        <v>4988.0414838547167</v>
      </c>
      <c r="E77" s="27">
        <f>HLOOKUP(E$68,Results!$A$1:$AW$39,MATCH('Diagnosis Indicators'!$A77,Results!$A$1:$A$39,0),FALSE)</f>
        <v>4956.328715264377</v>
      </c>
      <c r="F77" s="27">
        <f>HLOOKUP(F$68,Results!$A$1:$AW$39,MATCH('Diagnosis Indicators'!$A77,Results!$A$1:$A$39,0),FALSE)</f>
        <v>4917.859174406417</v>
      </c>
      <c r="G77" s="27">
        <f>HLOOKUP(G$68,Results!$A$1:$AW$39,MATCH('Diagnosis Indicators'!$A77,Results!$A$1:$A$39,0),FALSE)</f>
        <v>4870.8776066506034</v>
      </c>
      <c r="H77" s="27">
        <f>HLOOKUP(H$68,Results!$A$1:$AW$39,MATCH('Diagnosis Indicators'!$A77,Results!$A$1:$A$39,0),FALSE)</f>
        <v>4813.0801785026497</v>
      </c>
      <c r="I77" s="27">
        <f>HLOOKUP(I$68,Results!$A$1:$AW$39,MATCH('Diagnosis Indicators'!$A77,Results!$A$1:$A$39,0),FALSE)</f>
        <v>4741.4576845416323</v>
      </c>
      <c r="J77" s="27">
        <f>HLOOKUP(J$68,Results!$A$1:$AW$39,MATCH('Diagnosis Indicators'!$A77,Results!$A$1:$A$39,0),FALSE)</f>
        <v>4652.1032550299324</v>
      </c>
      <c r="K77" s="27">
        <f>HLOOKUP(K$68,Results!$A$1:$AW$39,MATCH('Diagnosis Indicators'!$A77,Results!$A$1:$A$39,0),FALSE)</f>
        <v>4540.0443727813672</v>
      </c>
      <c r="L77" s="27">
        <f>HLOOKUP(L$68,Results!$A$1:$AW$39,MATCH('Diagnosis Indicators'!$A77,Results!$A$1:$A$39,0),FALSE)</f>
        <v>4399.2026265074701</v>
      </c>
      <c r="M77" s="27">
        <f>HLOOKUP(M$68,Results!$A$1:$AW$39,MATCH('Diagnosis Indicators'!$A77,Results!$A$1:$A$39,0),FALSE)</f>
        <v>4222.7039350007462</v>
      </c>
      <c r="N77" s="27">
        <f>HLOOKUP(N$68,Results!$A$1:$AW$39,MATCH('Diagnosis Indicators'!$A77,Results!$A$1:$A$39,0),FALSE)</f>
        <v>4003.8953312392027</v>
      </c>
      <c r="O77" s="27">
        <f>HLOOKUP(O$68,Results!$A$1:$AW$39,MATCH('Diagnosis Indicators'!$A77,Results!$A$1:$A$39,0),FALSE)</f>
        <v>3738.394620863452</v>
      </c>
    </row>
    <row r="78" spans="1:25" x14ac:dyDescent="0.2">
      <c r="A78" t="s">
        <v>19</v>
      </c>
      <c r="B78" s="27">
        <f>HLOOKUP(B$68,Results!$A$1:$AW$39,MATCH('Diagnosis Indicators'!$A78,Results!$A$1:$A$39,0),FALSE)</f>
        <v>27857.010133999996</v>
      </c>
      <c r="C78" s="27">
        <f>HLOOKUP(C$68,Results!$A$1:$AW$39,MATCH('Diagnosis Indicators'!$A78,Results!$A$1:$A$39,0),FALSE)</f>
        <v>27684.691055926432</v>
      </c>
      <c r="D78" s="27">
        <f>HLOOKUP(D$68,Results!$A$1:$AW$39,MATCH('Diagnosis Indicators'!$A78,Results!$A$1:$A$39,0),FALSE)</f>
        <v>27484.643064614786</v>
      </c>
      <c r="E78" s="27">
        <f>HLOOKUP(E$68,Results!$A$1:$AW$39,MATCH('Diagnosis Indicators'!$A78,Results!$A$1:$A$39,0),FALSE)</f>
        <v>27250.899278653189</v>
      </c>
      <c r="F78" s="27">
        <f>HLOOKUP(F$68,Results!$A$1:$AW$39,MATCH('Diagnosis Indicators'!$A78,Results!$A$1:$A$39,0),FALSE)</f>
        <v>26975.814338765827</v>
      </c>
      <c r="G78" s="27">
        <f>HLOOKUP(G$68,Results!$A$1:$AW$39,MATCH('Diagnosis Indicators'!$A78,Results!$A$1:$A$39,0),FALSE)</f>
        <v>26649.618361493474</v>
      </c>
      <c r="H78" s="27">
        <f>HLOOKUP(H$68,Results!$A$1:$AW$39,MATCH('Diagnosis Indicators'!$A78,Results!$A$1:$A$39,0),FALSE)</f>
        <v>26259.68953894138</v>
      </c>
      <c r="I78" s="27">
        <f>HLOOKUP(I$68,Results!$A$1:$AW$39,MATCH('Diagnosis Indicators'!$A78,Results!$A$1:$A$39,0),FALSE)</f>
        <v>25789.804941337607</v>
      </c>
      <c r="J78" s="27">
        <f>HLOOKUP(J$68,Results!$A$1:$AW$39,MATCH('Diagnosis Indicators'!$A78,Results!$A$1:$A$39,0),FALSE)</f>
        <v>25219.260760084308</v>
      </c>
      <c r="K78" s="27">
        <f>HLOOKUP(K$68,Results!$A$1:$AW$39,MATCH('Diagnosis Indicators'!$A78,Results!$A$1:$A$39,0),FALSE)</f>
        <v>24522.203493846278</v>
      </c>
      <c r="L78" s="27">
        <f>HLOOKUP(L$68,Results!$A$1:$AW$39,MATCH('Diagnosis Indicators'!$A78,Results!$A$1:$A$39,0),FALSE)</f>
        <v>23667.746829083218</v>
      </c>
      <c r="M78" s="27">
        <f>HLOOKUP(M$68,Results!$A$1:$AW$39,MATCH('Diagnosis Indicators'!$A78,Results!$A$1:$A$39,0),FALSE)</f>
        <v>22622.052383576993</v>
      </c>
      <c r="N78" s="27">
        <f>HLOOKUP(N$68,Results!$A$1:$AW$39,MATCH('Diagnosis Indicators'!$A78,Results!$A$1:$A$39,0),FALSE)</f>
        <v>21354.176315532095</v>
      </c>
      <c r="O78" s="27">
        <f>HLOOKUP(O$68,Results!$A$1:$AW$39,MATCH('Diagnosis Indicators'!$A78,Results!$A$1:$A$39,0),FALSE)</f>
        <v>19847.162255154348</v>
      </c>
    </row>
  </sheetData>
  <conditionalFormatting sqref="B3:Y3 B25:Y30 B48:Y54 B6:Y10">
    <cfRule type="cellIs" dxfId="0" priority="18" operator="equal">
      <formula>0</formula>
    </cfRule>
  </conditionalFormatting>
  <conditionalFormatting sqref="B36:Y43">
    <cfRule type="containsErrors" dxfId="56" priority="14">
      <formula>ISERROR(B36)</formula>
    </cfRule>
    <cfRule type="containsErrors" priority="16">
      <formula>ISERROR(B36)</formula>
    </cfRule>
  </conditionalFormatting>
  <conditionalFormatting sqref="B47:Y47">
    <cfRule type="cellIs" dxfId="55" priority="10" operator="equal">
      <formula>0</formula>
    </cfRule>
  </conditionalFormatting>
  <conditionalFormatting sqref="B5:Y5 U4:Y4">
    <cfRule type="cellIs" dxfId="54" priority="8" operator="equal">
      <formula>0</formula>
    </cfRule>
  </conditionalFormatting>
  <conditionalFormatting sqref="B4:T4">
    <cfRule type="cellIs" dxfId="53" priority="7" operator="equal">
      <formula>0</formula>
    </cfRule>
  </conditionalFormatting>
  <conditionalFormatting sqref="B31:Y32">
    <cfRule type="cellIs" dxfId="52" priority="4" operator="equal">
      <formula>0</formula>
    </cfRule>
  </conditionalFormatting>
  <conditionalFormatting sqref="B20:Y21">
    <cfRule type="cellIs" dxfId="51" priority="3" operator="equal">
      <formula>0</formula>
    </cfRule>
  </conditionalFormatting>
  <conditionalFormatting sqref="B59:Y65">
    <cfRule type="cellIs" dxfId="50" priority="2" operator="equal">
      <formula>0</formula>
    </cfRule>
  </conditionalFormatting>
  <conditionalFormatting sqref="B58:Y58">
    <cfRule type="cellIs" dxfId="49"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zoomScale="70" workbookViewId="0">
      <selection activeCell="M6" sqref="M6"/>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1</v>
      </c>
      <c r="C2">
        <f>'Diagnosis Indicators'!C3</f>
        <v>0.99296618797721159</v>
      </c>
      <c r="D2">
        <f>'Diagnosis Indicators'!D3</f>
        <v>0.98543593577150623</v>
      </c>
      <c r="E2">
        <f>'Diagnosis Indicators'!E3</f>
        <v>0.97734343283897884</v>
      </c>
      <c r="F2">
        <f>'Diagnosis Indicators'!F3</f>
        <v>0.9686095807600773</v>
      </c>
      <c r="G2">
        <f>'Diagnosis Indicators'!G3</f>
        <v>0.95913801550647804</v>
      </c>
      <c r="H2">
        <f>'Diagnosis Indicators'!H3</f>
        <v>0.94880931839787208</v>
      </c>
      <c r="I2">
        <f>'Diagnosis Indicators'!I3</f>
        <v>0.93747272306712592</v>
      </c>
      <c r="J2">
        <f>'Diagnosis Indicators'!J3</f>
        <v>0.92493361836966159</v>
      </c>
      <c r="K2">
        <f>'Diagnosis Indicators'!K3</f>
        <v>0.91093365050145381</v>
      </c>
      <c r="L2">
        <f>'Diagnosis Indicators'!L3</f>
        <v>0.89511891517756226</v>
      </c>
      <c r="M2">
        <f>'Diagnosis Indicators'!M3</f>
        <v>0.8769859690404449</v>
      </c>
      <c r="N2">
        <f>'Diagnosis Indicators'!N3</f>
        <v>0.85578686084429412</v>
      </c>
      <c r="O2">
        <f>'Diagnosis Indicators'!O3</f>
        <v>0.83035539263281732</v>
      </c>
      <c r="P2">
        <f>'Diagnosis Indicators'!P3</f>
        <v>0.79877987389764271</v>
      </c>
      <c r="Q2">
        <f>'Diagnosis Indicators'!Q3</f>
        <v>0.75779707181759326</v>
      </c>
      <c r="R2">
        <f>'Diagnosis Indicators'!R3</f>
        <v>0.70178267971210484</v>
      </c>
      <c r="S2">
        <f>'Diagnosis Indicators'!S3</f>
        <v>0.62134217313259998</v>
      </c>
      <c r="T2">
        <f>'Diagnosis Indicators'!T3</f>
        <v>0.50021770375087438</v>
      </c>
      <c r="U2">
        <f>'Diagnosis Indicators'!U3</f>
        <v>0.30277591568107937</v>
      </c>
      <c r="V2">
        <f>'Diagnosis Indicators'!V3</f>
        <v>0.24785259629937384</v>
      </c>
      <c r="W2">
        <f>'Diagnosis Indicators'!W3</f>
        <v>0.18594523773702273</v>
      </c>
      <c r="X2">
        <f>'Diagnosis Indicators'!X3</f>
        <v>0.11716973070114529</v>
      </c>
      <c r="Y2">
        <f>'Diagnosis Indicators'!Y3</f>
        <v>4.5874414528498011E-2</v>
      </c>
    </row>
    <row r="3" spans="1:25" x14ac:dyDescent="0.2">
      <c r="A3" t="str">
        <f>'Diagnosis Indicators'!A4</f>
        <v>Kaldorian</v>
      </c>
      <c r="B3">
        <f>'Diagnosis Indicators'!B4</f>
        <v>1</v>
      </c>
      <c r="C3">
        <f>'Diagnosis Indicators'!C4</f>
        <v>0.99787000699331885</v>
      </c>
      <c r="D3">
        <f>'Diagnosis Indicators'!D4</f>
        <v>0.99532457432441968</v>
      </c>
      <c r="E3">
        <f>'Diagnosis Indicators'!E4</f>
        <v>0.99230772772139486</v>
      </c>
      <c r="F3">
        <f>'Diagnosis Indicators'!F4</f>
        <v>0.98875221316949147</v>
      </c>
      <c r="G3">
        <f>'Diagnosis Indicators'!G4</f>
        <v>0.98457566864662005</v>
      </c>
      <c r="H3">
        <f>'Diagnosis Indicators'!H4</f>
        <v>0.97967680576695637</v>
      </c>
      <c r="I3">
        <f>'Diagnosis Indicators'!I4</f>
        <v>0.97392789581583339</v>
      </c>
      <c r="J3">
        <f>'Diagnosis Indicators'!J4</f>
        <v>0.96716509623754765</v>
      </c>
      <c r="K3">
        <f>'Diagnosis Indicators'!K4</f>
        <v>0.95917311624726387</v>
      </c>
      <c r="L3">
        <f>'Diagnosis Indicators'!L4</f>
        <v>0.94966059360215016</v>
      </c>
      <c r="M3">
        <f>'Diagnosis Indicators'!M4</f>
        <v>0.93821937797721033</v>
      </c>
      <c r="N3">
        <f>'Diagnosis Indicators'!N4</f>
        <v>0.92425327861234552</v>
      </c>
      <c r="O3">
        <f>'Diagnosis Indicators'!O4</f>
        <v>0.90684744656527938</v>
      </c>
      <c r="P3">
        <f>'Diagnosis Indicators'!P4</f>
        <v>0.88451667787402954</v>
      </c>
      <c r="Q3">
        <f>'Diagnosis Indicators'!Q4</f>
        <v>0.85470837445853487</v>
      </c>
      <c r="R3">
        <f>'Diagnosis Indicators'!R4</f>
        <v>0.81283061625239261</v>
      </c>
    </row>
    <row r="4" spans="1:25" x14ac:dyDescent="0.2">
      <c r="A4" t="str">
        <f>'Diagnosis Indicators'!A5</f>
        <v>Johansen</v>
      </c>
      <c r="B4">
        <f>'Diagnosis Indicators'!B5</f>
        <v>1</v>
      </c>
      <c r="C4">
        <f>'Diagnosis Indicators'!C5</f>
        <v>0.99789306599996375</v>
      </c>
      <c r="D4">
        <f>'Diagnosis Indicators'!D5</f>
        <v>0.99537168063367842</v>
      </c>
      <c r="E4">
        <f>'Diagnosis Indicators'!E5</f>
        <v>0.99237988884740147</v>
      </c>
      <c r="F4">
        <f>'Diagnosis Indicators'!F5</f>
        <v>0.98885035933294385</v>
      </c>
      <c r="G4">
        <f>'Diagnosis Indicators'!G5</f>
        <v>0.98470098810371876</v>
      </c>
      <c r="H4">
        <f>'Diagnosis Indicators'!H5</f>
        <v>0.97983010747358756</v>
      </c>
      <c r="I4">
        <f>'Diagnosis Indicators'!I5</f>
        <v>0.97410974924082494</v>
      </c>
      <c r="J4">
        <f>'Diagnosis Indicators'!J5</f>
        <v>0.96737560182921001</v>
      </c>
      <c r="K4">
        <f>'Diagnosis Indicators'!K5</f>
        <v>0.95941140450904627</v>
      </c>
      <c r="L4">
        <f>'Diagnosis Indicators'!L5</f>
        <v>0.94992431030601987</v>
      </c>
      <c r="M4">
        <f>'Diagnosis Indicators'!M5</f>
        <v>0.93850373262754094</v>
      </c>
      <c r="N4">
        <f>'Diagnosis Indicators'!N5</f>
        <v>0.92454964528615258</v>
      </c>
      <c r="O4">
        <f>'Diagnosis Indicators'!O5</f>
        <v>0.90714107179495906</v>
      </c>
      <c r="P4">
        <f>'Diagnosis Indicators'!P5</f>
        <v>0.88478410795358442</v>
      </c>
      <c r="Q4">
        <f>'Diagnosis Indicators'!Q5</f>
        <v>0.85491688203818483</v>
      </c>
      <c r="R4">
        <f>'Diagnosis Indicators'!R5</f>
        <v>0.81295123169048444</v>
      </c>
      <c r="S4">
        <f>'Diagnosis Indicators'!S5</f>
        <v>0.75038438523377871</v>
      </c>
      <c r="T4">
        <f>'Diagnosis Indicators'!T5</f>
        <v>0.64977481690370842</v>
      </c>
      <c r="U4">
        <f>'Diagnosis Indicators'!U5</f>
        <v>0.46490814669884761</v>
      </c>
      <c r="V4">
        <f>'Diagnosis Indicators'!V5</f>
        <v>0.40746159595838494</v>
      </c>
      <c r="W4">
        <f>'Diagnosis Indicators'!W5</f>
        <v>0.33808043570136642</v>
      </c>
      <c r="X4">
        <f>'Diagnosis Indicators'!X5</f>
        <v>0.2523639357740759</v>
      </c>
    </row>
    <row r="5" spans="1:25" x14ac:dyDescent="0.2">
      <c r="A5" t="str">
        <f>'Diagnosis Indicators'!A6</f>
        <v>Keynes-Marshall</v>
      </c>
      <c r="B5">
        <f>'Diagnosis Indicators'!B6</f>
        <v>1</v>
      </c>
      <c r="C5">
        <f>'Diagnosis Indicators'!C6</f>
        <v>1.0112986096159524</v>
      </c>
      <c r="D5">
        <f>'Diagnosis Indicators'!D6</f>
        <v>1.0222054037481272</v>
      </c>
      <c r="E5">
        <f>'Diagnosis Indicators'!E6</f>
        <v>1.0326961359410609</v>
      </c>
      <c r="F5">
        <f>'Diagnosis Indicators'!F6</f>
        <v>1.0427392190536204</v>
      </c>
      <c r="G5">
        <f>'Diagnosis Indicators'!G6</f>
        <v>1.0522953745244874</v>
      </c>
      <c r="H5">
        <f>'Diagnosis Indicators'!H6</f>
        <v>1.0613171186879689</v>
      </c>
      <c r="I5">
        <f>'Diagnosis Indicators'!I6</f>
        <v>1.0697491860342756</v>
      </c>
      <c r="J5">
        <f>'Diagnosis Indicators'!J6</f>
        <v>1.0775296769678369</v>
      </c>
      <c r="K5">
        <f>'Diagnosis Indicators'!K6</f>
        <v>1.084593389548471</v>
      </c>
      <c r="L5">
        <f>'Diagnosis Indicators'!L6</f>
        <v>1.0908784352558614</v>
      </c>
      <c r="M5">
        <f>'Diagnosis Indicators'!M6</f>
        <v>1.0963363881604449</v>
      </c>
      <c r="N5">
        <f>'Diagnosis Indicators'!N6</f>
        <v>1.1009356659009153</v>
      </c>
    </row>
    <row r="6" spans="1:25" x14ac:dyDescent="0.2">
      <c r="A6" t="str">
        <f>'Diagnosis Indicators'!A7</f>
        <v>Keynesian</v>
      </c>
      <c r="B6">
        <f>'Diagnosis Indicators'!B7</f>
        <v>1</v>
      </c>
      <c r="C6">
        <f>'Diagnosis Indicators'!C7</f>
        <v>0.97769882610947667</v>
      </c>
      <c r="D6">
        <f>'Diagnosis Indicators'!D7</f>
        <v>0.95313400068404119</v>
      </c>
      <c r="E6">
        <f>'Diagnosis Indicators'!E7</f>
        <v>0.92608586209399102</v>
      </c>
      <c r="F6">
        <f>'Diagnosis Indicators'!F7</f>
        <v>0.89632717222323022</v>
      </c>
      <c r="G6">
        <f>'Diagnosis Indicators'!G7</f>
        <v>0.86363445613485001</v>
      </c>
      <c r="H6">
        <f>'Diagnosis Indicators'!H7</f>
        <v>0.82780276759861049</v>
      </c>
      <c r="I6">
        <f>'Diagnosis Indicators'!I7</f>
        <v>0.78867298702707789</v>
      </c>
      <c r="J6">
        <f>'Diagnosis Indicators'!J7</f>
        <v>0.74617464374592357</v>
      </c>
      <c r="K6">
        <f>'Diagnosis Indicators'!K7</f>
        <v>0.70040384382478971</v>
      </c>
      <c r="L6">
        <f>'Diagnosis Indicators'!L7</f>
        <v>0.65179573038998551</v>
      </c>
      <c r="M6">
        <f>'Diagnosis Indicators'!M7</f>
        <v>0.60162191090227546</v>
      </c>
    </row>
    <row r="7" spans="1:25" x14ac:dyDescent="0.2">
      <c r="A7" t="str">
        <f>'Diagnosis Indicators'!A8</f>
        <v>Keynes-Kaldor</v>
      </c>
      <c r="B7">
        <f>'Diagnosis Indicators'!B8</f>
        <v>1</v>
      </c>
      <c r="C7">
        <f>'Diagnosis Indicators'!C8</f>
        <v>1.0027756281775111</v>
      </c>
      <c r="D7">
        <f>'Diagnosis Indicators'!D8</f>
        <v>1.0045738425733204</v>
      </c>
      <c r="E7">
        <f>'Diagnosis Indicators'!E8</f>
        <v>1.0053207321185449</v>
      </c>
      <c r="F7">
        <f>'Diagnosis Indicators'!F8</f>
        <v>1.0049180870405912</v>
      </c>
      <c r="G7">
        <f>'Diagnosis Indicators'!G8</f>
        <v>1.0032382592258045</v>
      </c>
      <c r="H7">
        <f>'Diagnosis Indicators'!H8</f>
        <v>1.0001157844814981</v>
      </c>
      <c r="I7">
        <f>'Diagnosis Indicators'!I8</f>
        <v>0.99533591411020861</v>
      </c>
      <c r="J7">
        <f>'Diagnosis Indicators'!J8</f>
        <v>0.98861727680147471</v>
      </c>
      <c r="K7">
        <f>'Diagnosis Indicators'!K8</f>
        <v>0.9795857345771477</v>
      </c>
      <c r="L7">
        <f>'Diagnosis Indicators'!L8</f>
        <v>0.96773349518965968</v>
      </c>
      <c r="M7">
        <f>'Diagnosis Indicators'!M8</f>
        <v>0.95235264879402348</v>
      </c>
      <c r="N7">
        <f>'Diagnosis Indicators'!N8</f>
        <v>0.93242314659715342</v>
      </c>
      <c r="O7">
        <f>'Diagnosis Indicators'!O8</f>
        <v>0.90641390343058592</v>
      </c>
      <c r="P7">
        <f>'Diagnosis Indicators'!P8</f>
        <v>0.87191598655320002</v>
      </c>
      <c r="Q7">
        <f>'Diagnosis Indicators'!Q8</f>
        <v>0.82494442120374989</v>
      </c>
      <c r="R7">
        <f>'Diagnosis Indicators'!R8</f>
        <v>0.75862832480268994</v>
      </c>
      <c r="S7">
        <f>'Diagnosis Indicators'!S8</f>
        <v>0.66099970343096981</v>
      </c>
    </row>
    <row r="8" spans="1:25" x14ac:dyDescent="0.2">
      <c r="A8" t="str">
        <f>'Diagnosis Indicators'!A9</f>
        <v>Neo-K1</v>
      </c>
      <c r="B8">
        <f>'Diagnosis Indicators'!B9</f>
        <v>1</v>
      </c>
      <c r="C8">
        <f>'Diagnosis Indicators'!C9</f>
        <v>0.98920384481853063</v>
      </c>
      <c r="D8">
        <f>'Diagnosis Indicators'!D9</f>
        <v>0.97748815664141953</v>
      </c>
      <c r="E8">
        <f>'Diagnosis Indicators'!E9</f>
        <v>0.96470927868053213</v>
      </c>
      <c r="F8">
        <f>'Diagnosis Indicators'!F9</f>
        <v>0.95069080907202208</v>
      </c>
      <c r="G8">
        <f>'Diagnosis Indicators'!G9</f>
        <v>0.93521480978141025</v>
      </c>
      <c r="H8">
        <f>'Diagnosis Indicators'!H9</f>
        <v>0.91800809832753749</v>
      </c>
      <c r="I8">
        <f>'Diagnosis Indicators'!I9</f>
        <v>0.89872506293272125</v>
      </c>
      <c r="J8">
        <f>'Diagnosis Indicators'!J9</f>
        <v>0.87692355900321073</v>
      </c>
      <c r="K8">
        <f>'Diagnosis Indicators'!K9</f>
        <v>0.8520320572980975</v>
      </c>
      <c r="L8">
        <f>'Diagnosis Indicators'!L9</f>
        <v>0.82330643750659172</v>
      </c>
      <c r="M8">
        <f>'Diagnosis Indicators'!M9</f>
        <v>0.78977454392124402</v>
      </c>
      <c r="N8">
        <f>'Diagnosis Indicators'!N9</f>
        <v>0.75017171100251678</v>
      </c>
      <c r="O8">
        <f>'Diagnosis Indicators'!O9</f>
        <v>0.70288172583264152</v>
      </c>
      <c r="P8">
        <f>'Diagnosis Indicators'!P9</f>
        <v>0.64591908831988087</v>
      </c>
      <c r="Q8">
        <f>'Diagnosis Indicators'!Q9</f>
        <v>0.57702080254679045</v>
      </c>
      <c r="R8">
        <f>'Diagnosis Indicators'!R9</f>
        <v>0.49392835730684626</v>
      </c>
      <c r="S8">
        <f>'Diagnosis Indicators'!S9</f>
        <v>0.39486995897169774</v>
      </c>
      <c r="T8">
        <f>'Diagnosis Indicators'!T9</f>
        <v>0.27906819015296724</v>
      </c>
      <c r="U8">
        <f>'Diagnosis Indicators'!U9</f>
        <v>0.1469637825189794</v>
      </c>
      <c r="V8">
        <f>'Diagnosis Indicators'!V9</f>
        <v>0.11870113855164308</v>
      </c>
      <c r="W8">
        <f>'Diagnosis Indicators'!W9</f>
        <v>8.9857526296882803E-2</v>
      </c>
      <c r="X8">
        <f>'Diagnosis Indicators'!X9</f>
        <v>6.0448631543672506E-2</v>
      </c>
      <c r="Y8">
        <f>'Diagnosis Indicators'!Y9</f>
        <v>3.0490622187023645E-2</v>
      </c>
    </row>
    <row r="9" spans="1:25" x14ac:dyDescent="0.2">
      <c r="A9" t="str">
        <f>'Diagnosis Indicators'!A10</f>
        <v>Neo-K2</v>
      </c>
      <c r="B9">
        <f>'Diagnosis Indicators'!B10</f>
        <v>1</v>
      </c>
      <c r="C9">
        <f>'Diagnosis Indicators'!C10</f>
        <v>0.98812212735407079</v>
      </c>
      <c r="D9">
        <f>'Diagnosis Indicators'!D10</f>
        <v>0.97509074916931782</v>
      </c>
      <c r="E9">
        <f>'Diagnosis Indicators'!E10</f>
        <v>0.96070193341948407</v>
      </c>
      <c r="F9">
        <f>'Diagnosis Indicators'!F10</f>
        <v>0.94470151994452678</v>
      </c>
      <c r="G9">
        <f>'Diagnosis Indicators'!G10</f>
        <v>0.92677347032181268</v>
      </c>
      <c r="H9">
        <f>'Diagnosis Indicators'!H10</f>
        <v>0.90652073549800705</v>
      </c>
      <c r="I9">
        <f>'Diagnosis Indicators'!I10</f>
        <v>0.88344725270175462</v>
      </c>
      <c r="J9">
        <f>'Diagnosis Indicators'!J10</f>
        <v>0.8569383306438042</v>
      </c>
      <c r="K9">
        <f>'Diagnosis Indicators'!K10</f>
        <v>0.82625042352331945</v>
      </c>
      <c r="L9">
        <f>'Diagnosis Indicators'!L10</f>
        <v>0.7905274328413846</v>
      </c>
      <c r="M9">
        <f>'Diagnosis Indicators'!M10</f>
        <v>0.74887661342006406</v>
      </c>
      <c r="N9">
        <f>'Diagnosis Indicators'!N10</f>
        <v>0.70055122039960915</v>
      </c>
      <c r="O9">
        <f>'Diagnosis Indicators'!O10</f>
        <v>0.64527041341966085</v>
      </c>
      <c r="P9">
        <f>'Diagnosis Indicators'!P10</f>
        <v>0.58359068063464847</v>
      </c>
      <c r="Q9">
        <f>'Diagnosis Indicators'!Q10</f>
        <v>0.51698834120279658</v>
      </c>
      <c r="R9">
        <f>'Diagnosis Indicators'!R10</f>
        <v>0.44712897035204396</v>
      </c>
      <c r="S9">
        <f>'Diagnosis Indicators'!S10</f>
        <v>0.37423503473877034</v>
      </c>
      <c r="T9">
        <f>'Diagnosis Indicators'!T10</f>
        <v>0.29521699241933191</v>
      </c>
      <c r="U9">
        <f>'Diagnosis Indicators'!U10</f>
        <v>0.19941274059682706</v>
      </c>
      <c r="V9">
        <f>'Diagnosis Indicators'!V10</f>
        <v>0.1755406116196965</v>
      </c>
      <c r="W9">
        <f>'Diagnosis Indicators'!W10</f>
        <v>0.14854301012815282</v>
      </c>
      <c r="X9">
        <f>'Diagnosis Indicators'!X10</f>
        <v>0.11669576496327633</v>
      </c>
      <c r="Y9">
        <f>'Diagnosis Indicators'!Y10</f>
        <v>7.5948576952393321E-2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0.56579827058704746</v>
      </c>
      <c r="D2">
        <f>'Diagnosis Indicators'!D36</f>
        <v>0.56438743824727899</v>
      </c>
      <c r="E2">
        <f>'Diagnosis Indicators'!E36</f>
        <v>0.56296738184706674</v>
      </c>
      <c r="F2">
        <f>'Diagnosis Indicators'!F36</f>
        <v>0.56153748713784801</v>
      </c>
      <c r="G2">
        <f>'Diagnosis Indicators'!G36</f>
        <v>0.56009731225855752</v>
      </c>
      <c r="H2">
        <f>'Diagnosis Indicators'!H36</f>
        <v>0.55864679482981816</v>
      </c>
      <c r="I2">
        <f>'Diagnosis Indicators'!I36</f>
        <v>0.55718650383839319</v>
      </c>
      <c r="J2">
        <f>'Diagnosis Indicators'!J36</f>
        <v>0.55571808300579351</v>
      </c>
      <c r="K2">
        <f>'Diagnosis Indicators'!K36</f>
        <v>0.55424504637317462</v>
      </c>
      <c r="L2">
        <f>'Diagnosis Indicators'!L36</f>
        <v>0.55277397833485464</v>
      </c>
      <c r="M2">
        <f>'Diagnosis Indicators'!M36</f>
        <v>0.55131658382597037</v>
      </c>
      <c r="N2">
        <f>'Diagnosis Indicators'!N36</f>
        <v>0.54989306187837206</v>
      </c>
      <c r="O2">
        <f>'Diagnosis Indicators'!O36</f>
        <v>0.54853750907572818</v>
      </c>
      <c r="P2">
        <f>'Diagnosis Indicators'!P36</f>
        <v>0.54730579735697005</v>
      </c>
      <c r="Q2">
        <f>'Diagnosis Indicators'!Q36</f>
        <v>0.54628235281865689</v>
      </c>
      <c r="R2">
        <f>'Diagnosis Indicators'!R36</f>
        <v>0.54556746301667425</v>
      </c>
      <c r="S2">
        <f>'Diagnosis Indicators'!S36</f>
        <v>0.5452059536805558</v>
      </c>
      <c r="T2">
        <f>'Diagnosis Indicators'!T36</f>
        <v>0.54509925797687442</v>
      </c>
      <c r="U2">
        <f>'Diagnosis Indicators'!U36</f>
        <v>0.54508573309079411</v>
      </c>
      <c r="V2">
        <f>'Diagnosis Indicators'!V36</f>
        <v>0.54508550034885295</v>
      </c>
      <c r="W2">
        <f>'Diagnosis Indicators'!W36</f>
        <v>0.54508541573268354</v>
      </c>
      <c r="X2">
        <f>'Diagnosis Indicators'!X36</f>
        <v>0.54508539155278912</v>
      </c>
      <c r="Y2">
        <f>'Diagnosis Indicators'!Y36</f>
        <v>0.5450853866121167</v>
      </c>
    </row>
    <row r="3" spans="1:25" x14ac:dyDescent="0.2">
      <c r="A3" t="str">
        <f>'[1]Diagnosis Indicators'!A64</f>
        <v>Kaldorian</v>
      </c>
      <c r="B3">
        <f>'Diagnosis Indicators'!B37</f>
        <v>0.56058995943839207</v>
      </c>
      <c r="C3">
        <f>'Diagnosis Indicators'!C37</f>
        <v>0.561310972223796</v>
      </c>
      <c r="D3">
        <f>'Diagnosis Indicators'!D37</f>
        <v>0.55518872160428312</v>
      </c>
      <c r="E3">
        <f>'Diagnosis Indicators'!E37</f>
        <v>0.54879926756609487</v>
      </c>
      <c r="F3">
        <f>'Diagnosis Indicators'!F37</f>
        <v>0.54210011223185761</v>
      </c>
      <c r="G3">
        <f>'Diagnosis Indicators'!G37</f>
        <v>0.53503810845489419</v>
      </c>
      <c r="H3">
        <f>'Diagnosis Indicators'!H37</f>
        <v>0.52754473807551994</v>
      </c>
      <c r="I3">
        <f>'Diagnosis Indicators'!I37</f>
        <v>0.51952988817543932</v>
      </c>
      <c r="J3">
        <f>'Diagnosis Indicators'!J37</f>
        <v>0.51087067606874603</v>
      </c>
      <c r="K3">
        <f>'Diagnosis Indicators'!K37</f>
        <v>0.50139320333287241</v>
      </c>
      <c r="L3">
        <f>'Diagnosis Indicators'!L37</f>
        <v>0.49083995079170156</v>
      </c>
      <c r="M3">
        <f>'Diagnosis Indicators'!M37</f>
        <v>0.47880975484307997</v>
      </c>
      <c r="N3">
        <f>'Diagnosis Indicators'!N37</f>
        <v>0.46464042108206566</v>
      </c>
      <c r="O3">
        <f>'Diagnosis Indicators'!O37</f>
        <v>0.44716630141226832</v>
      </c>
      <c r="P3">
        <f>'Diagnosis Indicators'!P37</f>
        <v>0.4241890401440303</v>
      </c>
      <c r="Q3">
        <f>'Diagnosis Indicators'!Q37</f>
        <v>0.39127434274685446</v>
      </c>
      <c r="R3">
        <f>'Diagnosis Indicators'!R37</f>
        <v>0.33896951318390534</v>
      </c>
      <c r="S3">
        <f>'Diagnosis Indicators'!S37</f>
        <v>0.24564077385192196</v>
      </c>
      <c r="T3">
        <f>'Diagnosis Indicators'!T37</f>
        <v>4.6645109422502357E-2</v>
      </c>
    </row>
    <row r="4" spans="1:25" x14ac:dyDescent="0.2">
      <c r="A4" t="str">
        <f>'[1]Diagnosis Indicators'!A65</f>
        <v>Johansen</v>
      </c>
      <c r="B4">
        <f>'Diagnosis Indicators'!B38</f>
        <v>0.56058995943839207</v>
      </c>
      <c r="C4">
        <f>'Diagnosis Indicators'!C38</f>
        <v>0.5657871366638485</v>
      </c>
      <c r="D4">
        <f>'Diagnosis Indicators'!D38</f>
        <v>0.56436432167076689</v>
      </c>
      <c r="E4">
        <f>'Diagnosis Indicators'!E38</f>
        <v>0.56293136652874964</v>
      </c>
      <c r="F4">
        <f>'Diagnosis Indicators'!F38</f>
        <v>0.56148760195292891</v>
      </c>
      <c r="G4">
        <f>'Diagnosis Indicators'!G38</f>
        <v>0.56003256099218646</v>
      </c>
      <c r="H4">
        <f>'Diagnosis Indicators'!H38</f>
        <v>0.55856621097563541</v>
      </c>
      <c r="I4">
        <f>'Diagnosis Indicators'!I38</f>
        <v>0.55708924092340673</v>
      </c>
      <c r="J4">
        <f>'Diagnosis Indicators'!J38</f>
        <v>0.55560356087548124</v>
      </c>
      <c r="K4">
        <f>'Diagnosis Indicators'!K38</f>
        <v>0.55411318484143601</v>
      </c>
      <c r="L4">
        <f>'Diagnosis Indicators'!L38</f>
        <v>0.5526255739744681</v>
      </c>
      <c r="M4">
        <f>'Diagnosis Indicators'!M38</f>
        <v>0.55115390401324127</v>
      </c>
      <c r="N4">
        <f>'Diagnosis Indicators'!N38</f>
        <v>0.54972076917734669</v>
      </c>
      <c r="O4">
        <f>'Diagnosis Indicators'!O38</f>
        <v>0.54836408355954702</v>
      </c>
      <c r="P4">
        <f>'Diagnosis Indicators'!P38</f>
        <v>0.54714524702695089</v>
      </c>
      <c r="Q4">
        <f>'Diagnosis Indicators'!Q38</f>
        <v>0.54615462670409942</v>
      </c>
      <c r="R4">
        <f>'Diagnosis Indicators'!R38</f>
        <v>0.54549117001925429</v>
      </c>
      <c r="S4">
        <f>'Diagnosis Indicators'!S38</f>
        <v>0.54517873528677663</v>
      </c>
      <c r="T4">
        <f>'Diagnosis Indicators'!T38</f>
        <v>0.54509509735714434</v>
      </c>
      <c r="U4">
        <f>'Diagnosis Indicators'!U38</f>
        <v>0.54508560614133716</v>
      </c>
      <c r="V4">
        <f>'Diagnosis Indicators'!V38</f>
        <v>0.54508545793909113</v>
      </c>
      <c r="W4">
        <f>'Diagnosis Indicators'!W38</f>
        <v>0.54508540487725665</v>
      </c>
      <c r="X4">
        <f>'Diagnosis Indicators'!X38</f>
        <v>0.54508538964382935</v>
      </c>
      <c r="Y4">
        <f>'Diagnosis Indicators'!Y38</f>
        <v>0.54508538651705596</v>
      </c>
    </row>
    <row r="5" spans="1:25" x14ac:dyDescent="0.2">
      <c r="A5" t="str">
        <f>'[1]Diagnosis Indicators'!A66</f>
        <v>Keynes-Kaldor</v>
      </c>
      <c r="B5">
        <f>'Diagnosis Indicators'!B39</f>
        <v>0.56058995943839207</v>
      </c>
      <c r="C5">
        <f>'Diagnosis Indicators'!C39</f>
        <v>0.5807654763870489</v>
      </c>
      <c r="D5">
        <f>'Diagnosis Indicators'!D39</f>
        <v>0.59466927290350347</v>
      </c>
      <c r="E5">
        <f>'Diagnosis Indicators'!E39</f>
        <v>0.60899283767244183</v>
      </c>
      <c r="F5">
        <f>'Diagnosis Indicators'!F39</f>
        <v>0.62383660499855997</v>
      </c>
      <c r="G5">
        <f>'Diagnosis Indicators'!G39</f>
        <v>0.63932975842617545</v>
      </c>
      <c r="H5">
        <f>'Diagnosis Indicators'!H39</f>
        <v>0.65564468693795408</v>
      </c>
      <c r="I5">
        <f>'Diagnosis Indicators'!I39</f>
        <v>0.67302035146171058</v>
      </c>
      <c r="J5">
        <f>'Diagnosis Indicators'!J39</f>
        <v>0.69180117083706449</v>
      </c>
      <c r="K5">
        <f>'Diagnosis Indicators'!K39</f>
        <v>0.7125044426224304</v>
      </c>
      <c r="L5">
        <f>'Diagnosis Indicators'!L39</f>
        <v>0.73594144842526621</v>
      </c>
      <c r="M5">
        <f>'Diagnosis Indicators'!M39</f>
        <v>0.76344255676783412</v>
      </c>
      <c r="N5">
        <f>'Diagnosis Indicators'!N39</f>
        <v>0.7972819497812863</v>
      </c>
      <c r="O5">
        <f>'Diagnosis Indicators'!O39</f>
        <v>0.84144378765200278</v>
      </c>
      <c r="P5">
        <f>'Diagnosis Indicators'!P39</f>
        <v>0.90272796209155914</v>
      </c>
      <c r="Q5" t="e">
        <f>'Diagnosis Indicators'!Q39</f>
        <v>#DIV/0!</v>
      </c>
    </row>
    <row r="6" spans="1:25" x14ac:dyDescent="0.2">
      <c r="A6" t="str">
        <f>'[1]Diagnosis Indicators'!A67</f>
        <v>Keynes-Marshall</v>
      </c>
      <c r="B6">
        <f>'Diagnosis Indicators'!B40</f>
        <v>0.56058995943839207</v>
      </c>
      <c r="C6">
        <f>'Diagnosis Indicators'!C40</f>
        <v>0.57451572899101488</v>
      </c>
      <c r="D6">
        <f>'Diagnosis Indicators'!D40</f>
        <v>0.58180492490347402</v>
      </c>
      <c r="E6">
        <f>'Diagnosis Indicators'!E40</f>
        <v>0.58904141579820468</v>
      </c>
      <c r="F6">
        <f>'Diagnosis Indicators'!F40</f>
        <v>0.59619125267706374</v>
      </c>
      <c r="G6">
        <f>'Diagnosis Indicators'!G40</f>
        <v>0.60321374969209363</v>
      </c>
      <c r="H6">
        <f>'Diagnosis Indicators'!H40</f>
        <v>0.6100583560908247</v>
      </c>
      <c r="I6">
        <f>'Diagnosis Indicators'!I40</f>
        <v>0.6166646232602534</v>
      </c>
      <c r="J6">
        <f>'Diagnosis Indicators'!J40</f>
        <v>0.62295889483537792</v>
      </c>
      <c r="K6">
        <f>'Diagnosis Indicators'!K40</f>
        <v>0.62884688220213658</v>
      </c>
      <c r="L6">
        <f>'Diagnosis Indicators'!L40</f>
        <v>0.6341983487402737</v>
      </c>
      <c r="M6">
        <f>'Diagnosis Indicators'!M40</f>
        <v>0.6387807425706169</v>
      </c>
      <c r="N6" t="e">
        <f>'Diagnosis Indicators'!N40</f>
        <v>#DIV/0!</v>
      </c>
      <c r="O6" t="e">
        <f>'Diagnosis Indicators'!O40</f>
        <v>#DIV/0!</v>
      </c>
    </row>
    <row r="7" spans="1:25" x14ac:dyDescent="0.2">
      <c r="A7" t="str">
        <f>'[1]Diagnosis Indicators'!A68</f>
        <v>Keynesian</v>
      </c>
      <c r="B7">
        <f>'Diagnosis Indicators'!B41</f>
        <v>0.56058995943839207</v>
      </c>
      <c r="C7">
        <f>'Diagnosis Indicators'!C41</f>
        <v>0.5608277336710451</v>
      </c>
      <c r="D7">
        <f>'Diagnosis Indicators'!D41</f>
        <v>0.55427715744380268</v>
      </c>
      <c r="E7">
        <f>'Diagnosis Indicators'!E41</f>
        <v>0.54751249426391857</v>
      </c>
      <c r="F7">
        <f>'Diagnosis Indicators'!F41</f>
        <v>0.54049075367002108</v>
      </c>
      <c r="G7">
        <f>'Diagnosis Indicators'!G41</f>
        <v>0.53315979134880553</v>
      </c>
      <c r="H7">
        <f>'Diagnosis Indicators'!H41</f>
        <v>0.52545428180814713</v>
      </c>
      <c r="I7">
        <f>'Diagnosis Indicators'!I41</f>
        <v>0.51728991135702118</v>
      </c>
      <c r="J7">
        <f>'Diagnosis Indicators'!J41</f>
        <v>0.50855406364510425</v>
      </c>
      <c r="K7">
        <f>'Diagnosis Indicators'!K41</f>
        <v>0.4990908442434287</v>
      </c>
      <c r="L7">
        <f>'Diagnosis Indicators'!L41</f>
        <v>0.48867559263966243</v>
      </c>
      <c r="M7">
        <f>'Diagnosis Indicators'!M41</f>
        <v>0.47697095227819297</v>
      </c>
      <c r="N7">
        <f>'Diagnosis Indicators'!N41</f>
        <v>0.46344788654344748</v>
      </c>
      <c r="O7">
        <f>'Diagnosis Indicators'!O41</f>
        <v>0.44724055434741006</v>
      </c>
      <c r="P7">
        <f>'Diagnosis Indicators'!P41</f>
        <v>0.42687963861096218</v>
      </c>
      <c r="Q7">
        <f>'Diagnosis Indicators'!Q41</f>
        <v>0.39983337824182802</v>
      </c>
      <c r="R7">
        <f>'Diagnosis Indicators'!R41</f>
        <v>0.3619077860095159</v>
      </c>
      <c r="S7">
        <f>'Diagnosis Indicators'!S41</f>
        <v>0.30724465961128178</v>
      </c>
      <c r="T7">
        <f>'Diagnosis Indicators'!T41</f>
        <v>0.23188786491210767</v>
      </c>
    </row>
    <row r="8" spans="1:25" x14ac:dyDescent="0.2">
      <c r="A8" t="str">
        <f>'[1]Diagnosis Indicators'!A69</f>
        <v>Neo-K1</v>
      </c>
      <c r="B8">
        <f>'Diagnosis Indicators'!B42</f>
        <v>0.56058995943839207</v>
      </c>
      <c r="C8">
        <f>'Diagnosis Indicators'!C42</f>
        <v>0.56690273319446993</v>
      </c>
      <c r="D8">
        <f>'Diagnosis Indicators'!D42</f>
        <v>0.56661170566088126</v>
      </c>
      <c r="E8">
        <f>'Diagnosis Indicators'!E42</f>
        <v>0.56632576141364122</v>
      </c>
      <c r="F8">
        <f>'Diagnosis Indicators'!F42</f>
        <v>0.5660424259701845</v>
      </c>
      <c r="G8">
        <f>'Diagnosis Indicators'!G42</f>
        <v>0.56575815817131114</v>
      </c>
      <c r="H8">
        <f>'Diagnosis Indicators'!H42</f>
        <v>0.56546797832554929</v>
      </c>
      <c r="I8">
        <f>'Diagnosis Indicators'!I42</f>
        <v>0.56516495207309303</v>
      </c>
      <c r="J8">
        <f>'Diagnosis Indicators'!J42</f>
        <v>0.56483952487197342</v>
      </c>
      <c r="K8">
        <f>'Diagnosis Indicators'!K42</f>
        <v>0.56447863815255972</v>
      </c>
      <c r="L8">
        <f>'Diagnosis Indicators'!L42</f>
        <v>0.56406472034295041</v>
      </c>
      <c r="M8">
        <f>'Diagnosis Indicators'!M42</f>
        <v>0.56357451474133624</v>
      </c>
      <c r="N8">
        <f>'Diagnosis Indicators'!N42</f>
        <v>0.56297823590941354</v>
      </c>
      <c r="O8">
        <f>'Diagnosis Indicators'!O42</f>
        <v>0.56223968259662827</v>
      </c>
      <c r="P8">
        <f>'Diagnosis Indicators'!P42</f>
        <v>0.56131881817925455</v>
      </c>
      <c r="Q8">
        <f>'Diagnosis Indicators'!Q42</f>
        <v>0.56017864912590409</v>
      </c>
      <c r="R8">
        <f>'Diagnosis Indicators'!R42</f>
        <v>0.55879716620620001</v>
      </c>
      <c r="S8">
        <f>'Diagnosis Indicators'!S42</f>
        <v>0.55718090960993971</v>
      </c>
      <c r="T8">
        <f>'Diagnosis Indicators'!T42</f>
        <v>0.55537134479592798</v>
      </c>
      <c r="U8">
        <f>'Diagnosis Indicators'!U42</f>
        <v>0.55343656719404577</v>
      </c>
      <c r="V8">
        <f>'Diagnosis Indicators'!V42</f>
        <v>0.5530413229532688</v>
      </c>
      <c r="W8">
        <f>'Diagnosis Indicators'!W42</f>
        <v>0.55264469965344298</v>
      </c>
      <c r="X8">
        <f>'Diagnosis Indicators'!X42</f>
        <v>0.55224725251525264</v>
      </c>
      <c r="Y8">
        <f>'Diagnosis Indicators'!Y42</f>
        <v>0.55184950889708773</v>
      </c>
    </row>
    <row r="9" spans="1:25" x14ac:dyDescent="0.2">
      <c r="A9" t="str">
        <f>'[1]Diagnosis Indicators'!A70</f>
        <v>Neo-K2</v>
      </c>
      <c r="B9">
        <f>'Diagnosis Indicators'!B43</f>
        <v>0</v>
      </c>
      <c r="C9">
        <f>'Diagnosis Indicators'!C43</f>
        <v>0</v>
      </c>
      <c r="D9">
        <f>'Diagnosis Indicators'!D43</f>
        <v>0</v>
      </c>
      <c r="E9">
        <f>'Diagnosis Indicators'!E43</f>
        <v>0</v>
      </c>
      <c r="F9">
        <f>'Diagnosis Indicators'!F43</f>
        <v>0</v>
      </c>
      <c r="G9">
        <f>'Diagnosis Indicators'!G43</f>
        <v>0</v>
      </c>
      <c r="H9">
        <f>'Diagnosis Indicators'!H43</f>
        <v>0</v>
      </c>
      <c r="I9">
        <f>'Diagnosis Indicators'!I43</f>
        <v>0</v>
      </c>
      <c r="J9">
        <f>'Diagnosis Indicators'!J43</f>
        <v>0</v>
      </c>
      <c r="K9">
        <f>'Diagnosis Indicators'!K43</f>
        <v>0</v>
      </c>
      <c r="L9">
        <f>'Diagnosis Indicators'!L43</f>
        <v>0</v>
      </c>
      <c r="M9">
        <f>'Diagnosis Indicators'!M43</f>
        <v>0</v>
      </c>
      <c r="N9">
        <f>'Diagnosis Indicators'!N43</f>
        <v>0</v>
      </c>
      <c r="O9">
        <f>'Diagnosis Indicators'!O43</f>
        <v>0</v>
      </c>
      <c r="P9">
        <f>'Diagnosis Indicators'!P43</f>
        <v>0</v>
      </c>
      <c r="Q9">
        <f>'Diagnosis Indicators'!Q43</f>
        <v>0</v>
      </c>
      <c r="R9">
        <f>'Diagnosis Indicators'!R43</f>
        <v>0</v>
      </c>
      <c r="S9">
        <f>'Diagnosis Indicators'!S43</f>
        <v>0</v>
      </c>
      <c r="T9">
        <f>'Diagnosis Indicators'!T43</f>
        <v>0</v>
      </c>
      <c r="U9">
        <f>'Diagnosis Indicators'!U43</f>
        <v>0</v>
      </c>
      <c r="V9">
        <f>'Diagnosis Indicators'!V43</f>
        <v>0</v>
      </c>
      <c r="W9">
        <f>'Diagnosis Indicators'!W43</f>
        <v>0</v>
      </c>
      <c r="X9">
        <f>'Diagnosis Indicators'!X43</f>
        <v>0</v>
      </c>
      <c r="Y9">
        <f>'Diagnosis Indicators'!Y43</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5.3826806255889689E-2</v>
      </c>
      <c r="D2">
        <f>'Diagnosis Indicators'!D14</f>
        <v>0.10643729405667772</v>
      </c>
      <c r="E2">
        <f>'Diagnosis Indicators'!E14</f>
        <v>0.16432981763103588</v>
      </c>
      <c r="F2">
        <f>'Diagnosis Indicators'!F14</f>
        <v>0.22841385697015329</v>
      </c>
      <c r="G2">
        <f>'Diagnosis Indicators'!G14</f>
        <v>0.29985141605384441</v>
      </c>
      <c r="H2">
        <f>'Diagnosis Indicators'!H14</f>
        <v>0.380161009186406</v>
      </c>
      <c r="I2">
        <f>'Diagnosis Indicators'!I14</f>
        <v>0.47137902607793886</v>
      </c>
      <c r="J2">
        <f>'Diagnosis Indicators'!J14</f>
        <v>0.57632190333126854</v>
      </c>
      <c r="K2">
        <f>'Diagnosis Indicators'!K14</f>
        <v>0.69902529991275597</v>
      </c>
      <c r="L2">
        <f>'Diagnosis Indicators'!L14</f>
        <v>0.84552044741147214</v>
      </c>
      <c r="M2">
        <f>'Diagnosis Indicators'!M14</f>
        <v>1.0252769651161187</v>
      </c>
      <c r="N2">
        <f>'Diagnosis Indicators'!N14</f>
        <v>1.254061413060811</v>
      </c>
      <c r="O2">
        <f>'Diagnosis Indicators'!O14</f>
        <v>1.5600266144421695</v>
      </c>
      <c r="P2">
        <f>'Diagnosis Indicators'!P14</f>
        <v>1.9977427031002679</v>
      </c>
      <c r="Q2">
        <f>'Diagnosis Indicators'!Q14</f>
        <v>2.6832905951016759</v>
      </c>
      <c r="R2">
        <f>'Diagnosis Indicators'!R14</f>
        <v>3.8884238726982976</v>
      </c>
      <c r="S2">
        <f>'Diagnosis Indicators'!S14</f>
        <v>6.3171649316262384</v>
      </c>
      <c r="T2">
        <f>'Diagnosis Indicators'!T14</f>
        <v>12.166820328183054</v>
      </c>
      <c r="U2">
        <f>'Diagnosis Indicators'!U14</f>
        <v>32.335691511161919</v>
      </c>
      <c r="V2">
        <f>'Diagnosis Indicators'!V14</f>
        <v>42.531624712359729</v>
      </c>
      <c r="W2">
        <f>'Diagnosis Indicators'!W14</f>
        <v>58.794677975776672</v>
      </c>
      <c r="X2">
        <f>'Diagnosis Indicators'!X14</f>
        <v>87.63150708207435</v>
      </c>
      <c r="Y2">
        <f>'Diagnosis Indicators'!Y14</f>
        <v>148.55324279396211</v>
      </c>
    </row>
    <row r="3" spans="1:25" x14ac:dyDescent="0.2">
      <c r="A3" t="s">
        <v>90</v>
      </c>
      <c r="B3">
        <f>'Diagnosis Indicators'!B16</f>
        <v>5.7716594496607888E-3</v>
      </c>
      <c r="C3">
        <f>'Diagnosis Indicators'!C16</f>
        <v>5.5723088998547082E-2</v>
      </c>
      <c r="D3">
        <f>'Diagnosis Indicators'!D16</f>
        <v>0.11042248398172445</v>
      </c>
      <c r="E3">
        <f>'Diagnosis Indicators'!E16</f>
        <v>0.17063098825914153</v>
      </c>
      <c r="F3">
        <f>'Diagnosis Indicators'!F16</f>
        <v>0.23730376789910101</v>
      </c>
      <c r="G3">
        <f>'Diagnosis Indicators'!G16</f>
        <v>0.31166548537448158</v>
      </c>
      <c r="H3">
        <f>'Diagnosis Indicators'!H16</f>
        <v>0.39532346163037296</v>
      </c>
      <c r="I3">
        <f>'Diagnosis Indicators'!I16</f>
        <v>0.49044459607027058</v>
      </c>
      <c r="J3">
        <f>'Diagnosis Indicators'!J16</f>
        <v>0.60004458433545649</v>
      </c>
      <c r="K3">
        <f>'Diagnosis Indicators'!K16</f>
        <v>0.72847702789119162</v>
      </c>
      <c r="L3">
        <f>'Diagnosis Indicators'!L16</f>
        <v>0.88230447282099778</v>
      </c>
      <c r="M3">
        <f>'Diagnosis Indicators'!M16</f>
        <v>1.0719344245451174</v>
      </c>
      <c r="N3">
        <f>'Diagnosis Indicators'!N16</f>
        <v>1.3148984765241982</v>
      </c>
      <c r="O3">
        <f>'Diagnosis Indicators'!O16</f>
        <v>1.6429156014845263</v>
      </c>
      <c r="P3">
        <f>'Diagnosis Indicators'!P16</f>
        <v>2.1183706363064818</v>
      </c>
      <c r="Q3">
        <f>'Diagnosis Indicators'!Q16</f>
        <v>2.8757641760284707</v>
      </c>
      <c r="R3">
        <f>'Diagnosis Indicators'!R16</f>
        <v>4.232414068593239</v>
      </c>
      <c r="S3">
        <f>'Diagnosis Indicators'!S16</f>
        <v>7.0101485081741179</v>
      </c>
      <c r="T3">
        <f>'Diagnosis Indicators'!T16</f>
        <v>13.78125186245124</v>
      </c>
      <c r="U3">
        <f>'Diagnosis Indicators'!U16</f>
        <v>37.302173316757795</v>
      </c>
      <c r="V3">
        <f>'Diagnosis Indicators'!V16</f>
        <v>49.110569423839529</v>
      </c>
      <c r="W3">
        <f>'Diagnosis Indicators'!W16</f>
        <v>67.693674190408998</v>
      </c>
      <c r="X3">
        <f>'Diagnosis Indicators'!X16</f>
        <v>99.705947158431087</v>
      </c>
      <c r="Y3">
        <f>'Diagnosis Indicators'!Y16</f>
        <v>163.02977805445803</v>
      </c>
    </row>
    <row r="4" spans="1:25" x14ac:dyDescent="0.2">
      <c r="A4" t="s">
        <v>131</v>
      </c>
      <c r="B4">
        <f>'Diagnosis Indicators'!B17</f>
        <v>5.7716594496607888E-3</v>
      </c>
      <c r="C4">
        <f>'Diagnosis Indicators'!C17</f>
        <v>6.1597304985443399E-2</v>
      </c>
      <c r="D4">
        <f>'Diagnosis Indicators'!D17</f>
        <v>0.12297823845261331</v>
      </c>
      <c r="E4">
        <f>'Diagnosis Indicators'!E17</f>
        <v>0.19095671533868494</v>
      </c>
      <c r="F4">
        <f>'Diagnosis Indicators'!F17</f>
        <v>0.26689491797427473</v>
      </c>
      <c r="G4">
        <f>'Diagnosis Indicators'!G17</f>
        <v>0.35261927921098285</v>
      </c>
      <c r="H4">
        <f>'Diagnosis Indicators'!H17</f>
        <v>0.45065051843234394</v>
      </c>
      <c r="I4">
        <f>'Diagnosis Indicators'!I17</f>
        <v>0.56458483105756718</v>
      </c>
      <c r="J4">
        <f>'Diagnosis Indicators'!J17</f>
        <v>0.69975388717807263</v>
      </c>
      <c r="K4">
        <f>'Diagnosis Indicators'!K17</f>
        <v>0.86442640471117937</v>
      </c>
      <c r="L4">
        <f>'Diagnosis Indicators'!L17</f>
        <v>1.0721274838250701</v>
      </c>
      <c r="M4">
        <f>'Diagnosis Indicators'!M17</f>
        <v>1.3464168235284113</v>
      </c>
      <c r="N4">
        <f>'Diagnosis Indicators'!N17</f>
        <v>1.7314238009485905</v>
      </c>
      <c r="O4">
        <f>'Diagnosis Indicators'!O17</f>
        <v>2.3164321946024451</v>
      </c>
      <c r="P4">
        <f>'Diagnosis Indicators'!P17</f>
        <v>3.2941242984046712</v>
      </c>
      <c r="Q4">
        <f>'Diagnosis Indicators'!Q17</f>
        <v>0</v>
      </c>
    </row>
    <row r="5" spans="1:25" x14ac:dyDescent="0.2">
      <c r="A5" t="s">
        <v>130</v>
      </c>
      <c r="B5">
        <f>'Diagnosis Indicators'!B18</f>
        <v>5.7716594496607888E-3</v>
      </c>
      <c r="C5">
        <f>'Diagnosis Indicators'!C18</f>
        <v>3.5321047603244171E-2</v>
      </c>
      <c r="D5">
        <f>'Diagnosis Indicators'!D18</f>
        <v>6.5893470162731144E-2</v>
      </c>
      <c r="E5">
        <f>'Diagnosis Indicators'!E18</f>
        <v>9.7399810094390804E-2</v>
      </c>
      <c r="F5">
        <f>'Diagnosis Indicators'!F18</f>
        <v>0.12970297565016586</v>
      </c>
      <c r="G5">
        <f>'Diagnosis Indicators'!G18</f>
        <v>0.16260658055301122</v>
      </c>
      <c r="H5">
        <f>'Diagnosis Indicators'!H18</f>
        <v>0.1958396776508709</v>
      </c>
      <c r="I5">
        <f>'Diagnosis Indicators'!I18</f>
        <v>0.22904087415042632</v>
      </c>
      <c r="J5">
        <f>'Diagnosis Indicators'!J18</f>
        <v>0.26173496471689095</v>
      </c>
      <c r="K5">
        <f>'Diagnosis Indicators'!K18</f>
        <v>0.29329058291344895</v>
      </c>
      <c r="L5">
        <f>'Diagnosis Indicators'!L18</f>
        <v>0.32281544199785661</v>
      </c>
      <c r="M5">
        <f>'Diagnosis Indicators'!M18</f>
        <v>0.34878813634059186</v>
      </c>
      <c r="N5">
        <f>'Diagnosis Indicators'!N18</f>
        <v>0</v>
      </c>
      <c r="O5">
        <f>'Diagnosis Indicators'!O18</f>
        <v>0</v>
      </c>
    </row>
    <row r="6" spans="1:25" x14ac:dyDescent="0.2">
      <c r="A6" t="s">
        <v>146</v>
      </c>
      <c r="B6">
        <f>'Diagnosis Indicators'!B19</f>
        <v>5.7716594496607888E-3</v>
      </c>
      <c r="C6">
        <f>'Diagnosis Indicators'!C19</f>
        <v>6.1692434892421988E-2</v>
      </c>
      <c r="D6">
        <f>'Diagnosis Indicators'!D19</f>
        <v>0.12244159806063513</v>
      </c>
      <c r="E6">
        <f>'Diagnosis Indicators'!E19</f>
        <v>0.18877164195265397</v>
      </c>
      <c r="F6">
        <f>'Diagnosis Indicators'!F19</f>
        <v>0.26161832174956012</v>
      </c>
      <c r="G6">
        <f>'Diagnosis Indicators'!G19</f>
        <v>0.34216561729218048</v>
      </c>
      <c r="H6">
        <f>'Diagnosis Indicators'!H19</f>
        <v>0.4319494489535422</v>
      </c>
      <c r="I6">
        <f>'Diagnosis Indicators'!I19</f>
        <v>0.53301192704299349</v>
      </c>
      <c r="J6">
        <f>'Diagnosis Indicators'!J19</f>
        <v>0.64814794055571545</v>
      </c>
      <c r="K6">
        <f>'Diagnosis Indicators'!K19</f>
        <v>0.78130786476492908</v>
      </c>
      <c r="L6">
        <f>'Diagnosis Indicators'!L19</f>
        <v>0.93828320210320515</v>
      </c>
      <c r="M6">
        <f>'Diagnosis Indicators'!M19</f>
        <v>1.1279187643426889</v>
      </c>
      <c r="N6">
        <f>'Diagnosis Indicators'!N19</f>
        <v>1.3643588651128182</v>
      </c>
      <c r="O6">
        <f>'Diagnosis Indicators'!O19</f>
        <v>1.671381869689512</v>
      </c>
      <c r="P6">
        <f>'Diagnosis Indicators'!P19</f>
        <v>2.0910386981846805</v>
      </c>
      <c r="Q6">
        <f>'Diagnosis Indicators'!Q19</f>
        <v>2.7006940334751128</v>
      </c>
      <c r="R6">
        <f>'Diagnosis Indicators'!R19</f>
        <v>3.6426014450345385</v>
      </c>
      <c r="S6">
        <f>'Diagnosis Indicators'!S19</f>
        <v>5.1512404591900003</v>
      </c>
      <c r="T6">
        <f>'Diagnosis Indicators'!T19</f>
        <v>7.4618729343776664</v>
      </c>
    </row>
    <row r="7" spans="1:25" x14ac:dyDescent="0.2">
      <c r="A7" t="s">
        <v>141</v>
      </c>
      <c r="B7">
        <f>'Diagnosis Indicators'!B20</f>
        <v>5.7716594496607888E-3</v>
      </c>
      <c r="C7">
        <f>'Diagnosis Indicators'!C20</f>
        <v>4.7297706922975379E-2</v>
      </c>
      <c r="D7">
        <f>'Diagnosis Indicators'!D20</f>
        <v>9.1852978935893365E-2</v>
      </c>
      <c r="E7">
        <f>'Diagnosis Indicators'!E20</f>
        <v>0.13973560805567337</v>
      </c>
      <c r="F7">
        <f>'Diagnosis Indicators'!F20</f>
        <v>0.19127117220039824</v>
      </c>
      <c r="G7">
        <f>'Diagnosis Indicators'!G20</f>
        <v>0.24681432654652222</v>
      </c>
      <c r="H7">
        <f>'Diagnosis Indicators'!H20</f>
        <v>0.30674225424817358</v>
      </c>
      <c r="I7">
        <f>'Diagnosis Indicators'!I20</f>
        <v>0.37145074456193977</v>
      </c>
      <c r="J7">
        <f>'Diagnosis Indicators'!J20</f>
        <v>0.44134807549639032</v>
      </c>
      <c r="K7">
        <f>'Diagnosis Indicators'!K20</f>
        <v>0.51686768243953551</v>
      </c>
      <c r="L7">
        <f>'Diagnosis Indicators'!L20</f>
        <v>0.59854324576196116</v>
      </c>
      <c r="M7">
        <f>'Diagnosis Indicators'!M20</f>
        <v>0.68728090730395208</v>
      </c>
      <c r="N7">
        <f>'Diagnosis Indicators'!N20</f>
        <v>0.78516066108492111</v>
      </c>
      <c r="O7">
        <f>'Diagnosis Indicators'!O20</f>
        <v>0.89755259383625641</v>
      </c>
      <c r="P7">
        <f>'Diagnosis Indicators'!P20</f>
        <v>1.0383004761332535</v>
      </c>
      <c r="Q7">
        <f>'Diagnosis Indicators'!Q20</f>
        <v>1.2422650733012184</v>
      </c>
      <c r="R7">
        <f>'Diagnosis Indicators'!R20</f>
        <v>1.5992785084218379</v>
      </c>
      <c r="S7">
        <f>'Diagnosis Indicators'!S20</f>
        <v>2.3708065380718661</v>
      </c>
      <c r="T7">
        <f>'Diagnosis Indicators'!T20</f>
        <v>4.5132420941802227</v>
      </c>
      <c r="U7">
        <f>'Diagnosis Indicators'!U20</f>
        <v>13.683962883183757</v>
      </c>
      <c r="V7">
        <f>'Diagnosis Indicators'!V20</f>
        <v>19.150493259920101</v>
      </c>
      <c r="W7">
        <f>'Diagnosis Indicators'!W20</f>
        <v>29.063021172417937</v>
      </c>
      <c r="X7">
        <f>'Diagnosis Indicators'!X20</f>
        <v>50.843486073567533</v>
      </c>
      <c r="Y7">
        <f>'Diagnosis Indicators'!Y20</f>
        <v>123.54395776478378</v>
      </c>
    </row>
    <row r="8" spans="1:25" x14ac:dyDescent="0.2">
      <c r="A8" t="s">
        <v>142</v>
      </c>
      <c r="B8">
        <f>'Diagnosis Indicators'!B21</f>
        <v>5.7716594496607888E-3</v>
      </c>
      <c r="C8">
        <f>'Diagnosis Indicators'!C21</f>
        <v>4.8832483530291716E-2</v>
      </c>
      <c r="D8">
        <f>'Diagnosis Indicators'!D21</f>
        <v>9.5472642043200717E-2</v>
      </c>
      <c r="E8">
        <f>'Diagnosis Indicators'!E21</f>
        <v>0.14615764861661035</v>
      </c>
      <c r="F8">
        <f>'Diagnosis Indicators'!F21</f>
        <v>0.20144065267200961</v>
      </c>
      <c r="G8">
        <f>'Diagnosis Indicators'!G21</f>
        <v>0.26198456178306145</v>
      </c>
      <c r="H8">
        <f>'Diagnosis Indicators'!H21</f>
        <v>0.32859065692880468</v>
      </c>
      <c r="I8">
        <f>'Diagnosis Indicators'!I21</f>
        <v>0.40223565063034261</v>
      </c>
      <c r="J8">
        <f>'Diagnosis Indicators'!J21</f>
        <v>0.4841180996450446</v>
      </c>
      <c r="K8">
        <f>'Diagnosis Indicators'!K21</f>
        <v>0.5757166554066</v>
      </c>
      <c r="L8">
        <f>'Diagnosis Indicators'!L21</f>
        <v>0.67885453570643106</v>
      </c>
      <c r="M8">
        <f>'Diagnosis Indicators'!M21</f>
        <v>0.79576097980694416</v>
      </c>
      <c r="N8">
        <f>'Diagnosis Indicators'!N21</f>
        <v>0.92909727843248024</v>
      </c>
      <c r="O8">
        <f>'Diagnosis Indicators'!O21</f>
        <v>1.0818816454146589</v>
      </c>
      <c r="P8">
        <f>'Diagnosis Indicators'!P21</f>
        <v>1.2571948221785134</v>
      </c>
      <c r="Q8">
        <f>'Diagnosis Indicators'!Q21</f>
        <v>1.457522735782748</v>
      </c>
      <c r="R8">
        <f>'Diagnosis Indicators'!R21</f>
        <v>1.6836983144931683</v>
      </c>
      <c r="S8">
        <f>'Diagnosis Indicators'!S21</f>
        <v>1.9337772790759795</v>
      </c>
      <c r="T8">
        <f>'Diagnosis Indicators'!T21</f>
        <v>2.2026168027899713</v>
      </c>
      <c r="U8">
        <f>'Diagnosis Indicators'!U21</f>
        <v>2.4827747679293974</v>
      </c>
      <c r="V8">
        <f>'Diagnosis Indicators'!V21</f>
        <v>2.5394563105798564</v>
      </c>
      <c r="W8">
        <f>'Diagnosis Indicators'!W21</f>
        <v>2.5962108075547436</v>
      </c>
      <c r="X8">
        <f>'Diagnosis Indicators'!X21</f>
        <v>2.652981269074798</v>
      </c>
      <c r="Y8">
        <f>'Diagnosis Indicators'!Y21</f>
        <v>2.7097135861331729</v>
      </c>
    </row>
    <row r="9" spans="1:25" x14ac:dyDescent="0.2">
      <c r="A9" t="s">
        <v>147</v>
      </c>
      <c r="B9">
        <f>'Diagnosis Indicators'!B15</f>
        <v>5.7716594496607888E-3</v>
      </c>
      <c r="C9">
        <f>'Diagnosis Indicators'!C15</f>
        <v>5.733192406430266E-2</v>
      </c>
      <c r="D9">
        <f>'Diagnosis Indicators'!D15</f>
        <v>0.1137669530427904</v>
      </c>
      <c r="E9">
        <f>'Diagnosis Indicators'!E15</f>
        <v>0.17584594695567424</v>
      </c>
      <c r="F9">
        <f>'Diagnosis Indicators'!F15</f>
        <v>0.24453290981002296</v>
      </c>
      <c r="G9">
        <f>'Diagnosis Indicators'!G15</f>
        <v>0.32105575718883911</v>
      </c>
      <c r="H9">
        <f>'Diagnosis Indicators'!H15</f>
        <v>0.40702950664873838</v>
      </c>
      <c r="I9">
        <f>'Diagnosis Indicators'!I15</f>
        <v>0.5046192110370975</v>
      </c>
      <c r="J9">
        <f>'Diagnosis Indicators'!J15</f>
        <v>0.61683247406449304</v>
      </c>
      <c r="K9">
        <f>'Diagnosis Indicators'!K15</f>
        <v>0.74800251854177291</v>
      </c>
      <c r="L9">
        <f>'Diagnosis Indicators'!L15</f>
        <v>0.90464901434183687</v>
      </c>
      <c r="M9">
        <f>'Diagnosis Indicators'!M15</f>
        <v>1.0970947848260506</v>
      </c>
      <c r="N9">
        <f>'Diagnosis Indicators'!N15</f>
        <v>1.3427030230503485</v>
      </c>
      <c r="O9">
        <f>'Diagnosis Indicators'!O15</f>
        <v>1.672849159741602</v>
      </c>
      <c r="P9">
        <f>'Diagnosis Indicators'!P15</f>
        <v>2.1492052460687172</v>
      </c>
      <c r="Q9">
        <f>'Diagnosis Indicators'!Q15</f>
        <v>2.9049054757331763</v>
      </c>
      <c r="R9">
        <f>'Diagnosis Indicators'!R15</f>
        <v>4.2554916822806765</v>
      </c>
      <c r="S9">
        <f>'Diagnosis Indicators'!S15</f>
        <v>7.0232993510271635</v>
      </c>
      <c r="T9">
        <f>'Diagnosis Indicators'!T15</f>
        <v>13.785729914213345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6</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2025-07-30T12:43:24Z</dcterms:modified>
</cp:coreProperties>
</file>