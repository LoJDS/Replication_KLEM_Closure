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F2C55468-56D4-4275-94CC-1BAC2177947D}" xr6:coauthVersionLast="47" xr6:coauthVersionMax="47" xr10:uidLastSave="{00000000-0000-0000-0000-000000000000}"/>
  <bookViews>
    <workbookView xWindow="-110" yWindow="-110" windowWidth="19420" windowHeight="11500" tabRatio="887" firstSheet="8" activeTab="17" xr2:uid="{00000000-000D-0000-FFFF-FFFF00000000}"/>
  </bookViews>
  <sheets>
    <sheet name="Calibration" sheetId="1" r:id="rId1"/>
    <sheet name="Model" sheetId="2" r:id="rId2"/>
    <sheet name="Results" sheetId="3" r:id="rId3"/>
    <sheet name="GraphU" sheetId="34" r:id="rId4"/>
    <sheet name="NeoClassical" sheetId="11" r:id="rId5"/>
    <sheet name="Kaldorian" sheetId="22" r:id="rId6"/>
    <sheet name="Johansen" sheetId="12" r:id="rId7"/>
    <sheet name="Keynes-M" sheetId="18" r:id="rId8"/>
    <sheet name="Keynesian" sheetId="24" r:id="rId9"/>
    <sheet name="Keynes-K" sheetId="21" r:id="rId10"/>
    <sheet name="Neo-K1" sheetId="38" r:id="rId11"/>
    <sheet name="Neo-K2" sheetId="35" r:id="rId12"/>
    <sheet name="NC heteroS" sheetId="32" r:id="rId13"/>
    <sheet name="Keynes-I" sheetId="36" r:id="rId14"/>
    <sheet name="Diagnosis Indicators" sheetId="23" r:id="rId15"/>
    <sheet name="GraphPi" sheetId="37" r:id="rId16"/>
    <sheet name="G Tax" sheetId="7" r:id="rId17"/>
    <sheet name="Utility_Export" sheetId="39" r:id="rId18"/>
    <sheet name="PShare_Export" sheetId="40" r:id="rId19"/>
    <sheet name="Tax_Export" sheetId="41" r:id="rId20"/>
  </sheet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8" i="23" l="1"/>
  <c r="Y18" i="23"/>
  <c r="K19" i="23"/>
  <c r="L19" i="23"/>
  <c r="M19" i="23"/>
  <c r="N19" i="23"/>
  <c r="O19" i="23"/>
  <c r="P19" i="23"/>
  <c r="Q19" i="23"/>
  <c r="R19" i="23"/>
  <c r="S19" i="23"/>
  <c r="T19" i="23"/>
  <c r="U19" i="23"/>
  <c r="V19" i="23"/>
  <c r="W19" i="23"/>
  <c r="X19" i="23"/>
  <c r="Y19" i="23"/>
  <c r="W20" i="23"/>
  <c r="X20" i="23"/>
  <c r="Y20" i="23"/>
  <c r="Y24" i="23"/>
  <c r="Q23" i="23"/>
  <c r="R23" i="23"/>
  <c r="S23" i="23"/>
  <c r="T23" i="23"/>
  <c r="U23" i="23"/>
  <c r="V23" i="23"/>
  <c r="W23" i="23"/>
  <c r="X23" i="23"/>
  <c r="Y23" i="23"/>
  <c r="M22" i="23"/>
  <c r="N22" i="23"/>
  <c r="O22" i="23"/>
  <c r="P22" i="23"/>
  <c r="Q22" i="23"/>
  <c r="R22" i="23"/>
  <c r="S22" i="23"/>
  <c r="T22" i="23"/>
  <c r="U22" i="23"/>
  <c r="V22" i="23"/>
  <c r="W22" i="23"/>
  <c r="X22" i="23"/>
  <c r="Y22" i="23"/>
  <c r="L22" i="23"/>
  <c r="B3" i="41"/>
  <c r="C3" i="41"/>
  <c r="D3" i="41"/>
  <c r="E3" i="41"/>
  <c r="F3" i="41"/>
  <c r="G3" i="41"/>
  <c r="H3" i="41"/>
  <c r="I3" i="41"/>
  <c r="J3" i="41"/>
  <c r="B4" i="41"/>
  <c r="C4" i="41"/>
  <c r="D4" i="41"/>
  <c r="E4" i="41"/>
  <c r="F4" i="41"/>
  <c r="G4" i="41"/>
  <c r="H4" i="41"/>
  <c r="I4" i="41"/>
  <c r="J4" i="41"/>
  <c r="K4" i="41"/>
  <c r="L4" i="41"/>
  <c r="M4" i="41"/>
  <c r="N4" i="41"/>
  <c r="O4" i="41"/>
  <c r="P4" i="41"/>
  <c r="Q4" i="41"/>
  <c r="R4" i="41"/>
  <c r="S4" i="41"/>
  <c r="T4" i="41"/>
  <c r="U4" i="41"/>
  <c r="V4" i="41"/>
  <c r="B5" i="41"/>
  <c r="C5" i="41"/>
  <c r="D5" i="41"/>
  <c r="E5" i="41"/>
  <c r="F5" i="41"/>
  <c r="G5" i="41"/>
  <c r="H5" i="41"/>
  <c r="I5" i="41"/>
  <c r="J5" i="41"/>
  <c r="K5" i="41"/>
  <c r="L5" i="41"/>
  <c r="M5" i="41"/>
  <c r="N5" i="41"/>
  <c r="O5" i="41"/>
  <c r="P5" i="41"/>
  <c r="Q5" i="41"/>
  <c r="B6" i="41"/>
  <c r="C6" i="41"/>
  <c r="D6" i="41"/>
  <c r="E6" i="41"/>
  <c r="F6" i="41"/>
  <c r="G6" i="41"/>
  <c r="H6" i="41"/>
  <c r="I6" i="41"/>
  <c r="J6" i="41"/>
  <c r="K6" i="41"/>
  <c r="L6" i="41"/>
  <c r="M6" i="41"/>
  <c r="N6" i="41"/>
  <c r="O6" i="41"/>
  <c r="P6" i="41"/>
  <c r="B7" i="41"/>
  <c r="C7" i="41"/>
  <c r="D7" i="41"/>
  <c r="E7" i="41"/>
  <c r="F7" i="41"/>
  <c r="G7" i="41"/>
  <c r="H7" i="41"/>
  <c r="I7" i="41"/>
  <c r="J7" i="41"/>
  <c r="K7" i="41"/>
  <c r="L7" i="41"/>
  <c r="M7" i="41"/>
  <c r="N7" i="41"/>
  <c r="B8" i="41"/>
  <c r="C8" i="41"/>
  <c r="D8" i="41"/>
  <c r="E8" i="41"/>
  <c r="F8" i="41"/>
  <c r="G8" i="41"/>
  <c r="H8" i="41"/>
  <c r="I8" i="41"/>
  <c r="J8" i="41"/>
  <c r="K8" i="41"/>
  <c r="L8" i="41"/>
  <c r="M8" i="41"/>
  <c r="N8" i="41"/>
  <c r="O8" i="41"/>
  <c r="P8" i="41"/>
  <c r="Q8" i="41"/>
  <c r="R8" i="41"/>
  <c r="S8" i="41"/>
  <c r="T8" i="41"/>
  <c r="U8" i="41"/>
  <c r="V8" i="41"/>
  <c r="W8" i="41"/>
  <c r="X8" i="41"/>
  <c r="B9" i="41"/>
  <c r="C9" i="41"/>
  <c r="D9" i="41"/>
  <c r="E9" i="41"/>
  <c r="F9" i="41"/>
  <c r="G9" i="41"/>
  <c r="H9" i="41"/>
  <c r="I9" i="41"/>
  <c r="J9" i="41"/>
  <c r="K9" i="41"/>
  <c r="L9" i="41"/>
  <c r="M9" i="41"/>
  <c r="N9" i="41"/>
  <c r="O9" i="41"/>
  <c r="P9" i="41"/>
  <c r="Q9" i="41"/>
  <c r="R9" i="41"/>
  <c r="S9" i="41"/>
  <c r="T9" i="41"/>
  <c r="U9" i="41"/>
  <c r="V9" i="41"/>
  <c r="W9" i="41"/>
  <c r="X9" i="41"/>
  <c r="Y9" i="41"/>
  <c r="C2" i="41"/>
  <c r="D2" i="41"/>
  <c r="E2" i="41"/>
  <c r="F2" i="41"/>
  <c r="G2" i="41"/>
  <c r="H2" i="41"/>
  <c r="I2" i="41"/>
  <c r="J2" i="41"/>
  <c r="K2" i="41"/>
  <c r="L2" i="41"/>
  <c r="M2" i="41"/>
  <c r="N2" i="41"/>
  <c r="O2" i="41"/>
  <c r="P2" i="41"/>
  <c r="Q2" i="41"/>
  <c r="R2" i="41"/>
  <c r="S2" i="41"/>
  <c r="T2" i="41"/>
  <c r="U2" i="41"/>
  <c r="V2" i="41"/>
  <c r="W2" i="41"/>
  <c r="B2" i="41"/>
  <c r="Q39" i="23"/>
  <c r="P39" i="23"/>
  <c r="T40" i="23"/>
  <c r="S40" i="23"/>
  <c r="R40" i="23"/>
  <c r="Q40" i="23"/>
  <c r="P40" i="23"/>
  <c r="O40" i="23"/>
  <c r="N40" i="23"/>
  <c r="M40" i="23"/>
  <c r="L40" i="23"/>
  <c r="K40" i="23"/>
  <c r="J40" i="23"/>
  <c r="I40" i="23"/>
  <c r="H40" i="23"/>
  <c r="G40" i="23"/>
  <c r="F40" i="23"/>
  <c r="E40" i="23"/>
  <c r="D40" i="23"/>
  <c r="C40" i="23"/>
  <c r="B40" i="23"/>
  <c r="O39" i="23"/>
  <c r="N39" i="23"/>
  <c r="M39" i="23"/>
  <c r="L39" i="23"/>
  <c r="K39" i="23"/>
  <c r="J39" i="23"/>
  <c r="I39" i="23"/>
  <c r="H39" i="23"/>
  <c r="G39" i="23"/>
  <c r="F39" i="23"/>
  <c r="E39" i="23"/>
  <c r="D39" i="23"/>
  <c r="C39" i="23"/>
  <c r="B39" i="23"/>
  <c r="Q38" i="23"/>
  <c r="P38" i="23"/>
  <c r="O38" i="23"/>
  <c r="N38" i="23"/>
  <c r="M38" i="23"/>
  <c r="L38" i="23"/>
  <c r="K38" i="23"/>
  <c r="J38" i="23"/>
  <c r="I38" i="23"/>
  <c r="H38" i="23"/>
  <c r="G38" i="23"/>
  <c r="F38" i="23"/>
  <c r="E38" i="23"/>
  <c r="D38" i="23"/>
  <c r="C38" i="23"/>
  <c r="B38" i="23"/>
  <c r="Y37" i="23"/>
  <c r="X37" i="23"/>
  <c r="W37" i="23"/>
  <c r="V37" i="23"/>
  <c r="U37" i="23"/>
  <c r="T37" i="23"/>
  <c r="S37" i="23"/>
  <c r="R37" i="23"/>
  <c r="Q37" i="23"/>
  <c r="P37" i="23"/>
  <c r="O37" i="23"/>
  <c r="N37" i="23"/>
  <c r="M37" i="23"/>
  <c r="L37" i="23"/>
  <c r="K37" i="23"/>
  <c r="J37" i="23"/>
  <c r="I37" i="23"/>
  <c r="H37" i="23"/>
  <c r="G37" i="23"/>
  <c r="F37" i="23"/>
  <c r="E37" i="23"/>
  <c r="D37" i="23"/>
  <c r="C37" i="23"/>
  <c r="B37" i="23"/>
  <c r="T36" i="23"/>
  <c r="S36" i="23"/>
  <c r="R36" i="23"/>
  <c r="Q36" i="23"/>
  <c r="P36" i="23"/>
  <c r="O36" i="23"/>
  <c r="N36" i="23"/>
  <c r="M36" i="23"/>
  <c r="L36" i="23"/>
  <c r="K36" i="23"/>
  <c r="J36" i="23"/>
  <c r="I36" i="23"/>
  <c r="H36" i="23"/>
  <c r="G36" i="23"/>
  <c r="F36" i="23"/>
  <c r="E36" i="23"/>
  <c r="D36" i="23"/>
  <c r="C36" i="23"/>
  <c r="B36" i="23"/>
  <c r="Y35" i="23"/>
  <c r="X35" i="23"/>
  <c r="W35" i="23"/>
  <c r="V35" i="23"/>
  <c r="U35" i="23"/>
  <c r="T35" i="23"/>
  <c r="S35" i="23"/>
  <c r="R35" i="23"/>
  <c r="Q35" i="23"/>
  <c r="P35" i="23"/>
  <c r="O35" i="23"/>
  <c r="N35" i="23"/>
  <c r="M35" i="23"/>
  <c r="L35" i="23"/>
  <c r="K35" i="23"/>
  <c r="J35" i="23"/>
  <c r="I35" i="23"/>
  <c r="H35" i="23"/>
  <c r="G35" i="23"/>
  <c r="F35" i="23"/>
  <c r="E35" i="23"/>
  <c r="D35" i="23"/>
  <c r="C35" i="23"/>
  <c r="B35" i="23"/>
  <c r="Y42" i="23"/>
  <c r="X42" i="23"/>
  <c r="W42" i="23"/>
  <c r="V42" i="23"/>
  <c r="U42" i="23"/>
  <c r="T42" i="23"/>
  <c r="S42" i="23"/>
  <c r="R42" i="23"/>
  <c r="Q42" i="23"/>
  <c r="P42" i="23"/>
  <c r="O42" i="23"/>
  <c r="N42" i="23"/>
  <c r="M42" i="23"/>
  <c r="L42" i="23"/>
  <c r="K42" i="23"/>
  <c r="J42" i="23"/>
  <c r="I42" i="23"/>
  <c r="H42" i="23"/>
  <c r="G42" i="23"/>
  <c r="F42" i="23"/>
  <c r="E42" i="23"/>
  <c r="D42" i="23"/>
  <c r="C42" i="23"/>
  <c r="B42" i="23"/>
  <c r="Y41" i="23"/>
  <c r="X41" i="23"/>
  <c r="W41" i="23"/>
  <c r="V41" i="23"/>
  <c r="U41" i="23"/>
  <c r="T41" i="23"/>
  <c r="S41" i="23"/>
  <c r="R41" i="23"/>
  <c r="Q41" i="23"/>
  <c r="P41" i="23"/>
  <c r="O41" i="23"/>
  <c r="N41" i="23"/>
  <c r="M41" i="23"/>
  <c r="L41" i="23"/>
  <c r="K41" i="23"/>
  <c r="J41" i="23"/>
  <c r="I41" i="23"/>
  <c r="H41" i="23"/>
  <c r="G41" i="23"/>
  <c r="F41" i="23"/>
  <c r="E41" i="23"/>
  <c r="D41" i="23"/>
  <c r="C41" i="23"/>
  <c r="B41" i="23"/>
  <c r="G3" i="39"/>
  <c r="D4" i="39"/>
  <c r="E4" i="39"/>
  <c r="F4" i="39"/>
  <c r="G4" i="39"/>
  <c r="H4" i="39"/>
  <c r="N4" i="39"/>
  <c r="P4" i="39"/>
  <c r="T4" i="39"/>
  <c r="U4" i="39"/>
  <c r="V4" i="39"/>
  <c r="B4" i="39"/>
  <c r="A17" i="23"/>
  <c r="A18" i="23"/>
  <c r="A19" i="23"/>
  <c r="A20" i="23"/>
  <c r="A21" i="23"/>
  <c r="A22" i="23"/>
  <c r="A23" i="23"/>
  <c r="A24" i="23"/>
  <c r="A25" i="23"/>
  <c r="A26" i="23"/>
  <c r="A16" i="23"/>
  <c r="Y4" i="23"/>
  <c r="X4" i="23"/>
  <c r="W4" i="23"/>
  <c r="V4" i="23"/>
  <c r="U4" i="23"/>
  <c r="T4" i="23"/>
  <c r="S4" i="23"/>
  <c r="R4" i="23"/>
  <c r="Q4" i="23"/>
  <c r="P4" i="23"/>
  <c r="O4" i="23"/>
  <c r="N4" i="23"/>
  <c r="M4" i="23"/>
  <c r="L4" i="23"/>
  <c r="K4" i="23"/>
  <c r="J4" i="23"/>
  <c r="J19" i="23" s="1"/>
  <c r="I4" i="23"/>
  <c r="I3" i="39" s="1"/>
  <c r="H4" i="23"/>
  <c r="H3" i="39" s="1"/>
  <c r="G4" i="23"/>
  <c r="F4" i="23"/>
  <c r="F3" i="39" s="1"/>
  <c r="E4" i="23"/>
  <c r="E3" i="39" s="1"/>
  <c r="D4" i="23"/>
  <c r="D3" i="39" s="1"/>
  <c r="C4" i="23"/>
  <c r="C3" i="39" s="1"/>
  <c r="B4" i="23"/>
  <c r="B3" i="39" s="1"/>
  <c r="Y5" i="23"/>
  <c r="X5" i="23"/>
  <c r="W5" i="23"/>
  <c r="V5" i="23"/>
  <c r="V20" i="23" s="1"/>
  <c r="U5" i="23"/>
  <c r="U20" i="23" s="1"/>
  <c r="T5" i="23"/>
  <c r="T20" i="23" s="1"/>
  <c r="S5" i="23"/>
  <c r="S20" i="23" s="1"/>
  <c r="R5" i="23"/>
  <c r="R20" i="23" s="1"/>
  <c r="Q5" i="23"/>
  <c r="Q20" i="23" s="1"/>
  <c r="P5" i="23"/>
  <c r="P20" i="23" s="1"/>
  <c r="O5" i="23"/>
  <c r="O20" i="23" s="1"/>
  <c r="N5" i="23"/>
  <c r="N20" i="23" s="1"/>
  <c r="M5" i="23"/>
  <c r="M20" i="23" s="1"/>
  <c r="L5" i="23"/>
  <c r="L20" i="23" s="1"/>
  <c r="K5" i="23"/>
  <c r="K20" i="23" s="1"/>
  <c r="J5" i="23"/>
  <c r="J4" i="39" s="1"/>
  <c r="I5" i="23"/>
  <c r="I4" i="39" s="1"/>
  <c r="H5" i="23"/>
  <c r="G5" i="23"/>
  <c r="F5" i="23"/>
  <c r="E5" i="23"/>
  <c r="D5" i="23"/>
  <c r="C5" i="23"/>
  <c r="C4" i="39" s="1"/>
  <c r="B5" i="23"/>
  <c r="K4" i="39" l="1"/>
  <c r="L4" i="39"/>
  <c r="S4" i="39"/>
  <c r="J3" i="39"/>
  <c r="R4" i="39"/>
  <c r="Q4" i="39"/>
  <c r="O4" i="39"/>
  <c r="M4" i="39"/>
  <c r="B51" i="3"/>
  <c r="B81" i="3" s="1"/>
  <c r="AV79" i="3" a="1"/>
  <c r="AV79" i="3" s="1"/>
  <c r="AT79" i="3" a="1"/>
  <c r="AT79" i="3" s="1"/>
  <c r="AR79" i="3"/>
  <c r="AR79" i="3" a="1"/>
  <c r="AP79" i="3" a="1"/>
  <c r="AP79" i="3" s="1"/>
  <c r="AN79" i="3" a="1"/>
  <c r="AN79" i="3" s="1"/>
  <c r="AL79" i="3" a="1"/>
  <c r="AL79" i="3" s="1"/>
  <c r="AJ79" i="3" a="1"/>
  <c r="AJ79" i="3" s="1"/>
  <c r="AH79" i="3" a="1"/>
  <c r="AH79" i="3" s="1"/>
  <c r="AF79" i="3" a="1"/>
  <c r="AF79" i="3" s="1"/>
  <c r="AD79" i="3" a="1"/>
  <c r="AD79" i="3" s="1"/>
  <c r="AB79" i="3" a="1"/>
  <c r="AB79" i="3" s="1"/>
  <c r="Z79" i="3" a="1"/>
  <c r="Z79" i="3" s="1"/>
  <c r="X79" i="3" a="1"/>
  <c r="X79" i="3" s="1"/>
  <c r="V79" i="3"/>
  <c r="V79" i="3" a="1"/>
  <c r="T79" i="3" a="1"/>
  <c r="T79" i="3" s="1"/>
  <c r="R79" i="3" a="1"/>
  <c r="R79" i="3" s="1"/>
  <c r="P79" i="3" a="1"/>
  <c r="P79" i="3" s="1"/>
  <c r="N79" i="3" a="1"/>
  <c r="N79" i="3" s="1"/>
  <c r="L79" i="3"/>
  <c r="L79" i="3" a="1"/>
  <c r="J79" i="3" a="1"/>
  <c r="J79" i="3" s="1"/>
  <c r="H79" i="3" a="1"/>
  <c r="H79" i="3" s="1"/>
  <c r="F79" i="3" a="1"/>
  <c r="F79" i="3" s="1"/>
  <c r="D79" i="3"/>
  <c r="D79" i="3" a="1"/>
  <c r="B79" i="3" a="1"/>
  <c r="B79" i="3" s="1"/>
  <c r="AV78" i="3" a="1"/>
  <c r="AV78" i="3" s="1"/>
  <c r="AT78" i="3" a="1"/>
  <c r="AT78" i="3" s="1"/>
  <c r="AR78" i="3" a="1"/>
  <c r="AR78" i="3" s="1"/>
  <c r="AP78" i="3" a="1"/>
  <c r="AP78" i="3" s="1"/>
  <c r="AN78" i="3" a="1"/>
  <c r="AN78" i="3" s="1"/>
  <c r="AL78" i="3"/>
  <c r="AL78" i="3" a="1"/>
  <c r="AJ78" i="3" a="1"/>
  <c r="AJ78" i="3" s="1"/>
  <c r="AH78" i="3" a="1"/>
  <c r="AH78" i="3" s="1"/>
  <c r="AF78" i="3" a="1"/>
  <c r="AF78" i="3" s="1"/>
  <c r="AD78" i="3" a="1"/>
  <c r="AD78" i="3" s="1"/>
  <c r="AB78" i="3" a="1"/>
  <c r="AB78" i="3" s="1"/>
  <c r="Z78" i="3" a="1"/>
  <c r="Z78" i="3" s="1"/>
  <c r="X78" i="3" a="1"/>
  <c r="X78" i="3" s="1"/>
  <c r="V78" i="3"/>
  <c r="V78" i="3" a="1"/>
  <c r="T78" i="3" a="1"/>
  <c r="T78" i="3" s="1"/>
  <c r="R78" i="3" a="1"/>
  <c r="R78" i="3" s="1"/>
  <c r="P78" i="3" a="1"/>
  <c r="P78" i="3" s="1"/>
  <c r="N78" i="3" a="1"/>
  <c r="N78" i="3" s="1"/>
  <c r="L78" i="3" a="1"/>
  <c r="L78" i="3" s="1"/>
  <c r="J78" i="3" a="1"/>
  <c r="J78" i="3" s="1"/>
  <c r="H78" i="3" a="1"/>
  <c r="H78" i="3" s="1"/>
  <c r="F78" i="3"/>
  <c r="F78" i="3" a="1"/>
  <c r="D78" i="3" a="1"/>
  <c r="D78" i="3" s="1"/>
  <c r="B78" i="3" a="1"/>
  <c r="B78" i="3" s="1"/>
  <c r="AV77" i="3" a="1"/>
  <c r="AV77" i="3" s="1"/>
  <c r="AT77" i="3"/>
  <c r="AT77" i="3" a="1"/>
  <c r="AR77" i="3" a="1"/>
  <c r="AR77" i="3" s="1"/>
  <c r="AP77" i="3" a="1"/>
  <c r="AP77" i="3" s="1"/>
  <c r="AN77" i="3" a="1"/>
  <c r="AN77" i="3" s="1"/>
  <c r="AL77" i="3" a="1"/>
  <c r="AL77" i="3" s="1"/>
  <c r="AJ77" i="3" a="1"/>
  <c r="AJ77" i="3" s="1"/>
  <c r="AH77" i="3" a="1"/>
  <c r="AH77" i="3" s="1"/>
  <c r="AF77" i="3" a="1"/>
  <c r="AF77" i="3" s="1"/>
  <c r="AD77" i="3" a="1"/>
  <c r="AD77" i="3" s="1"/>
  <c r="AB77" i="3" a="1"/>
  <c r="AB77" i="3" s="1"/>
  <c r="Z77" i="3" a="1"/>
  <c r="Z77" i="3" s="1"/>
  <c r="X77" i="3" a="1"/>
  <c r="X77" i="3" s="1"/>
  <c r="V77" i="3" a="1"/>
  <c r="V77" i="3" s="1"/>
  <c r="T77" i="3" a="1"/>
  <c r="T77" i="3" s="1"/>
  <c r="R77" i="3" a="1"/>
  <c r="R77" i="3" s="1"/>
  <c r="P77" i="3" a="1"/>
  <c r="P77" i="3" s="1"/>
  <c r="N77" i="3" a="1"/>
  <c r="N77" i="3" s="1"/>
  <c r="L77" i="3" a="1"/>
  <c r="L77" i="3" s="1"/>
  <c r="J77" i="3" a="1"/>
  <c r="J77" i="3" s="1"/>
  <c r="H77" i="3" a="1"/>
  <c r="H77" i="3" s="1"/>
  <c r="F77" i="3" a="1"/>
  <c r="F77" i="3" s="1"/>
  <c r="D77" i="3" a="1"/>
  <c r="D77" i="3" s="1"/>
  <c r="B77" i="3" a="1"/>
  <c r="B77" i="3" s="1"/>
  <c r="AV76" i="3" a="1"/>
  <c r="AV76" i="3" s="1"/>
  <c r="AT76" i="3"/>
  <c r="AT76" i="3" a="1"/>
  <c r="AR76" i="3" a="1"/>
  <c r="AR76" i="3" s="1"/>
  <c r="AP76" i="3" a="1"/>
  <c r="AP76" i="3" s="1"/>
  <c r="AN76" i="3" a="1"/>
  <c r="AN76" i="3" s="1"/>
  <c r="AL76" i="3" a="1"/>
  <c r="AL76" i="3" s="1"/>
  <c r="AJ76" i="3" a="1"/>
  <c r="AJ76" i="3" s="1"/>
  <c r="AH76" i="3" a="1"/>
  <c r="AH76" i="3" s="1"/>
  <c r="AF76" i="3" a="1"/>
  <c r="AF76" i="3" s="1"/>
  <c r="AD76" i="3"/>
  <c r="AD76" i="3" a="1"/>
  <c r="AB76" i="3" a="1"/>
  <c r="AB76" i="3" s="1"/>
  <c r="Z76" i="3" a="1"/>
  <c r="Z76" i="3" s="1"/>
  <c r="X76" i="3" a="1"/>
  <c r="X76" i="3" s="1"/>
  <c r="V76" i="3" a="1"/>
  <c r="V76" i="3" s="1"/>
  <c r="T76" i="3" a="1"/>
  <c r="T76" i="3" s="1"/>
  <c r="R76" i="3" a="1"/>
  <c r="R76" i="3" s="1"/>
  <c r="P76" i="3" a="1"/>
  <c r="P76" i="3" s="1"/>
  <c r="N76" i="3" a="1"/>
  <c r="N76" i="3" s="1"/>
  <c r="L76" i="3" a="1"/>
  <c r="L76" i="3" s="1"/>
  <c r="J76" i="3" a="1"/>
  <c r="J76" i="3" s="1"/>
  <c r="H76" i="3" a="1"/>
  <c r="H76" i="3" s="1"/>
  <c r="F76" i="3"/>
  <c r="F76" i="3" a="1"/>
  <c r="D76" i="3" a="1"/>
  <c r="D76" i="3" s="1"/>
  <c r="B76" i="3" a="1"/>
  <c r="B76" i="3" s="1"/>
  <c r="AV75" i="3" a="1"/>
  <c r="AV75" i="3" s="1"/>
  <c r="AT75" i="3" a="1"/>
  <c r="AT75" i="3" s="1"/>
  <c r="AR75" i="3" a="1"/>
  <c r="AR75" i="3" s="1"/>
  <c r="AP75" i="3" a="1"/>
  <c r="AP75" i="3" s="1"/>
  <c r="AN75" i="3" a="1"/>
  <c r="AN75" i="3" s="1"/>
  <c r="AL75" i="3"/>
  <c r="AL75" i="3" a="1"/>
  <c r="AJ75" i="3" a="1"/>
  <c r="AJ75" i="3" s="1"/>
  <c r="AH75" i="3" a="1"/>
  <c r="AH75" i="3" s="1"/>
  <c r="AF75" i="3" a="1"/>
  <c r="AF75" i="3" s="1"/>
  <c r="AD75" i="3" a="1"/>
  <c r="AD75" i="3" s="1"/>
  <c r="AB75" i="3" a="1"/>
  <c r="AB75" i="3" s="1"/>
  <c r="Z75" i="3" a="1"/>
  <c r="Z75" i="3" s="1"/>
  <c r="X75" i="3" a="1"/>
  <c r="X75" i="3" s="1"/>
  <c r="V75" i="3"/>
  <c r="V75" i="3" a="1"/>
  <c r="T75" i="3" a="1"/>
  <c r="T75" i="3" s="1"/>
  <c r="R75" i="3" a="1"/>
  <c r="R75" i="3" s="1"/>
  <c r="P75" i="3" a="1"/>
  <c r="P75" i="3" s="1"/>
  <c r="N75" i="3" a="1"/>
  <c r="N75" i="3" s="1"/>
  <c r="L75" i="3" a="1"/>
  <c r="L75" i="3" s="1"/>
  <c r="J75" i="3" a="1"/>
  <c r="J75" i="3" s="1"/>
  <c r="H75" i="3" a="1"/>
  <c r="H75" i="3" s="1"/>
  <c r="F75" i="3" a="1"/>
  <c r="F75" i="3" s="1"/>
  <c r="D75" i="3" a="1"/>
  <c r="D75" i="3" s="1"/>
  <c r="B75" i="3" a="1"/>
  <c r="B75" i="3" s="1"/>
  <c r="AV74" i="3" a="1"/>
  <c r="AV74" i="3" s="1"/>
  <c r="AT74" i="3" a="1"/>
  <c r="AT74" i="3" s="1"/>
  <c r="AR74" i="3" a="1"/>
  <c r="AR74" i="3" s="1"/>
  <c r="AP74" i="3" a="1"/>
  <c r="AP74" i="3" s="1"/>
  <c r="AN74" i="3" a="1"/>
  <c r="AN74" i="3" s="1"/>
  <c r="AL74" i="3" a="1"/>
  <c r="AL74" i="3" s="1"/>
  <c r="AJ74" i="3" a="1"/>
  <c r="AJ74" i="3" s="1"/>
  <c r="AH74" i="3" a="1"/>
  <c r="AH74" i="3" s="1"/>
  <c r="AF74" i="3" a="1"/>
  <c r="AF74" i="3" s="1"/>
  <c r="AD74" i="3" a="1"/>
  <c r="AD74" i="3" s="1"/>
  <c r="AB74" i="3" a="1"/>
  <c r="AB74" i="3" s="1"/>
  <c r="Z74" i="3" a="1"/>
  <c r="Z74" i="3" s="1"/>
  <c r="X74" i="3" a="1"/>
  <c r="X74" i="3" s="1"/>
  <c r="V74" i="3" a="1"/>
  <c r="V74" i="3" s="1"/>
  <c r="T74" i="3" a="1"/>
  <c r="T74" i="3" s="1"/>
  <c r="R74" i="3" a="1"/>
  <c r="R74" i="3" s="1"/>
  <c r="P74" i="3" a="1"/>
  <c r="P74" i="3" s="1"/>
  <c r="N74" i="3"/>
  <c r="N74" i="3" a="1"/>
  <c r="L74" i="3" a="1"/>
  <c r="L74" i="3" s="1"/>
  <c r="J74" i="3" a="1"/>
  <c r="J74" i="3" s="1"/>
  <c r="H74" i="3" a="1"/>
  <c r="H74" i="3" s="1"/>
  <c r="F74" i="3" a="1"/>
  <c r="F74" i="3" s="1"/>
  <c r="D74" i="3" a="1"/>
  <c r="D74" i="3" s="1"/>
  <c r="B74" i="3" a="1"/>
  <c r="B74" i="3" s="1"/>
  <c r="AV73" i="3" a="1"/>
  <c r="AV73" i="3" s="1"/>
  <c r="AT73" i="3" a="1"/>
  <c r="AT73" i="3" s="1"/>
  <c r="AR73" i="3" a="1"/>
  <c r="AR73" i="3" s="1"/>
  <c r="AP73" i="3" a="1"/>
  <c r="AP73" i="3" s="1"/>
  <c r="AN73" i="3" a="1"/>
  <c r="AN73" i="3" s="1"/>
  <c r="AL73" i="3" a="1"/>
  <c r="AL73" i="3" s="1"/>
  <c r="AJ73" i="3" a="1"/>
  <c r="AJ73" i="3" s="1"/>
  <c r="AH73" i="3" a="1"/>
  <c r="AH73" i="3" s="1"/>
  <c r="AF73" i="3" a="1"/>
  <c r="AF73" i="3" s="1"/>
  <c r="AD73" i="3" a="1"/>
  <c r="AD73" i="3" s="1"/>
  <c r="AB73" i="3" a="1"/>
  <c r="AB73" i="3" s="1"/>
  <c r="Z73" i="3" a="1"/>
  <c r="Z73" i="3" s="1"/>
  <c r="X73" i="3" a="1"/>
  <c r="X73" i="3" s="1"/>
  <c r="V73" i="3"/>
  <c r="V73" i="3" a="1"/>
  <c r="T73" i="3" a="1"/>
  <c r="T73" i="3" s="1"/>
  <c r="R73" i="3" a="1"/>
  <c r="R73" i="3" s="1"/>
  <c r="P73" i="3" a="1"/>
  <c r="P73" i="3" s="1"/>
  <c r="N73" i="3" a="1"/>
  <c r="N73" i="3" s="1"/>
  <c r="L73" i="3" a="1"/>
  <c r="L73" i="3" s="1"/>
  <c r="J73" i="3" a="1"/>
  <c r="J73" i="3" s="1"/>
  <c r="H73" i="3" a="1"/>
  <c r="H73" i="3" s="1"/>
  <c r="F73" i="3"/>
  <c r="F73" i="3" a="1"/>
  <c r="D73" i="3" a="1"/>
  <c r="D73" i="3" s="1"/>
  <c r="B73" i="3" a="1"/>
  <c r="B73" i="3" s="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a="1"/>
  <c r="AV67" i="3" s="1"/>
  <c r="AT67" i="3" a="1"/>
  <c r="AT67" i="3" s="1"/>
  <c r="AR67" i="3" a="1"/>
  <c r="AR67" i="3" s="1"/>
  <c r="AP67" i="3" a="1"/>
  <c r="AP67" i="3" s="1"/>
  <c r="AN67" i="3" a="1"/>
  <c r="AN67" i="3" s="1"/>
  <c r="AL67" i="3" a="1"/>
  <c r="AL67" i="3" s="1"/>
  <c r="AJ67" i="3" a="1"/>
  <c r="AJ67" i="3" s="1"/>
  <c r="AH67" i="3" a="1"/>
  <c r="AH67" i="3" s="1"/>
  <c r="AF67" i="3" a="1"/>
  <c r="AF67" i="3" s="1"/>
  <c r="AD67" i="3" a="1"/>
  <c r="AD67" i="3" s="1"/>
  <c r="AB67" i="3" a="1"/>
  <c r="AB67" i="3" s="1"/>
  <c r="Z67" i="3" a="1"/>
  <c r="Z67" i="3" s="1"/>
  <c r="X67" i="3"/>
  <c r="X67" i="3" a="1"/>
  <c r="V67" i="3" a="1"/>
  <c r="V67" i="3" s="1"/>
  <c r="T67" i="3" a="1"/>
  <c r="T67" i="3" s="1"/>
  <c r="R67" i="3" a="1"/>
  <c r="R67" i="3" s="1"/>
  <c r="P67" i="3" a="1"/>
  <c r="P67" i="3" s="1"/>
  <c r="N67" i="3" a="1"/>
  <c r="N67" i="3" s="1"/>
  <c r="L67" i="3" a="1"/>
  <c r="L67" i="3" s="1"/>
  <c r="J67" i="3" a="1"/>
  <c r="J67" i="3" s="1"/>
  <c r="H67" i="3" a="1"/>
  <c r="H67" i="3" s="1"/>
  <c r="F67" i="3"/>
  <c r="F67" i="3" a="1"/>
  <c r="D67" i="3" a="1"/>
  <c r="D67" i="3" s="1"/>
  <c r="B67" i="3" a="1"/>
  <c r="B67" i="3" s="1"/>
  <c r="AV66" i="3" a="1"/>
  <c r="AV66" i="3" s="1"/>
  <c r="AT66" i="3"/>
  <c r="AT66" i="3" a="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Z68" i="3" s="1"/>
  <c r="X66" i="3" a="1"/>
  <c r="X66" i="3" s="1"/>
  <c r="X68"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AV65" i="3" a="1"/>
  <c r="AV65" i="3" s="1"/>
  <c r="AV69" i="3" s="1"/>
  <c r="AT65" i="3" a="1"/>
  <c r="AT65" i="3" s="1"/>
  <c r="AT69" i="3" s="1"/>
  <c r="AR65" i="3" a="1"/>
  <c r="AR65" i="3" s="1"/>
  <c r="AR69" i="3" s="1"/>
  <c r="AP65" i="3" a="1"/>
  <c r="AP65" i="3" s="1"/>
  <c r="AP69" i="3" s="1"/>
  <c r="AN65" i="3"/>
  <c r="AN69" i="3" s="1"/>
  <c r="AN65" i="3" a="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s="1"/>
  <c r="J69" i="3" s="1"/>
  <c r="H65" i="3" a="1"/>
  <c r="H65" i="3" s="1"/>
  <c r="H69" i="3" s="1"/>
  <c r="F65" i="3" a="1"/>
  <c r="F65" i="3" s="1"/>
  <c r="F69" i="3" s="1"/>
  <c r="D65" i="3" a="1"/>
  <c r="D65" i="3" s="1"/>
  <c r="D69" i="3" s="1"/>
  <c r="B65" i="3"/>
  <c r="B69" i="3" s="1"/>
  <c r="B68" i="3" l="1"/>
  <c r="AF68" i="3"/>
  <c r="AT68" i="3"/>
  <c r="AP68" i="3"/>
  <c r="V68" i="3"/>
  <c r="AH68" i="3"/>
  <c r="AJ68" i="3"/>
  <c r="AV68" i="3"/>
  <c r="R68" i="3"/>
  <c r="N68" i="3"/>
  <c r="L68" i="3"/>
  <c r="AD68" i="3"/>
  <c r="T68" i="3"/>
  <c r="P68" i="3"/>
  <c r="F68" i="3"/>
  <c r="AL68" i="3"/>
  <c r="H68" i="3"/>
  <c r="D68" i="3"/>
  <c r="J68" i="3"/>
  <c r="AR68" i="3"/>
  <c r="AB68" i="3"/>
  <c r="AN68" i="3"/>
  <c r="AV62" i="3" l="1"/>
  <c r="AT62" i="3"/>
  <c r="AR62" i="3"/>
  <c r="AP62" i="3"/>
  <c r="AN62" i="3"/>
  <c r="AL62" i="3"/>
  <c r="AJ62" i="3"/>
  <c r="AH62" i="3"/>
  <c r="AF62" i="3"/>
  <c r="AD62" i="3"/>
  <c r="AB62" i="3"/>
  <c r="Z62" i="3"/>
  <c r="X62" i="3"/>
  <c r="V62" i="3"/>
  <c r="T62" i="3"/>
  <c r="R62" i="3"/>
  <c r="P62" i="3"/>
  <c r="N62" i="3"/>
  <c r="L62" i="3"/>
  <c r="J62" i="3"/>
  <c r="H62" i="3"/>
  <c r="F62" i="3"/>
  <c r="D62" i="3"/>
  <c r="B62" i="3"/>
  <c r="AV59" i="3" l="1"/>
  <c r="AT59" i="3"/>
  <c r="AR59" i="3"/>
  <c r="AP59" i="3"/>
  <c r="AN59" i="3"/>
  <c r="AL59" i="3"/>
  <c r="AJ59" i="3"/>
  <c r="AH59" i="3"/>
  <c r="AF59" i="3"/>
  <c r="AD59" i="3"/>
  <c r="AB59" i="3"/>
  <c r="Z59" i="3"/>
  <c r="X59" i="3"/>
  <c r="V59" i="3"/>
  <c r="T59" i="3"/>
  <c r="R59" i="3"/>
  <c r="P59" i="3"/>
  <c r="N59" i="3"/>
  <c r="L59" i="3"/>
  <c r="J59" i="3"/>
  <c r="H59" i="3"/>
  <c r="F59" i="3"/>
  <c r="D59" i="3"/>
  <c r="B59" i="3"/>
  <c r="B43" i="3" l="1"/>
  <c r="AV55" i="3"/>
  <c r="AV80" i="3" s="1"/>
  <c r="AT55" i="3"/>
  <c r="AT80" i="3" s="1"/>
  <c r="AR55" i="3"/>
  <c r="AR80" i="3" s="1"/>
  <c r="AP55" i="3"/>
  <c r="AP80" i="3" s="1"/>
  <c r="AN55" i="3"/>
  <c r="AN80" i="3" s="1"/>
  <c r="AL55" i="3"/>
  <c r="AL80" i="3" s="1"/>
  <c r="AJ55" i="3"/>
  <c r="AJ80" i="3" s="1"/>
  <c r="AH55" i="3"/>
  <c r="AH80" i="3" s="1"/>
  <c r="AF55" i="3"/>
  <c r="AF80" i="3" s="1"/>
  <c r="AD55" i="3"/>
  <c r="AD80" i="3" s="1"/>
  <c r="AB55" i="3"/>
  <c r="AB80" i="3" s="1"/>
  <c r="Z55" i="3"/>
  <c r="Z80" i="3" s="1"/>
  <c r="X55" i="3"/>
  <c r="X80" i="3" s="1"/>
  <c r="V55" i="3"/>
  <c r="V80" i="3" s="1"/>
  <c r="T55" i="3"/>
  <c r="T80" i="3" s="1"/>
  <c r="R55" i="3"/>
  <c r="R80" i="3" s="1"/>
  <c r="P55" i="3"/>
  <c r="P80" i="3" s="1"/>
  <c r="N55" i="3"/>
  <c r="N80" i="3" s="1"/>
  <c r="L55" i="3"/>
  <c r="L80" i="3" s="1"/>
  <c r="J55" i="3"/>
  <c r="J80" i="3" s="1"/>
  <c r="H55" i="3"/>
  <c r="H80" i="3" s="1"/>
  <c r="F55" i="3"/>
  <c r="F80" i="3" s="1"/>
  <c r="D55" i="3"/>
  <c r="D80" i="3" s="1"/>
  <c r="B55" i="3"/>
  <c r="B80" i="3" s="1"/>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44" i="3"/>
  <c r="L70" i="23" l="1"/>
  <c r="Y56" i="23"/>
  <c r="X56" i="23"/>
  <c r="W56" i="23"/>
  <c r="V56" i="23"/>
  <c r="U56" i="23"/>
  <c r="T56" i="23"/>
  <c r="S56" i="23"/>
  <c r="R56" i="23"/>
  <c r="Q56" i="23"/>
  <c r="P56" i="23"/>
  <c r="O56" i="23"/>
  <c r="N56" i="23"/>
  <c r="M56" i="23"/>
  <c r="L56" i="23"/>
  <c r="K56" i="23"/>
  <c r="J56" i="23"/>
  <c r="J9" i="40" s="1"/>
  <c r="I56" i="23"/>
  <c r="I9" i="40" s="1"/>
  <c r="H56" i="23"/>
  <c r="H9" i="40" s="1"/>
  <c r="G56" i="23"/>
  <c r="G9" i="40" s="1"/>
  <c r="F56" i="23"/>
  <c r="F9" i="40" s="1"/>
  <c r="E56" i="23"/>
  <c r="E9" i="40" s="1"/>
  <c r="D56" i="23"/>
  <c r="D9" i="40" s="1"/>
  <c r="C56" i="23"/>
  <c r="C9" i="40" s="1"/>
  <c r="B56" i="23"/>
  <c r="B9" i="40" s="1"/>
  <c r="Y55" i="23"/>
  <c r="X55" i="23"/>
  <c r="W55" i="23"/>
  <c r="V55" i="23"/>
  <c r="U55" i="23"/>
  <c r="T55" i="23"/>
  <c r="S55" i="23"/>
  <c r="R55" i="23"/>
  <c r="Q55" i="23"/>
  <c r="P55" i="23"/>
  <c r="O55" i="23"/>
  <c r="N55" i="23"/>
  <c r="M55" i="23"/>
  <c r="L55" i="23"/>
  <c r="K55" i="23"/>
  <c r="J55" i="23"/>
  <c r="J8" i="40" s="1"/>
  <c r="I55" i="23"/>
  <c r="I8" i="40" s="1"/>
  <c r="H55" i="23"/>
  <c r="H8" i="40" s="1"/>
  <c r="G55" i="23"/>
  <c r="G8" i="40" s="1"/>
  <c r="F55" i="23"/>
  <c r="F8" i="40" s="1"/>
  <c r="E55" i="23"/>
  <c r="E8" i="40" s="1"/>
  <c r="D55" i="23"/>
  <c r="D8" i="40" s="1"/>
  <c r="C55" i="23"/>
  <c r="C8" i="40" s="1"/>
  <c r="B55" i="23"/>
  <c r="B8" i="40" s="1"/>
  <c r="Y54" i="23"/>
  <c r="X54" i="23"/>
  <c r="W54" i="23"/>
  <c r="V54" i="23"/>
  <c r="U54" i="23"/>
  <c r="T54" i="23"/>
  <c r="S54" i="23"/>
  <c r="R54" i="23"/>
  <c r="Q54" i="23"/>
  <c r="P54" i="23"/>
  <c r="O54" i="23"/>
  <c r="N54" i="23"/>
  <c r="M54" i="23"/>
  <c r="L54" i="23"/>
  <c r="K54" i="23"/>
  <c r="J54" i="23"/>
  <c r="J7" i="40" s="1"/>
  <c r="I54" i="23"/>
  <c r="I7" i="40" s="1"/>
  <c r="H54" i="23"/>
  <c r="H7" i="40" s="1"/>
  <c r="G54" i="23"/>
  <c r="G7" i="40" s="1"/>
  <c r="F54" i="23"/>
  <c r="F7" i="40" s="1"/>
  <c r="E54" i="23"/>
  <c r="E7" i="40" s="1"/>
  <c r="D54" i="23"/>
  <c r="D7" i="40" s="1"/>
  <c r="C54" i="23"/>
  <c r="C7" i="40" s="1"/>
  <c r="B54" i="23"/>
  <c r="B7" i="40" s="1"/>
  <c r="Y53" i="23"/>
  <c r="X53" i="23"/>
  <c r="W53" i="23"/>
  <c r="V53" i="23"/>
  <c r="U53" i="23"/>
  <c r="T53" i="23"/>
  <c r="S53" i="23"/>
  <c r="R53" i="23"/>
  <c r="Q53" i="23"/>
  <c r="P53" i="23"/>
  <c r="O53" i="23"/>
  <c r="N53" i="23"/>
  <c r="M53" i="23"/>
  <c r="L53" i="23"/>
  <c r="K53" i="23"/>
  <c r="J53" i="23"/>
  <c r="J6" i="40" s="1"/>
  <c r="I53" i="23"/>
  <c r="I6" i="40" s="1"/>
  <c r="H53" i="23"/>
  <c r="H6" i="40" s="1"/>
  <c r="G53" i="23"/>
  <c r="G6" i="40" s="1"/>
  <c r="F53" i="23"/>
  <c r="F6" i="40" s="1"/>
  <c r="E53" i="23"/>
  <c r="E6" i="40" s="1"/>
  <c r="D53" i="23"/>
  <c r="D6" i="40" s="1"/>
  <c r="C53" i="23"/>
  <c r="C6" i="40" s="1"/>
  <c r="B53" i="23"/>
  <c r="B6" i="40" s="1"/>
  <c r="Y52" i="23"/>
  <c r="X52" i="23"/>
  <c r="W52" i="23"/>
  <c r="V52" i="23"/>
  <c r="U52" i="23"/>
  <c r="T52" i="23"/>
  <c r="S52" i="23"/>
  <c r="R52" i="23"/>
  <c r="Q52" i="23"/>
  <c r="P52" i="23"/>
  <c r="O52" i="23"/>
  <c r="N52" i="23"/>
  <c r="M52" i="23"/>
  <c r="L52" i="23"/>
  <c r="K52" i="23"/>
  <c r="J52" i="23"/>
  <c r="J5" i="40" s="1"/>
  <c r="I52" i="23"/>
  <c r="I5" i="40" s="1"/>
  <c r="H52" i="23"/>
  <c r="H5" i="40" s="1"/>
  <c r="G52" i="23"/>
  <c r="G5" i="40" s="1"/>
  <c r="F52" i="23"/>
  <c r="F5" i="40" s="1"/>
  <c r="E52" i="23"/>
  <c r="E5" i="40" s="1"/>
  <c r="D52" i="23"/>
  <c r="D5" i="40" s="1"/>
  <c r="C52" i="23"/>
  <c r="C5" i="40" s="1"/>
  <c r="B52" i="23"/>
  <c r="B5" i="40" s="1"/>
  <c r="Y51" i="23"/>
  <c r="X51" i="23"/>
  <c r="W51" i="23"/>
  <c r="V51" i="23"/>
  <c r="U51" i="23"/>
  <c r="T51" i="23"/>
  <c r="S51" i="23"/>
  <c r="R51" i="23"/>
  <c r="Q51" i="23"/>
  <c r="P51" i="23"/>
  <c r="O51" i="23"/>
  <c r="N51" i="23"/>
  <c r="M51" i="23"/>
  <c r="L51" i="23"/>
  <c r="K51" i="23"/>
  <c r="J51" i="23"/>
  <c r="J4" i="40" s="1"/>
  <c r="I51" i="23"/>
  <c r="I4" i="40" s="1"/>
  <c r="H51" i="23"/>
  <c r="H4" i="40" s="1"/>
  <c r="G51" i="23"/>
  <c r="G4" i="40" s="1"/>
  <c r="F51" i="23"/>
  <c r="F4" i="40" s="1"/>
  <c r="E51" i="23"/>
  <c r="E4" i="40" s="1"/>
  <c r="D51" i="23"/>
  <c r="D4" i="40" s="1"/>
  <c r="C51" i="23"/>
  <c r="C4" i="40" s="1"/>
  <c r="B51" i="23"/>
  <c r="B4" i="40" s="1"/>
  <c r="Y50" i="23"/>
  <c r="X50" i="23"/>
  <c r="W50" i="23"/>
  <c r="V50" i="23"/>
  <c r="U50" i="23"/>
  <c r="T50" i="23"/>
  <c r="S50" i="23"/>
  <c r="R50" i="23"/>
  <c r="Q50" i="23"/>
  <c r="P50" i="23"/>
  <c r="O50" i="23"/>
  <c r="N50" i="23"/>
  <c r="M50" i="23"/>
  <c r="L50" i="23"/>
  <c r="K50" i="23"/>
  <c r="J50" i="23"/>
  <c r="J3" i="40" s="1"/>
  <c r="I50" i="23"/>
  <c r="I3" i="40" s="1"/>
  <c r="H50" i="23"/>
  <c r="H3" i="40" s="1"/>
  <c r="G50" i="23"/>
  <c r="G3" i="40" s="1"/>
  <c r="F50" i="23"/>
  <c r="F3" i="40" s="1"/>
  <c r="E50" i="23"/>
  <c r="E3" i="40" s="1"/>
  <c r="D50" i="23"/>
  <c r="D3" i="40" s="1"/>
  <c r="C50" i="23"/>
  <c r="C3" i="40" s="1"/>
  <c r="B50" i="23"/>
  <c r="B3" i="40" s="1"/>
  <c r="Y49" i="23"/>
  <c r="Y63" i="23" s="1"/>
  <c r="X49" i="23"/>
  <c r="X63" i="23" s="1"/>
  <c r="W49" i="23"/>
  <c r="V49" i="23"/>
  <c r="U49" i="23"/>
  <c r="T49" i="23"/>
  <c r="S49" i="23"/>
  <c r="R49" i="23"/>
  <c r="Q49" i="23"/>
  <c r="P49" i="23"/>
  <c r="O49" i="23"/>
  <c r="N49" i="23"/>
  <c r="M49" i="23"/>
  <c r="L49" i="23"/>
  <c r="K49" i="23"/>
  <c r="J49" i="23"/>
  <c r="J2" i="40" s="1"/>
  <c r="I49" i="23"/>
  <c r="I2" i="40" s="1"/>
  <c r="H49" i="23"/>
  <c r="H2" i="40" s="1"/>
  <c r="G49" i="23"/>
  <c r="G2" i="40" s="1"/>
  <c r="F49" i="23"/>
  <c r="F2" i="40" s="1"/>
  <c r="E49" i="23"/>
  <c r="E2" i="40" s="1"/>
  <c r="D49" i="23"/>
  <c r="D2" i="40" s="1"/>
  <c r="C49" i="23"/>
  <c r="C2" i="40" s="1"/>
  <c r="B49" i="23"/>
  <c r="B2" i="40" s="1"/>
  <c r="V2" i="40" l="1"/>
  <c r="O7" i="40"/>
  <c r="W8" i="40"/>
  <c r="O9" i="40"/>
  <c r="R70" i="23"/>
  <c r="R9" i="40"/>
  <c r="N7" i="40"/>
  <c r="O3" i="40"/>
  <c r="P7" i="40"/>
  <c r="X69" i="23"/>
  <c r="X8" i="40"/>
  <c r="P70" i="23"/>
  <c r="P9" i="40"/>
  <c r="K2" i="40"/>
  <c r="S3" i="40"/>
  <c r="N3" i="40"/>
  <c r="N5" i="40"/>
  <c r="V8" i="40"/>
  <c r="N9" i="40"/>
  <c r="W2" i="40"/>
  <c r="P3" i="40"/>
  <c r="Q3" i="40"/>
  <c r="Q9" i="40"/>
  <c r="L2" i="40"/>
  <c r="L6" i="40"/>
  <c r="L8" i="40"/>
  <c r="T70" i="23"/>
  <c r="T9" i="40"/>
  <c r="R3" i="40"/>
  <c r="V70" i="23"/>
  <c r="V9" i="40"/>
  <c r="O2" i="40"/>
  <c r="O6" i="40"/>
  <c r="O8" i="40"/>
  <c r="W70" i="23"/>
  <c r="W9" i="40"/>
  <c r="K6" i="40"/>
  <c r="U3" i="40"/>
  <c r="M6" i="40"/>
  <c r="U70" i="23"/>
  <c r="U9" i="40"/>
  <c r="N2" i="40"/>
  <c r="V3" i="40"/>
  <c r="N6" i="40"/>
  <c r="N8" i="40"/>
  <c r="P2" i="40"/>
  <c r="Q2" i="40"/>
  <c r="Q8" i="40"/>
  <c r="M8" i="40"/>
  <c r="P6" i="40"/>
  <c r="X70" i="23"/>
  <c r="X9" i="40"/>
  <c r="S2" i="40"/>
  <c r="K3" i="40"/>
  <c r="K5" i="40"/>
  <c r="K7" i="40"/>
  <c r="S8" i="40"/>
  <c r="K9" i="40"/>
  <c r="N70" i="23"/>
  <c r="K8" i="40"/>
  <c r="S70" i="23"/>
  <c r="S9" i="40"/>
  <c r="T3" i="40"/>
  <c r="M2" i="40"/>
  <c r="P8" i="40"/>
  <c r="Q6" i="40"/>
  <c r="R2" i="40"/>
  <c r="T2" i="40"/>
  <c r="L3" i="40"/>
  <c r="L5" i="40"/>
  <c r="L7" i="40"/>
  <c r="T8" i="40"/>
  <c r="L9" i="40"/>
  <c r="O70" i="23"/>
  <c r="R8" i="40"/>
  <c r="U2" i="40"/>
  <c r="M3" i="40"/>
  <c r="M5" i="40"/>
  <c r="M7" i="40"/>
  <c r="U8" i="40"/>
  <c r="M70" i="23"/>
  <c r="M9" i="40"/>
  <c r="Q70" i="23"/>
  <c r="Y81" i="23"/>
  <c r="X81" i="23"/>
  <c r="W81" i="23"/>
  <c r="V81" i="23"/>
  <c r="U81" i="23"/>
  <c r="T81" i="23"/>
  <c r="S81" i="23"/>
  <c r="R81" i="23"/>
  <c r="Q81" i="23"/>
  <c r="P81" i="23"/>
  <c r="O81" i="23"/>
  <c r="N81" i="23"/>
  <c r="M81" i="23"/>
  <c r="L81" i="23"/>
  <c r="K81" i="23"/>
  <c r="J81" i="23"/>
  <c r="I81" i="23"/>
  <c r="H81" i="23"/>
  <c r="G81" i="23"/>
  <c r="F81" i="23"/>
  <c r="E81" i="23"/>
  <c r="D81" i="23"/>
  <c r="C81" i="23"/>
  <c r="B81" i="23"/>
  <c r="Y80" i="23"/>
  <c r="X80" i="23"/>
  <c r="W80" i="23"/>
  <c r="V80" i="23"/>
  <c r="U80" i="23"/>
  <c r="T80" i="23"/>
  <c r="S80" i="23"/>
  <c r="R80" i="23"/>
  <c r="Q80" i="23"/>
  <c r="P80" i="23"/>
  <c r="O80" i="23"/>
  <c r="N80" i="23"/>
  <c r="M80" i="23"/>
  <c r="L80" i="23"/>
  <c r="K80" i="23"/>
  <c r="J80" i="23"/>
  <c r="I80" i="23"/>
  <c r="H80" i="23"/>
  <c r="G80" i="23"/>
  <c r="F80" i="23"/>
  <c r="E80" i="23"/>
  <c r="D80" i="23"/>
  <c r="C80" i="23"/>
  <c r="B80" i="23"/>
  <c r="Y79" i="23"/>
  <c r="X79" i="23"/>
  <c r="W79" i="23"/>
  <c r="V79" i="23"/>
  <c r="U79" i="23"/>
  <c r="T79" i="23"/>
  <c r="S79" i="23"/>
  <c r="R79" i="23"/>
  <c r="Q79" i="23"/>
  <c r="P79" i="23"/>
  <c r="O79" i="23"/>
  <c r="N79" i="23"/>
  <c r="M79" i="23"/>
  <c r="L79" i="23"/>
  <c r="K79" i="23"/>
  <c r="J79" i="23"/>
  <c r="I79" i="23"/>
  <c r="H79" i="23"/>
  <c r="G79" i="23"/>
  <c r="F79" i="23"/>
  <c r="E79" i="23"/>
  <c r="D79" i="23"/>
  <c r="C79" i="23"/>
  <c r="B79" i="23"/>
  <c r="Y78" i="23"/>
  <c r="X78" i="23"/>
  <c r="W78" i="23"/>
  <c r="V78" i="23"/>
  <c r="U78" i="23"/>
  <c r="T78" i="23"/>
  <c r="S78" i="23"/>
  <c r="R78" i="23"/>
  <c r="Q78" i="23"/>
  <c r="P78" i="23"/>
  <c r="O78" i="23"/>
  <c r="N78" i="23"/>
  <c r="M78" i="23"/>
  <c r="L78" i="23"/>
  <c r="K78" i="23"/>
  <c r="J78" i="23"/>
  <c r="I78" i="23"/>
  <c r="H78" i="23"/>
  <c r="G78" i="23"/>
  <c r="F78" i="23"/>
  <c r="E78" i="23"/>
  <c r="D78" i="23"/>
  <c r="C78" i="23"/>
  <c r="B78" i="23"/>
  <c r="Y77" i="23"/>
  <c r="X77" i="23"/>
  <c r="W77" i="23"/>
  <c r="V77" i="23"/>
  <c r="U77" i="23"/>
  <c r="T77" i="23"/>
  <c r="S77" i="23"/>
  <c r="R77" i="23"/>
  <c r="Q77" i="23"/>
  <c r="P77" i="23"/>
  <c r="O77" i="23"/>
  <c r="N77" i="23"/>
  <c r="M77" i="23"/>
  <c r="L77" i="23"/>
  <c r="K77" i="23"/>
  <c r="J77" i="23"/>
  <c r="I77" i="23"/>
  <c r="H77" i="23"/>
  <c r="G77" i="23"/>
  <c r="F77" i="23"/>
  <c r="E77" i="23"/>
  <c r="D77" i="23"/>
  <c r="C77" i="23"/>
  <c r="B77" i="23"/>
  <c r="Y76" i="23"/>
  <c r="X76" i="23"/>
  <c r="W76" i="23"/>
  <c r="V76" i="23"/>
  <c r="U76" i="23"/>
  <c r="T76" i="23"/>
  <c r="S76" i="23"/>
  <c r="R76" i="23"/>
  <c r="Q76" i="23"/>
  <c r="P76" i="23"/>
  <c r="O76" i="23"/>
  <c r="N76" i="23"/>
  <c r="M76" i="23"/>
  <c r="L76" i="23"/>
  <c r="K76" i="23"/>
  <c r="J76" i="23"/>
  <c r="I76" i="23"/>
  <c r="H76" i="23"/>
  <c r="G76" i="23"/>
  <c r="F76" i="23"/>
  <c r="E76" i="23"/>
  <c r="D76" i="23"/>
  <c r="C76" i="23"/>
  <c r="B76" i="23"/>
  <c r="Y75" i="23"/>
  <c r="X75" i="23"/>
  <c r="W75" i="23"/>
  <c r="V75" i="23"/>
  <c r="U75" i="23"/>
  <c r="T75" i="23"/>
  <c r="S75" i="23"/>
  <c r="R75" i="23"/>
  <c r="Q75" i="23"/>
  <c r="P75" i="23"/>
  <c r="O75" i="23"/>
  <c r="N75" i="23"/>
  <c r="M75" i="23"/>
  <c r="L75" i="23"/>
  <c r="K75" i="23"/>
  <c r="J75" i="23"/>
  <c r="I75" i="23"/>
  <c r="H75" i="23"/>
  <c r="G75" i="23"/>
  <c r="F75" i="23"/>
  <c r="E75" i="23"/>
  <c r="D75" i="23"/>
  <c r="C75" i="23"/>
  <c r="B75" i="23"/>
  <c r="Y74" i="23"/>
  <c r="X74" i="23"/>
  <c r="W74" i="23"/>
  <c r="V74" i="23"/>
  <c r="U74" i="23"/>
  <c r="T74" i="23"/>
  <c r="S74" i="23"/>
  <c r="R74" i="23"/>
  <c r="Q74" i="23"/>
  <c r="P74" i="23"/>
  <c r="O74" i="23"/>
  <c r="N74" i="23"/>
  <c r="M74" i="23"/>
  <c r="L74" i="23"/>
  <c r="K74" i="23"/>
  <c r="J74" i="23"/>
  <c r="I74" i="23"/>
  <c r="H74" i="23"/>
  <c r="G74" i="23"/>
  <c r="F74" i="23"/>
  <c r="E74" i="23"/>
  <c r="D74" i="23"/>
  <c r="C74" i="23"/>
  <c r="B74" i="23"/>
  <c r="C66" i="1" l="1"/>
  <c r="Z52" i="3" l="1" a="1"/>
  <c r="AV52" i="3" a="1"/>
  <c r="AB52" i="3" a="1"/>
  <c r="X52" i="3" a="1"/>
  <c r="V52" i="3" a="1"/>
  <c r="AF52" i="3" a="1"/>
  <c r="R52" i="3" a="1"/>
  <c r="AL52" i="3" a="1"/>
  <c r="AL52" i="3" s="1"/>
  <c r="AL82" i="3" s="1"/>
  <c r="T52" i="3" a="1"/>
  <c r="T52" i="3" s="1"/>
  <c r="T82" i="3" s="1"/>
  <c r="P52" i="3" a="1"/>
  <c r="J52" i="3" a="1"/>
  <c r="J52" i="3" s="1"/>
  <c r="J82" i="3" s="1"/>
  <c r="D52" i="3" a="1"/>
  <c r="D52" i="3" s="1"/>
  <c r="D82" i="3" s="1"/>
  <c r="B52" i="3" a="1"/>
  <c r="B52" i="3" s="1"/>
  <c r="B82" i="3" s="1"/>
  <c r="AT52" i="3" a="1"/>
  <c r="AT52" i="3" s="1"/>
  <c r="AT82" i="3" s="1"/>
  <c r="N52" i="3" a="1"/>
  <c r="N52" i="3" s="1"/>
  <c r="N82" i="3" s="1"/>
  <c r="L52" i="3" a="1"/>
  <c r="L52" i="3" s="1"/>
  <c r="L82" i="3" s="1"/>
  <c r="H52" i="3" a="1"/>
  <c r="AJ52" i="3" a="1"/>
  <c r="AD52" i="3" a="1"/>
  <c r="AR52" i="3" a="1"/>
  <c r="AR52" i="3" s="1"/>
  <c r="AR82" i="3" s="1"/>
  <c r="AP52" i="3" a="1"/>
  <c r="AP52" i="3" s="1"/>
  <c r="AP82" i="3" s="1"/>
  <c r="AN52" i="3" a="1"/>
  <c r="F52" i="3" a="1"/>
  <c r="F52" i="3" s="1"/>
  <c r="F82" i="3" s="1"/>
  <c r="AH52" i="3" a="1"/>
  <c r="AH52" i="3" s="1"/>
  <c r="AH82" i="3" s="1"/>
  <c r="AB52" i="3"/>
  <c r="AB82" i="3" s="1"/>
  <c r="AJ52" i="3"/>
  <c r="AJ82" i="3" s="1"/>
  <c r="R52" i="3"/>
  <c r="R82" i="3" s="1"/>
  <c r="AD52" i="3"/>
  <c r="AD82" i="3" s="1"/>
  <c r="Z52" i="3"/>
  <c r="Z82" i="3" s="1"/>
  <c r="V52" i="3"/>
  <c r="V82" i="3" s="1"/>
  <c r="X52" i="3"/>
  <c r="X82" i="3" s="1"/>
  <c r="AN52" i="3"/>
  <c r="AN82" i="3" s="1"/>
  <c r="H52" i="3"/>
  <c r="H82" i="3" s="1"/>
  <c r="AF52" i="3"/>
  <c r="AF82" i="3" s="1"/>
  <c r="AV52" i="3"/>
  <c r="AV82" i="3" s="1"/>
  <c r="P52" i="3"/>
  <c r="P82" i="3" s="1"/>
  <c r="AV46" i="3"/>
  <c r="AV45" i="3"/>
  <c r="AV44" i="3"/>
  <c r="AV43" i="3" a="1"/>
  <c r="AV43" i="3" s="1"/>
  <c r="AV42" i="3"/>
  <c r="AT42" i="3"/>
  <c r="AR42" i="3"/>
  <c r="AP42" i="3"/>
  <c r="AN42" i="3"/>
  <c r="AL42" i="3"/>
  <c r="AJ42" i="3"/>
  <c r="AH42" i="3"/>
  <c r="AF42" i="3"/>
  <c r="AD42" i="3"/>
  <c r="AB42" i="3"/>
  <c r="Z42" i="3"/>
  <c r="X42" i="3"/>
  <c r="V42" i="3"/>
  <c r="T42" i="3"/>
  <c r="R42" i="3"/>
  <c r="P42" i="3"/>
  <c r="N42" i="3"/>
  <c r="L42" i="3"/>
  <c r="J42" i="3"/>
  <c r="H42" i="3"/>
  <c r="F42" i="3"/>
  <c r="D42" i="3"/>
  <c r="B42" i="3"/>
  <c r="AV49" i="3" l="1"/>
  <c r="AT49" i="3"/>
  <c r="AR49" i="3"/>
  <c r="AP49" i="3"/>
  <c r="AN49" i="3"/>
  <c r="AL49" i="3"/>
  <c r="AJ49" i="3"/>
  <c r="AH49" i="3"/>
  <c r="AF49" i="3"/>
  <c r="AD49" i="3"/>
  <c r="AB49" i="3"/>
  <c r="Z49" i="3"/>
  <c r="X49" i="3"/>
  <c r="V49" i="3"/>
  <c r="T49" i="3"/>
  <c r="R49" i="3"/>
  <c r="P49" i="3"/>
  <c r="N49" i="3"/>
  <c r="L49" i="3"/>
  <c r="J49" i="3"/>
  <c r="H49" i="3"/>
  <c r="F49" i="3"/>
  <c r="D49" i="3"/>
  <c r="B49" i="3"/>
  <c r="AV48" i="3"/>
  <c r="AT48" i="3"/>
  <c r="AR48" i="3"/>
  <c r="AP48" i="3"/>
  <c r="AN48" i="3"/>
  <c r="AL48" i="3"/>
  <c r="AJ48" i="3"/>
  <c r="AH48" i="3"/>
  <c r="AF48" i="3"/>
  <c r="AD48" i="3"/>
  <c r="AB48" i="3"/>
  <c r="Z48" i="3"/>
  <c r="X48" i="3"/>
  <c r="V48" i="3"/>
  <c r="T48" i="3"/>
  <c r="R48" i="3"/>
  <c r="P48" i="3"/>
  <c r="N48" i="3"/>
  <c r="L48" i="3"/>
  <c r="J48" i="3"/>
  <c r="H48" i="3"/>
  <c r="F48" i="3"/>
  <c r="D48" i="3"/>
  <c r="B48" i="3"/>
  <c r="G8" i="1" l="1"/>
  <c r="F8" i="1"/>
  <c r="D52" i="2" l="1"/>
  <c r="AT46" i="3" l="1"/>
  <c r="AR46" i="3"/>
  <c r="AP46" i="3"/>
  <c r="AN46" i="3"/>
  <c r="AL46" i="3"/>
  <c r="AJ46" i="3"/>
  <c r="AH46" i="3"/>
  <c r="AF46" i="3"/>
  <c r="AD46" i="3"/>
  <c r="AB46" i="3"/>
  <c r="Z46" i="3"/>
  <c r="X46" i="3"/>
  <c r="V46" i="3"/>
  <c r="T46" i="3"/>
  <c r="R46" i="3"/>
  <c r="P46" i="3"/>
  <c r="N46" i="3"/>
  <c r="L46" i="3"/>
  <c r="J46" i="3"/>
  <c r="H46" i="3"/>
  <c r="F46" i="3"/>
  <c r="D46" i="3"/>
  <c r="B46" i="3"/>
  <c r="Y10" i="23" l="1"/>
  <c r="X10" i="23"/>
  <c r="W10" i="23"/>
  <c r="V10" i="23"/>
  <c r="U10" i="23"/>
  <c r="T10" i="23"/>
  <c r="S10" i="23"/>
  <c r="R10" i="23"/>
  <c r="Q10" i="23"/>
  <c r="P10" i="23"/>
  <c r="O10" i="23"/>
  <c r="N10" i="23"/>
  <c r="M10" i="23"/>
  <c r="L10" i="23"/>
  <c r="K10" i="23"/>
  <c r="J10" i="23"/>
  <c r="I10" i="23"/>
  <c r="H10" i="23"/>
  <c r="G10" i="23"/>
  <c r="F10" i="23"/>
  <c r="E10" i="23"/>
  <c r="D10" i="23"/>
  <c r="C10" i="23"/>
  <c r="B10" i="23"/>
  <c r="W25" i="23" l="1"/>
  <c r="W9" i="39"/>
  <c r="J25" i="23"/>
  <c r="J9" i="39"/>
  <c r="L25" i="23"/>
  <c r="L9" i="39"/>
  <c r="N25" i="23"/>
  <c r="N9" i="39"/>
  <c r="P25" i="23"/>
  <c r="P9" i="39"/>
  <c r="B25" i="23"/>
  <c r="B9" i="39"/>
  <c r="C25" i="23"/>
  <c r="C9" i="39"/>
  <c r="S25" i="23"/>
  <c r="S9" i="39"/>
  <c r="T25" i="23"/>
  <c r="T9" i="39"/>
  <c r="U25" i="23"/>
  <c r="U9" i="39"/>
  <c r="X25" i="23"/>
  <c r="X9" i="39"/>
  <c r="K25" i="23"/>
  <c r="K9" i="39"/>
  <c r="M25" i="23"/>
  <c r="M9" i="39"/>
  <c r="O25" i="23"/>
  <c r="O9" i="39"/>
  <c r="Q25" i="23"/>
  <c r="Q9" i="39"/>
  <c r="R25" i="23"/>
  <c r="R9" i="39"/>
  <c r="D25" i="23"/>
  <c r="D9" i="39"/>
  <c r="E25" i="23"/>
  <c r="E9" i="39"/>
  <c r="F25" i="23"/>
  <c r="F9" i="39"/>
  <c r="V25" i="23"/>
  <c r="V9" i="39"/>
  <c r="G25" i="23"/>
  <c r="G9" i="39"/>
  <c r="H25" i="23"/>
  <c r="H9" i="39"/>
  <c r="I25" i="23"/>
  <c r="I9" i="39"/>
  <c r="Y25" i="23"/>
  <c r="Y9" i="39"/>
  <c r="C43" i="2"/>
  <c r="C52" i="1" l="1" a="1"/>
  <c r="C52" i="1" s="1"/>
  <c r="H29" i="1" l="1" a="1"/>
  <c r="C43" i="1" a="1"/>
  <c r="D52" i="1"/>
  <c r="C41" i="1" s="1" a="1"/>
  <c r="D120" i="1"/>
  <c r="C52" i="2"/>
  <c r="Y11" i="23"/>
  <c r="Y26" i="23" s="1"/>
  <c r="X11" i="23"/>
  <c r="X26" i="23" s="1"/>
  <c r="W11" i="23"/>
  <c r="W26" i="23" s="1"/>
  <c r="V11" i="23"/>
  <c r="V26" i="23" s="1"/>
  <c r="U11" i="23"/>
  <c r="U26" i="23" s="1"/>
  <c r="T11" i="23"/>
  <c r="T26" i="23" s="1"/>
  <c r="S11" i="23"/>
  <c r="S26" i="23" s="1"/>
  <c r="R11" i="23"/>
  <c r="R26" i="23" s="1"/>
  <c r="Q11" i="23"/>
  <c r="Q26" i="23" s="1"/>
  <c r="P11" i="23"/>
  <c r="P26" i="23" s="1"/>
  <c r="O11" i="23"/>
  <c r="O26" i="23" s="1"/>
  <c r="N11" i="23"/>
  <c r="N26" i="23" s="1"/>
  <c r="M11" i="23"/>
  <c r="M26" i="23" s="1"/>
  <c r="L11" i="23"/>
  <c r="L26" i="23" s="1"/>
  <c r="K11" i="23"/>
  <c r="J11" i="23"/>
  <c r="I11" i="23"/>
  <c r="H11" i="23"/>
  <c r="G11" i="23"/>
  <c r="F11" i="23"/>
  <c r="E11" i="23"/>
  <c r="D11" i="23"/>
  <c r="C11" i="23"/>
  <c r="B11" i="23"/>
  <c r="B9" i="23"/>
  <c r="B8" i="39" s="1"/>
  <c r="C9" i="23"/>
  <c r="C8" i="39" s="1"/>
  <c r="Y9" i="23"/>
  <c r="X9" i="23"/>
  <c r="W9" i="23"/>
  <c r="W8" i="39" s="1"/>
  <c r="V9" i="23"/>
  <c r="V8" i="39" s="1"/>
  <c r="U9" i="23"/>
  <c r="U8" i="39" s="1"/>
  <c r="T9" i="23"/>
  <c r="T8" i="39" s="1"/>
  <c r="S9" i="23"/>
  <c r="S8" i="39" s="1"/>
  <c r="R9" i="23"/>
  <c r="R8" i="39" s="1"/>
  <c r="Q9" i="23"/>
  <c r="Q8" i="39" s="1"/>
  <c r="P9" i="23"/>
  <c r="P8" i="39" s="1"/>
  <c r="O9" i="23"/>
  <c r="O8" i="39" s="1"/>
  <c r="N9" i="23"/>
  <c r="N8" i="39" s="1"/>
  <c r="M9" i="23"/>
  <c r="M8" i="39" s="1"/>
  <c r="L9" i="23"/>
  <c r="L8" i="39" s="1"/>
  <c r="K9" i="23"/>
  <c r="K8" i="39" s="1"/>
  <c r="J9" i="23"/>
  <c r="J8" i="39" s="1"/>
  <c r="I9" i="23"/>
  <c r="I8" i="39" s="1"/>
  <c r="H9" i="23"/>
  <c r="H8" i="39" s="1"/>
  <c r="G9" i="23"/>
  <c r="G8" i="39" s="1"/>
  <c r="F9" i="23"/>
  <c r="F8" i="39" s="1"/>
  <c r="E9" i="23"/>
  <c r="E8" i="39" s="1"/>
  <c r="D9" i="23"/>
  <c r="D8" i="39" s="1"/>
  <c r="X24" i="23" l="1"/>
  <c r="X8" i="39"/>
  <c r="C41" i="1"/>
  <c r="D41" i="1"/>
  <c r="C42" i="1" a="1"/>
  <c r="C43" i="1"/>
  <c r="D43" i="1"/>
  <c r="AV60" i="3"/>
  <c r="P60" i="3"/>
  <c r="L60" i="3"/>
  <c r="AP60" i="3"/>
  <c r="AL60" i="3"/>
  <c r="AJ60" i="3"/>
  <c r="AH60" i="3"/>
  <c r="B56" i="3"/>
  <c r="Z60" i="3"/>
  <c r="X60" i="3"/>
  <c r="V60" i="3"/>
  <c r="T60" i="3"/>
  <c r="R60" i="3"/>
  <c r="AT60" i="3"/>
  <c r="N60" i="3"/>
  <c r="J60" i="3"/>
  <c r="AN60" i="3"/>
  <c r="AF60" i="3"/>
  <c r="AD60" i="3"/>
  <c r="AB60" i="3"/>
  <c r="AR60" i="3"/>
  <c r="H60" i="3"/>
  <c r="F60" i="3"/>
  <c r="D60" i="3"/>
  <c r="B60" i="3"/>
  <c r="T56" i="3"/>
  <c r="AV56" i="3"/>
  <c r="P56" i="3"/>
  <c r="AF56" i="3"/>
  <c r="X56" i="3"/>
  <c r="R56" i="3"/>
  <c r="AT56" i="3"/>
  <c r="N56" i="3"/>
  <c r="AR56" i="3"/>
  <c r="L56" i="3"/>
  <c r="AD56" i="3"/>
  <c r="V56" i="3"/>
  <c r="AP56" i="3"/>
  <c r="J56" i="3"/>
  <c r="AN56" i="3"/>
  <c r="H56" i="3"/>
  <c r="D56" i="3"/>
  <c r="AH56" i="3"/>
  <c r="AL56" i="3"/>
  <c r="F56" i="3"/>
  <c r="AJ56" i="3"/>
  <c r="AB56" i="3"/>
  <c r="Z56" i="3"/>
  <c r="H28" i="1" a="1"/>
  <c r="H25" i="1" a="1"/>
  <c r="H27" i="1" a="1"/>
  <c r="F39" i="1" a="1"/>
  <c r="H29" i="1"/>
  <c r="I29" i="1"/>
  <c r="W69" i="23"/>
  <c r="V69" i="23"/>
  <c r="U69" i="23"/>
  <c r="T69" i="23"/>
  <c r="S69" i="23"/>
  <c r="R69" i="23"/>
  <c r="Q69" i="23"/>
  <c r="P69" i="23"/>
  <c r="O69" i="23"/>
  <c r="N69" i="23"/>
  <c r="M69" i="23"/>
  <c r="L69" i="23"/>
  <c r="K69" i="23"/>
  <c r="J69" i="23"/>
  <c r="I69" i="23"/>
  <c r="H69" i="23"/>
  <c r="G69" i="23"/>
  <c r="F69" i="23"/>
  <c r="E69" i="23"/>
  <c r="D69" i="23"/>
  <c r="C69" i="23"/>
  <c r="B69" i="23"/>
  <c r="K70" i="23"/>
  <c r="J70" i="23"/>
  <c r="I70" i="23"/>
  <c r="H70" i="23"/>
  <c r="G70" i="23"/>
  <c r="F70" i="23"/>
  <c r="E70" i="23"/>
  <c r="D70" i="23"/>
  <c r="C70" i="23"/>
  <c r="B70" i="23"/>
  <c r="Y68" i="23"/>
  <c r="X68" i="23"/>
  <c r="W68" i="23"/>
  <c r="V68" i="23"/>
  <c r="U68" i="23"/>
  <c r="T68" i="23"/>
  <c r="S68" i="23"/>
  <c r="R68" i="23"/>
  <c r="Q68" i="23"/>
  <c r="P68" i="23"/>
  <c r="O68" i="23"/>
  <c r="N68" i="23"/>
  <c r="M68" i="23"/>
  <c r="L68" i="23"/>
  <c r="K68" i="23"/>
  <c r="I68" i="23"/>
  <c r="H68" i="23"/>
  <c r="G68" i="23"/>
  <c r="F68" i="23"/>
  <c r="E68" i="23"/>
  <c r="D68" i="23"/>
  <c r="C68" i="23"/>
  <c r="B68" i="23"/>
  <c r="A50" i="23"/>
  <c r="A64" i="23" s="1"/>
  <c r="A51" i="23"/>
  <c r="A65" i="23" s="1"/>
  <c r="A52" i="23"/>
  <c r="A66" i="23" s="1"/>
  <c r="A53" i="23"/>
  <c r="A67" i="23" s="1"/>
  <c r="A54" i="23"/>
  <c r="A68" i="23" s="1"/>
  <c r="A69" i="23"/>
  <c r="A70" i="23"/>
  <c r="A49" i="23"/>
  <c r="A63" i="23" s="1"/>
  <c r="L67" i="23"/>
  <c r="K67" i="23"/>
  <c r="J67" i="23"/>
  <c r="I67" i="23"/>
  <c r="H67" i="23"/>
  <c r="G67" i="23"/>
  <c r="F67" i="23"/>
  <c r="E67" i="23"/>
  <c r="D67" i="23"/>
  <c r="C67" i="23"/>
  <c r="B67" i="23"/>
  <c r="S66" i="23"/>
  <c r="R66" i="23"/>
  <c r="Q66" i="23"/>
  <c r="P66" i="23"/>
  <c r="O66" i="23"/>
  <c r="N66" i="23"/>
  <c r="M66" i="23"/>
  <c r="L66" i="23"/>
  <c r="K66" i="23"/>
  <c r="J66" i="23"/>
  <c r="I66" i="23"/>
  <c r="H66" i="23"/>
  <c r="G66" i="23"/>
  <c r="F66" i="23"/>
  <c r="E66" i="23"/>
  <c r="D66" i="23"/>
  <c r="C66" i="23"/>
  <c r="B66" i="23"/>
  <c r="J65" i="23"/>
  <c r="I65" i="23"/>
  <c r="H65" i="23"/>
  <c r="G65" i="23"/>
  <c r="F65" i="23"/>
  <c r="E65" i="23"/>
  <c r="D65" i="23"/>
  <c r="C65" i="23"/>
  <c r="B65" i="23"/>
  <c r="Y64" i="23"/>
  <c r="X64" i="23"/>
  <c r="W64" i="23"/>
  <c r="V64" i="23"/>
  <c r="U64" i="23"/>
  <c r="T64" i="23"/>
  <c r="S64" i="23"/>
  <c r="R64" i="23"/>
  <c r="Q64" i="23"/>
  <c r="P64" i="23"/>
  <c r="O64" i="23"/>
  <c r="N64" i="23"/>
  <c r="M64" i="23"/>
  <c r="L64" i="23"/>
  <c r="K64" i="23"/>
  <c r="J64" i="23"/>
  <c r="I64" i="23"/>
  <c r="H64" i="23"/>
  <c r="G64" i="23"/>
  <c r="F64" i="23"/>
  <c r="E64" i="23"/>
  <c r="D64" i="23"/>
  <c r="C64" i="23"/>
  <c r="B64" i="23"/>
  <c r="W63" i="23"/>
  <c r="V63" i="23"/>
  <c r="U63" i="23"/>
  <c r="T63" i="23"/>
  <c r="S63" i="23"/>
  <c r="R63" i="23"/>
  <c r="Q63" i="23"/>
  <c r="P63" i="23"/>
  <c r="O63" i="23"/>
  <c r="N63" i="23"/>
  <c r="M63" i="23"/>
  <c r="L63" i="23"/>
  <c r="K63" i="23"/>
  <c r="I63" i="23"/>
  <c r="H63" i="23"/>
  <c r="G63" i="23"/>
  <c r="F63" i="23"/>
  <c r="E63" i="23"/>
  <c r="D63" i="23"/>
  <c r="C63" i="23"/>
  <c r="B63" i="23"/>
  <c r="K26" i="23"/>
  <c r="J26" i="23"/>
  <c r="I26" i="23"/>
  <c r="H26" i="23"/>
  <c r="G26" i="23"/>
  <c r="F26" i="23"/>
  <c r="E26" i="23"/>
  <c r="D26" i="23"/>
  <c r="C26" i="23"/>
  <c r="B26" i="23"/>
  <c r="J68" i="23"/>
  <c r="H27" i="1" l="1"/>
  <c r="I27" i="1"/>
  <c r="H26" i="1"/>
  <c r="I26" i="1"/>
  <c r="I25" i="1"/>
  <c r="H25" i="1"/>
  <c r="H28" i="1"/>
  <c r="I28" i="1"/>
  <c r="G39" i="1"/>
  <c r="F39" i="1"/>
  <c r="D42" i="1"/>
  <c r="C42" i="1"/>
  <c r="J63" i="23"/>
  <c r="V24" i="23"/>
  <c r="T24" i="23"/>
  <c r="N24" i="23"/>
  <c r="B24" i="23"/>
  <c r="W24" i="23"/>
  <c r="U24" i="23"/>
  <c r="S24" i="23"/>
  <c r="R24" i="23"/>
  <c r="Q24" i="23"/>
  <c r="P24" i="23"/>
  <c r="O24" i="23"/>
  <c r="M24" i="23"/>
  <c r="L24" i="23"/>
  <c r="K24" i="23"/>
  <c r="J24" i="23"/>
  <c r="I24" i="23"/>
  <c r="H24" i="23"/>
  <c r="G24" i="23"/>
  <c r="F24" i="23"/>
  <c r="E24" i="23"/>
  <c r="D24" i="23"/>
  <c r="C24" i="23"/>
  <c r="Y8" i="23"/>
  <c r="X8" i="23"/>
  <c r="W8" i="23"/>
  <c r="V8" i="23"/>
  <c r="U8" i="23"/>
  <c r="T8" i="23"/>
  <c r="S8" i="23"/>
  <c r="R8" i="23"/>
  <c r="Q8" i="23"/>
  <c r="P8" i="23"/>
  <c r="O8" i="23"/>
  <c r="N8" i="23"/>
  <c r="M8" i="23"/>
  <c r="L8" i="23"/>
  <c r="K8" i="23"/>
  <c r="J8" i="23"/>
  <c r="I8" i="23"/>
  <c r="H8" i="23"/>
  <c r="G8" i="23"/>
  <c r="F8" i="23"/>
  <c r="E8" i="23"/>
  <c r="D8" i="23"/>
  <c r="C8" i="23"/>
  <c r="B8" i="23"/>
  <c r="Y7" i="23"/>
  <c r="X7" i="23"/>
  <c r="W7" i="23"/>
  <c r="V7" i="23"/>
  <c r="U7" i="23"/>
  <c r="T7" i="23"/>
  <c r="S7" i="23"/>
  <c r="R7" i="23"/>
  <c r="Q7" i="23"/>
  <c r="Q6" i="39" s="1"/>
  <c r="P7" i="23"/>
  <c r="P6" i="39" s="1"/>
  <c r="O7" i="23"/>
  <c r="O6" i="39" s="1"/>
  <c r="N7" i="23"/>
  <c r="N6" i="39" s="1"/>
  <c r="M7" i="23"/>
  <c r="M6" i="39" s="1"/>
  <c r="L7" i="23"/>
  <c r="K7" i="23"/>
  <c r="J7" i="23"/>
  <c r="I7" i="23"/>
  <c r="H7" i="23"/>
  <c r="G7" i="23"/>
  <c r="F7" i="23"/>
  <c r="E7" i="23"/>
  <c r="D7" i="23"/>
  <c r="C7" i="23"/>
  <c r="B7" i="23"/>
  <c r="Y6" i="23"/>
  <c r="X6" i="23"/>
  <c r="W6" i="23"/>
  <c r="V6" i="23"/>
  <c r="U6" i="23"/>
  <c r="T6" i="23"/>
  <c r="S6" i="23"/>
  <c r="R6" i="23"/>
  <c r="Q6" i="23"/>
  <c r="P6" i="23"/>
  <c r="O6" i="23"/>
  <c r="N6" i="23"/>
  <c r="M6" i="23"/>
  <c r="L6" i="23"/>
  <c r="K6" i="23"/>
  <c r="J6" i="23"/>
  <c r="I6" i="23"/>
  <c r="H6" i="23"/>
  <c r="G6" i="23"/>
  <c r="F6" i="23"/>
  <c r="E6" i="23"/>
  <c r="D6" i="23"/>
  <c r="C6" i="23"/>
  <c r="B6" i="23"/>
  <c r="J20" i="23"/>
  <c r="I20" i="23"/>
  <c r="H20" i="23"/>
  <c r="G20" i="23"/>
  <c r="F20" i="23"/>
  <c r="E20" i="23"/>
  <c r="D20" i="23"/>
  <c r="C20" i="23"/>
  <c r="B20" i="23"/>
  <c r="I19" i="23"/>
  <c r="H19" i="23"/>
  <c r="G19" i="23"/>
  <c r="F19" i="23"/>
  <c r="E19" i="23"/>
  <c r="D19" i="23"/>
  <c r="C19" i="23"/>
  <c r="B19" i="23"/>
  <c r="Y3" i="23"/>
  <c r="X3" i="23"/>
  <c r="W3" i="23"/>
  <c r="V3" i="23"/>
  <c r="U3" i="23"/>
  <c r="T3" i="23"/>
  <c r="S3" i="23"/>
  <c r="R3" i="23"/>
  <c r="Q3" i="23"/>
  <c r="P3" i="23"/>
  <c r="O3" i="23"/>
  <c r="N3" i="23"/>
  <c r="M3" i="23"/>
  <c r="L3" i="23"/>
  <c r="K3" i="23"/>
  <c r="J3" i="23"/>
  <c r="I3" i="23"/>
  <c r="H3" i="23"/>
  <c r="G3" i="23"/>
  <c r="F3" i="23"/>
  <c r="E3" i="23"/>
  <c r="D3" i="23"/>
  <c r="C3" i="23"/>
  <c r="B3" i="23"/>
  <c r="E18" i="23" l="1"/>
  <c r="E2" i="39"/>
  <c r="P23" i="23"/>
  <c r="P7" i="39"/>
  <c r="F18" i="23"/>
  <c r="F2" i="39"/>
  <c r="N23" i="23"/>
  <c r="N7" i="39"/>
  <c r="G18" i="23"/>
  <c r="G2" i="39"/>
  <c r="O21" i="23"/>
  <c r="J18" i="23"/>
  <c r="J2" i="39"/>
  <c r="R21" i="23"/>
  <c r="B23" i="23"/>
  <c r="B7" i="39"/>
  <c r="C21" i="23"/>
  <c r="C5" i="39"/>
  <c r="W18" i="23"/>
  <c r="W2" i="39"/>
  <c r="G22" i="23"/>
  <c r="G6" i="39"/>
  <c r="H18" i="23"/>
  <c r="H2" i="39"/>
  <c r="P21" i="23"/>
  <c r="Q21" i="23"/>
  <c r="B21" i="23"/>
  <c r="B5" i="39"/>
  <c r="K18" i="23"/>
  <c r="K2" i="39"/>
  <c r="S21" i="23"/>
  <c r="C23" i="23"/>
  <c r="C7" i="39"/>
  <c r="L18" i="23"/>
  <c r="L2" i="39"/>
  <c r="D21" i="23"/>
  <c r="D5" i="39"/>
  <c r="D23" i="23"/>
  <c r="D7" i="39"/>
  <c r="F21" i="23"/>
  <c r="F5" i="39"/>
  <c r="F23" i="23"/>
  <c r="F7" i="39"/>
  <c r="O18" i="23"/>
  <c r="O2" i="39"/>
  <c r="G21" i="23"/>
  <c r="G5" i="39"/>
  <c r="H23" i="23"/>
  <c r="H7" i="39"/>
  <c r="I21" i="23"/>
  <c r="I5" i="39"/>
  <c r="I23" i="23"/>
  <c r="I7" i="39"/>
  <c r="R18" i="23"/>
  <c r="R2" i="39"/>
  <c r="J21" i="23"/>
  <c r="J5" i="39"/>
  <c r="B22" i="23"/>
  <c r="B6" i="39"/>
  <c r="J23" i="23"/>
  <c r="J7" i="39"/>
  <c r="U18" i="23"/>
  <c r="U2" i="39"/>
  <c r="N21" i="23"/>
  <c r="N5" i="39"/>
  <c r="F22" i="23"/>
  <c r="F6" i="39"/>
  <c r="O23" i="23"/>
  <c r="O7" i="39"/>
  <c r="H22" i="23"/>
  <c r="H6" i="39"/>
  <c r="I22" i="23"/>
  <c r="I6" i="39"/>
  <c r="E23" i="23"/>
  <c r="E7" i="39"/>
  <c r="P18" i="23"/>
  <c r="P2" i="39"/>
  <c r="H21" i="23"/>
  <c r="H5" i="39"/>
  <c r="Q18" i="23"/>
  <c r="Q2" i="39"/>
  <c r="C18" i="23"/>
  <c r="C2" i="39"/>
  <c r="S18" i="23"/>
  <c r="S2" i="39"/>
  <c r="K21" i="23"/>
  <c r="K5" i="39"/>
  <c r="C22" i="23"/>
  <c r="C6" i="39"/>
  <c r="K23" i="23"/>
  <c r="K7" i="39"/>
  <c r="M21" i="23"/>
  <c r="M5" i="39"/>
  <c r="E22" i="23"/>
  <c r="E6" i="39"/>
  <c r="M23" i="23"/>
  <c r="M7" i="39"/>
  <c r="V18" i="23"/>
  <c r="V2" i="39"/>
  <c r="I18" i="23"/>
  <c r="I2" i="39"/>
  <c r="J22" i="23"/>
  <c r="J6" i="39"/>
  <c r="K22" i="23"/>
  <c r="K6" i="39"/>
  <c r="L6" i="39"/>
  <c r="M18" i="23"/>
  <c r="M2" i="39"/>
  <c r="E21" i="23"/>
  <c r="E5" i="39"/>
  <c r="N18" i="23"/>
  <c r="N2" i="39"/>
  <c r="G23" i="23"/>
  <c r="G7" i="39"/>
  <c r="B18" i="23"/>
  <c r="B2" i="39"/>
  <c r="D18" i="23"/>
  <c r="D2" i="39"/>
  <c r="T18" i="23"/>
  <c r="T2" i="39"/>
  <c r="L21" i="23"/>
  <c r="L5" i="39"/>
  <c r="D22" i="23"/>
  <c r="D6" i="39"/>
  <c r="L23" i="23"/>
  <c r="L7" i="39"/>
  <c r="AT45" i="3"/>
  <c r="AR45" i="3"/>
  <c r="AP45" i="3"/>
  <c r="AN45" i="3"/>
  <c r="AL45" i="3"/>
  <c r="AJ45" i="3"/>
  <c r="AH45" i="3"/>
  <c r="AF45" i="3"/>
  <c r="AD45" i="3"/>
  <c r="AB45" i="3"/>
  <c r="Z45" i="3"/>
  <c r="X45" i="3"/>
  <c r="V45" i="3"/>
  <c r="T45" i="3"/>
  <c r="R45" i="3"/>
  <c r="P45" i="3"/>
  <c r="N45" i="3"/>
  <c r="L45" i="3"/>
  <c r="J45" i="3"/>
  <c r="H45" i="3"/>
  <c r="F45" i="3"/>
  <c r="D45" i="3"/>
  <c r="B45" i="3"/>
  <c r="AT44" i="3"/>
  <c r="AR44" i="3"/>
  <c r="AP44" i="3"/>
  <c r="AN44" i="3"/>
  <c r="AL44" i="3"/>
  <c r="AJ44" i="3"/>
  <c r="AH44" i="3"/>
  <c r="AF44" i="3"/>
  <c r="AD44" i="3"/>
  <c r="AB44" i="3"/>
  <c r="Z44" i="3"/>
  <c r="X44" i="3"/>
  <c r="V44" i="3"/>
  <c r="T44" i="3"/>
  <c r="R44" i="3"/>
  <c r="P44" i="3"/>
  <c r="N44" i="3"/>
  <c r="L44" i="3"/>
  <c r="J44" i="3"/>
  <c r="H44" i="3"/>
  <c r="F44" i="3"/>
  <c r="D44" i="3"/>
  <c r="C118" i="1" l="1" a="1"/>
  <c r="C118" i="1" s="1"/>
  <c r="C45" i="2" a="1"/>
  <c r="D45" i="2" s="1"/>
  <c r="C34" i="2" a="1"/>
  <c r="C34" i="2" s="1"/>
  <c r="D118" i="1" l="1"/>
  <c r="C45" i="2"/>
  <c r="D34" i="2"/>
  <c r="C37" i="2" l="1" a="1"/>
  <c r="C37" i="2" s="1"/>
  <c r="D37" i="2" l="1"/>
  <c r="C80" i="1" a="1"/>
  <c r="C80" i="1" s="1"/>
  <c r="C115" i="1" a="1"/>
  <c r="D115" i="1" s="1"/>
  <c r="C46" i="1" a="1"/>
  <c r="C46" i="1" s="1"/>
  <c r="D80" i="1" l="1"/>
  <c r="C115" i="1"/>
  <c r="D46" i="1"/>
  <c r="AT43" i="3" l="1" a="1"/>
  <c r="AT43" i="3" s="1"/>
  <c r="AR43" i="3" a="1"/>
  <c r="AR43" i="3" s="1"/>
  <c r="AP43" i="3" a="1"/>
  <c r="AP43" i="3" s="1"/>
  <c r="AN43" i="3" a="1"/>
  <c r="AN43" i="3" s="1"/>
  <c r="AL43" i="3" a="1"/>
  <c r="AL43" i="3" s="1"/>
  <c r="C33" i="2" l="1"/>
  <c r="C31" i="2"/>
  <c r="D31" i="2" l="1"/>
  <c r="D33" i="2"/>
  <c r="C23" i="2" a="1"/>
  <c r="C38" i="1" l="1" a="1"/>
  <c r="C38" i="1" s="1"/>
  <c r="C30" i="1" a="1"/>
  <c r="C30" i="1" s="1"/>
  <c r="H30" i="1" a="1"/>
  <c r="H30" i="1" s="1"/>
  <c r="C100" i="1" a="1"/>
  <c r="D100" i="1" s="1"/>
  <c r="D38" i="1" l="1"/>
  <c r="D30" i="1"/>
  <c r="C44" i="1" s="1" a="1"/>
  <c r="I30" i="1"/>
  <c r="C100" i="1"/>
  <c r="C44" i="1" l="1"/>
  <c r="D44" i="1"/>
  <c r="L9" i="1" a="1"/>
  <c r="C22" i="2" a="1"/>
  <c r="C22" i="2" s="1"/>
  <c r="L9" i="1" l="1"/>
  <c r="M9" i="1"/>
  <c r="D22" i="2"/>
  <c r="C30" i="2" s="1" a="1"/>
  <c r="AJ43" i="3" a="1"/>
  <c r="AJ43" i="3" s="1"/>
  <c r="AH43" i="3" a="1"/>
  <c r="AH43" i="3" s="1"/>
  <c r="AF43" i="3" a="1"/>
  <c r="AF43" i="3" s="1"/>
  <c r="AD43" i="3" a="1"/>
  <c r="AD43" i="3" s="1"/>
  <c r="AB43" i="3" a="1"/>
  <c r="AB43" i="3" s="1"/>
  <c r="Z43" i="3" a="1"/>
  <c r="Z43" i="3" s="1"/>
  <c r="X43" i="3" a="1"/>
  <c r="X43" i="3" s="1"/>
  <c r="V43" i="3" a="1"/>
  <c r="V43" i="3" s="1"/>
  <c r="T43" i="3" a="1"/>
  <c r="T43" i="3" s="1"/>
  <c r="R43" i="3" a="1"/>
  <c r="R43" i="3" s="1"/>
  <c r="P43" i="3" a="1"/>
  <c r="P43" i="3" s="1"/>
  <c r="N43" i="3" a="1"/>
  <c r="N43" i="3" s="1"/>
  <c r="L43" i="3" a="1"/>
  <c r="L43" i="3" s="1"/>
  <c r="J43" i="3" a="1"/>
  <c r="J43" i="3" s="1"/>
  <c r="H43" i="3" a="1"/>
  <c r="H43" i="3" s="1"/>
  <c r="F43" i="3" a="1"/>
  <c r="F43" i="3" s="1"/>
  <c r="D43" i="3" a="1"/>
  <c r="D43" i="3" s="1"/>
  <c r="D30" i="2" l="1"/>
  <c r="C30" i="2"/>
  <c r="C39" i="2" l="1" a="1"/>
  <c r="C21" i="2" a="1"/>
  <c r="C116" i="1" a="1"/>
  <c r="C116" i="1" s="1"/>
  <c r="C114" i="1" a="1"/>
  <c r="D114" i="1" s="1"/>
  <c r="D116" i="1" l="1"/>
  <c r="C114" i="1"/>
  <c r="AT22" i="23" l="1"/>
  <c r="AB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AS22" i="23"/>
  <c r="AR22" i="23"/>
  <c r="AQ22" i="23"/>
  <c r="AP22" i="23"/>
  <c r="AO22" i="23"/>
  <c r="AN22" i="23"/>
  <c r="AM22" i="23"/>
  <c r="AL22" i="23"/>
  <c r="AK22" i="23"/>
  <c r="AJ22" i="23"/>
  <c r="AI22" i="23"/>
  <c r="AH22" i="23"/>
  <c r="AG22" i="23"/>
  <c r="AF22" i="23"/>
  <c r="AE22" i="23"/>
  <c r="AD22" i="23"/>
  <c r="AC22" i="23"/>
  <c r="AB22" i="23"/>
  <c r="AP21" i="23"/>
  <c r="AO21" i="23"/>
  <c r="AN21" i="23"/>
  <c r="AM21" i="23"/>
  <c r="AL21" i="23"/>
  <c r="AK21" i="23"/>
  <c r="AJ21" i="23"/>
  <c r="AI21" i="23"/>
  <c r="AH21" i="23"/>
  <c r="AG21" i="23"/>
  <c r="AF21" i="23"/>
  <c r="AE21" i="23"/>
  <c r="AD21" i="23"/>
  <c r="AC21" i="23"/>
  <c r="AB21"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T20" i="23"/>
  <c r="AS20" i="23"/>
  <c r="AR20" i="23"/>
  <c r="AQ20" i="23"/>
  <c r="AP20" i="23"/>
  <c r="AO20" i="23"/>
  <c r="AN20" i="23"/>
  <c r="AM20" i="23"/>
  <c r="AL20" i="23"/>
  <c r="AK20" i="23"/>
  <c r="AJ20" i="23"/>
  <c r="AI20" i="23"/>
  <c r="AH20" i="23"/>
  <c r="AG20" i="23"/>
  <c r="AF20" i="23"/>
  <c r="AE20" i="23"/>
  <c r="AD20" i="23"/>
  <c r="AC20" i="23"/>
  <c r="AB20"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C3" i="2" l="1" a="1"/>
  <c r="C10" i="2" l="1"/>
  <c r="C6" i="2"/>
  <c r="D11" i="2"/>
  <c r="D9" i="2"/>
  <c r="D7" i="2"/>
  <c r="D5" i="2"/>
  <c r="D10" i="2"/>
  <c r="D8" i="2"/>
  <c r="D6" i="2"/>
  <c r="C8" i="2"/>
  <c r="C11" i="2"/>
  <c r="C9" i="2"/>
  <c r="C7" i="2"/>
  <c r="C5" i="2"/>
  <c r="C45" i="1" l="1" a="1"/>
  <c r="C45" i="1" s="1"/>
  <c r="D45" i="1" l="1"/>
  <c r="L5" i="1" s="1" a="1"/>
  <c r="W56" i="2" l="1"/>
  <c r="U56" i="2"/>
  <c r="Y56" i="2"/>
  <c r="C122" i="1" a="1"/>
  <c r="L5" i="1"/>
  <c r="M5" i="1"/>
  <c r="C122" i="1" l="1"/>
  <c r="D122" i="1"/>
  <c r="C90" i="1" a="1"/>
  <c r="D90" i="1" s="1"/>
  <c r="C85" i="1" a="1"/>
  <c r="D85" i="1" s="1"/>
  <c r="C90" i="1" l="1"/>
  <c r="C85" i="1"/>
  <c r="C32" i="1" l="1" a="1"/>
  <c r="C32" i="1" l="1"/>
  <c r="D32" i="1"/>
  <c r="C47" i="1" l="1" a="1"/>
  <c r="D47" i="1"/>
  <c r="C47" i="1"/>
  <c r="E3" i="2" a="1"/>
  <c r="C48" i="1" l="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F82" i="1" a="1"/>
  <c r="F82" i="1" s="1"/>
  <c r="K34" i="1" l="1" a="1"/>
  <c r="K34" i="1" s="1"/>
  <c r="G82" i="1"/>
  <c r="F83" i="1" s="1" a="1"/>
  <c r="L34" i="1" l="1"/>
  <c r="F83" i="1"/>
  <c r="G83" i="1"/>
  <c r="C3" i="2" l="1"/>
  <c r="F12" i="1"/>
  <c r="F3" i="2"/>
  <c r="G4" i="2"/>
  <c r="E4" i="2"/>
  <c r="C59" i="1"/>
  <c r="H3" i="2"/>
  <c r="D3" i="2"/>
  <c r="C4" i="2"/>
  <c r="D4" i="2"/>
  <c r="F4" i="2"/>
  <c r="G3" i="2"/>
  <c r="I4" i="1"/>
  <c r="D12" i="1"/>
  <c r="E3" i="2"/>
  <c r="H4" i="2"/>
  <c r="I3" i="1"/>
  <c r="G12" i="1"/>
  <c r="C12" i="1"/>
  <c r="C37" i="1" l="1" a="1"/>
  <c r="D37" i="1" s="1"/>
  <c r="D12" i="2"/>
  <c r="D14" i="1"/>
  <c r="G12" i="2"/>
  <c r="F12" i="2"/>
  <c r="C14" i="1"/>
  <c r="C12" i="2"/>
  <c r="I4" i="2"/>
  <c r="D14" i="2" s="1"/>
  <c r="I3" i="2"/>
  <c r="C14" i="2" l="1"/>
  <c r="C37" i="1"/>
  <c r="C70" i="1" s="1" a="1"/>
  <c r="D70" i="1" l="1"/>
  <c r="C70" i="1"/>
  <c r="D71" i="1"/>
  <c r="C71" i="1"/>
  <c r="C123" i="1" a="1"/>
  <c r="C51" i="1" a="1"/>
  <c r="H72" i="1" a="1"/>
  <c r="C72" i="1" a="1"/>
  <c r="H73" i="1" a="1"/>
  <c r="C73" i="1" a="1"/>
  <c r="O12" i="1" a="1"/>
  <c r="C123" i="1" l="1"/>
  <c r="D123" i="1"/>
  <c r="C51" i="1"/>
  <c r="D51" i="1"/>
  <c r="C73" i="1"/>
  <c r="D73" i="1"/>
  <c r="I73" i="1"/>
  <c r="H73" i="1"/>
  <c r="P12" i="1"/>
  <c r="O12" i="1"/>
  <c r="D72" i="1"/>
  <c r="C72" i="1"/>
  <c r="H72" i="1"/>
  <c r="I72" i="1"/>
  <c r="K73" i="1" l="1" a="1"/>
  <c r="L73" i="1" s="1"/>
  <c r="L7" i="1" a="1"/>
  <c r="C50" i="1" a="1"/>
  <c r="H45" i="1" a="1"/>
  <c r="H46" i="1" a="1"/>
  <c r="C51" i="2" a="1"/>
  <c r="K72" i="1" a="1"/>
  <c r="K73" i="1" l="1"/>
  <c r="M7" i="1"/>
  <c r="L7" i="1"/>
  <c r="C51" i="2"/>
  <c r="D51" i="2"/>
  <c r="I46" i="1"/>
  <c r="H46" i="1"/>
  <c r="K72" i="1"/>
  <c r="L72" i="1"/>
  <c r="I45" i="1"/>
  <c r="H45" i="1"/>
  <c r="D50" i="1"/>
  <c r="C50" i="1"/>
  <c r="J58" i="3" l="1" a="1"/>
  <c r="J58" i="3" s="1"/>
  <c r="AD58" i="3" a="1"/>
  <c r="AD58" i="3" s="1"/>
  <c r="F58" i="3" a="1"/>
  <c r="F58" i="3" s="1"/>
  <c r="AB58" i="3" a="1"/>
  <c r="AB58" i="3" s="1"/>
  <c r="AF58" i="3" a="1"/>
  <c r="AF58" i="3" s="1"/>
  <c r="H58" i="3" a="1"/>
  <c r="H58" i="3" s="1"/>
  <c r="Z58" i="3" a="1"/>
  <c r="Z58" i="3" s="1"/>
  <c r="R58" i="3" a="1"/>
  <c r="R58" i="3" s="1"/>
  <c r="AL58" i="3" a="1"/>
  <c r="AL58" i="3" s="1"/>
  <c r="AH58" i="3" a="1"/>
  <c r="AH58" i="3" s="1"/>
  <c r="B58" i="3" a="1"/>
  <c r="B58" i="3" s="1"/>
  <c r="AR58" i="3" a="1"/>
  <c r="AR58" i="3" s="1"/>
  <c r="D58" i="3" a="1"/>
  <c r="D58" i="3" s="1"/>
  <c r="P58" i="3" a="1"/>
  <c r="P58" i="3" s="1"/>
  <c r="N58" i="3" a="1"/>
  <c r="N58" i="3" s="1"/>
  <c r="L58" i="3" a="1"/>
  <c r="L58" i="3" s="1"/>
  <c r="AV58" i="3" a="1"/>
  <c r="AV58" i="3" s="1"/>
  <c r="X58" i="3" a="1"/>
  <c r="X58" i="3" s="1"/>
  <c r="AP58" i="3" a="1"/>
  <c r="AP58" i="3" s="1"/>
  <c r="AN58" i="3" a="1"/>
  <c r="AN58" i="3" s="1"/>
  <c r="AT58" i="3" a="1"/>
  <c r="AT58" i="3" s="1"/>
  <c r="V58" i="3" a="1"/>
  <c r="V58" i="3" s="1"/>
  <c r="T58" i="3" a="1"/>
  <c r="T58" i="3" s="1"/>
  <c r="AJ58" i="3" a="1"/>
  <c r="AJ58" i="3" s="1"/>
  <c r="L6" i="1" a="1"/>
  <c r="L6" i="1" s="1"/>
  <c r="K45" i="1" a="1"/>
  <c r="L45" i="1" s="1"/>
  <c r="K46" i="1" a="1"/>
  <c r="L46" i="1" s="1"/>
  <c r="H32" i="1" a="1"/>
  <c r="C50" i="2" a="1"/>
  <c r="M6" i="1" l="1"/>
  <c r="K45" i="1"/>
  <c r="K46" i="1"/>
  <c r="I32" i="1"/>
  <c r="H32" i="1"/>
  <c r="D50" i="2"/>
  <c r="C50" i="2"/>
  <c r="AL57" i="3" l="1" a="1"/>
  <c r="AL57" i="3" s="1"/>
  <c r="H57" i="3" a="1"/>
  <c r="H57" i="3" s="1"/>
  <c r="AH57" i="3" a="1"/>
  <c r="AH57" i="3" s="1"/>
  <c r="AV57" i="3" a="1"/>
  <c r="AV57" i="3" s="1"/>
  <c r="L57" i="3" a="1"/>
  <c r="L57" i="3" s="1"/>
  <c r="AJ57" i="3" a="1"/>
  <c r="AJ57" i="3" s="1"/>
  <c r="F57" i="3" a="1"/>
  <c r="F57" i="3" s="1"/>
  <c r="D57" i="3" a="1"/>
  <c r="D57" i="3" s="1"/>
  <c r="AN57" i="3" a="1"/>
  <c r="AN57" i="3" s="1"/>
  <c r="AT57" i="3" a="1"/>
  <c r="AT57" i="3" s="1"/>
  <c r="AF57" i="3" a="1"/>
  <c r="AF57" i="3" s="1"/>
  <c r="AD57" i="3" a="1"/>
  <c r="AD57" i="3" s="1"/>
  <c r="V57" i="3" a="1"/>
  <c r="V57" i="3" s="1"/>
  <c r="R57" i="3" a="1"/>
  <c r="R57" i="3" s="1"/>
  <c r="AB57" i="3" a="1"/>
  <c r="AB57" i="3" s="1"/>
  <c r="B57" i="3" a="1"/>
  <c r="B57" i="3" s="1"/>
  <c r="J57" i="3" a="1"/>
  <c r="J57" i="3" s="1"/>
  <c r="X57" i="3" a="1"/>
  <c r="X57" i="3" s="1"/>
  <c r="Z57" i="3" a="1"/>
  <c r="Z57" i="3" s="1"/>
  <c r="T57" i="3" a="1"/>
  <c r="T57" i="3" s="1"/>
  <c r="P57" i="3" a="1"/>
  <c r="P57" i="3" s="1"/>
  <c r="AR57" i="3" a="1"/>
  <c r="AR57" i="3" s="1"/>
  <c r="AP57" i="3" a="1"/>
  <c r="AP57" i="3" s="1"/>
  <c r="N57" i="3" a="1"/>
  <c r="N57" i="3" s="1"/>
  <c r="K32" i="1" a="1"/>
  <c r="K32" i="1" s="1"/>
  <c r="K30" i="1" a="1"/>
  <c r="Q3" i="1" a="1"/>
  <c r="Q4" i="1" s="1"/>
  <c r="C32" i="2" a="1"/>
  <c r="L32" i="1" l="1"/>
  <c r="Q3" i="1"/>
  <c r="L30" i="1"/>
  <c r="K30" i="1"/>
  <c r="C25" i="1" l="1" a="1"/>
  <c r="D25" i="1" l="1"/>
  <c r="C25" i="1"/>
  <c r="C26" i="1" l="1"/>
  <c r="C93" i="1" s="1" a="1"/>
  <c r="D26" i="1"/>
  <c r="K25" i="1" l="1" a="1"/>
  <c r="C88" i="1" a="1"/>
  <c r="D88" i="1" s="1"/>
  <c r="C87" i="1" a="1"/>
  <c r="C87" i="1" s="1"/>
  <c r="C92" i="1" a="1"/>
  <c r="D92" i="1" s="1"/>
  <c r="L3" i="1" a="1"/>
  <c r="L4" i="1" s="1"/>
  <c r="C93" i="1"/>
  <c r="D93" i="1"/>
  <c r="C92" i="1" l="1"/>
  <c r="H70" i="1" s="1" a="1"/>
  <c r="I70" i="1" s="1"/>
  <c r="M3" i="1"/>
  <c r="L3" i="1"/>
  <c r="D87" i="1"/>
  <c r="M4" i="1"/>
  <c r="C88" i="1"/>
  <c r="H71" i="1" s="1" a="1"/>
  <c r="I71" i="1" l="1"/>
  <c r="H70" i="1"/>
  <c r="H71" i="1"/>
  <c r="H21" i="1" a="1"/>
  <c r="H48" i="1" a="1"/>
  <c r="F92" i="1" a="1"/>
  <c r="F87" i="1" a="1"/>
  <c r="H47" i="1" a="1"/>
  <c r="H35" i="1" a="1"/>
  <c r="K70" i="1" l="1" a="1"/>
  <c r="L70" i="1" s="1"/>
  <c r="H47" i="1"/>
  <c r="I47" i="1"/>
  <c r="G92" i="1"/>
  <c r="F92" i="1"/>
  <c r="I48" i="1"/>
  <c r="H48" i="1"/>
  <c r="H21" i="1"/>
  <c r="I21" i="1"/>
  <c r="I35" i="1"/>
  <c r="H35" i="1"/>
  <c r="G87" i="1"/>
  <c r="F87" i="1"/>
  <c r="K70" i="1" l="1"/>
  <c r="K71" i="1"/>
  <c r="L71" i="1"/>
  <c r="K21" i="1" a="1"/>
  <c r="L21" i="1" s="1"/>
  <c r="K48" i="1" a="1"/>
  <c r="L48" i="1" s="1"/>
  <c r="F88" i="1" a="1"/>
  <c r="F88" i="1" s="1"/>
  <c r="F93" i="1" a="1"/>
  <c r="F93" i="1" s="1"/>
  <c r="K35" i="1" a="1"/>
  <c r="K35" i="1" s="1"/>
  <c r="K47" i="1" a="1"/>
  <c r="L47" i="1" s="1"/>
  <c r="K21" i="1" l="1"/>
  <c r="K47" i="1"/>
  <c r="G93" i="1"/>
  <c r="K48" i="1"/>
  <c r="L35" i="1"/>
  <c r="G88" i="1"/>
  <c r="K26" i="1" l="1"/>
  <c r="K25" i="1" l="1"/>
  <c r="L25" i="1"/>
  <c r="C27" i="1" a="1"/>
  <c r="C39" i="1" a="1"/>
  <c r="C120" i="1"/>
  <c r="H39" i="1" a="1"/>
  <c r="L26" i="1"/>
  <c r="I39" i="1" l="1"/>
  <c r="H39" i="1"/>
  <c r="D39" i="1"/>
  <c r="C39" i="1"/>
  <c r="C27" i="1"/>
  <c r="D27" i="1"/>
  <c r="L10" i="1" l="1" a="1"/>
  <c r="M10" i="1" s="1"/>
  <c r="H55" i="1" a="1"/>
  <c r="H55" i="1" s="1"/>
  <c r="F109" i="1"/>
  <c r="C40" i="1" a="1"/>
  <c r="C119" i="1" a="1"/>
  <c r="H23" i="1" a="1"/>
  <c r="K39" i="1" a="1"/>
  <c r="K27" i="1" a="1"/>
  <c r="L27" i="1" s="1"/>
  <c r="C29" i="1" a="1"/>
  <c r="C29" i="1" s="1"/>
  <c r="C28" i="1" a="1"/>
  <c r="C28" i="1" s="1"/>
  <c r="N3" i="1" a="1"/>
  <c r="K27" i="1"/>
  <c r="L10" i="1" l="1"/>
  <c r="C109" i="1"/>
  <c r="I23" i="1"/>
  <c r="H23" i="1"/>
  <c r="K23" i="1" s="1" a="1"/>
  <c r="C119" i="1"/>
  <c r="D119" i="1"/>
  <c r="K39" i="1"/>
  <c r="L39" i="1"/>
  <c r="C40" i="1"/>
  <c r="D40" i="1"/>
  <c r="D28" i="1"/>
  <c r="D29" i="1"/>
  <c r="K29" i="1" s="1" a="1"/>
  <c r="C107" i="1"/>
  <c r="F110" i="1"/>
  <c r="N4" i="1"/>
  <c r="N3" i="1"/>
  <c r="C77" i="1" l="1" a="1"/>
  <c r="C78" i="1" a="1"/>
  <c r="C104" i="1"/>
  <c r="C105" i="1"/>
  <c r="L23" i="1"/>
  <c r="K23"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I41" i="1"/>
  <c r="H41" i="1" a="1"/>
  <c r="H41" i="1" s="1"/>
  <c r="F104" i="1"/>
  <c r="D78" i="1"/>
  <c r="C78" i="1"/>
  <c r="D77" i="1"/>
  <c r="C77" i="1"/>
  <c r="P4" i="1"/>
  <c r="C62" i="2"/>
  <c r="K55" i="1" a="1"/>
  <c r="K55" i="1" s="1"/>
  <c r="K28" i="1"/>
  <c r="L28" i="1"/>
  <c r="K42" i="1" a="1"/>
  <c r="L42" i="1" s="1"/>
  <c r="O3" i="1"/>
  <c r="R3" i="1" s="1"/>
  <c r="M12" i="1"/>
  <c r="R4" i="1"/>
  <c r="L12" i="1"/>
  <c r="F77" i="1" l="1" a="1"/>
  <c r="H40" i="1" a="1"/>
  <c r="H38" i="1" a="1"/>
  <c r="C66" i="2"/>
  <c r="M14" i="1"/>
  <c r="K43" i="1" a="1"/>
  <c r="L43" i="1" s="1"/>
  <c r="K42" i="1"/>
  <c r="L14"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43" i="1"/>
  <c r="AP53" i="3" l="1" a="1"/>
  <c r="J53" i="3" a="1"/>
  <c r="AL53" i="3" a="1"/>
  <c r="AN53" i="3" a="1"/>
  <c r="AN53" i="3" s="1"/>
  <c r="AN83" i="3" s="1"/>
  <c r="H53" i="3" a="1"/>
  <c r="AH53" i="3" a="1"/>
  <c r="R53" i="3" a="1"/>
  <c r="R53" i="3" s="1"/>
  <c r="R83" i="3" s="1"/>
  <c r="F53" i="3" a="1"/>
  <c r="F53" i="3" s="1"/>
  <c r="F83" i="3" s="1"/>
  <c r="AF53" i="3" a="1"/>
  <c r="AF53" i="3" s="1"/>
  <c r="AF83" i="3" s="1"/>
  <c r="AJ53" i="3" a="1"/>
  <c r="D53" i="3" a="1"/>
  <c r="D53" i="3" s="1"/>
  <c r="D83" i="3" s="1"/>
  <c r="B53" i="3" a="1"/>
  <c r="B53" i="3" s="1"/>
  <c r="B83" i="3" s="1"/>
  <c r="X53" i="3" a="1"/>
  <c r="V53" i="3" a="1"/>
  <c r="V53" i="3" s="1"/>
  <c r="V83" i="3" s="1"/>
  <c r="AV53" i="3" a="1"/>
  <c r="AV53" i="3" s="1"/>
  <c r="AV83" i="3" s="1"/>
  <c r="N53" i="3" a="1"/>
  <c r="AD53" i="3" a="1"/>
  <c r="Z53" i="3" a="1"/>
  <c r="AT53" i="3" a="1"/>
  <c r="AT53" i="3" s="1"/>
  <c r="AT83" i="3" s="1"/>
  <c r="L53" i="3" a="1"/>
  <c r="L53" i="3" s="1"/>
  <c r="L83" i="3" s="1"/>
  <c r="AB53" i="3" a="1"/>
  <c r="T53" i="3" a="1"/>
  <c r="P53" i="3" a="1"/>
  <c r="AR53" i="3" a="1"/>
  <c r="K65" i="1"/>
  <c r="AR53" i="3"/>
  <c r="AR83" i="3" s="1"/>
  <c r="Z53" i="3"/>
  <c r="Z83" i="3" s="1"/>
  <c r="AB53" i="3"/>
  <c r="AB83" i="3" s="1"/>
  <c r="AH53" i="3"/>
  <c r="AH83" i="3" s="1"/>
  <c r="AP53" i="3"/>
  <c r="AP83" i="3" s="1"/>
  <c r="N53" i="3"/>
  <c r="N83" i="3" s="1"/>
  <c r="AD53" i="3"/>
  <c r="AD83" i="3" s="1"/>
  <c r="AL53" i="3"/>
  <c r="AL83" i="3" s="1"/>
  <c r="T53" i="3"/>
  <c r="T83" i="3" s="1"/>
  <c r="J53" i="3"/>
  <c r="J83" i="3" s="1"/>
  <c r="AJ53" i="3"/>
  <c r="AJ83" i="3" s="1"/>
  <c r="H53" i="3"/>
  <c r="H83" i="3" s="1"/>
  <c r="X53" i="3"/>
  <c r="X83" i="3" s="1"/>
  <c r="P53" i="3"/>
  <c r="P83" i="3" s="1"/>
  <c r="C65" i="2"/>
  <c r="F78" i="1" a="1"/>
  <c r="G78" i="1" s="1"/>
  <c r="O21" i="1"/>
  <c r="I44" i="1"/>
  <c r="G97" i="1"/>
  <c r="F98" i="1" s="1" a="1"/>
  <c r="F98" i="1" s="1"/>
  <c r="H37" i="1"/>
  <c r="K37" i="1" s="1" a="1"/>
  <c r="I24" i="1"/>
  <c r="K44" i="1" a="1"/>
  <c r="K44" i="1" s="1"/>
  <c r="F78" i="1" l="1"/>
  <c r="K37" i="1"/>
  <c r="K38" i="1" a="1"/>
  <c r="K38" i="1" s="1"/>
  <c r="G98" i="1"/>
  <c r="L37" i="1"/>
  <c r="L44" i="1"/>
  <c r="K24" i="1" a="1"/>
  <c r="K24" i="1" s="1"/>
  <c r="K40" i="1" a="1"/>
  <c r="L40" i="1" s="1"/>
  <c r="L38" i="1" l="1"/>
  <c r="K40" i="1"/>
  <c r="L24" i="1"/>
  <c r="D39" i="2" l="1"/>
  <c r="K41" i="2" s="1"/>
  <c r="D32" i="2"/>
  <c r="C57" i="2"/>
  <c r="D21" i="2"/>
  <c r="D23" i="2"/>
  <c r="C21" i="2"/>
  <c r="C23" i="2"/>
  <c r="C39" i="2"/>
  <c r="C29" i="2" l="1" a="1"/>
  <c r="C29" i="2" s="1"/>
  <c r="C27" i="2" a="1"/>
  <c r="D27" i="2" s="1"/>
  <c r="C28" i="2" a="1"/>
  <c r="C28" i="2" s="1"/>
  <c r="L10" i="2" a="1"/>
  <c r="M10" i="2" s="1"/>
  <c r="O12" i="2" a="1"/>
  <c r="P12" i="2" s="1"/>
  <c r="L7" i="2" a="1"/>
  <c r="L7" i="2" s="1"/>
  <c r="C55" i="2" a="1"/>
  <c r="C55" i="2" s="1"/>
  <c r="C24" i="2" a="1"/>
  <c r="D24" i="2" s="1"/>
  <c r="D29" i="2"/>
  <c r="C25" i="2" a="1"/>
  <c r="C27" i="2"/>
  <c r="C32" i="2"/>
  <c r="K55" i="2" l="1" a="1"/>
  <c r="K55" i="2" s="1"/>
  <c r="D28" i="2"/>
  <c r="AK58" i="2" a="1"/>
  <c r="AK58" i="2" s="1"/>
  <c r="O12" i="2"/>
  <c r="L10" i="2"/>
  <c r="M7" i="2"/>
  <c r="C24" i="2"/>
  <c r="C40" i="2" s="1" a="1"/>
  <c r="D40" i="2" s="1"/>
  <c r="H23" i="2" a="1"/>
  <c r="C26" i="2"/>
  <c r="D26" i="2"/>
  <c r="D25" i="2"/>
  <c r="C25" i="2"/>
  <c r="C42" i="2" a="1"/>
  <c r="C42" i="2" s="1"/>
  <c r="AE58" i="2" a="1"/>
  <c r="AE58" i="2" s="1"/>
  <c r="W59" i="2" a="1"/>
  <c r="W59" i="2" s="1"/>
  <c r="Y58" i="2" a="1"/>
  <c r="Y58" i="2" s="1"/>
  <c r="AC58" i="2" a="1"/>
  <c r="AC58" i="2" s="1"/>
  <c r="AA56" i="2" a="1"/>
  <c r="AA56" i="2" s="1"/>
  <c r="AI55" i="2" a="1"/>
  <c r="AI55" i="2" s="1"/>
  <c r="Q34" i="2" a="1"/>
  <c r="R34" i="2" s="1"/>
  <c r="C38" i="2" a="1"/>
  <c r="D38" i="2" s="1"/>
  <c r="P3" i="2" a="1"/>
  <c r="T21" i="2" l="1" a="1"/>
  <c r="U21" i="2" s="1"/>
  <c r="C44" i="2" a="1"/>
  <c r="H23" i="2"/>
  <c r="I23" i="2"/>
  <c r="Q34" i="2"/>
  <c r="C38" i="2"/>
  <c r="L9" i="2" s="1" a="1"/>
  <c r="M9" i="2" s="1"/>
  <c r="C40" i="2"/>
  <c r="O3" i="2" a="1"/>
  <c r="O3" i="2" s="1"/>
  <c r="P3" i="2"/>
  <c r="P4" i="2"/>
  <c r="C44" i="2" l="1"/>
  <c r="D44" i="2"/>
  <c r="H37" i="2" a="1"/>
  <c r="T21" i="2"/>
  <c r="Q38" i="2" a="1"/>
  <c r="R38" i="2" s="1"/>
  <c r="L9" i="2"/>
  <c r="Q23" i="2" a="1"/>
  <c r="O4" i="2"/>
  <c r="C35" i="2" a="1"/>
  <c r="H37" i="2" l="1"/>
  <c r="I37" i="2"/>
  <c r="K23" i="2" a="1"/>
  <c r="Q3" i="2" a="1"/>
  <c r="C59" i="2" a="1"/>
  <c r="C59" i="2" s="1"/>
  <c r="Q38" i="2"/>
  <c r="C58" i="2" a="1"/>
  <c r="R23" i="2"/>
  <c r="Q23" i="2"/>
  <c r="K37" i="2" a="1"/>
  <c r="C64" i="2" l="1" a="1"/>
  <c r="C64" i="2" s="1"/>
  <c r="AG57" i="2"/>
  <c r="C58" i="2"/>
  <c r="D41" i="2" s="1"/>
  <c r="L37" i="2"/>
  <c r="W57" i="2"/>
  <c r="Y57" i="2"/>
  <c r="AK57" i="2"/>
  <c r="Q4" i="2"/>
  <c r="Q3" i="2"/>
  <c r="L23" i="2"/>
  <c r="K23" i="2"/>
  <c r="AA57" i="2"/>
  <c r="U57" i="2"/>
  <c r="AC57" i="2"/>
  <c r="AE57" i="2"/>
  <c r="K37" i="2"/>
  <c r="C41" i="2" l="1"/>
  <c r="N3" i="2" s="1" a="1"/>
  <c r="N4" i="2" s="1"/>
  <c r="C60" i="2" l="1" a="1"/>
  <c r="C60" i="2" s="1"/>
  <c r="Q58" i="2" a="1"/>
  <c r="Q58" i="2" s="1"/>
  <c r="Q57" i="2" a="1"/>
  <c r="Q57" i="2" s="1"/>
  <c r="C56" i="2"/>
  <c r="N3" i="2"/>
  <c r="K56" i="2" l="1"/>
  <c r="K56" i="2" a="1"/>
  <c r="AG56" i="2" a="1"/>
  <c r="AG56" i="2" s="1"/>
  <c r="AI56" i="2" a="1"/>
  <c r="AI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D47" i="2"/>
  <c r="C71" i="2"/>
  <c r="D71" i="2"/>
  <c r="Q37" i="2"/>
  <c r="R37" i="2"/>
  <c r="K58" i="2" l="1" a="1"/>
  <c r="L58" i="2" s="1"/>
  <c r="AG58" i="2" a="1"/>
  <c r="AG58" i="2" s="1"/>
  <c r="AL58" i="2"/>
  <c r="AI58" i="2" a="1"/>
  <c r="AJ58" i="2" s="1"/>
  <c r="AA58" i="2" a="1"/>
  <c r="AA58" i="2" s="1"/>
  <c r="U58" i="2" a="1"/>
  <c r="V58" i="2" s="1"/>
  <c r="AF58" i="2"/>
  <c r="AD58" i="2"/>
  <c r="Z58" i="2"/>
  <c r="W58" i="2" a="1"/>
  <c r="Q32" i="2" a="1"/>
  <c r="R32" i="2" s="1"/>
  <c r="Q45" i="2" a="1"/>
  <c r="R45" i="2" s="1"/>
  <c r="C46" i="2" a="1"/>
  <c r="Q48" i="2" a="1"/>
  <c r="Q35" i="2" a="1"/>
  <c r="H39" i="2" a="1"/>
  <c r="L3" i="2" a="1"/>
  <c r="K58" i="2" l="1"/>
  <c r="AH58" i="2"/>
  <c r="AI58" i="2"/>
  <c r="U58" i="2"/>
  <c r="AB58" i="2"/>
  <c r="X58" i="2"/>
  <c r="W58" i="2"/>
  <c r="Q32" i="2"/>
  <c r="Q45" i="2"/>
  <c r="C46" i="2"/>
  <c r="D46" i="2"/>
  <c r="I39" i="2"/>
  <c r="H39" i="2"/>
  <c r="Q48" i="2"/>
  <c r="R48" i="2"/>
  <c r="L3" i="2"/>
  <c r="M3" i="2"/>
  <c r="L4" i="2"/>
  <c r="M4" i="2"/>
  <c r="Q35" i="2"/>
  <c r="R35" i="2"/>
  <c r="K57" i="2" l="1" a="1"/>
  <c r="K57" i="2" s="1"/>
  <c r="K59" i="2" a="1"/>
  <c r="Y59" i="2" a="1"/>
  <c r="K59" i="2"/>
  <c r="Y59" i="2"/>
  <c r="AG55" i="2" a="1"/>
  <c r="AG55" i="2" s="1"/>
  <c r="AG59" i="2" a="1"/>
  <c r="AG59" i="2" s="1"/>
  <c r="R3" i="2" a="1"/>
  <c r="R3" i="2" s="1"/>
  <c r="R4" i="2" a="1"/>
  <c r="R4" i="2" s="1"/>
  <c r="AK55" i="2"/>
  <c r="AI57" i="2" a="1"/>
  <c r="AI57" i="2" s="1"/>
  <c r="AE55" i="2"/>
  <c r="AC55" i="2"/>
  <c r="U55" i="2"/>
  <c r="AA55" i="2"/>
  <c r="Y55" i="2"/>
  <c r="W55" i="2"/>
  <c r="Q33" i="2" a="1"/>
  <c r="Q33" i="2" s="1"/>
  <c r="Q46" i="2" a="1"/>
  <c r="R46" i="2" s="1"/>
  <c r="L5" i="2" a="1"/>
  <c r="L6" i="2" a="1"/>
  <c r="C72" i="2" a="1"/>
  <c r="N37" i="2" a="1"/>
  <c r="Q47" i="2" a="1"/>
  <c r="C73" i="2" a="1"/>
  <c r="K34" i="2" a="1"/>
  <c r="K39" i="2" a="1"/>
  <c r="L39" i="2" s="1"/>
  <c r="AK59" i="2" l="1" a="1"/>
  <c r="AK59" i="2" s="1"/>
  <c r="AE59" i="2" a="1"/>
  <c r="AE59" i="2" s="1"/>
  <c r="U59" i="2" a="1"/>
  <c r="U59" i="2" s="1"/>
  <c r="AA59" i="2" a="1"/>
  <c r="AA59" i="2" s="1"/>
  <c r="AC59" i="2" a="1"/>
  <c r="AC59" i="2" s="1"/>
  <c r="AI59" i="2" a="1"/>
  <c r="AI59" i="2" s="1"/>
  <c r="R33" i="2"/>
  <c r="K39"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L17" i="2"/>
  <c r="N70" i="2" a="1"/>
  <c r="O72" i="2" s="1"/>
  <c r="N57" i="2"/>
  <c r="N59" i="2"/>
  <c r="N58" i="2"/>
  <c r="N56" i="2"/>
  <c r="N55" i="2"/>
  <c r="M14" i="2" l="1" a="1"/>
  <c r="M14" i="2" s="1"/>
  <c r="L8" i="2"/>
  <c r="L12" i="2" s="1"/>
  <c r="N70" i="2"/>
  <c r="O70" i="2"/>
  <c r="N71" i="2"/>
  <c r="O71" i="2"/>
  <c r="O73" i="2"/>
  <c r="N73" i="2"/>
  <c r="N72" i="2"/>
  <c r="L14" i="2" l="1" a="1"/>
  <c r="L1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tc={C96615DD-9C03-4E40-B6D8-F4143B40B058}</author>
    <author>tc={D3DFF277-FA45-464F-847A-E2B29A5F813E}</author>
  </authors>
  <commentList>
    <comment ref="C97" authorId="0" shapeId="0" xr:uid="{00000000-0006-0000-0000-000001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1" shapeId="0" xr:uid="{00000000-0006-0000-0000-000002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5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6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<sst xmlns="http://schemas.openxmlformats.org/spreadsheetml/2006/main" count="1027" uniqueCount="200">
  <si>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</si>
  <si>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</si>
  <si>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</si>
  <si>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</si>
  <si>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</si>
  <si>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</si>
  <si>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</si>
  <si>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</si>
  <si>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</si>
  <si>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</si>
  <si>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</si>
  <si>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</si>
  <si>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</si>
  <si>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</si>
  <si>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</si>
  <si>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</si>
  <si>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</si>
  <si>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</si>
  <si>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</si>
  <si>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</si>
  <si>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</si>
  <si>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</si>
  <si>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</si>
  <si>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</si>
  <si>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</si>
  <si>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</si>
  <si>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</si>
  <si>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</si>
  <si>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</si>
  <si>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</si>
  <si>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</si>
  <si>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</si>
  <si>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</si>
  <si>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</si>
  <si>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</si>
  <si>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</si>
  <si>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</si>
  <si>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</si>
  <si>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</si>
  <si>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</si>
  <si>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</si>
  <si>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</si>
  <si>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</si>
  <si>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</si>
  <si>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</si>
  <si>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</si>
  <si>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</si>
  <si>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</si>
  <si>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</si>
  <si>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</si>
  <si>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</si>
  <si>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</si>
  <si>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</si>
  <si>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</si>
  <si>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epsilon</t>
  </si>
  <si>
    <t>epsilonE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</si>
  <si>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</si>
  <si>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</si>
  <si>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</si>
  <si>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</si>
  <si>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</si>
  <si>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</si>
  <si>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</si>
  <si>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</si>
  <si>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</si>
  <si>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</si>
  <si>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</si>
  <si>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</si>
  <si>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</si>
  <si>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</si>
  <si>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</si>
  <si>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</si>
  <si>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</si>
  <si>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</si>
  <si>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</si>
  <si>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</si>
  <si>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</si>
  <si>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</si>
  <si>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</si>
  <si>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</si>
  <si>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</si>
  <si>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</si>
  <si>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</si>
  <si>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</si>
  <si>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</si>
  <si>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</si>
  <si>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</si>
  <si>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</si>
  <si>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</si>
  <si>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</si>
  <si>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</si>
  <si>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</si>
  <si>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</si>
  <si>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</si>
  <si>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Marshall-Sen</t>
  </si>
  <si>
    <t>Kaldor-pL</t>
  </si>
  <si>
    <t>Keynes-pL</t>
  </si>
  <si>
    <t>Keynes-Kaldor-pL</t>
  </si>
  <si>
    <t>Total Reduction</t>
  </si>
  <si>
    <t>Utility</t>
  </si>
  <si>
    <t>sD</t>
  </si>
  <si>
    <t>Tax</t>
  </si>
  <si>
    <t>Profit Share</t>
  </si>
  <si>
    <t>Utility Loss</t>
  </si>
  <si>
    <t>Structuralist - Phillips Curve (pL)</t>
  </si>
  <si>
    <t>Structuralist - Keynes (pK)</t>
  </si>
  <si>
    <t>Structuralist - Keynes (pL)</t>
  </si>
  <si>
    <t>Structuralist - Phillips Curve (pK)</t>
  </si>
  <si>
    <t>Solver variables</t>
  </si>
  <si>
    <t>Copier-Coller du tableau  UE 2014 - Fichier TES_EU 25oct20</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</si>
  <si>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</si>
  <si>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</si>
  <si>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</si>
  <si>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</si>
  <si>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</si>
  <si>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</si>
  <si>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</si>
  <si>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</si>
  <si>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</si>
  <si>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</si>
  <si>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</si>
  <si>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</si>
  <si>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</si>
  <si>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</si>
  <si>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</si>
  <si>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</si>
  <si>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</si>
  <si>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</si>
  <si>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</si>
  <si>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</si>
  <si>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</si>
  <si>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</si>
  <si>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</si>
  <si>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</si>
  <si>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</si>
  <si>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</si>
  <si>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</si>
  <si>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</si>
  <si>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</si>
  <si>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</si>
  <si>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</si>
  <si>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</si>
  <si>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</si>
  <si>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</si>
  <si>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</si>
  <si>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</si>
  <si>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Kaldor</t>
  </si>
  <si>
    <t>Keynes-Marshall</t>
  </si>
  <si>
    <t>Keynes</t>
  </si>
  <si>
    <t>Keynes-Kaldor</t>
  </si>
  <si>
    <t>Fossil energy control</t>
  </si>
  <si>
    <t>Keynes-I</t>
  </si>
  <si>
    <t>Neoclassical - hetero s</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</si>
  <si>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</si>
  <si>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</si>
  <si>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</si>
  <si>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</si>
  <si>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</si>
  <si>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</si>
  <si>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</si>
  <si>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</si>
  <si>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</si>
  <si>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</si>
  <si>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</si>
  <si>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</si>
  <si>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</si>
  <si>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</si>
  <si>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</si>
  <si>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</si>
  <si>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</si>
  <si>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</si>
  <si>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</si>
  <si>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</si>
  <si>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</si>
  <si>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</si>
  <si>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</si>
  <si>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</si>
  <si>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</si>
  <si>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</si>
  <si>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</si>
  <si>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</si>
  <si>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</si>
  <si>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</si>
  <si>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</si>
  <si>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</si>
  <si>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</si>
  <si>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</si>
  <si>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</si>
  <si>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</si>
  <si>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</si>
  <si>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</si>
  <si>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</si>
  <si>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</si>
  <si>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</si>
  <si>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</si>
  <si>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</si>
  <si>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</si>
  <si>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Energy tax rate</t>
  </si>
  <si>
    <t>Energy control</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</si>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</sst>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5"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b/>
      <sz val="8"/>
      <color theme="0"/>
      <name val="Arial"/>
      <family val="2"/>
    </font>
    <font>
      <b/>
      <sz val="8"/>
      <color rgb="FFFF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42">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166" fontId="6" fillId="3" borderId="3" xfId="0" applyNumberFormat="1" applyFont="1" applyFill="1" applyBorder="1" applyAlignment="1">
      <alignment horizontal="center"/>
    </xf>
    <xf numFmtId="166" fontId="6" fillId="3" borderId="5" xfId="0" applyNumberFormat="1" applyFont="1" applyFill="1" applyBorder="1" applyAlignment="1">
      <alignment horizontal="center"/>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11"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0" fontId="0" fillId="0" borderId="15" xfId="0" applyBorder="1"/>
    <xf numFmtId="3" fontId="0" fillId="0" borderId="15" xfId="0" applyNumberFormat="1" applyBorder="1"/>
    <xf numFmtId="0" fontId="3" fillId="2" borderId="5" xfId="0" applyFont="1" applyFill="1" applyBorder="1"/>
    <xf numFmtId="2" fontId="0" fillId="0" borderId="3"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3" fontId="7" fillId="0" borderId="15" xfId="0" applyNumberFormat="1" applyFont="1" applyBorder="1"/>
    <xf numFmtId="0" fontId="8" fillId="0" borderId="0" xfId="0" applyFont="1"/>
    <xf numFmtId="3" fontId="7" fillId="0" borderId="7" xfId="0" applyNumberFormat="1" applyFont="1" applyBorder="1"/>
    <xf numFmtId="3" fontId="7" fillId="0" borderId="8" xfId="0" applyNumberFormat="1" applyFont="1" applyBorder="1"/>
    <xf numFmtId="10" fontId="7" fillId="0" borderId="10" xfId="2" applyNumberFormat="1" applyFont="1" applyFill="1" applyBorder="1"/>
    <xf numFmtId="10" fontId="7" fillId="0" borderId="11" xfId="2" applyNumberFormat="1" applyFont="1" applyFill="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7" fillId="0" borderId="9" xfId="0" applyNumberFormat="1" applyFont="1" applyBorder="1"/>
    <xf numFmtId="3" fontId="1" fillId="0" borderId="9" xfId="0" applyNumberFormat="1" applyFont="1" applyBorder="1"/>
    <xf numFmtId="166" fontId="1" fillId="3" borderId="0" xfId="4" quotePrefix="1" applyNumberFormat="1" applyFont="1" applyFill="1"/>
    <xf numFmtId="166" fontId="3" fillId="3" borderId="3" xfId="4" quotePrefix="1" applyNumberFormat="1" applyFont="1" applyFill="1" applyBorder="1"/>
    <xf numFmtId="166" fontId="3" fillId="3" borderId="5" xfId="4" quotePrefix="1" applyNumberFormat="1" applyFont="1" applyFill="1" applyBorder="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70" fontId="0" fillId="0" borderId="0" xfId="0" applyNumberForma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171" fontId="0" fillId="0" borderId="14" xfId="2" applyNumberFormat="1" applyFont="1" applyBorder="1"/>
    <xf numFmtId="9" fontId="11" fillId="2" borderId="15" xfId="0" applyNumberFormat="1" applyFont="1" applyFill="1" applyBorder="1"/>
    <xf numFmtId="3" fontId="12" fillId="0" borderId="1" xfId="0" applyNumberFormat="1" applyFont="1" applyBorder="1"/>
    <xf numFmtId="3" fontId="12" fillId="0" borderId="6" xfId="0" applyNumberFormat="1" applyFont="1" applyBorder="1"/>
    <xf numFmtId="3" fontId="11" fillId="5" borderId="7" xfId="0" applyNumberFormat="1" applyFont="1" applyFill="1" applyBorder="1"/>
    <xf numFmtId="3" fontId="11" fillId="5" borderId="8" xfId="0" applyNumberFormat="1" applyFont="1" applyFill="1" applyBorder="1"/>
    <xf numFmtId="3" fontId="8" fillId="0" borderId="7" xfId="0" applyNumberFormat="1" applyFont="1" applyBorder="1"/>
    <xf numFmtId="3" fontId="8" fillId="0" borderId="8" xfId="0" applyNumberFormat="1" applyFont="1" applyBorder="1"/>
    <xf numFmtId="3" fontId="8" fillId="0" borderId="1" xfId="0" applyNumberFormat="1" applyFont="1" applyBorder="1"/>
    <xf numFmtId="3" fontId="8" fillId="0" borderId="6" xfId="0" applyNumberFormat="1" applyFont="1" applyBorder="1"/>
    <xf numFmtId="3" fontId="8" fillId="0" borderId="10" xfId="0" applyNumberFormat="1" applyFont="1" applyBorder="1"/>
    <xf numFmtId="3" fontId="8" fillId="0" borderId="11" xfId="0" applyNumberFormat="1" applyFont="1" applyBorder="1"/>
    <xf numFmtId="3" fontId="12" fillId="0" borderId="7" xfId="0" applyNumberFormat="1" applyFont="1" applyBorder="1"/>
    <xf numFmtId="3" fontId="12" fillId="0" borderId="8" xfId="0" applyNumberFormat="1" applyFont="1" applyBorder="1"/>
    <xf numFmtId="3" fontId="12" fillId="0" borderId="10" xfId="2" applyNumberFormat="1" applyFont="1" applyFill="1" applyBorder="1"/>
    <xf numFmtId="3" fontId="12" fillId="0" borderId="11" xfId="2" applyNumberFormat="1" applyFont="1" applyFill="1" applyBorder="1"/>
    <xf numFmtId="3" fontId="12" fillId="0" borderId="7" xfId="0" applyNumberFormat="1" applyFont="1" applyBorder="1" applyAlignment="1">
      <alignment horizontal="right"/>
    </xf>
    <xf numFmtId="3" fontId="12" fillId="0" borderId="8" xfId="0" applyNumberFormat="1" applyFont="1" applyBorder="1" applyAlignment="1">
      <alignment horizontal="right"/>
    </xf>
    <xf numFmtId="3" fontId="5" fillId="0" borderId="7" xfId="0" applyNumberFormat="1" applyFont="1" applyBorder="1"/>
    <xf numFmtId="0" fontId="11" fillId="2" borderId="8" xfId="0" applyFont="1" applyFill="1" applyBorder="1"/>
    <xf numFmtId="168" fontId="8" fillId="0" borderId="14" xfId="0" applyNumberFormat="1" applyFont="1" applyBorder="1"/>
    <xf numFmtId="165" fontId="12" fillId="0" borderId="14" xfId="0" applyNumberFormat="1" applyFont="1" applyBorder="1"/>
    <xf numFmtId="2" fontId="8" fillId="0" borderId="6" xfId="0" applyNumberFormat="1" applyFont="1" applyBorder="1"/>
    <xf numFmtId="3" fontId="8" fillId="0" borderId="14" xfId="0" applyNumberFormat="1" applyFont="1" applyBorder="1"/>
    <xf numFmtId="2" fontId="8" fillId="0" borderId="11" xfId="0" applyNumberFormat="1" applyFont="1" applyBorder="1"/>
    <xf numFmtId="3" fontId="8" fillId="0" borderId="13" xfId="0" applyNumberFormat="1" applyFont="1" applyBorder="1"/>
    <xf numFmtId="2" fontId="8" fillId="0" borderId="1" xfId="0" applyNumberFormat="1" applyFont="1" applyBorder="1"/>
    <xf numFmtId="2" fontId="8" fillId="0" borderId="10" xfId="0" applyNumberFormat="1" applyFont="1" applyBorder="1"/>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10" fontId="0" fillId="0" borderId="0" xfId="0" applyNumberFormat="1"/>
    <xf numFmtId="0" fontId="0" fillId="0" borderId="0" xfId="0" applyAlignment="1">
      <alignment horizontal="left"/>
    </xf>
    <xf numFmtId="10" fontId="12" fillId="0" borderId="15" xfId="0" applyNumberFormat="1" applyFont="1" applyBorder="1"/>
    <xf numFmtId="10" fontId="8" fillId="0" borderId="0" xfId="0" applyNumberFormat="1" applyFont="1" applyAlignment="1">
      <alignment horizontal="center"/>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2" fontId="3" fillId="2" borderId="14" xfId="0" applyNumberFormat="1" applyFont="1" applyFill="1" applyBorder="1"/>
    <xf numFmtId="9" fontId="3" fillId="2" borderId="0" xfId="0" applyNumberFormat="1" applyFont="1" applyFill="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auto="1"/>
      </font>
      <fill>
        <patternFill>
          <bgColor theme="5" tint="0.59996337778862885"/>
        </patternFill>
      </fill>
    </dxf>
    <dxf>
      <font>
        <color rgb="FF9C0006"/>
      </font>
      <fill>
        <patternFill>
          <bgColor rgb="FFFFC7CE"/>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4A95B488-B791-4C26-9DB8-A55855EC0E58}"/>
  </tableStyles>
  <colors>
    <mruColors>
      <color rgb="FF666699"/>
      <color rgb="FF438787"/>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chartsheet" Target="chartsheets/sheet3.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hartsheet" Target="chartsheets/sheet2.xml"/><Relationship Id="rId20" Type="http://schemas.openxmlformats.org/officeDocument/2006/relationships/worksheet" Target="worksheets/sheet17.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microsoft.com/office/2017/10/relationships/person" Target="persons/person.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sharedStrings" Target="sharedStrings.xml"/><Relationship Id="rId10" Type="http://schemas.openxmlformats.org/officeDocument/2006/relationships/worksheet" Target="worksheets/sheet9.xml"/><Relationship Id="rId19" Type="http://schemas.openxmlformats.org/officeDocument/2006/relationships/worksheet" Target="worksheets/sheet16.xml"/><Relationship Id="rId4" Type="http://schemas.openxmlformats.org/officeDocument/2006/relationships/chartsheet" Target="chartsheets/sheet1.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c:f>
              <c:strCache>
                <c:ptCount val="1"/>
                <c:pt idx="0">
                  <c:v>Neoclassical</c:v>
                </c:pt>
              </c:strCache>
            </c:strRef>
          </c:tx>
          <c:spPr>
            <a:ln w="2540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Indicators'!$B$3:$W$3</c:f>
              <c:numCache>
                <c:formatCode>#,##0.000</c:formatCode>
                <c:ptCount val="22"/>
                <c:pt idx="0">
                  <c:v>0.99999999999999867</c:v>
                </c:pt>
                <c:pt idx="1">
                  <c:v>0.99385642585082579</c:v>
                </c:pt>
                <c:pt idx="2">
                  <c:v>0.98727002692792054</c:v>
                </c:pt>
                <c:pt idx="3">
                  <c:v>0.98016970409736848</c:v>
                </c:pt>
                <c:pt idx="4">
                  <c:v>0.97246632462133831</c:v>
                </c:pt>
                <c:pt idx="5">
                  <c:v>0.96404626277431216</c:v>
                </c:pt>
                <c:pt idx="6">
                  <c:v>0.95476208421958586</c:v>
                </c:pt>
                <c:pt idx="7">
                  <c:v>0.944418275272361</c:v>
                </c:pt>
                <c:pt idx="8">
                  <c:v>0.93274978949975473</c:v>
                </c:pt>
                <c:pt idx="9">
                  <c:v>0.91938873219634032</c:v>
                </c:pt>
                <c:pt idx="10">
                  <c:v>0.90381203207405336</c:v>
                </c:pt>
                <c:pt idx="11">
                  <c:v>0.88525989627687796</c:v>
                </c:pt>
                <c:pt idx="12">
                  <c:v>0.86261354928831413</c:v>
                </c:pt>
                <c:pt idx="13">
                  <c:v>0.8342298840282506</c:v>
                </c:pt>
                <c:pt idx="14">
                  <c:v>0.79775824213480095</c:v>
                </c:pt>
                <c:pt idx="15">
                  <c:v>0.74995510461847237</c:v>
                </c:pt>
                <c:pt idx="16">
                  <c:v>0.68624512371493007</c:v>
                </c:pt>
                <c:pt idx="17">
                  <c:v>0.59916681337345301</c:v>
                </c:pt>
                <c:pt idx="18">
                  <c:v>0.47413537973819325</c:v>
                </c:pt>
                <c:pt idx="19">
                  <c:v>0.27885601986350522</c:v>
                </c:pt>
                <c:pt idx="20">
                  <c:v>0.2261944032341458</c:v>
                </c:pt>
                <c:pt idx="21">
                  <c:v>0.16777391499836261</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25400" cap="rnd">
              <a:solidFill>
                <a:schemeClr val="accent2"/>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Indicators'!$B$4:$J$4</c:f>
              <c:numCache>
                <c:formatCode>#,##0.000</c:formatCode>
                <c:ptCount val="9"/>
                <c:pt idx="0">
                  <c:v>0.99999999999999867</c:v>
                </c:pt>
                <c:pt idx="1">
                  <c:v>0.9979026318616494</c:v>
                </c:pt>
                <c:pt idx="2">
                  <c:v>0.99545397934919078</c:v>
                </c:pt>
                <c:pt idx="3">
                  <c:v>0.99260259534027817</c:v>
                </c:pt>
                <c:pt idx="4">
                  <c:v>0.98928423543944954</c:v>
                </c:pt>
                <c:pt idx="5">
                  <c:v>0.98541764901559525</c:v>
                </c:pt>
                <c:pt idx="6">
                  <c:v>0.9808977590237733</c:v>
                </c:pt>
                <c:pt idx="7">
                  <c:v>0.97558598444017297</c:v>
                </c:pt>
                <c:pt idx="8">
                  <c:v>0.96929573963379012</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2540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Indicators'!$B$5:$V$5</c:f>
              <c:numCache>
                <c:formatCode>#,##0.000</c:formatCode>
                <c:ptCount val="21"/>
                <c:pt idx="0">
                  <c:v>0.99999999999999867</c:v>
                </c:pt>
                <c:pt idx="1">
                  <c:v>0.99772916870726192</c:v>
                </c:pt>
                <c:pt idx="2">
                  <c:v>0.99511660851336936</c:v>
                </c:pt>
                <c:pt idx="3">
                  <c:v>0.99211078787739537</c:v>
                </c:pt>
                <c:pt idx="4">
                  <c:v>0.98864777860926356</c:v>
                </c:pt>
                <c:pt idx="5">
                  <c:v>0.98464706521719869</c:v>
                </c:pt>
                <c:pt idx="6">
                  <c:v>0.98000550657006757</c:v>
                </c:pt>
                <c:pt idx="7">
                  <c:v>0.97458806523618458</c:v>
                </c:pt>
                <c:pt idx="8">
                  <c:v>0.96821386602807691</c:v>
                </c:pt>
                <c:pt idx="9">
                  <c:v>0.9606344043197369</c:v>
                </c:pt>
                <c:pt idx="10">
                  <c:v>0.95149846243029346</c:v>
                </c:pt>
                <c:pt idx="11">
                  <c:v>0.94029498797280309</c:v>
                </c:pt>
                <c:pt idx="12">
                  <c:v>0.92626033934204077</c:v>
                </c:pt>
                <c:pt idx="13">
                  <c:v>0.9082309264762527</c:v>
                </c:pt>
                <c:pt idx="14">
                  <c:v>0.88441858634857506</c:v>
                </c:pt>
                <c:pt idx="15">
                  <c:v>0.85205120607957996</c:v>
                </c:pt>
                <c:pt idx="16">
                  <c:v>0.80663739367413034</c:v>
                </c:pt>
                <c:pt idx="17">
                  <c:v>0.74009102649384684</c:v>
                </c:pt>
                <c:pt idx="18">
                  <c:v>0.63542724922880522</c:v>
                </c:pt>
                <c:pt idx="19">
                  <c:v>0.44812796561397356</c:v>
                </c:pt>
                <c:pt idx="20">
                  <c:v>0.39107684330822307</c:v>
                </c:pt>
              </c:numCache>
            </c:numRef>
          </c:yVal>
          <c:smooth val="1"/>
          <c:extLst>
            <c:ext xmlns:c16="http://schemas.microsoft.com/office/drawing/2014/chart" uri="{C3380CC4-5D6E-409C-BE32-E72D297353CC}">
              <c16:uniqueId val="{00000001-C093-4C38-8D34-BC5EA4637B9C}"/>
            </c:ext>
          </c:extLst>
        </c:ser>
        <c:ser>
          <c:idx val="4"/>
          <c:order val="3"/>
          <c:tx>
            <c:strRef>
              <c:f>'Diagnosis Indicators'!$A$7</c:f>
              <c:strCache>
                <c:ptCount val="1"/>
                <c:pt idx="0">
                  <c:v>Keynes-Marshall</c:v>
                </c:pt>
              </c:strCache>
            </c:strRef>
          </c:tx>
          <c:spPr>
            <a:ln w="25400" cap="rnd">
              <a:solidFill>
                <a:schemeClr val="accent4"/>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Indicators'!$B$7:$P$7</c:f>
              <c:numCache>
                <c:formatCode>#,##0.000</c:formatCode>
                <c:ptCount val="15"/>
                <c:pt idx="0">
                  <c:v>0.99999999999999867</c:v>
                </c:pt>
                <c:pt idx="1">
                  <c:v>1.0056064087234129</c:v>
                </c:pt>
                <c:pt idx="2">
                  <c:v>1.0111256026143538</c:v>
                </c:pt>
                <c:pt idx="3">
                  <c:v>1.0165559688377668</c:v>
                </c:pt>
                <c:pt idx="4">
                  <c:v>1.0219002661030481</c:v>
                </c:pt>
                <c:pt idx="5">
                  <c:v>1.0271684716576532</c:v>
                </c:pt>
                <c:pt idx="6">
                  <c:v>1.0323833253603845</c:v>
                </c:pt>
                <c:pt idx="7">
                  <c:v>1.0375882926821931</c:v>
                </c:pt>
                <c:pt idx="8">
                  <c:v>1.0428604044975032</c:v>
                </c:pt>
                <c:pt idx="9">
                  <c:v>1.0483280332514309</c:v>
                </c:pt>
                <c:pt idx="10">
                  <c:v>1.0541861936937524</c:v>
                </c:pt>
                <c:pt idx="11">
                  <c:v>1.0606721653173508</c:v>
                </c:pt>
                <c:pt idx="12">
                  <c:v>1.06787122187189</c:v>
                </c:pt>
                <c:pt idx="13">
                  <c:v>1.0751006000901113</c:v>
                </c:pt>
                <c:pt idx="14">
                  <c:v>1.0798721930701751</c:v>
                </c:pt>
              </c:numCache>
            </c:numRef>
          </c:yVal>
          <c:smooth val="1"/>
          <c:extLst>
            <c:ext xmlns:c16="http://schemas.microsoft.com/office/drawing/2014/chart" uri="{C3380CC4-5D6E-409C-BE32-E72D297353CC}">
              <c16:uniqueId val="{00000004-C093-4C38-8D34-BC5EA4637B9C}"/>
            </c:ext>
          </c:extLst>
        </c:ser>
        <c:ser>
          <c:idx val="2"/>
          <c:order val="4"/>
          <c:tx>
            <c:strRef>
              <c:f>'Diagnosis Indicators'!$A$8</c:f>
              <c:strCache>
                <c:ptCount val="1"/>
                <c:pt idx="0">
                  <c:v>Keynesian</c:v>
                </c:pt>
              </c:strCache>
            </c:strRef>
          </c:tx>
          <c:spPr>
            <a:ln w="2540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Indicators'!$B$8:$P$8</c:f>
              <c:numCache>
                <c:formatCode>#,##0.000</c:formatCode>
                <c:ptCount val="15"/>
                <c:pt idx="0">
                  <c:v>0.99999999999999867</c:v>
                </c:pt>
                <c:pt idx="1">
                  <c:v>0.98301050187070094</c:v>
                </c:pt>
                <c:pt idx="2">
                  <c:v>0.96419048837629029</c:v>
                </c:pt>
                <c:pt idx="3">
                  <c:v>0.9432921722611185</c:v>
                </c:pt>
                <c:pt idx="4">
                  <c:v>0.92002894599451379</c:v>
                </c:pt>
                <c:pt idx="5">
                  <c:v>0.89407218399630217</c:v>
                </c:pt>
                <c:pt idx="6">
                  <c:v>0.86505017880362012</c:v>
                </c:pt>
                <c:pt idx="7">
                  <c:v>0.83255191706926102</c:v>
                </c:pt>
                <c:pt idx="8">
                  <c:v>0.79613930825748946</c:v>
                </c:pt>
                <c:pt idx="9">
                  <c:v>0.75537430284127483</c:v>
                </c:pt>
                <c:pt idx="10">
                  <c:v>0.70986873834991937</c:v>
                </c:pt>
                <c:pt idx="11">
                  <c:v>0.65937607919327457</c:v>
                </c:pt>
                <c:pt idx="12">
                  <c:v>0.6039740445114099</c:v>
                </c:pt>
                <c:pt idx="13">
                  <c:v>0.54458126232001858</c:v>
                </c:pt>
                <c:pt idx="14">
                  <c:v>0.48592060611397714</c:v>
                </c:pt>
              </c:numCache>
            </c:numRef>
          </c:yVal>
          <c:smooth val="1"/>
          <c:extLst>
            <c:ext xmlns:c16="http://schemas.microsoft.com/office/drawing/2014/chart" uri="{C3380CC4-5D6E-409C-BE32-E72D297353CC}">
              <c16:uniqueId val="{00000000-C850-4F38-B604-CD5347F209EA}"/>
            </c:ext>
          </c:extLst>
        </c:ser>
        <c:ser>
          <c:idx val="3"/>
          <c:order val="5"/>
          <c:tx>
            <c:strRef>
              <c:f>'Diagnosis Indicators'!$A$6</c:f>
              <c:strCache>
                <c:ptCount val="1"/>
                <c:pt idx="0">
                  <c:v>Keynes-Kaldor</c:v>
                </c:pt>
              </c:strCache>
            </c:strRef>
          </c:tx>
          <c:spPr>
            <a:ln w="2540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Indicators'!$B$6:$N$6</c:f>
              <c:numCache>
                <c:formatCode>#,##0.000</c:formatCode>
                <c:ptCount val="13"/>
                <c:pt idx="0">
                  <c:v>0.99999999999999867</c:v>
                </c:pt>
                <c:pt idx="1">
                  <c:v>0.96230979264375294</c:v>
                </c:pt>
                <c:pt idx="2">
                  <c:v>0.92095985969695981</c:v>
                </c:pt>
                <c:pt idx="3">
                  <c:v>0.87628417787460644</c:v>
                </c:pt>
                <c:pt idx="4">
                  <c:v>0.82877089187515629</c:v>
                </c:pt>
                <c:pt idx="5">
                  <c:v>0.77904610911775662</c:v>
                </c:pt>
                <c:pt idx="6">
                  <c:v>0.72786426751985944</c:v>
                </c:pt>
                <c:pt idx="7">
                  <c:v>0.676131740224718</c:v>
                </c:pt>
                <c:pt idx="8">
                  <c:v>0.62500197516140277</c:v>
                </c:pt>
                <c:pt idx="9">
                  <c:v>0.57611248052086217</c:v>
                </c:pt>
                <c:pt idx="10">
                  <c:v>0.53210725503589174</c:v>
                </c:pt>
                <c:pt idx="11">
                  <c:v>0.49739198398607887</c:v>
                </c:pt>
                <c:pt idx="12">
                  <c:v>0.47660448342443268</c:v>
                </c:pt>
              </c:numCache>
            </c:numRef>
          </c:yVal>
          <c:smooth val="1"/>
          <c:extLst>
            <c:ext xmlns:c16="http://schemas.microsoft.com/office/drawing/2014/chart" uri="{C3380CC4-5D6E-409C-BE32-E72D297353CC}">
              <c16:uniqueId val="{00000003-C093-4C38-8D34-BC5EA4637B9C}"/>
            </c:ext>
          </c:extLst>
        </c:ser>
        <c:ser>
          <c:idx val="7"/>
          <c:order val="6"/>
          <c:tx>
            <c:strRef>
              <c:f>'Diagnosis Indicators'!$A$10</c:f>
              <c:strCache>
                <c:ptCount val="1"/>
                <c:pt idx="0">
                  <c:v>Neo-K1</c:v>
                </c:pt>
              </c:strCache>
            </c:strRef>
          </c:tx>
          <c:spPr>
            <a:ln w="25400" cap="rnd">
              <a:solidFill>
                <a:schemeClr val="accent5"/>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0.99999999999999867</c:v>
                </c:pt>
                <c:pt idx="1">
                  <c:v>0.98890699542480787</c:v>
                </c:pt>
                <c:pt idx="2">
                  <c:v>0.97684100978959909</c:v>
                </c:pt>
                <c:pt idx="3">
                  <c:v>0.96364205206014741</c:v>
                </c:pt>
                <c:pt idx="4">
                  <c:v>0.9491126012006138</c:v>
                </c:pt>
                <c:pt idx="5">
                  <c:v>0.93300615411589316</c:v>
                </c:pt>
                <c:pt idx="6">
                  <c:v>0.91501237367768617</c:v>
                </c:pt>
                <c:pt idx="7">
                  <c:v>0.89473692647988712</c:v>
                </c:pt>
                <c:pt idx="8">
                  <c:v>0.87167548581726728</c:v>
                </c:pt>
                <c:pt idx="9">
                  <c:v>0.84518042285273909</c:v>
                </c:pt>
                <c:pt idx="10">
                  <c:v>0.81442174482120688</c:v>
                </c:pt>
                <c:pt idx="11">
                  <c:v>0.7783469264595777</c:v>
                </c:pt>
                <c:pt idx="12">
                  <c:v>0.73565412762703042</c:v>
                </c:pt>
                <c:pt idx="13">
                  <c:v>0.68480672869435666</c:v>
                </c:pt>
                <c:pt idx="14">
                  <c:v>0.62412952030988433</c:v>
                </c:pt>
                <c:pt idx="15">
                  <c:v>0.55201815814943656</c:v>
                </c:pt>
                <c:pt idx="16">
                  <c:v>0.46723625346741243</c:v>
                </c:pt>
                <c:pt idx="17">
                  <c:v>0.36918923729064945</c:v>
                </c:pt>
                <c:pt idx="18">
                  <c:v>0.25803352470599317</c:v>
                </c:pt>
                <c:pt idx="19">
                  <c:v>0.13456960941918611</c:v>
                </c:pt>
                <c:pt idx="20">
                  <c:v>0.10850159946363713</c:v>
                </c:pt>
                <c:pt idx="21">
                  <c:v>8.1999682328915982E-2</c:v>
                </c:pt>
                <c:pt idx="22">
                  <c:v>5.5074768566029768E-2</c:v>
                </c:pt>
                <c:pt idx="23">
                  <c:v>2.7737860791936939E-2</c:v>
                </c:pt>
              </c:numCache>
            </c:numRef>
          </c:yVal>
          <c:smooth val="1"/>
          <c:extLst>
            <c:ext xmlns:c16="http://schemas.microsoft.com/office/drawing/2014/chart" uri="{C3380CC4-5D6E-409C-BE32-E72D297353CC}">
              <c16:uniqueId val="{00000002-C850-4F38-B604-CD5347F209EA}"/>
            </c:ext>
          </c:extLst>
        </c:ser>
        <c:ser>
          <c:idx val="6"/>
          <c:order val="7"/>
          <c:tx>
            <c:strRef>
              <c:f>'Diagnosis Indicators'!$A$9</c:f>
              <c:strCache>
                <c:ptCount val="1"/>
                <c:pt idx="0">
                  <c:v>Neo-K2</c:v>
                </c:pt>
              </c:strCache>
            </c:strRef>
          </c:tx>
          <c:spPr>
            <a:ln w="25400" cap="rnd">
              <a:solidFill>
                <a:schemeClr val="accent5"/>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Indicators'!$B$9:$X$9</c:f>
              <c:numCache>
                <c:formatCode>#,##0.000</c:formatCode>
                <c:ptCount val="23"/>
                <c:pt idx="0">
                  <c:v>0.99999999999999867</c:v>
                </c:pt>
                <c:pt idx="1">
                  <c:v>0.98641263528533207</c:v>
                </c:pt>
                <c:pt idx="2">
                  <c:v>0.97153217515149082</c:v>
                </c:pt>
                <c:pt idx="3">
                  <c:v>0.95514175589892902</c:v>
                </c:pt>
                <c:pt idx="4">
                  <c:v>0.93697937332515679</c:v>
                </c:pt>
                <c:pt idx="5">
                  <c:v>0.91672897914554841</c:v>
                </c:pt>
                <c:pt idx="6">
                  <c:v>0.89401176684482597</c:v>
                </c:pt>
                <c:pt idx="7">
                  <c:v>0.86837943102991799</c:v>
                </c:pt>
                <c:pt idx="8">
                  <c:v>0.83931392077147859</c:v>
                </c:pt>
                <c:pt idx="9">
                  <c:v>0.80624052293684068</c:v>
                </c:pt>
                <c:pt idx="10">
                  <c:v>0.76856460593439602</c:v>
                </c:pt>
                <c:pt idx="11">
                  <c:v>0.72574470037236671</c:v>
                </c:pt>
                <c:pt idx="12">
                  <c:v>0.67740721413745253</c:v>
                </c:pt>
                <c:pt idx="13">
                  <c:v>0.62349090143053021</c:v>
                </c:pt>
                <c:pt idx="14">
                  <c:v>0.56435841725722991</c:v>
                </c:pt>
                <c:pt idx="15">
                  <c:v>0.50075657806009666</c:v>
                </c:pt>
                <c:pt idx="16">
                  <c:v>0.43346297129567024</c:v>
                </c:pt>
                <c:pt idx="17">
                  <c:v>0.36251103025264997</c:v>
                </c:pt>
                <c:pt idx="18">
                  <c:v>0.28562036857358647</c:v>
                </c:pt>
                <c:pt idx="19">
                  <c:v>0.19250183940575799</c:v>
                </c:pt>
                <c:pt idx="20">
                  <c:v>0.16922187382824486</c:v>
                </c:pt>
                <c:pt idx="21">
                  <c:v>0.14287594394158901</c:v>
                </c:pt>
                <c:pt idx="22">
                  <c:v>0.11182085612175412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342601977585084"/>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3"/>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Welfare</a:t>
                </a:r>
              </a:p>
            </c:rich>
          </c:tx>
          <c:layout>
            <c:manualLayout>
              <c:xMode val="edge"/>
              <c:yMode val="edge"/>
              <c:x val="1.093523912808749E-2"/>
              <c:y val="1.255125241884353E-2"/>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201072075686069"/>
          <c:h val="0.45931165711138705"/>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7694764312757708E-2"/>
          <c:w val="0.91954496211515768"/>
          <c:h val="0.84004231632441195"/>
        </c:manualLayout>
      </c:layout>
      <c:scatterChart>
        <c:scatterStyle val="smoothMarker"/>
        <c:varyColors val="0"/>
        <c:ser>
          <c:idx val="0"/>
          <c:order val="0"/>
          <c:tx>
            <c:strRef>
              <c:f>'Diagnosis Indicators'!$A$63</c:f>
              <c:strCache>
                <c:ptCount val="1"/>
                <c:pt idx="0">
                  <c:v>Neoclassical</c:v>
                </c:pt>
              </c:strCache>
            </c:strRef>
          </c:tx>
          <c:spPr>
            <a:ln w="19050" cap="rnd">
              <a:solidFill>
                <a:schemeClr val="accent1"/>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c:formatCode>
                <c:ptCount val="24"/>
                <c:pt idx="0">
                  <c:v>0.60327031657597174</c:v>
                </c:pt>
                <c:pt idx="1">
                  <c:v>0.60697082674916181</c:v>
                </c:pt>
                <c:pt idx="2">
                  <c:v>0.6055128963471067</c:v>
                </c:pt>
                <c:pt idx="3">
                  <c:v>0.60406822873660238</c:v>
                </c:pt>
                <c:pt idx="4">
                  <c:v>0.6026402436283701</c:v>
                </c:pt>
                <c:pt idx="5">
                  <c:v>0.60123343824249598</c:v>
                </c:pt>
                <c:pt idx="6">
                  <c:v>0.59985378249809451</c:v>
                </c:pt>
                <c:pt idx="7">
                  <c:v>0.59850931425031551</c:v>
                </c:pt>
                <c:pt idx="8">
                  <c:v>0.59721093347280951</c:v>
                </c:pt>
                <c:pt idx="9">
                  <c:v>0.59597348322212518</c:v>
                </c:pt>
                <c:pt idx="10">
                  <c:v>0.59481715483247755</c:v>
                </c:pt>
                <c:pt idx="11">
                  <c:v>0.59376894485705989</c:v>
                </c:pt>
                <c:pt idx="12">
                  <c:v>0.59286313501906684</c:v>
                </c:pt>
                <c:pt idx="13">
                  <c:v>0.5921379371671277</c:v>
                </c:pt>
                <c:pt idx="14">
                  <c:v>0.59162327926306535</c:v>
                </c:pt>
                <c:pt idx="15">
                  <c:v>0.59131858795121439</c:v>
                </c:pt>
                <c:pt idx="16">
                  <c:v>0.59117834615886833</c:v>
                </c:pt>
                <c:pt idx="17">
                  <c:v>0.59113187929388311</c:v>
                </c:pt>
                <c:pt idx="18">
                  <c:v>0.59112199431358048</c:v>
                </c:pt>
                <c:pt idx="19">
                  <c:v>0.59112094752266309</c:v>
                </c:pt>
                <c:pt idx="20">
                  <c:v>0.59112092989931542</c:v>
                </c:pt>
                <c:pt idx="21">
                  <c:v>0.59112092329649268</c:v>
                </c:pt>
                <c:pt idx="22">
                  <c:v>0</c:v>
                </c:pt>
                <c:pt idx="23">
                  <c:v>0</c:v>
                </c:pt>
              </c:numCache>
            </c:numRef>
          </c:yVal>
          <c:smooth val="1"/>
          <c:extLst>
            <c:ext xmlns:c16="http://schemas.microsoft.com/office/drawing/2014/chart" uri="{C3380CC4-5D6E-409C-BE32-E72D297353CC}">
              <c16:uniqueId val="{00000000-A1C7-4647-B998-449E9F32F971}"/>
            </c:ext>
          </c:extLst>
        </c:ser>
        <c:ser>
          <c:idx val="1"/>
          <c:order val="1"/>
          <c:tx>
            <c:strRef>
              <c:f>'Diagnosis Indicators'!$A$64</c:f>
              <c:strCache>
                <c:ptCount val="1"/>
                <c:pt idx="0">
                  <c:v>Kaldorian</c:v>
                </c:pt>
              </c:strCache>
            </c:strRef>
          </c:tx>
          <c:spPr>
            <a:ln w="19050" cap="rnd">
              <a:solidFill>
                <a:schemeClr val="accent2"/>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c:formatCode>
                <c:ptCount val="24"/>
                <c:pt idx="0">
                  <c:v>0.60327031657597174</c:v>
                </c:pt>
                <c:pt idx="1">
                  <c:v>0.60695182075314358</c:v>
                </c:pt>
                <c:pt idx="2">
                  <c:v>0.60547504073265823</c:v>
                </c:pt>
                <c:pt idx="3">
                  <c:v>0.60401176495946074</c:v>
                </c:pt>
                <c:pt idx="4">
                  <c:v>0.60256556888246304</c:v>
                </c:pt>
                <c:pt idx="5">
                  <c:v>0.60114118935353567</c:v>
                </c:pt>
                <c:pt idx="6">
                  <c:v>0.59974494750672547</c:v>
                </c:pt>
                <c:pt idx="7">
                  <c:v>0.59838540231953175</c:v>
                </c:pt>
                <c:pt idx="8">
                  <c:v>0.59707423020149741</c:v>
                </c:pt>
                <c:pt idx="9">
                  <c:v>0.59582742306469583</c:v>
                </c:pt>
                <c:pt idx="10">
                  <c:v>0.59466684155326988</c:v>
                </c:pt>
                <c:pt idx="11">
                  <c:v>0.59362178292997947</c:v>
                </c:pt>
                <c:pt idx="12">
                  <c:v>0.59272920336426427</c:v>
                </c:pt>
                <c:pt idx="13">
                  <c:v>0.59202906328461979</c:v>
                </c:pt>
                <c:pt idx="14">
                  <c:v>0.59154895168747634</c:v>
                </c:pt>
                <c:pt idx="15">
                  <c:v>0.59127925854368835</c:v>
                </c:pt>
                <c:pt idx="16">
                  <c:v>0.59116358847360917</c:v>
                </c:pt>
                <c:pt idx="17">
                  <c:v>0.59112837664385121</c:v>
                </c:pt>
                <c:pt idx="18">
                  <c:v>0.5911215798692443</c:v>
                </c:pt>
                <c:pt idx="19">
                  <c:v>0.5911209356693099</c:v>
                </c:pt>
                <c:pt idx="20">
                  <c:v>0.59112092583588505</c:v>
                </c:pt>
                <c:pt idx="21">
                  <c:v>0</c:v>
                </c:pt>
                <c:pt idx="22">
                  <c:v>0</c:v>
                </c:pt>
                <c:pt idx="23">
                  <c:v>0</c:v>
                </c:pt>
              </c:numCache>
            </c:numRef>
          </c:yVal>
          <c:smooth val="1"/>
          <c:extLst>
            <c:ext xmlns:c16="http://schemas.microsoft.com/office/drawing/2014/chart" uri="{C3380CC4-5D6E-409C-BE32-E72D297353CC}">
              <c16:uniqueId val="{00000001-A1C7-4647-B998-449E9F32F971}"/>
            </c:ext>
          </c:extLst>
        </c:ser>
        <c:ser>
          <c:idx val="5"/>
          <c:order val="2"/>
          <c:tx>
            <c:strRef>
              <c:f>'Diagnosis Indicators'!$A$65</c:f>
              <c:strCache>
                <c:ptCount val="1"/>
                <c:pt idx="0">
                  <c:v>Johansen</c:v>
                </c:pt>
              </c:strCache>
            </c:strRef>
          </c:tx>
          <c:spPr>
            <a:ln w="19050" cap="rnd">
              <a:solidFill>
                <a:schemeClr val="accent6"/>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c:formatCode>
                <c:ptCount val="24"/>
                <c:pt idx="0">
                  <c:v>0.60327031657597174</c:v>
                </c:pt>
                <c:pt idx="1">
                  <c:v>0.64187591719797221</c:v>
                </c:pt>
                <c:pt idx="2">
                  <c:v>0.67763944677046317</c:v>
                </c:pt>
                <c:pt idx="3">
                  <c:v>0.71606262237342067</c:v>
                </c:pt>
                <c:pt idx="4">
                  <c:v>0.75756668176632858</c:v>
                </c:pt>
                <c:pt idx="5">
                  <c:v>0.80269325775983669</c:v>
                </c:pt>
                <c:pt idx="6">
                  <c:v>0.85214881380802809</c:v>
                </c:pt>
                <c:pt idx="7">
                  <c:v>0.9068650850001061</c:v>
                </c:pt>
                <c:pt idx="8">
                  <c:v>0.96807863265225236</c:v>
                </c:pt>
              </c:numCache>
            </c:numRef>
          </c:yVal>
          <c:smooth val="1"/>
          <c:extLst>
            <c:ext xmlns:c16="http://schemas.microsoft.com/office/drawing/2014/chart" uri="{C3380CC4-5D6E-409C-BE32-E72D297353CC}">
              <c16:uniqueId val="{00000002-A1C7-4647-B998-449E9F32F971}"/>
            </c:ext>
          </c:extLst>
        </c:ser>
        <c:ser>
          <c:idx val="2"/>
          <c:order val="3"/>
          <c:tx>
            <c:strRef>
              <c:f>'Diagnosis Indicators'!$A$66</c:f>
              <c:strCache>
                <c:ptCount val="1"/>
                <c:pt idx="0">
                  <c:v>Keynes-Kaldor</c:v>
                </c:pt>
              </c:strCache>
            </c:strRef>
          </c:tx>
          <c:spPr>
            <a:ln w="19050" cap="rnd">
              <a:solidFill>
                <a:schemeClr val="accent3"/>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Indicators'!$B$66:$Y$66</c:f>
              <c:numCache>
                <c:formatCode>0.0%</c:formatCode>
                <c:ptCount val="24"/>
                <c:pt idx="0">
                  <c:v>0.60327031657597174</c:v>
                </c:pt>
                <c:pt idx="1">
                  <c:v>0.62375656202851792</c:v>
                </c:pt>
                <c:pt idx="2">
                  <c:v>0.63784565975096319</c:v>
                </c:pt>
                <c:pt idx="3">
                  <c:v>0.65060229968993533</c:v>
                </c:pt>
                <c:pt idx="4">
                  <c:v>0.66197380074317658</c:v>
                </c:pt>
                <c:pt idx="5">
                  <c:v>0.67195809578905119</c:v>
                </c:pt>
                <c:pt idx="6">
                  <c:v>0.68058964910807274</c:v>
                </c:pt>
                <c:pt idx="7">
                  <c:v>0.68791717376395833</c:v>
                </c:pt>
                <c:pt idx="8">
                  <c:v>0.69398111639796345</c:v>
                </c:pt>
                <c:pt idx="9">
                  <c:v>0.69877559504898179</c:v>
                </c:pt>
                <c:pt idx="10">
                  <c:v>0.70217753423241902</c:v>
                </c:pt>
                <c:pt idx="11">
                  <c:v>0.70383442006496844</c:v>
                </c:pt>
                <c:pt idx="12">
                  <c:v>0.70324020801971421</c:v>
                </c:pt>
                <c:pt idx="13">
                  <c:v>0</c:v>
                </c:pt>
                <c:pt idx="14">
                  <c:v>0</c:v>
                </c:pt>
                <c:pt idx="15">
                  <c:v>0</c:v>
                </c:pt>
                <c:pt idx="16">
                  <c:v>0</c:v>
                </c:pt>
                <c:pt idx="17">
                  <c:v>0</c:v>
                </c:pt>
              </c:numCache>
            </c:numRef>
          </c:yVal>
          <c:smooth val="1"/>
          <c:extLst>
            <c:ext xmlns:c16="http://schemas.microsoft.com/office/drawing/2014/chart" uri="{C3380CC4-5D6E-409C-BE32-E72D297353CC}">
              <c16:uniqueId val="{00000003-A1C7-4647-B998-449E9F32F971}"/>
            </c:ext>
          </c:extLst>
        </c:ser>
        <c:ser>
          <c:idx val="3"/>
          <c:order val="4"/>
          <c:tx>
            <c:strRef>
              <c:f>'Diagnosis Indicators'!$A$67</c:f>
              <c:strCache>
                <c:ptCount val="1"/>
                <c:pt idx="0">
                  <c:v>Keynes-Marshall</c:v>
                </c:pt>
              </c:strCache>
            </c:strRef>
          </c:tx>
          <c:spPr>
            <a:ln w="19050" cap="rnd">
              <a:solidFill>
                <a:schemeClr val="accent4"/>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Indicators'!$B$67:$Y$67</c:f>
              <c:numCache>
                <c:formatCode>0.0%</c:formatCode>
                <c:ptCount val="24"/>
                <c:pt idx="0">
                  <c:v>0.60327031657597174</c:v>
                </c:pt>
                <c:pt idx="1">
                  <c:v>0.61584132649152135</c:v>
                </c:pt>
                <c:pt idx="2">
                  <c:v>0.62368930504135933</c:v>
                </c:pt>
                <c:pt idx="3">
                  <c:v>0.63207930598473461</c:v>
                </c:pt>
                <c:pt idx="4">
                  <c:v>0.64114069801602358</c:v>
                </c:pt>
                <c:pt idx="5">
                  <c:v>0.65105187805329989</c:v>
                </c:pt>
                <c:pt idx="6">
                  <c:v>0.66206529558637839</c:v>
                </c:pt>
                <c:pt idx="7">
                  <c:v>0.67454786849142356</c:v>
                </c:pt>
                <c:pt idx="8">
                  <c:v>0.68904802501208195</c:v>
                </c:pt>
                <c:pt idx="9">
                  <c:v>0.70640733733387373</c:v>
                </c:pt>
                <c:pt idx="10">
                  <c:v>0.7279405248321551</c:v>
                </c:pt>
              </c:numCache>
            </c:numRef>
          </c:yVal>
          <c:smooth val="1"/>
          <c:extLst>
            <c:ext xmlns:c16="http://schemas.microsoft.com/office/drawing/2014/chart" uri="{C3380CC4-5D6E-409C-BE32-E72D297353CC}">
              <c16:uniqueId val="{00000004-A1C7-4647-B998-449E9F32F971}"/>
            </c:ext>
          </c:extLst>
        </c:ser>
        <c:ser>
          <c:idx val="4"/>
          <c:order val="5"/>
          <c:tx>
            <c:strRef>
              <c:f>'Diagnosis Indicators'!$A$68</c:f>
              <c:strCache>
                <c:ptCount val="1"/>
                <c:pt idx="0">
                  <c:v>Keynesian</c:v>
                </c:pt>
              </c:strCache>
            </c:strRef>
          </c:tx>
          <c:spPr>
            <a:ln w="19050" cap="rnd">
              <a:solidFill>
                <a:schemeClr val="accent5"/>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Indicators'!$B$68:$Y$68</c:f>
              <c:numCache>
                <c:formatCode>0.0%</c:formatCode>
                <c:ptCount val="24"/>
                <c:pt idx="0">
                  <c:v>0.60327031657597174</c:v>
                </c:pt>
                <c:pt idx="1">
                  <c:v>0.61357999783470507</c:v>
                </c:pt>
                <c:pt idx="2">
                  <c:v>0.61883422964378065</c:v>
                </c:pt>
                <c:pt idx="3">
                  <c:v>0.6242014971692631</c:v>
                </c:pt>
                <c:pt idx="4">
                  <c:v>0.62967770186415029</c:v>
                </c:pt>
                <c:pt idx="5">
                  <c:v>0.63525383446947525</c:v>
                </c:pt>
                <c:pt idx="6">
                  <c:v>0.64091380763571781</c:v>
                </c:pt>
                <c:pt idx="7">
                  <c:v>0.64663166539107297</c:v>
                </c:pt>
                <c:pt idx="8">
                  <c:v>0.65236819601867724</c:v>
                </c:pt>
                <c:pt idx="9">
                  <c:v>0.65806698270274466</c:v>
                </c:pt>
                <c:pt idx="10">
                  <c:v>0.66364926753120745</c:v>
                </c:pt>
                <c:pt idx="11">
                  <c:v>0.66900861231968611</c:v>
                </c:pt>
                <c:pt idx="12">
                  <c:v>0.67399809562604418</c:v>
                </c:pt>
                <c:pt idx="13">
                  <c:v>0.6783777809384105</c:v>
                </c:pt>
                <c:pt idx="14">
                  <c:v>0.68142336384672131</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5-A1C7-4647-B998-449E9F32F971}"/>
            </c:ext>
          </c:extLst>
        </c:ser>
        <c:ser>
          <c:idx val="6"/>
          <c:order val="6"/>
          <c:tx>
            <c:strRef>
              <c:f>'Diagnosis Indicators'!$A$69</c:f>
              <c:strCache>
                <c:ptCount val="1"/>
                <c:pt idx="0">
                  <c:v>Neo-K1</c:v>
                </c:pt>
              </c:strCache>
            </c:strRef>
          </c:tx>
          <c:spPr>
            <a:ln w="19050" cap="rnd">
              <a:solidFill>
                <a:schemeClr val="accent1">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Indicators'!$B$69:$Y$69</c:f>
              <c:numCache>
                <c:formatCode>0.0%</c:formatCode>
                <c:ptCount val="24"/>
                <c:pt idx="0">
                  <c:v>0.60327031657597174</c:v>
                </c:pt>
                <c:pt idx="1">
                  <c:v>0.60876661891924777</c:v>
                </c:pt>
                <c:pt idx="2">
                  <c:v>0.6091479919380981</c:v>
                </c:pt>
                <c:pt idx="3">
                  <c:v>0.60958965532503862</c:v>
                </c:pt>
                <c:pt idx="4">
                  <c:v>0.61009830937529352</c:v>
                </c:pt>
                <c:pt idx="5">
                  <c:v>0.61068106986769299</c:v>
                </c:pt>
                <c:pt idx="6">
                  <c:v>0.61134513804808688</c:v>
                </c:pt>
                <c:pt idx="7">
                  <c:v>0.61209720326657691</c:v>
                </c:pt>
                <c:pt idx="8">
                  <c:v>0.61294234534386338</c:v>
                </c:pt>
                <c:pt idx="9">
                  <c:v>0.6138822118024192</c:v>
                </c:pt>
                <c:pt idx="10">
                  <c:v>0.6149121151667809</c:v>
                </c:pt>
                <c:pt idx="11">
                  <c:v>0.61601652164975884</c:v>
                </c:pt>
                <c:pt idx="12">
                  <c:v>0.61716226402996865</c:v>
                </c:pt>
                <c:pt idx="13">
                  <c:v>0.61828796027976995</c:v>
                </c:pt>
                <c:pt idx="14">
                  <c:v>0.61928631842921267</c:v>
                </c:pt>
                <c:pt idx="15">
                  <c:v>0.61996928103632998</c:v>
                </c:pt>
                <c:pt idx="16">
                  <c:v>0.61998399370895707</c:v>
                </c:pt>
                <c:pt idx="17">
                  <c:v>0.61857144389476382</c:v>
                </c:pt>
                <c:pt idx="18">
                  <c:v>0.61376894769276225</c:v>
                </c:pt>
                <c:pt idx="19">
                  <c:v>0.5981581507413829</c:v>
                </c:pt>
                <c:pt idx="20">
                  <c:v>0.59116255246104554</c:v>
                </c:pt>
                <c:pt idx="21">
                  <c:v>0.58072338202789764</c:v>
                </c:pt>
                <c:pt idx="22">
                  <c:v>0.56334633395994216</c:v>
                </c:pt>
              </c:numCache>
            </c:numRef>
          </c:yVal>
          <c:smooth val="1"/>
          <c:extLst>
            <c:ext xmlns:c16="http://schemas.microsoft.com/office/drawing/2014/chart" uri="{C3380CC4-5D6E-409C-BE32-E72D297353CC}">
              <c16:uniqueId val="{00000006-A1C7-4647-B998-449E9F32F971}"/>
            </c:ext>
          </c:extLst>
        </c:ser>
        <c:ser>
          <c:idx val="7"/>
          <c:order val="7"/>
          <c:tx>
            <c:strRef>
              <c:f>'Diagnosis Indicators'!$A$70</c:f>
              <c:strCache>
                <c:ptCount val="1"/>
                <c:pt idx="0">
                  <c:v>Neo-K2</c:v>
                </c:pt>
              </c:strCache>
            </c:strRef>
          </c:tx>
          <c:spPr>
            <a:ln w="19050" cap="rnd">
              <a:solidFill>
                <a:schemeClr val="accent2">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Indicators'!$B$70:$Y$70</c:f>
              <c:numCache>
                <c:formatCode>0.0%</c:formatCode>
                <c:ptCount val="24"/>
                <c:pt idx="0">
                  <c:v>0.60327031657597174</c:v>
                </c:pt>
                <c:pt idx="1">
                  <c:v>0.60876661891924777</c:v>
                </c:pt>
                <c:pt idx="2">
                  <c:v>0.6091479919380981</c:v>
                </c:pt>
                <c:pt idx="3">
                  <c:v>0.60958965532503862</c:v>
                </c:pt>
                <c:pt idx="4">
                  <c:v>0.61009830937529352</c:v>
                </c:pt>
                <c:pt idx="5">
                  <c:v>0.61068106986769299</c:v>
                </c:pt>
                <c:pt idx="6">
                  <c:v>0.61134513804808688</c:v>
                </c:pt>
                <c:pt idx="7">
                  <c:v>0.61209720326657691</c:v>
                </c:pt>
                <c:pt idx="8">
                  <c:v>0.61294234534386338</c:v>
                </c:pt>
                <c:pt idx="9">
                  <c:v>0.6138822118024192</c:v>
                </c:pt>
                <c:pt idx="10">
                  <c:v>0.6149121151667809</c:v>
                </c:pt>
                <c:pt idx="11">
                  <c:v>0.61601652164975884</c:v>
                </c:pt>
                <c:pt idx="12">
                  <c:v>0.61716226402996865</c:v>
                </c:pt>
                <c:pt idx="13">
                  <c:v>0.61828796027976995</c:v>
                </c:pt>
                <c:pt idx="14">
                  <c:v>0.61928631842921267</c:v>
                </c:pt>
                <c:pt idx="15">
                  <c:v>0.61996928103632998</c:v>
                </c:pt>
                <c:pt idx="16">
                  <c:v>0.61998399370895707</c:v>
                </c:pt>
                <c:pt idx="17">
                  <c:v>0.61857144389476382</c:v>
                </c:pt>
                <c:pt idx="18">
                  <c:v>0.61376894769276225</c:v>
                </c:pt>
                <c:pt idx="19">
                  <c:v>0.5981581507413829</c:v>
                </c:pt>
                <c:pt idx="20">
                  <c:v>0.59116255246104554</c:v>
                </c:pt>
                <c:pt idx="21">
                  <c:v>0.58072338202789764</c:v>
                </c:pt>
                <c:pt idx="22">
                  <c:v>0.56334633395994216</c:v>
                </c:pt>
              </c:numCache>
            </c:numRef>
          </c:yVal>
          <c:smooth val="1"/>
          <c:extLst>
            <c:ext xmlns:c16="http://schemas.microsoft.com/office/drawing/2014/chart" uri="{C3380CC4-5D6E-409C-BE32-E72D297353CC}">
              <c16:uniqueId val="{00000007-A1C7-4647-B998-449E9F32F971}"/>
            </c:ext>
          </c:extLst>
        </c:ser>
        <c:dLbls>
          <c:showLegendKey val="0"/>
          <c:showVal val="0"/>
          <c:showCatName val="0"/>
          <c:showSerName val="0"/>
          <c:showPercent val="0"/>
          <c:showBubbleSize val="0"/>
        </c:dLbls>
        <c:axId val="844946399"/>
        <c:axId val="844953055"/>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Fossil energy control</a:t>
                </a:r>
              </a:p>
            </c:rich>
          </c:tx>
          <c:layout>
            <c:manualLayout>
              <c:xMode val="edge"/>
              <c:yMode val="edge"/>
              <c:x val="0.43708696202780883"/>
              <c:y val="0.961806221554300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Profit share</a:t>
                </a:r>
              </a:p>
            </c:rich>
          </c:tx>
          <c:layout>
            <c:manualLayout>
              <c:xMode val="edge"/>
              <c:yMode val="edge"/>
              <c:x val="1.3669649771732994E-2"/>
              <c:y val="2.0934435893485728E-2"/>
            </c:manualLayout>
          </c:layout>
          <c:overlay val="0"/>
          <c:spPr>
            <a:noFill/>
            <a:ln>
              <a:noFill/>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5327206286230677E-2"/>
          <c:y val="0.74946824463053963"/>
          <c:w val="0.87557825719588944"/>
          <c:h val="0.15101209838215859"/>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Optimal Carbon</a:t>
            </a:r>
            <a:r>
              <a:rPr lang="fr-FR" baseline="0"/>
              <a:t> Tax</a:t>
            </a:r>
            <a:endParaRPr lang="fr-FR"/>
          </a:p>
        </c:rich>
      </c:tx>
      <c:overlay val="0"/>
    </c:title>
    <c:autoTitleDeleted val="0"/>
    <c:plotArea>
      <c:layout/>
      <c:scatterChart>
        <c:scatterStyle val="lineMarker"/>
        <c:varyColors val="0"/>
        <c:ser>
          <c:idx val="5"/>
          <c:order val="0"/>
          <c:tx>
            <c:strRef>
              <c:f>'Diagnosis Indicators'!$A$37</c:f>
              <c:strCache>
                <c:ptCount val="1"/>
                <c:pt idx="0">
                  <c:v>Johansen</c:v>
                </c:pt>
              </c:strCache>
            </c:strRef>
          </c:tx>
          <c:xVal>
            <c:numRef>
              <c:f>'Diagnosis Indicators'!$B$33:$Y$33</c:f>
              <c:numCache>
                <c:formatCode>General</c:formatCode>
                <c:ptCount val="24"/>
              </c:numCache>
            </c:numRef>
          </c:xVal>
          <c:yVal>
            <c:numRef>
              <c:f>'Diagnosis Indicators'!$B$37:$Y$37</c:f>
              <c:numCache>
                <c:formatCode>#,##0.000</c:formatCode>
                <c:ptCount val="24"/>
                <c:pt idx="0">
                  <c:v>0.16485636072655629</c:v>
                </c:pt>
                <c:pt idx="1">
                  <c:v>0.20064449009850194</c:v>
                </c:pt>
                <c:pt idx="2">
                  <c:v>0.24049517089853606</c:v>
                </c:pt>
                <c:pt idx="3">
                  <c:v>0.28527719732684886</c:v>
                </c:pt>
                <c:pt idx="4">
                  <c:v>0.33614085846853647</c:v>
                </c:pt>
                <c:pt idx="5">
                  <c:v>0.39464255397185399</c:v>
                </c:pt>
                <c:pt idx="6">
                  <c:v>0.46294122128101384</c:v>
                </c:pt>
                <c:pt idx="7">
                  <c:v>0.54411581245815688</c:v>
                </c:pt>
                <c:pt idx="8">
                  <c:v>0.64269874756666723</c:v>
                </c:pt>
                <c:pt idx="9">
                  <c:v>0.7656042843423343</c:v>
                </c:pt>
                <c:pt idx="10">
                  <c:v>0.92380451502926986</c:v>
                </c:pt>
                <c:pt idx="11">
                  <c:v>1.1354610776044354</c:v>
                </c:pt>
                <c:pt idx="12">
                  <c:v>1.4319218804585099</c:v>
                </c:pt>
                <c:pt idx="13">
                  <c:v>1.8692984615078601</c:v>
                </c:pt>
                <c:pt idx="14">
                  <c:v>2.5508114605551819</c:v>
                </c:pt>
                <c:pt idx="15">
                  <c:v>3.672356841973639</c:v>
                </c:pt>
                <c:pt idx="16">
                  <c:v>5.6359155910682661</c:v>
                </c:pt>
                <c:pt idx="17">
                  <c:v>9.4130322300996276</c:v>
                </c:pt>
                <c:pt idx="18">
                  <c:v>18.030391294465645</c:v>
                </c:pt>
                <c:pt idx="19">
                  <c:v>45.888806144508571</c:v>
                </c:pt>
                <c:pt idx="20">
                  <c:v>59.172653574677717</c:v>
                </c:pt>
                <c:pt idx="21">
                  <c:v>0</c:v>
                </c:pt>
                <c:pt idx="22">
                  <c:v>0</c:v>
                </c:pt>
                <c:pt idx="23">
                  <c:v>0</c:v>
                </c:pt>
              </c:numCache>
            </c:numRef>
          </c:yVal>
          <c:smooth val="0"/>
          <c:extLst>
            <c:ext xmlns:c16="http://schemas.microsoft.com/office/drawing/2014/chart" uri="{C3380CC4-5D6E-409C-BE32-E72D297353CC}">
              <c16:uniqueId val="{00000005-1DAF-401E-8827-605E9C07D3CD}"/>
            </c:ext>
          </c:extLst>
        </c:ser>
        <c:ser>
          <c:idx val="9"/>
          <c:order val="1"/>
          <c:tx>
            <c:strRef>
              <c:f>'Diagnosis Indicators'!$A$39</c:f>
              <c:strCache>
                <c:ptCount val="1"/>
                <c:pt idx="0">
                  <c:v>Keynesian</c:v>
                </c:pt>
              </c:strCache>
            </c:strRef>
          </c:tx>
          <c:xVal>
            <c:numRef>
              <c:f>'Diagnosis Indicators'!$B$33:$Y$33</c:f>
              <c:numCache>
                <c:formatCode>General</c:formatCode>
                <c:ptCount val="24"/>
              </c:numCache>
            </c:numRef>
          </c:xVal>
          <c:yVal>
            <c:numRef>
              <c:f>'Diagnosis Indicators'!$B$39:$Y$39</c:f>
              <c:numCache>
                <c:formatCode>#,##0.000</c:formatCode>
                <c:ptCount val="24"/>
                <c:pt idx="0">
                  <c:v>0.16485636072655629</c:v>
                </c:pt>
                <c:pt idx="1">
                  <c:v>0.18998073911183716</c:v>
                </c:pt>
                <c:pt idx="2">
                  <c:v>0.21680259842249255</c:v>
                </c:pt>
                <c:pt idx="3">
                  <c:v>0.24543369742108706</c:v>
                </c:pt>
                <c:pt idx="4">
                  <c:v>0.27597087161484013</c:v>
                </c:pt>
                <c:pt idx="5">
                  <c:v>0.30848153186628324</c:v>
                </c:pt>
                <c:pt idx="6">
                  <c:v>0.34298235061950527</c:v>
                </c:pt>
                <c:pt idx="7">
                  <c:v>0.37940962218000401</c:v>
                </c:pt>
                <c:pt idx="8">
                  <c:v>0.41758081816513259</c:v>
                </c:pt>
                <c:pt idx="9">
                  <c:v>0.45714785049673951</c:v>
                </c:pt>
                <c:pt idx="10">
                  <c:v>0.49754700693964687</c:v>
                </c:pt>
                <c:pt idx="11">
                  <c:v>0.53795708563210221</c:v>
                </c:pt>
                <c:pt idx="12">
                  <c:v>0.57727139100185021</c:v>
                </c:pt>
                <c:pt idx="13">
                  <c:v>0.61405291754472613</c:v>
                </c:pt>
                <c:pt idx="14">
                  <c:v>0.64591061176624576</c:v>
                </c:pt>
                <c:pt idx="15">
                  <c:v>0</c:v>
                </c:pt>
              </c:numCache>
            </c:numRef>
          </c:yVal>
          <c:smooth val="0"/>
          <c:extLst>
            <c:ext xmlns:c16="http://schemas.microsoft.com/office/drawing/2014/chart" uri="{C3380CC4-5D6E-409C-BE32-E72D297353CC}">
              <c16:uniqueId val="{0000000A-1DAF-401E-8827-605E9C07D3CD}"/>
            </c:ext>
          </c:extLst>
        </c:ser>
        <c:ser>
          <c:idx val="8"/>
          <c:order val="2"/>
          <c:tx>
            <c:strRef>
              <c:f>'Diagnosis Indicators'!$A$38</c:f>
              <c:strCache>
                <c:ptCount val="1"/>
                <c:pt idx="0">
                  <c:v>Keynes-Marshall</c:v>
                </c:pt>
              </c:strCache>
            </c:strRef>
          </c:tx>
          <c:xVal>
            <c:numRef>
              <c:f>'Diagnosis Indicators'!$B$33:$Y$33</c:f>
              <c:numCache>
                <c:formatCode>General</c:formatCode>
                <c:ptCount val="24"/>
              </c:numCache>
            </c:numRef>
          </c:xVal>
          <c:yVal>
            <c:numRef>
              <c:f>'Diagnosis Indicators'!$B$38:$Y$38</c:f>
              <c:numCache>
                <c:formatCode>#,##0.000</c:formatCode>
                <c:ptCount val="24"/>
                <c:pt idx="0">
                  <c:v>0.16485636072655629</c:v>
                </c:pt>
                <c:pt idx="1">
                  <c:v>0.20205102260650235</c:v>
                </c:pt>
                <c:pt idx="2">
                  <c:v>0.24428138579050884</c:v>
                </c:pt>
                <c:pt idx="3">
                  <c:v>0.29276132708361935</c:v>
                </c:pt>
                <c:pt idx="4">
                  <c:v>0.34915466675699552</c:v>
                </c:pt>
                <c:pt idx="5">
                  <c:v>0.41580513889989301</c:v>
                </c:pt>
                <c:pt idx="6">
                  <c:v>0.49612021024012587</c:v>
                </c:pt>
                <c:pt idx="7">
                  <c:v>0.595235654586873</c:v>
                </c:pt>
                <c:pt idx="8">
                  <c:v>0.7212176464127803</c:v>
                </c:pt>
                <c:pt idx="9">
                  <c:v>0.88732918557199547</c:v>
                </c:pt>
                <c:pt idx="10">
                  <c:v>1.116451746339</c:v>
                </c:pt>
                <c:pt idx="11">
                  <c:v>1.4498036181656309</c:v>
                </c:pt>
                <c:pt idx="12">
                  <c:v>1.963456022012634</c:v>
                </c:pt>
                <c:pt idx="13">
                  <c:v>2.7966895732800401</c:v>
                </c:pt>
                <c:pt idx="14">
                  <c:v>4.2008267652009277</c:v>
                </c:pt>
                <c:pt idx="15">
                  <c:v>6.6588361741818494</c:v>
                </c:pt>
              </c:numCache>
            </c:numRef>
          </c:yVal>
          <c:smooth val="0"/>
          <c:extLst>
            <c:ext xmlns:c16="http://schemas.microsoft.com/office/drawing/2014/chart" uri="{C3380CC4-5D6E-409C-BE32-E72D297353CC}">
              <c16:uniqueId val="{00000009-1DAF-401E-8827-605E9C07D3CD}"/>
            </c:ext>
          </c:extLst>
        </c:ser>
        <c:ser>
          <c:idx val="10"/>
          <c:order val="3"/>
          <c:tx>
            <c:strRef>
              <c:f>'Diagnosis Indicators'!$A$39</c:f>
              <c:strCache>
                <c:ptCount val="1"/>
                <c:pt idx="0">
                  <c:v>Keynesian</c:v>
                </c:pt>
              </c:strCache>
            </c:strRef>
          </c:tx>
          <c:xVal>
            <c:numRef>
              <c:f>'Diagnosis Indicators'!$B$33:$Y$33</c:f>
              <c:numCache>
                <c:formatCode>General</c:formatCode>
                <c:ptCount val="24"/>
              </c:numCache>
            </c:numRef>
          </c:xVal>
          <c:yVal>
            <c:numRef>
              <c:f>'Diagnosis Indicators'!$B$39:$Y$39</c:f>
              <c:numCache>
                <c:formatCode>#,##0.000</c:formatCode>
                <c:ptCount val="24"/>
                <c:pt idx="0">
                  <c:v>0.16485636072655629</c:v>
                </c:pt>
                <c:pt idx="1">
                  <c:v>0.18998073911183716</c:v>
                </c:pt>
                <c:pt idx="2">
                  <c:v>0.21680259842249255</c:v>
                </c:pt>
                <c:pt idx="3">
                  <c:v>0.24543369742108706</c:v>
                </c:pt>
                <c:pt idx="4">
                  <c:v>0.27597087161484013</c:v>
                </c:pt>
                <c:pt idx="5">
                  <c:v>0.30848153186628324</c:v>
                </c:pt>
                <c:pt idx="6">
                  <c:v>0.34298235061950527</c:v>
                </c:pt>
                <c:pt idx="7">
                  <c:v>0.37940962218000401</c:v>
                </c:pt>
                <c:pt idx="8">
                  <c:v>0.41758081816513259</c:v>
                </c:pt>
                <c:pt idx="9">
                  <c:v>0.45714785049673951</c:v>
                </c:pt>
                <c:pt idx="10">
                  <c:v>0.49754700693964687</c:v>
                </c:pt>
                <c:pt idx="11">
                  <c:v>0.53795708563210221</c:v>
                </c:pt>
                <c:pt idx="12">
                  <c:v>0.57727139100185021</c:v>
                </c:pt>
                <c:pt idx="13">
                  <c:v>0.61405291754472613</c:v>
                </c:pt>
                <c:pt idx="14">
                  <c:v>0.64591061176624576</c:v>
                </c:pt>
                <c:pt idx="15">
                  <c:v>0</c:v>
                </c:pt>
              </c:numCache>
            </c:numRef>
          </c:yVal>
          <c:smooth val="0"/>
          <c:extLst>
            <c:ext xmlns:c16="http://schemas.microsoft.com/office/drawing/2014/chart" uri="{C3380CC4-5D6E-409C-BE32-E72D297353CC}">
              <c16:uniqueId val="{0000000C-1DAF-401E-8827-605E9C07D3CD}"/>
            </c:ext>
          </c:extLst>
        </c:ser>
        <c:ser>
          <c:idx val="2"/>
          <c:order val="4"/>
          <c:tx>
            <c:strRef>
              <c:f>'Diagnosis Indicators'!$A$36</c:f>
              <c:strCache>
                <c:ptCount val="1"/>
                <c:pt idx="0">
                  <c:v>Kaldorian</c:v>
                </c:pt>
              </c:strCache>
            </c:strRef>
          </c:tx>
          <c:xVal>
            <c:numRef>
              <c:f>'Diagnosis Indicators'!$B$33:$Y$33</c:f>
              <c:numCache>
                <c:formatCode>General</c:formatCode>
                <c:ptCount val="24"/>
              </c:numCache>
            </c:numRef>
          </c:xVal>
          <c:yVal>
            <c:numRef>
              <c:f>'Diagnosis Indicators'!$B$36:$Y$36</c:f>
              <c:numCache>
                <c:formatCode>#,##0.000</c:formatCode>
                <c:ptCount val="24"/>
                <c:pt idx="0">
                  <c:v>0.16485636072655629</c:v>
                </c:pt>
                <c:pt idx="1">
                  <c:v>0.18858387731708789</c:v>
                </c:pt>
                <c:pt idx="2">
                  <c:v>0.21592497873285327</c:v>
                </c:pt>
                <c:pt idx="3">
                  <c:v>0.24773544124255306</c:v>
                </c:pt>
                <c:pt idx="4">
                  <c:v>0.28516709232037174</c:v>
                </c:pt>
                <c:pt idx="5">
                  <c:v>0.32980718697458505</c:v>
                </c:pt>
                <c:pt idx="6">
                  <c:v>0.38389954355423445</c:v>
                </c:pt>
                <c:pt idx="7">
                  <c:v>0.45071017352317999</c:v>
                </c:pt>
                <c:pt idx="8">
                  <c:v>0.53515048566165246</c:v>
                </c:pt>
                <c:pt idx="9">
                  <c:v>0</c:v>
                </c:pt>
                <c:pt idx="10">
                  <c:v>0</c:v>
                </c:pt>
                <c:pt idx="11">
                  <c:v>0</c:v>
                </c:pt>
                <c:pt idx="12">
                  <c:v>0</c:v>
                </c:pt>
                <c:pt idx="13">
                  <c:v>0</c:v>
                </c:pt>
                <c:pt idx="14">
                  <c:v>0</c:v>
                </c:pt>
                <c:pt idx="15">
                  <c:v>0</c:v>
                </c:pt>
                <c:pt idx="16">
                  <c:v>0</c:v>
                </c:pt>
                <c:pt idx="17">
                  <c:v>0</c:v>
                </c:pt>
                <c:pt idx="18">
                  <c:v>0</c:v>
                </c:pt>
              </c:numCache>
            </c:numRef>
          </c:yVal>
          <c:smooth val="0"/>
          <c:extLst>
            <c:ext xmlns:c16="http://schemas.microsoft.com/office/drawing/2014/chart" uri="{C3380CC4-5D6E-409C-BE32-E72D297353CC}">
              <c16:uniqueId val="{00000002-1DAF-401E-8827-605E9C07D3CD}"/>
            </c:ext>
          </c:extLst>
        </c:ser>
        <c:ser>
          <c:idx val="1"/>
          <c:order val="5"/>
          <c:tx>
            <c:strRef>
              <c:f>'Diagnosis Indicators'!$A$35</c:f>
              <c:strCache>
                <c:ptCount val="1"/>
                <c:pt idx="0">
                  <c:v>Neoclassical</c:v>
                </c:pt>
              </c:strCache>
            </c:strRef>
          </c:tx>
          <c:xVal>
            <c:numRef>
              <c:f>'Diagnosis Indicators'!$B$33:$Y$33</c:f>
              <c:numCache>
                <c:formatCode>General</c:formatCode>
                <c:ptCount val="24"/>
              </c:numCache>
            </c:numRef>
          </c:xVal>
          <c:yVal>
            <c:numRef>
              <c:f>'Diagnosis Indicators'!$B$35:$Y$35</c:f>
              <c:numCache>
                <c:formatCode>#,##0.000</c:formatCode>
                <c:ptCount val="24"/>
                <c:pt idx="0">
                  <c:v>0.16485636072655599</c:v>
                </c:pt>
                <c:pt idx="1">
                  <c:v>0.19947471445251766</c:v>
                </c:pt>
                <c:pt idx="2">
                  <c:v>0.23798230341394302</c:v>
                </c:pt>
                <c:pt idx="3">
                  <c:v>0.28119642748889545</c:v>
                </c:pt>
                <c:pt idx="4">
                  <c:v>0.33019361985848267</c:v>
                </c:pt>
                <c:pt idx="5">
                  <c:v>0.38642196092333503</c:v>
                </c:pt>
                <c:pt idx="6">
                  <c:v>0.45187680031292576</c:v>
                </c:pt>
                <c:pt idx="7">
                  <c:v>0.52938164264600773</c:v>
                </c:pt>
                <c:pt idx="8">
                  <c:v>0.62305533825485448</c:v>
                </c:pt>
                <c:pt idx="9">
                  <c:v>0.73911537506110003</c:v>
                </c:pt>
                <c:pt idx="10">
                  <c:v>0.88731010507708696</c:v>
                </c:pt>
                <c:pt idx="11">
                  <c:v>1.0835623901133598</c:v>
                </c:pt>
                <c:pt idx="12">
                  <c:v>1.3549872166408303</c:v>
                </c:pt>
                <c:pt idx="13">
                  <c:v>1.7495664012528189</c:v>
                </c:pt>
                <c:pt idx="14">
                  <c:v>2.3549813990175967</c:v>
                </c:pt>
                <c:pt idx="15">
                  <c:v>3.3372046863448168</c:v>
                </c:pt>
                <c:pt idx="16">
                  <c:v>5.0345929077004357</c:v>
                </c:pt>
                <c:pt idx="17">
                  <c:v>8.2531528930246871</c:v>
                </c:pt>
                <c:pt idx="18">
                  <c:v>15.470764000269677</c:v>
                </c:pt>
                <c:pt idx="19">
                  <c:v>38.54508713977674</c:v>
                </c:pt>
                <c:pt idx="20">
                  <c:v>49.649804338256054</c:v>
                </c:pt>
                <c:pt idx="21">
                  <c:v>66.833863591772243</c:v>
                </c:pt>
                <c:pt idx="22">
                  <c:v>0</c:v>
                </c:pt>
                <c:pt idx="23">
                  <c:v>0</c:v>
                </c:pt>
              </c:numCache>
            </c:numRef>
          </c:yVal>
          <c:smooth val="0"/>
          <c:extLst>
            <c:ext xmlns:c16="http://schemas.microsoft.com/office/drawing/2014/chart" uri="{C3380CC4-5D6E-409C-BE32-E72D297353CC}">
              <c16:uniqueId val="{00000001-1DAF-401E-8827-605E9C07D3CD}"/>
            </c:ext>
          </c:extLst>
        </c:ser>
        <c:ser>
          <c:idx val="0"/>
          <c:order val="6"/>
          <c:tx>
            <c:strRef>
              <c:f>'Diagnosis Indicators'!$A$34</c:f>
              <c:strCache>
                <c:ptCount val="1"/>
                <c:pt idx="0">
                  <c:v>Energy control</c:v>
                </c:pt>
              </c:strCache>
            </c:strRef>
          </c:tx>
          <c:spPr>
            <a:ln>
              <a:prstDash val="dash"/>
            </a:ln>
          </c:spPr>
          <c:xVal>
            <c:numRef>
              <c:f>'Diagnosis Indicators'!$B$33:$Y$33</c:f>
              <c:numCache>
                <c:formatCode>General</c:formatCode>
                <c:ptCount val="24"/>
              </c:numCache>
            </c:numRef>
          </c:xVal>
          <c:yVal>
            <c:numRef>
              <c:f>'Diagnosis Indicators'!$B$34:$Y$34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yVal>
          <c:smooth val="0"/>
          <c:extLst>
            <c:ext xmlns:c16="http://schemas.microsoft.com/office/drawing/2014/chart" uri="{C3380CC4-5D6E-409C-BE32-E72D297353CC}">
              <c16:uniqueId val="{00000000-1DAF-401E-8827-605E9C07D3CD}"/>
            </c:ext>
          </c:extLst>
        </c:ser>
        <c:dLbls>
          <c:showLegendKey val="0"/>
          <c:showVal val="0"/>
          <c:showCatName val="0"/>
          <c:showSerName val="0"/>
          <c:showPercent val="0"/>
          <c:showBubbleSize val="0"/>
        </c:dLbls>
        <c:axId val="172451328"/>
        <c:axId val="172452864"/>
      </c:scatterChart>
      <c:valAx>
        <c:axId val="172451328"/>
        <c:scaling>
          <c:orientation val="minMax"/>
        </c:scaling>
        <c:delete val="0"/>
        <c:axPos val="b"/>
        <c:title>
          <c:tx>
            <c:rich>
              <a:bodyPr/>
              <a:lstStyle/>
              <a:p>
                <a:pPr>
                  <a:defRPr/>
                </a:pPr>
                <a:r>
                  <a:rPr lang="fr-FR"/>
                  <a:t>Total Reduction in Polluting Energy Consumption (%)</a:t>
                </a:r>
              </a:p>
            </c:rich>
          </c:tx>
          <c:overlay val="0"/>
        </c:title>
        <c:numFmt formatCode="General" sourceLinked="1"/>
        <c:majorTickMark val="out"/>
        <c:minorTickMark val="none"/>
        <c:tickLblPos val="nextTo"/>
        <c:crossAx val="172452864"/>
        <c:crosses val="autoZero"/>
        <c:crossBetween val="midCat"/>
      </c:valAx>
      <c:valAx>
        <c:axId val="172452864"/>
        <c:scaling>
          <c:logBase val="10"/>
          <c:orientation val="minMax"/>
        </c:scaling>
        <c:delete val="0"/>
        <c:axPos val="l"/>
        <c:majorGridlines/>
        <c:title>
          <c:tx>
            <c:rich>
              <a:bodyPr rot="-5400000" vert="horz"/>
              <a:lstStyle/>
              <a:p>
                <a:pPr>
                  <a:defRPr/>
                </a:pPr>
                <a:r>
                  <a:rPr lang="en-US"/>
                  <a:t>Optimal Tax (Current Euros, Log Scale)</a:t>
                </a:r>
              </a:p>
            </c:rich>
          </c:tx>
          <c:overlay val="0"/>
        </c:title>
        <c:numFmt formatCode="#,##0.000" sourceLinked="1"/>
        <c:majorTickMark val="out"/>
        <c:minorTickMark val="none"/>
        <c:tickLblPos val="nextTo"/>
        <c:crossAx val="172451328"/>
        <c:crosses val="autoZero"/>
        <c:crossBetween val="midCat"/>
      </c:valAx>
    </c:plotArea>
    <c:legend>
      <c:legendPos val="r"/>
      <c:overlay val="0"/>
    </c:legend>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aphique1"/>
  <sheetViews>
    <sheetView zoomScale="7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2"/>
  <sheetViews>
    <sheetView zoomScale="68"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2"/>
  <sheetViews>
    <sheetView zoomScale="68"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11146971" cy="7271657"/>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300882" cy="6079191"/>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300882" cy="6079191"/>
    <xdr:graphicFrame macro="">
      <xdr:nvGraphicFramePr>
        <xdr:cNvPr id="2" name="Graphique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zoomScaleNormal="100" workbookViewId="0">
      <selection activeCell="C67" sqref="C67"/>
    </sheetView>
  </sheetViews>
  <sheetFormatPr baseColWidth="10" defaultColWidth="12" defaultRowHeight="10" x14ac:dyDescent="0.2"/>
  <sheetData>
    <row r="1" spans="2:18" x14ac:dyDescent="0.2">
      <c r="B1" t="s">
        <v>109</v>
      </c>
    </row>
    <row r="2" spans="2:18" x14ac:dyDescent="0.2">
      <c r="B2" s="1"/>
      <c r="C2" s="2" t="s">
        <v>24</v>
      </c>
      <c r="D2" s="3" t="s">
        <v>25</v>
      </c>
      <c r="E2" s="2" t="s">
        <v>6</v>
      </c>
      <c r="F2" s="3" t="s">
        <v>7</v>
      </c>
      <c r="G2" s="3" t="s">
        <v>8</v>
      </c>
      <c r="H2" s="145" t="s">
        <v>0</v>
      </c>
      <c r="I2" s="1"/>
      <c r="K2" s="1"/>
      <c r="L2" s="2" t="s">
        <v>24</v>
      </c>
      <c r="M2" s="3" t="s">
        <v>25</v>
      </c>
      <c r="N2" s="4" t="s">
        <v>6</v>
      </c>
      <c r="O2" s="5" t="s">
        <v>7</v>
      </c>
      <c r="P2" s="5" t="s">
        <v>8</v>
      </c>
      <c r="Q2" s="6" t="s">
        <v>0</v>
      </c>
      <c r="R2" s="1"/>
    </row>
    <row r="3" spans="2:18" ht="10.5" x14ac:dyDescent="0.25">
      <c r="B3" s="2" t="s">
        <v>24</v>
      </c>
      <c r="C3" s="146">
        <v>10884850.382054584</v>
      </c>
      <c r="D3" s="147">
        <v>150795.37493224326</v>
      </c>
      <c r="E3" s="146">
        <v>6246419.7385956254</v>
      </c>
      <c r="F3" s="146">
        <v>2538925.8232629192</v>
      </c>
      <c r="G3" s="146">
        <v>2395139.6192288557</v>
      </c>
      <c r="H3" s="148">
        <v>2308085.6113992818</v>
      </c>
      <c r="I3" s="9">
        <f>SUM(C3:H3)</f>
        <v>24524216.549473509</v>
      </c>
      <c r="K3" s="2" t="s">
        <v>24</v>
      </c>
      <c r="L3" s="51">
        <f t="array" ref="L3:M4">pIC*alpha*Y</f>
        <v>10884850.382054584</v>
      </c>
      <c r="M3" s="52">
        <v>150795.37493224326</v>
      </c>
      <c r="N3" s="53">
        <f t="array" ref="N3:N4">TRANSPOSE(pC*Consumption)</f>
        <v>6246419.7385956254</v>
      </c>
      <c r="O3" s="54">
        <f t="array" ref="O3:O4">TRANSPOSE(pG*G)</f>
        <v>2538925.8232629192</v>
      </c>
      <c r="P3" s="54">
        <f t="array" ref="P3:P4">TRANSPOSE(pI*I)</f>
        <v>2395139.6192288557</v>
      </c>
      <c r="Q3" s="60">
        <f t="array" ref="Q3:Q4">TRANSPOSE(pX*X)</f>
        <v>2308085.6113992818</v>
      </c>
      <c r="R3" s="9">
        <f>SUM(L3:Q3)</f>
        <v>24524216.549473509</v>
      </c>
    </row>
    <row r="4" spans="2:18" ht="10.5" x14ac:dyDescent="0.25">
      <c r="B4" s="10" t="s">
        <v>25</v>
      </c>
      <c r="C4" s="149">
        <v>552281.71342200483</v>
      </c>
      <c r="D4" s="150">
        <v>474764.57515449659</v>
      </c>
      <c r="E4" s="149">
        <v>396671.20126269024</v>
      </c>
      <c r="F4" s="149">
        <v>0</v>
      </c>
      <c r="G4" s="149">
        <v>0</v>
      </c>
      <c r="H4" s="151">
        <v>62040.492544331697</v>
      </c>
      <c r="I4" s="11">
        <f>SUM(C4:H4)</f>
        <v>1485757.9823835231</v>
      </c>
      <c r="K4" s="10" t="s">
        <v>25</v>
      </c>
      <c r="L4" s="55">
        <v>552281.71342200495</v>
      </c>
      <c r="M4" s="56">
        <v>474764.57515449659</v>
      </c>
      <c r="N4" s="55">
        <v>396671.20126269024</v>
      </c>
      <c r="O4" s="57">
        <v>0</v>
      </c>
      <c r="P4" s="57">
        <v>0</v>
      </c>
      <c r="Q4" s="49">
        <v>62040.492544331697</v>
      </c>
      <c r="R4" s="11">
        <f>SUM(L4:Q4)</f>
        <v>1485757.9823835234</v>
      </c>
    </row>
    <row r="5" spans="2:18" x14ac:dyDescent="0.2">
      <c r="B5" s="12" t="s">
        <v>1</v>
      </c>
      <c r="C5" s="146">
        <v>3209442.0883953348</v>
      </c>
      <c r="D5" s="152">
        <v>31623.872672841797</v>
      </c>
      <c r="E5" s="106"/>
      <c r="F5" s="106"/>
      <c r="G5" s="106"/>
      <c r="H5" s="106"/>
      <c r="I5" s="1"/>
      <c r="K5" s="12" t="s">
        <v>1</v>
      </c>
      <c r="L5" s="51">
        <f t="array" ref="L5:M5">w*Labour</f>
        <v>3209442.0883953348</v>
      </c>
      <c r="M5" s="52">
        <v>31623.872672841797</v>
      </c>
      <c r="N5" s="13"/>
      <c r="O5" s="13"/>
      <c r="P5" s="13"/>
      <c r="Q5" s="13"/>
      <c r="R5" s="1"/>
    </row>
    <row r="6" spans="2:18" x14ac:dyDescent="0.2">
      <c r="B6" s="14" t="s">
        <v>9</v>
      </c>
      <c r="C6" s="7">
        <v>1834848.4773356575</v>
      </c>
      <c r="D6" s="153">
        <v>17784.31699397675</v>
      </c>
      <c r="E6" s="106"/>
      <c r="F6" s="106"/>
      <c r="G6" s="106"/>
      <c r="H6" s="106"/>
      <c r="I6" s="1"/>
      <c r="K6" s="14" t="s">
        <v>9</v>
      </c>
      <c r="L6" s="53">
        <f t="array" ref="L6:M6">w*tauL*Labour</f>
        <v>1834848.4773356577</v>
      </c>
      <c r="M6" s="58">
        <v>17784.316993976743</v>
      </c>
      <c r="N6" s="13"/>
      <c r="O6" s="13"/>
      <c r="P6" s="13"/>
      <c r="Q6" s="13"/>
      <c r="R6" s="1"/>
    </row>
    <row r="7" spans="2:18" x14ac:dyDescent="0.2">
      <c r="B7" s="14" t="s">
        <v>10</v>
      </c>
      <c r="C7" s="7">
        <v>137255.49416165444</v>
      </c>
      <c r="D7" s="153">
        <v>3134.1497290247535</v>
      </c>
      <c r="E7" s="106"/>
      <c r="F7" s="107" t="s">
        <v>24</v>
      </c>
      <c r="G7" s="108" t="s">
        <v>25</v>
      </c>
      <c r="H7" s="106"/>
      <c r="I7" s="1"/>
      <c r="K7" s="14" t="s">
        <v>10</v>
      </c>
      <c r="L7" s="53">
        <f t="array" ref="L7:M7">tauY*pY/(1+tauY)*Y</f>
        <v>137255.49416165444</v>
      </c>
      <c r="M7" s="58">
        <v>3134.149729024753</v>
      </c>
      <c r="N7" s="13"/>
      <c r="O7" s="13"/>
      <c r="P7" s="117"/>
      <c r="Q7" s="13"/>
      <c r="R7" s="1"/>
    </row>
    <row r="8" spans="2:18" x14ac:dyDescent="0.2">
      <c r="B8" s="14" t="s">
        <v>2</v>
      </c>
      <c r="C8" s="149">
        <v>4880303.2028967636</v>
      </c>
      <c r="D8" s="154">
        <v>155934.23175142027</v>
      </c>
      <c r="E8" s="106"/>
      <c r="F8" s="110">
        <f>SUM(C3:G3)</f>
        <v>22216130.938074227</v>
      </c>
      <c r="G8" s="111">
        <f>SUM(C4:G4)</f>
        <v>1423717.4898391915</v>
      </c>
      <c r="H8" s="106" t="s">
        <v>159</v>
      </c>
      <c r="I8" s="1"/>
      <c r="K8" s="14" t="s">
        <v>2</v>
      </c>
      <c r="L8" s="53">
        <f t="array" ref="L8:M8">pK*K</f>
        <v>4880303.2028967636</v>
      </c>
      <c r="M8" s="58">
        <v>155934.23175142027</v>
      </c>
      <c r="N8" s="13"/>
      <c r="O8" s="13"/>
      <c r="P8" s="13"/>
      <c r="Q8" s="13"/>
      <c r="R8" s="1"/>
    </row>
    <row r="9" spans="2:18" x14ac:dyDescent="0.2">
      <c r="B9" s="2" t="s">
        <v>3</v>
      </c>
      <c r="C9" s="155">
        <v>1782232.0505062393</v>
      </c>
      <c r="D9" s="156">
        <v>450229.76484179485</v>
      </c>
      <c r="E9" s="106"/>
      <c r="F9" s="106"/>
      <c r="G9" s="106"/>
      <c r="H9" s="106"/>
      <c r="I9" s="1"/>
      <c r="K9" s="2" t="s">
        <v>3</v>
      </c>
      <c r="L9" s="130">
        <f t="array" ref="L9:M9">pW*M</f>
        <v>1782232.0505062393</v>
      </c>
      <c r="M9" s="131">
        <v>450229.76484179485</v>
      </c>
      <c r="N9" s="13"/>
      <c r="O9" s="13"/>
      <c r="P9" s="117"/>
      <c r="Q9" s="13"/>
      <c r="R9" s="1"/>
    </row>
    <row r="10" spans="2:18" x14ac:dyDescent="0.2">
      <c r="B10" s="226" t="s">
        <v>153</v>
      </c>
      <c r="C10" s="7">
        <v>1243003.1407012711</v>
      </c>
      <c r="D10" s="144">
        <v>201491.69630772495</v>
      </c>
      <c r="E10" s="106"/>
      <c r="F10" s="106"/>
      <c r="G10" s="106"/>
      <c r="H10" s="106"/>
      <c r="I10" s="1"/>
      <c r="K10" s="226" t="s">
        <v>153</v>
      </c>
      <c r="L10" s="59">
        <f t="array" ref="L10:M10">tauTS*pS*S</f>
        <v>1243003.1407012714</v>
      </c>
      <c r="M10" s="60">
        <v>201491.69630772498</v>
      </c>
      <c r="N10" s="13"/>
      <c r="O10" s="13"/>
      <c r="P10" s="13"/>
      <c r="Q10" s="13"/>
      <c r="R10" s="1"/>
    </row>
    <row r="11" spans="2:18" x14ac:dyDescent="0.2">
      <c r="B11" s="15"/>
      <c r="C11" s="7"/>
      <c r="D11" s="144"/>
      <c r="E11" s="106"/>
      <c r="F11" s="107" t="s">
        <v>24</v>
      </c>
      <c r="G11" s="108" t="s">
        <v>25</v>
      </c>
      <c r="H11" s="106"/>
      <c r="I11" s="1"/>
      <c r="K11" s="15"/>
      <c r="L11" s="61"/>
      <c r="M11" s="49"/>
      <c r="N11" s="13"/>
      <c r="O11" s="50" t="s">
        <v>24</v>
      </c>
      <c r="P11" s="16" t="s">
        <v>25</v>
      </c>
      <c r="Q11" s="13"/>
      <c r="R11" s="1"/>
    </row>
    <row r="12" spans="2:18" ht="10.5" x14ac:dyDescent="0.25">
      <c r="B12" s="1"/>
      <c r="C12" s="113">
        <f>SUM(C3:C11)</f>
        <v>24524216.549473509</v>
      </c>
      <c r="D12" s="114">
        <f>SUM(D3:D11)</f>
        <v>1485757.9823835234</v>
      </c>
      <c r="E12" s="109"/>
      <c r="F12" s="110">
        <f>SUM(C3:C8)</f>
        <v>21498981.358266</v>
      </c>
      <c r="G12" s="111">
        <f>SUM(D3:D8)</f>
        <v>834036.52123400336</v>
      </c>
      <c r="H12" s="112" t="s">
        <v>11</v>
      </c>
      <c r="I12" s="1"/>
      <c r="K12" s="1"/>
      <c r="L12" s="17">
        <f>SUM(L3:L11)</f>
        <v>24524216.549473509</v>
      </c>
      <c r="M12" s="18">
        <f>SUM(M3:M11)</f>
        <v>1485757.9823835234</v>
      </c>
      <c r="N12" s="19"/>
      <c r="O12" s="20">
        <f t="array" ref="O12:P12">pY*Y</f>
        <v>21498981.358266</v>
      </c>
      <c r="P12" s="21">
        <v>834036.52123400336</v>
      </c>
      <c r="Q12" s="1" t="s">
        <v>11</v>
      </c>
      <c r="R12" s="1"/>
    </row>
    <row r="13" spans="2:18" x14ac:dyDescent="0.2">
      <c r="B13" s="1"/>
      <c r="C13" s="112"/>
      <c r="D13" s="112"/>
      <c r="E13" s="106"/>
      <c r="F13" s="106"/>
      <c r="G13" s="106"/>
      <c r="H13" s="112"/>
      <c r="I13" s="1"/>
      <c r="K13" s="1"/>
      <c r="L13" s="1"/>
      <c r="M13" s="1"/>
      <c r="N13" s="13"/>
      <c r="O13" s="13"/>
      <c r="P13" s="13"/>
      <c r="Q13" s="1"/>
      <c r="R13" s="1"/>
    </row>
    <row r="14" spans="2:18" ht="10.5" x14ac:dyDescent="0.25">
      <c r="B14" s="22" t="s">
        <v>30</v>
      </c>
      <c r="C14" s="124">
        <f>I3-C12</f>
        <v>0</v>
      </c>
      <c r="D14" s="125">
        <f>I4-D12</f>
        <v>0</v>
      </c>
      <c r="E14" s="106"/>
      <c r="F14" s="106"/>
      <c r="G14" s="106"/>
      <c r="H14" s="106"/>
      <c r="I14" s="1"/>
      <c r="K14" s="22" t="s">
        <v>30</v>
      </c>
      <c r="L14" s="23">
        <f>R3-L12</f>
        <v>0</v>
      </c>
      <c r="M14" s="24">
        <f>R4-M12</f>
        <v>0</v>
      </c>
      <c r="N14" s="13"/>
      <c r="O14" s="13"/>
      <c r="P14" s="13"/>
      <c r="Q14" s="13"/>
      <c r="R14" s="1"/>
    </row>
    <row r="16" spans="2:18" x14ac:dyDescent="0.2">
      <c r="F16">
        <v>20952.175621751205</v>
      </c>
      <c r="G16">
        <v>1219.7862210892881</v>
      </c>
      <c r="L16" s="29"/>
      <c r="M16" s="29"/>
    </row>
    <row r="17" spans="2:16" x14ac:dyDescent="0.2">
      <c r="L17" s="29"/>
      <c r="M17" s="29"/>
    </row>
    <row r="20" spans="2:16" ht="10.5" x14ac:dyDescent="0.25">
      <c r="B20" s="99" t="s">
        <v>81</v>
      </c>
      <c r="H20" s="99" t="s">
        <v>62</v>
      </c>
      <c r="K20" s="99" t="s">
        <v>61</v>
      </c>
      <c r="N20" s="99" t="s">
        <v>42</v>
      </c>
    </row>
    <row r="21" spans="2:16" x14ac:dyDescent="0.2">
      <c r="B21" t="s">
        <v>12</v>
      </c>
      <c r="C21" s="175">
        <v>1000</v>
      </c>
      <c r="D21" s="176">
        <v>1000</v>
      </c>
      <c r="H21">
        <f t="array" ref="H21:I21">(aY^sigmaY*pKLE^(1-sigmaY)+bY^sigmaY*pMY^(1-sigmaY))^(1/(1-sigmaY))*(1+tauY)</f>
        <v>1000.0000000000009</v>
      </c>
      <c r="I21">
        <v>999.99999999999909</v>
      </c>
      <c r="K21" s="123">
        <f t="array" ref="K21:L21">H21:I21-pY</f>
        <v>9.0949470177292824E-13</v>
      </c>
      <c r="L21" s="123">
        <v>-9.0949470177292824E-13</v>
      </c>
      <c r="N21">
        <f t="array" ref="N21:O21">(aX^sigmaX*pD^(1-sigmaX)+bX^sigmaX*pX^(1-sigmaX))^(1/(1-sigmaX))</f>
        <v>999.99999999999977</v>
      </c>
      <c r="O21">
        <v>1000.0000000000007</v>
      </c>
    </row>
    <row r="22" spans="2:16" x14ac:dyDescent="0.2">
      <c r="B22" t="s">
        <v>119</v>
      </c>
      <c r="C22" s="31">
        <v>1000</v>
      </c>
      <c r="D22" s="32">
        <v>1000</v>
      </c>
      <c r="K22" s="128"/>
      <c r="L22" s="128"/>
    </row>
    <row r="23" spans="2:16" x14ac:dyDescent="0.2">
      <c r="B23" t="s">
        <v>131</v>
      </c>
      <c r="C23" s="173">
        <v>1000</v>
      </c>
      <c r="D23" s="174">
        <v>1000</v>
      </c>
      <c r="H23" s="29">
        <f t="array" ref="H23:I23">(pY*Y+pW*M-pX*X)/S</f>
        <v>999.99999999999989</v>
      </c>
      <c r="I23" s="29">
        <v>1000</v>
      </c>
      <c r="K23" s="123">
        <f t="array" ref="K23:L23">H23:I23-pS</f>
        <v>0</v>
      </c>
      <c r="L23" s="123">
        <v>0</v>
      </c>
    </row>
    <row r="24" spans="2:16" x14ac:dyDescent="0.2">
      <c r="B24" t="s">
        <v>79</v>
      </c>
      <c r="C24" s="31">
        <v>1000</v>
      </c>
      <c r="D24" s="32">
        <v>1000</v>
      </c>
      <c r="H24" s="29">
        <f t="array" ref="H24:I24">aX^(sigmaX/(sigmaX-1))*(pY^(1-sigmaX)-bX^sigmaX*pW^(1-sigmaX))^(1/(1-sigmaX))</f>
        <v>999.99999999999886</v>
      </c>
      <c r="I24" s="29">
        <v>999.99999999999909</v>
      </c>
      <c r="K24" s="123">
        <f t="array" ref="K24:L24">H24:I24-pD</f>
        <v>-1.1368683772161603E-12</v>
      </c>
      <c r="L24" s="123">
        <v>-9.0949470177292824E-13</v>
      </c>
    </row>
    <row r="25" spans="2:16" x14ac:dyDescent="0.2">
      <c r="B25" t="s">
        <v>13</v>
      </c>
      <c r="C25" s="33">
        <f t="array" ref="C25:D26">C3:D4/(alpha*Y)</f>
        <v>1059.2664648168009</v>
      </c>
      <c r="D25" s="34">
        <v>1059.2664648168009</v>
      </c>
      <c r="E25" t="s">
        <v>65</v>
      </c>
      <c r="H25" s="29">
        <f t="array" ref="H25:I26">TRANSPOSE(pS*(1+tauTS))</f>
        <v>1059.2664648168009</v>
      </c>
      <c r="I25" s="29">
        <v>1059.2664648168009</v>
      </c>
      <c r="K25" s="123">
        <f t="array" ref="K25:L26">H25:I26-C25:D26</f>
        <v>0</v>
      </c>
      <c r="L25" s="123">
        <v>0</v>
      </c>
    </row>
    <row r="26" spans="2:16" x14ac:dyDescent="0.2">
      <c r="C26" s="35">
        <v>1164.8563607265564</v>
      </c>
      <c r="D26" s="36">
        <v>1164.8563607265562</v>
      </c>
      <c r="E26" t="s">
        <v>41</v>
      </c>
      <c r="H26" s="29">
        <v>1164.8563607265562</v>
      </c>
      <c r="I26" s="29">
        <v>1164.8563607265562</v>
      </c>
      <c r="K26" s="123">
        <v>0</v>
      </c>
      <c r="L26" s="123">
        <v>0</v>
      </c>
    </row>
    <row r="27" spans="2:16" x14ac:dyDescent="0.2">
      <c r="B27" t="s">
        <v>14</v>
      </c>
      <c r="C27" s="33">
        <f t="array" ref="C27:D27">TRANSPOSE(E3:E4)/Consumption</f>
        <v>1059.2664648168009</v>
      </c>
      <c r="D27" s="34">
        <v>1164.8563607265562</v>
      </c>
      <c r="H27" s="29">
        <f t="array" ref="H27:I27">pS*(1+tauTS)</f>
        <v>1059.2664648168009</v>
      </c>
      <c r="I27" s="29">
        <v>1164.8563607265562</v>
      </c>
      <c r="K27" s="123">
        <f t="array" ref="K27:L27">H27:I27-pC</f>
        <v>0</v>
      </c>
      <c r="L27" s="123">
        <v>0</v>
      </c>
    </row>
    <row r="28" spans="2:16" x14ac:dyDescent="0.2">
      <c r="B28" t="s">
        <v>15</v>
      </c>
      <c r="C28" s="41">
        <f t="array" ref="C28:D28">IF(ISNUMBER(TRANSPOSE(F3:F4)/G),TRANSPOSE(F3:F4)/G,pC)</f>
        <v>1059.2664648168009</v>
      </c>
      <c r="D28" s="42">
        <v>1164.8563607265562</v>
      </c>
      <c r="H28" s="29">
        <f t="array" ref="H28:I28">pS*(1+tauTS)</f>
        <v>1059.2664648168009</v>
      </c>
      <c r="I28" s="29">
        <v>1164.8563607265562</v>
      </c>
      <c r="K28" s="123">
        <f t="array" ref="K28:L28">H28:I28-pG</f>
        <v>0</v>
      </c>
      <c r="L28" s="123">
        <v>0</v>
      </c>
    </row>
    <row r="29" spans="2:16" x14ac:dyDescent="0.2">
      <c r="B29" t="s">
        <v>29</v>
      </c>
      <c r="C29" s="41">
        <f t="array" ref="C29:D29">IF(ISNUMBER(TRANSPOSE(G3:G4)/I),TRANSPOSE(G3:G4)/I,pC)</f>
        <v>1059.2664648168011</v>
      </c>
      <c r="D29" s="42">
        <v>1164.8563607265562</v>
      </c>
      <c r="H29" s="29">
        <f t="array" ref="H29:I29">pS*(1+tauTS)</f>
        <v>1059.2664648168009</v>
      </c>
      <c r="I29" s="29">
        <v>1164.8563607265562</v>
      </c>
      <c r="K29" s="123">
        <f t="array" ref="K29:L29">H29:I29-pI</f>
        <v>0</v>
      </c>
      <c r="L29" s="123">
        <v>0</v>
      </c>
    </row>
    <row r="30" spans="2:16" x14ac:dyDescent="0.2">
      <c r="B30" t="s">
        <v>16</v>
      </c>
      <c r="C30" s="41">
        <f t="array" ref="C30:D30">pW</f>
        <v>1000</v>
      </c>
      <c r="D30" s="42">
        <v>1000</v>
      </c>
      <c r="H30" s="29">
        <f t="array" ref="H30:I30">pW</f>
        <v>1000</v>
      </c>
      <c r="I30" s="29">
        <v>1000</v>
      </c>
      <c r="K30" s="123">
        <f t="array" ref="K30:L30">H30:I30-pX</f>
        <v>0</v>
      </c>
      <c r="L30" s="123">
        <v>0</v>
      </c>
    </row>
    <row r="31" spans="2:16" x14ac:dyDescent="0.2">
      <c r="B31" t="s">
        <v>17</v>
      </c>
      <c r="C31" s="31">
        <v>1000</v>
      </c>
      <c r="D31" s="32">
        <v>1000</v>
      </c>
      <c r="K31" s="128"/>
      <c r="L31" s="128"/>
    </row>
    <row r="32" spans="2:16" x14ac:dyDescent="0.2">
      <c r="B32" t="s">
        <v>36</v>
      </c>
      <c r="C32" s="41">
        <f t="array" ref="C32:D32">(C5:D5+C6:D6)/Labour</f>
        <v>1571.7032514685598</v>
      </c>
      <c r="D32" s="42">
        <v>1562.3699911127494</v>
      </c>
      <c r="H32" s="29">
        <f t="array" ref="H32:I32">w*(1+tauL)</f>
        <v>1571.7032514685595</v>
      </c>
      <c r="I32" s="29">
        <v>1562.3699911127492</v>
      </c>
      <c r="K32" s="123">
        <f t="array" ref="K32:L32">H32:I32-pL</f>
        <v>0</v>
      </c>
      <c r="L32" s="123">
        <v>0</v>
      </c>
      <c r="N32" s="29">
        <f t="array" ref="N32:O32">bKL*(Labour/KL)^(rhoKL-1)*pKL</f>
        <v>1571.7032514685595</v>
      </c>
      <c r="O32" s="29">
        <v>1562.3699911127508</v>
      </c>
      <c r="P32" t="s">
        <v>136</v>
      </c>
    </row>
    <row r="33" spans="2:16" x14ac:dyDescent="0.2">
      <c r="B33" t="s">
        <v>18</v>
      </c>
      <c r="C33" s="181">
        <v>1000</v>
      </c>
      <c r="D33" s="182">
        <v>1000</v>
      </c>
      <c r="E33" t="s">
        <v>58</v>
      </c>
      <c r="K33" s="128"/>
      <c r="L33" s="128"/>
      <c r="N33" s="29">
        <f t="array" ref="N33:O33">aKL*(K/KL)^(rhoKL-1)*pKL</f>
        <v>1000</v>
      </c>
      <c r="O33" s="29">
        <v>1000.0000000000007</v>
      </c>
      <c r="P33" t="s">
        <v>136</v>
      </c>
    </row>
    <row r="34" spans="2:16" x14ac:dyDescent="0.2">
      <c r="B34" t="s">
        <v>63</v>
      </c>
      <c r="C34" s="173">
        <v>1000</v>
      </c>
      <c r="D34" s="174">
        <v>1000</v>
      </c>
      <c r="H34" s="29">
        <f t="array" ref="H34:I34">(aKL^sigmaKL*pK^(1-sigmaKL)+bKL^sigmaKL*pL^(1-sigmaKL))^(1/(1-sigmaKL))</f>
        <v>999.99999999999977</v>
      </c>
      <c r="I34" s="29">
        <v>999.99999999999977</v>
      </c>
      <c r="K34" s="123">
        <f t="array" ref="K34:L34">H34:I34-pKL</f>
        <v>0</v>
      </c>
      <c r="L34" s="123">
        <v>0</v>
      </c>
    </row>
    <row r="35" spans="2:16" x14ac:dyDescent="0.2">
      <c r="B35" t="s">
        <v>64</v>
      </c>
      <c r="C35" s="173">
        <v>1000</v>
      </c>
      <c r="D35" s="174">
        <v>1000</v>
      </c>
      <c r="H35" s="29">
        <f t="array" ref="H35:I35">(aKLE^sigmaKLE*pKL^(1-sigmaKLE)+bKLE^sigmaKLE*pEY^(1-sigmaKLE))^(1/(1-sigmaKLE))</f>
        <v>1000</v>
      </c>
      <c r="I35" s="29">
        <v>999.99999999999977</v>
      </c>
      <c r="K35" s="123">
        <f t="array" ref="K35:L35">H35:I35-pKLE</f>
        <v>0</v>
      </c>
      <c r="L35" s="123">
        <v>0</v>
      </c>
    </row>
    <row r="37" spans="2:16" x14ac:dyDescent="0.2">
      <c r="B37" t="s">
        <v>19</v>
      </c>
      <c r="C37" s="90">
        <f t="array" ref="C37:D37">F12:G12/pY</f>
        <v>21498.981358265999</v>
      </c>
      <c r="D37" s="91">
        <v>834.03652123400332</v>
      </c>
      <c r="E37" t="s">
        <v>128</v>
      </c>
      <c r="H37" s="29">
        <f t="array" ref="H37:I37">(aX*D^rhoX+bX*X^rhoX)^(1/rhoX)</f>
        <v>21498.981358265988</v>
      </c>
      <c r="I37" s="29">
        <v>834.03652123400275</v>
      </c>
      <c r="K37" s="123">
        <f t="array" ref="K37:L37">H37:I37-Y</f>
        <v>0</v>
      </c>
      <c r="L37" s="123">
        <v>0</v>
      </c>
    </row>
    <row r="38" spans="2:16" x14ac:dyDescent="0.2">
      <c r="B38" t="s">
        <v>3</v>
      </c>
      <c r="C38" s="92">
        <f t="array" ref="C38:D38">C9:D9/pW</f>
        <v>1782.2320505062394</v>
      </c>
      <c r="D38" s="93">
        <v>450.22976484179486</v>
      </c>
      <c r="E38" t="s">
        <v>129</v>
      </c>
      <c r="H38" s="29">
        <f t="array" ref="H38:I38">(bS/pW)^sigmaS*(aS^sigmaS*pD^(1-sigmaS)+bS^sigmaS*pW^(1-sigmaS))^(sigmaS/(1-sigmaS))*S</f>
        <v>1782.2320505062391</v>
      </c>
      <c r="I38" s="29">
        <v>450.22976484179424</v>
      </c>
      <c r="K38" s="123">
        <f t="array" ref="K38:L38">H38:I38-M</f>
        <v>0</v>
      </c>
      <c r="L38" s="123">
        <v>-6.2527760746888816E-13</v>
      </c>
    </row>
    <row r="39" spans="2:16" x14ac:dyDescent="0.2">
      <c r="B39" t="s">
        <v>130</v>
      </c>
      <c r="C39" s="92">
        <f t="array" ref="C39:D39">MMULT(Y,TRANSPOSE(alpha))+Consumption+G+I</f>
        <v>20973.127797372959</v>
      </c>
      <c r="D39" s="93">
        <v>1222.2257935314667</v>
      </c>
      <c r="E39" t="s">
        <v>125</v>
      </c>
      <c r="F39" s="63">
        <f t="array" ref="F39:G39">(F8:G8)/(1+tauTS)/pS</f>
        <v>20973.127797372956</v>
      </c>
      <c r="G39" s="64">
        <v>1222.2257935314665</v>
      </c>
      <c r="H39" s="29">
        <f t="array" ref="H39:I39">MMULT(Y,TRANSPOSE(alpha))+Consumption+G+I</f>
        <v>20973.127797372959</v>
      </c>
      <c r="I39" s="29">
        <v>1222.2257935314667</v>
      </c>
      <c r="K39" s="123">
        <f t="array" ref="K39:L39">H39:I39-S</f>
        <v>0</v>
      </c>
      <c r="L39" s="123">
        <v>0</v>
      </c>
      <c r="N39" s="29"/>
      <c r="O39" s="29"/>
    </row>
    <row r="40" spans="2:16" x14ac:dyDescent="0.2">
      <c r="B40" t="s">
        <v>78</v>
      </c>
      <c r="C40" s="92">
        <f t="array" ref="C40:D40">(pS*S-pW*M)/pD</f>
        <v>19190.895746866721</v>
      </c>
      <c r="D40" s="93">
        <v>771.9960286896719</v>
      </c>
      <c r="E40" t="s">
        <v>127</v>
      </c>
      <c r="H40" s="29">
        <f t="array" ref="H40:I40">(aS/pD)^sigmaS*(aS^sigmaS*pD^(1-sigmaS)+bS^sigmaS*pW^(1-sigmaS))^(sigmaS/(1-sigmaS))*S</f>
        <v>19190.895746866714</v>
      </c>
      <c r="I40" s="29">
        <v>771.99602868967133</v>
      </c>
      <c r="K40" s="123">
        <f t="array" ref="K40:L40">H40:I40-D</f>
        <v>0</v>
      </c>
      <c r="L40" s="123">
        <v>0</v>
      </c>
    </row>
    <row r="41" spans="2:16" x14ac:dyDescent="0.2">
      <c r="B41" t="s">
        <v>28</v>
      </c>
      <c r="C41" s="41">
        <f t="array" ref="C41:D41">TRANSPOSE(E3:E4)/(1+tauTS)/pS</f>
        <v>5896.9295697244015</v>
      </c>
      <c r="D41" s="42">
        <v>340.53228761636706</v>
      </c>
      <c r="E41" t="s">
        <v>59</v>
      </c>
      <c r="H41" s="29">
        <f t="array" ref="H41">(aU/pCQ)^sigmaU/(aU^sigmaU*pCQ^(1-sigmaU)+bU^sigmaU*pCE^(1-sigmaU))*Revenue</f>
        <v>5896.9295697244006</v>
      </c>
      <c r="I41" s="29">
        <f>(bU/pCE)^sigmaU/(aU^sigmaU*pCQ^(1-sigmaU)+bU^sigmaU*pCE^(1-sigmaU))*Revenue</f>
        <v>340.53228761636711</v>
      </c>
      <c r="K41" s="123">
        <f t="array" ref="K41:L41">H41:I41-Consumption</f>
        <v>0</v>
      </c>
      <c r="L41" s="123">
        <v>0</v>
      </c>
    </row>
    <row r="42" spans="2:16" x14ac:dyDescent="0.2">
      <c r="B42" t="s">
        <v>7</v>
      </c>
      <c r="C42" s="41">
        <f t="array" ref="C42:D42">TRANSPOSE(F3:F4)/(1+tauTS)/pS</f>
        <v>2396.8717103698964</v>
      </c>
      <c r="D42" s="42">
        <v>0</v>
      </c>
      <c r="H42" s="29">
        <f t="array" ref="H42">omegaG*GDP/pG</f>
        <v>2396.8717103698964</v>
      </c>
      <c r="I42" s="28">
        <v>0</v>
      </c>
      <c r="K42" s="123">
        <f t="array" ref="K42:L42">H42:I42-G</f>
        <v>0</v>
      </c>
      <c r="L42" s="123">
        <v>0</v>
      </c>
    </row>
    <row r="43" spans="2:16" x14ac:dyDescent="0.2">
      <c r="B43" t="s">
        <v>8</v>
      </c>
      <c r="C43" s="41">
        <f t="array" ref="C43:D43">TRANSPOSE(G3:G4)/(1+tauTS)/pS</f>
        <v>2261.1304131516072</v>
      </c>
      <c r="D43" s="42">
        <v>0</v>
      </c>
      <c r="H43" s="29">
        <f t="array" ref="H43">(sD*GDP-B)/pI</f>
        <v>2261.1304131516072</v>
      </c>
      <c r="I43" s="28">
        <v>0</v>
      </c>
      <c r="K43" s="123">
        <f t="array" ref="K43:L43">H43:I43-I</f>
        <v>0</v>
      </c>
      <c r="L43" s="123">
        <v>0</v>
      </c>
    </row>
    <row r="44" spans="2:16" x14ac:dyDescent="0.2">
      <c r="B44" t="s">
        <v>0</v>
      </c>
      <c r="C44" s="41">
        <f t="array" ref="C44:D44">TRANSPOSE(H3:H4)/pX</f>
        <v>2308.0856113992818</v>
      </c>
      <c r="D44" s="42">
        <v>62.040492544331698</v>
      </c>
      <c r="H44" s="29">
        <f t="array" ref="H44:I44">(bX/pX)^sigmaX*(aX^sigmaX*pD^(1-sigmaX)+bX^sigmaX*pX^(1-sigmaX))^(-1/rhoX)*Y</f>
        <v>2308.0856113992813</v>
      </c>
      <c r="I44" s="29">
        <v>62.040492544331599</v>
      </c>
      <c r="K44" s="123">
        <f t="array" ref="K44:L44">H44:I44-X</f>
        <v>0</v>
      </c>
      <c r="L44" s="123">
        <v>-9.9475983006414026E-14</v>
      </c>
    </row>
    <row r="45" spans="2:16" x14ac:dyDescent="0.2">
      <c r="B45" t="s">
        <v>27</v>
      </c>
      <c r="C45" s="41">
        <f t="array" ref="C45:D45">C5:D5/w</f>
        <v>3209.4420883953348</v>
      </c>
      <c r="D45" s="42">
        <v>31.623872672841795</v>
      </c>
      <c r="E45" t="s">
        <v>60</v>
      </c>
      <c r="H45" s="29">
        <f t="array" ref="H45:I45">lambda*Y</f>
        <v>3209.4420883953348</v>
      </c>
      <c r="I45" s="29">
        <v>31.623872672841799</v>
      </c>
      <c r="K45" s="123">
        <f t="array" ref="K45:L45">H45:I45-Labour</f>
        <v>0</v>
      </c>
      <c r="L45" s="123">
        <v>0</v>
      </c>
    </row>
    <row r="46" spans="2:16" x14ac:dyDescent="0.2">
      <c r="B46" t="s">
        <v>2</v>
      </c>
      <c r="C46" s="41">
        <f t="array" ref="C46:D46">C8:D8/pK</f>
        <v>4880.3032028967637</v>
      </c>
      <c r="D46" s="42">
        <v>155.93423175142027</v>
      </c>
      <c r="H46" s="29">
        <f t="array" ref="H46:I46">kappa*Y</f>
        <v>4880.3032028967637</v>
      </c>
      <c r="I46" s="29">
        <v>155.93423175142027</v>
      </c>
      <c r="K46" s="123">
        <f t="array" ref="K46:L46">H46:I46-K</f>
        <v>0</v>
      </c>
      <c r="L46" s="123">
        <v>0</v>
      </c>
    </row>
    <row r="47" spans="2:16" x14ac:dyDescent="0.2">
      <c r="B47" t="s">
        <v>35</v>
      </c>
      <c r="C47" s="119">
        <f t="array" ref="C47:D47">(pK*K+pL*Labour)/pKL</f>
        <v>9924.5937686277557</v>
      </c>
      <c r="D47" s="177">
        <v>205.34242141823884</v>
      </c>
      <c r="H47" s="29">
        <f t="array" ref="H47:I47">(aKLE/pKL)^sigmaKLE*(aKLE^sigmaKLE*pKL^(1-sigmaKLE)+bKLE^sigmaKLE*pEY^(1-sigmaKLE))^(-1/rhoKLE)*KLE</f>
        <v>9924.5937686277557</v>
      </c>
      <c r="I47" s="29">
        <v>205.34242141823879</v>
      </c>
      <c r="K47" s="123">
        <f t="array" ref="K47:L47">H47:I47-KL</f>
        <v>0</v>
      </c>
      <c r="L47" s="123">
        <v>0</v>
      </c>
    </row>
    <row r="48" spans="2:16" x14ac:dyDescent="0.2">
      <c r="B48" t="s">
        <v>53</v>
      </c>
      <c r="C48" s="171">
        <f t="array" ref="C48:D48">(pKL*KL+C4:D4)/pKLE</f>
        <v>10476.87548204976</v>
      </c>
      <c r="D48" s="172">
        <v>680.10699657273551</v>
      </c>
      <c r="H48" s="29">
        <f t="array" ref="H48:I48">(aY/pKLE)^sigmaY*(aY^sigmaY*pKLE^(1-sigmaY)+bY^sigmaY*pMY^(1-sigmaY))^(-1/rhoY)*Y</f>
        <v>10476.875482049762</v>
      </c>
      <c r="I48" s="29">
        <v>680.10699657273517</v>
      </c>
      <c r="K48" s="123">
        <f t="array" ref="K48:L48">H48:I48-KLE</f>
        <v>0</v>
      </c>
      <c r="L48" s="123">
        <v>0</v>
      </c>
    </row>
    <row r="50" spans="2:12" x14ac:dyDescent="0.2">
      <c r="B50" t="s">
        <v>26</v>
      </c>
      <c r="C50" s="43">
        <f t="array" ref="C50:D50">C6:D6/(w*lambda*Y)</f>
        <v>0.57170325146855971</v>
      </c>
      <c r="D50" s="44">
        <v>0.56236999111274899</v>
      </c>
      <c r="G50" s="29"/>
    </row>
    <row r="51" spans="2:12" x14ac:dyDescent="0.2">
      <c r="B51" t="s">
        <v>20</v>
      </c>
      <c r="C51" s="47">
        <f t="array" ref="C51:D51">C7:D7/(pY*Y-C7:D7)</f>
        <v>6.4252998580182508E-3</v>
      </c>
      <c r="D51" s="48">
        <v>3.7719831312407973E-3</v>
      </c>
    </row>
    <row r="52" spans="2:12" x14ac:dyDescent="0.2">
      <c r="B52" t="s">
        <v>155</v>
      </c>
      <c r="C52" s="45">
        <f t="array" ref="C52:D52">C10:D10/(TRANSPOSE(C3:C4+D3:D4+E3:E4+F3:F4+G3:G4)-C10:D10)</f>
        <v>5.9266464816800798E-2</v>
      </c>
      <c r="D52" s="46">
        <v>0.16485636072655629</v>
      </c>
    </row>
    <row r="53" spans="2:12" x14ac:dyDescent="0.2">
      <c r="C53" s="29"/>
      <c r="D53" s="29"/>
    </row>
    <row r="54" spans="2:12" x14ac:dyDescent="0.2">
      <c r="C54" s="29"/>
      <c r="D54" s="29"/>
    </row>
    <row r="55" spans="2:12" x14ac:dyDescent="0.2">
      <c r="B55" t="s">
        <v>48</v>
      </c>
      <c r="C55" s="72">
        <f t="array" ref="C55">SUM(C6:D7,C10:D11)</f>
        <v>3437517.2752293092</v>
      </c>
      <c r="H55" s="29">
        <f t="array" ref="H55">SUM(w*tauL*Labour+tauY/(1+tauY)*pY*Y+tauTS*pS*S)</f>
        <v>3437517.2752293102</v>
      </c>
      <c r="K55" s="123">
        <f t="array" ref="K55">H55-T</f>
        <v>0</v>
      </c>
      <c r="L55" s="128"/>
    </row>
    <row r="56" spans="2:12" x14ac:dyDescent="0.2">
      <c r="B56" t="s">
        <v>47</v>
      </c>
      <c r="C56" s="135">
        <v>1</v>
      </c>
      <c r="K56" s="128"/>
      <c r="L56" s="128"/>
    </row>
    <row r="57" spans="2:12" x14ac:dyDescent="0.2">
      <c r="B57" t="s">
        <v>66</v>
      </c>
      <c r="C57" s="136">
        <f>SUM(C5:D8,C10:D11)</f>
        <v>11714820.670945669</v>
      </c>
      <c r="H57" s="127">
        <f t="array" ref="H57">SUM(pC*Consumption+pG*G+pI*I+pX*X-pW*M)</f>
        <v>11714820.67094567</v>
      </c>
      <c r="I57" s="127">
        <f t="array" ref="I57">SUM(w*Labour,pK*K,T)</f>
        <v>11714820.67094567</v>
      </c>
      <c r="K57" s="123">
        <f>H57-GDP</f>
        <v>0</v>
      </c>
      <c r="L57" s="123">
        <f>I57-GDP</f>
        <v>0</v>
      </c>
    </row>
    <row r="58" spans="2:12" x14ac:dyDescent="0.2">
      <c r="B58" t="s">
        <v>56</v>
      </c>
      <c r="C58" s="120">
        <f t="array" ref="C58">GDP-SUM(pG*G+pI*I+pX*X-pW*M)</f>
        <v>6643090.9398583146</v>
      </c>
      <c r="D58" t="s">
        <v>57</v>
      </c>
      <c r="K58" s="128"/>
      <c r="L58" s="128"/>
    </row>
    <row r="59" spans="2:12" x14ac:dyDescent="0.2">
      <c r="B59" t="s">
        <v>77</v>
      </c>
      <c r="C59" s="73">
        <f>SUM(H3:H4)-SUM(C9:D9)</f>
        <v>137664.2885955791</v>
      </c>
      <c r="K59" s="128"/>
      <c r="L59" s="128"/>
    </row>
    <row r="60" spans="2:12" x14ac:dyDescent="0.2">
      <c r="C60" s="29"/>
      <c r="D60" s="29"/>
    </row>
    <row r="61" spans="2:12" x14ac:dyDescent="0.2">
      <c r="C61" s="29"/>
      <c r="D61" s="29"/>
    </row>
    <row r="62" spans="2:12" x14ac:dyDescent="0.2">
      <c r="B62" t="s">
        <v>114</v>
      </c>
      <c r="C62" s="166">
        <f t="array" ref="C62">SUM(pG*G)/GDP</f>
        <v>0.21672767296897655</v>
      </c>
      <c r="D62" t="s">
        <v>83</v>
      </c>
    </row>
    <row r="63" spans="2:12" x14ac:dyDescent="0.2">
      <c r="B63" t="s">
        <v>115</v>
      </c>
      <c r="C63" s="185">
        <f t="array" ref="C63">SUM(pI*I)/GDP</f>
        <v>0.20445380142857195</v>
      </c>
      <c r="D63" t="s">
        <v>84</v>
      </c>
    </row>
    <row r="64" spans="2:12" x14ac:dyDescent="0.2">
      <c r="B64" t="s">
        <v>100</v>
      </c>
      <c r="C64" s="166">
        <f t="array" ref="C64">(SUM(pI*I)+B)/GDP</f>
        <v>0.21620509429616189</v>
      </c>
      <c r="D64" t="s">
        <v>82</v>
      </c>
    </row>
    <row r="65" spans="2:12" x14ac:dyDescent="0.2">
      <c r="B65" t="s">
        <v>86</v>
      </c>
      <c r="C65" s="167">
        <f t="array" ref="C65">(SUM(pI*I)+B-sL*(SUM(w*Labour))-sG*(T-SUM(pG*G)))/SUM(pK*K)</f>
        <v>0.19743295343067604</v>
      </c>
      <c r="D65" t="s">
        <v>85</v>
      </c>
      <c r="J65" s="62" t="s">
        <v>157</v>
      </c>
      <c r="K65" s="123">
        <f>sK-sL</f>
        <v>0</v>
      </c>
      <c r="L65" s="128"/>
    </row>
    <row r="66" spans="2:12" x14ac:dyDescent="0.2">
      <c r="B66" t="s">
        <v>87</v>
      </c>
      <c r="C66" s="168">
        <f>Model!K60</f>
        <v>0.19743295343067599</v>
      </c>
      <c r="D66" t="s">
        <v>112</v>
      </c>
      <c r="K66" s="128"/>
      <c r="L66" s="128"/>
    </row>
    <row r="67" spans="2:12" x14ac:dyDescent="0.2">
      <c r="B67" t="s">
        <v>126</v>
      </c>
      <c r="C67" s="168">
        <v>1</v>
      </c>
      <c r="D67" t="s">
        <v>156</v>
      </c>
      <c r="G67" s="180"/>
      <c r="K67" s="128"/>
      <c r="L67" s="128"/>
    </row>
    <row r="70" spans="2:12" x14ac:dyDescent="0.2">
      <c r="B70" t="s">
        <v>21</v>
      </c>
      <c r="C70" s="37">
        <f t="array" ref="C70:D71">(C3:D4)/Y/TRANSPOSE(pS*(1+tauTS))</f>
        <v>0.47796858982439094</v>
      </c>
      <c r="D70" s="38">
        <v>0.17068593284758604</v>
      </c>
      <c r="E70" t="s">
        <v>24</v>
      </c>
      <c r="H70" s="37">
        <f t="array" ref="H70:I70">(bY/pMY)^sigmaY*(aY^sigmaY*pKLE^(1-sigmaY)+bY^sigmaY*pMY^(1-sigmaY))^(-1/rhoY)</f>
        <v>0.47796858982439155</v>
      </c>
      <c r="I70" s="38">
        <v>0.17068593284758601</v>
      </c>
      <c r="K70" s="123">
        <f t="array" ref="K70:L71">H70:I71-C70:D71</f>
        <v>6.106226635438361E-16</v>
      </c>
      <c r="L70" s="123">
        <v>0</v>
      </c>
    </row>
    <row r="71" spans="2:12" x14ac:dyDescent="0.2">
      <c r="C71" s="39">
        <v>2.2053138497826006E-2</v>
      </c>
      <c r="D71" s="40">
        <v>0.48867583383045693</v>
      </c>
      <c r="E71" t="s">
        <v>25</v>
      </c>
      <c r="H71" s="39">
        <f t="array" ref="H71:I71">(bKLE/pEY)^sigmaKLE*(aKLE^sigmaKLE*pKL^(1-sigmaKLE)+bKLE^sigmaKLE*pEY^(1-sigmaKLE))^(-1/rhoKLE)*KLE/Y</f>
        <v>2.2053138497825999E-2</v>
      </c>
      <c r="I71" s="40">
        <v>0.48867583383045682</v>
      </c>
      <c r="K71" s="123">
        <v>0</v>
      </c>
      <c r="L71" s="123">
        <v>0</v>
      </c>
    </row>
    <row r="72" spans="2:12" x14ac:dyDescent="0.2">
      <c r="B72" t="s">
        <v>22</v>
      </c>
      <c r="C72" s="37">
        <f t="array" ref="C72:D72">Labour/Y</f>
        <v>0.14928344905798796</v>
      </c>
      <c r="D72" s="38">
        <v>3.7916652170162192E-2</v>
      </c>
      <c r="H72" s="37">
        <f t="array" ref="H72:I72">(bKL/pL)^sigmaKL*(aKL^sigmaKL*pK^(1-sigmaKL)+bKL^sigmaKL*pL^(1-sigmaKL))^(-1/rhoKL)*KL/Y</f>
        <v>0.14928344905798796</v>
      </c>
      <c r="I72" s="38">
        <v>3.7916652170162192E-2</v>
      </c>
      <c r="K72" s="123">
        <f t="array" ref="K72:L72">H72:I72-lambda</f>
        <v>0</v>
      </c>
      <c r="L72" s="123">
        <v>0</v>
      </c>
    </row>
    <row r="73" spans="2:12" x14ac:dyDescent="0.2">
      <c r="B73" t="s">
        <v>23</v>
      </c>
      <c r="C73" s="39">
        <f t="array" ref="C73:D73">K/Y</f>
        <v>0.22700160168381042</v>
      </c>
      <c r="D73" s="40">
        <v>0.18696331369363409</v>
      </c>
      <c r="H73" s="39">
        <f t="array" ref="H73:I73">(aKL/pK)^sigmaKL*(aKL^sigmaKL*pK^(1-sigmaKL)+bKL^sigmaKL*pL^(1-sigmaKL))^(-1/rhoKL)*KL/Y</f>
        <v>0.22700160168381042</v>
      </c>
      <c r="I73" s="40">
        <v>0.18696331369363411</v>
      </c>
      <c r="K73" s="123">
        <f t="array" ref="K73:L73">H73:I73-kappa</f>
        <v>0</v>
      </c>
      <c r="L73" s="123">
        <v>0</v>
      </c>
    </row>
    <row r="75" spans="2:12" x14ac:dyDescent="0.2">
      <c r="F75" t="s">
        <v>42</v>
      </c>
    </row>
    <row r="77" spans="2:12" x14ac:dyDescent="0.2">
      <c r="B77" t="s">
        <v>132</v>
      </c>
      <c r="C77" s="186">
        <f t="array" ref="C77:D77">(S/D)^rhoS*pD*D/(pD*D+pW*M)</f>
        <v>0.95656838134985123</v>
      </c>
      <c r="D77" s="187">
        <v>0.89148882871082702</v>
      </c>
      <c r="E77" s="62" t="s">
        <v>130</v>
      </c>
      <c r="F77" s="63">
        <f t="array" ref="F77:G77">(aS*D^rhoS+bS*M^rhoS)^(1/rhoS)</f>
        <v>20973.127797372967</v>
      </c>
      <c r="G77" s="64">
        <v>1222.2257935314669</v>
      </c>
    </row>
    <row r="78" spans="2:12" x14ac:dyDescent="0.2">
      <c r="B78" t="s">
        <v>133</v>
      </c>
      <c r="C78" s="188">
        <f t="array" ref="C78:D78">(S/M)^rhoS*pW*M/(pD*D+pW*M)</f>
        <v>0.29150803042407891</v>
      </c>
      <c r="D78" s="189">
        <v>0.77905961078048869</v>
      </c>
      <c r="F78" s="132">
        <f t="array" ref="F78:G78">F77:G77-S</f>
        <v>0</v>
      </c>
      <c r="G78" s="133">
        <v>0</v>
      </c>
    </row>
    <row r="79" spans="2:12" x14ac:dyDescent="0.2">
      <c r="B79" t="s">
        <v>134</v>
      </c>
      <c r="C79" s="190">
        <v>2</v>
      </c>
      <c r="D79" s="191">
        <v>4</v>
      </c>
    </row>
    <row r="80" spans="2:12" x14ac:dyDescent="0.2">
      <c r="B80" t="s">
        <v>135</v>
      </c>
      <c r="C80" s="192">
        <f t="array" ref="C80:D80">(sigmaS-1)/sigmaS</f>
        <v>0.5</v>
      </c>
      <c r="D80" s="193">
        <v>0.75</v>
      </c>
    </row>
    <row r="81" spans="2:7" x14ac:dyDescent="0.2">
      <c r="C81" s="194"/>
      <c r="D81" s="194"/>
    </row>
    <row r="82" spans="2:7" x14ac:dyDescent="0.2">
      <c r="B82" t="s">
        <v>31</v>
      </c>
      <c r="C82" s="186">
        <f t="array" ref="C82:D82">(KL/K)^rhoKL*pK*K/(pK*K+pL*Labour)</f>
        <v>9.3852724454510456E-2</v>
      </c>
      <c r="D82" s="187">
        <v>0.15961924048546866</v>
      </c>
      <c r="E82" s="62" t="s">
        <v>35</v>
      </c>
      <c r="F82" s="63">
        <f t="array" ref="F82:G82">(aKL*K^rhoKL+bKL*Labour^rhoKL)^(1/rhoKL)</f>
        <v>9924.5937686277484</v>
      </c>
      <c r="G82" s="64">
        <v>205.34242141823881</v>
      </c>
    </row>
    <row r="83" spans="2:7" x14ac:dyDescent="0.2">
      <c r="B83" t="s">
        <v>32</v>
      </c>
      <c r="C83" s="188">
        <f t="array" ref="C83:D83">(KL/Labour)^rhoKL*pL*Labour/(pK*K+pL*Labour)</f>
        <v>3.6483225918897161E-2</v>
      </c>
      <c r="D83" s="189">
        <v>5.9890744791942918E-6</v>
      </c>
      <c r="F83" s="132">
        <f t="array" ref="F83:G83">F82:G82-KL</f>
        <v>0</v>
      </c>
      <c r="G83" s="133">
        <v>0</v>
      </c>
    </row>
    <row r="84" spans="2:7" x14ac:dyDescent="0.2">
      <c r="B84" t="s">
        <v>33</v>
      </c>
      <c r="C84" s="190">
        <v>0.3</v>
      </c>
      <c r="D84" s="191">
        <v>0.15</v>
      </c>
    </row>
    <row r="85" spans="2:7" x14ac:dyDescent="0.2">
      <c r="B85" t="s">
        <v>34</v>
      </c>
      <c r="C85" s="192">
        <f t="array" ref="C85:D85">(sigmaKL-1)/sigmaKL</f>
        <v>-2.3333333333333335</v>
      </c>
      <c r="D85" s="193">
        <v>-5.666666666666667</v>
      </c>
    </row>
    <row r="86" spans="2:7" x14ac:dyDescent="0.2">
      <c r="C86" s="194"/>
      <c r="D86" s="194"/>
    </row>
    <row r="87" spans="2:7" x14ac:dyDescent="0.2">
      <c r="B87" t="s">
        <v>49</v>
      </c>
      <c r="C87" s="186">
        <f t="array" ref="C87:D87">(KLE/KL)^rhoKLE*(pK*K+pL*Labour)/(pK*K+pL*Labour+pEY*alphaEY*Y)</f>
        <v>0.89735009684508449</v>
      </c>
      <c r="D87" s="187">
        <v>8.3100903426581562E-3</v>
      </c>
      <c r="E87" s="62" t="s">
        <v>53</v>
      </c>
      <c r="F87" s="63">
        <f t="array" ref="F87:G87">(aKLE*KL^rhoKLE+bKLE*(alphaEY*Y)^rhoKLE)^(1/rhoKLE)</f>
        <v>10476.875482049758</v>
      </c>
      <c r="G87" s="64">
        <v>680.10699657273528</v>
      </c>
    </row>
    <row r="88" spans="2:7" x14ac:dyDescent="0.2">
      <c r="B88" t="s">
        <v>50</v>
      </c>
      <c r="C88" s="188">
        <f t="array" ref="C88:D88">(KLE/(alphaEY*Y))^rhoKLE*pEY*alphaEY*Y/(pEY*alphaEY*Y+pK*K+pL*Labour)</f>
        <v>2.3855327705602147E-3</v>
      </c>
      <c r="D88" s="189">
        <v>0.15024053736468718</v>
      </c>
      <c r="F88" s="132">
        <f t="array" ref="F88:G88">F87:G87-KLE</f>
        <v>0</v>
      </c>
      <c r="G88" s="133">
        <v>0</v>
      </c>
    </row>
    <row r="89" spans="2:7" x14ac:dyDescent="0.2">
      <c r="B89" t="s">
        <v>51</v>
      </c>
      <c r="C89" s="190">
        <v>0.5</v>
      </c>
      <c r="D89" s="191">
        <v>0.25</v>
      </c>
    </row>
    <row r="90" spans="2:7" x14ac:dyDescent="0.2">
      <c r="B90" t="s">
        <v>52</v>
      </c>
      <c r="C90" s="192">
        <f t="array" ref="C90:D90">(sigmaKLE-1)/sigmaKLE</f>
        <v>-1</v>
      </c>
      <c r="D90" s="193">
        <v>-3</v>
      </c>
    </row>
    <row r="91" spans="2:7" x14ac:dyDescent="0.2">
      <c r="C91" s="194"/>
      <c r="D91" s="194"/>
    </row>
    <row r="92" spans="2:7" x14ac:dyDescent="0.2">
      <c r="B92" t="s">
        <v>37</v>
      </c>
      <c r="C92" s="186">
        <f t="array" ref="C92:D92">(Y/KLE)^rhoY*(pK*K+pL*Labour+pEY*alphaEY*Y)/(pK*K+pL*Labour+pEY*alphaEY*Y+pMY*alphaMY*Y)</f>
        <v>0.36041379189332307</v>
      </c>
      <c r="D92" s="187">
        <v>0.56036351897327996</v>
      </c>
      <c r="E92" s="62" t="s">
        <v>19</v>
      </c>
      <c r="F92" s="63">
        <f t="array" ref="F92:G92">(aY*KLE^rhoY+bY*(alphaMY*Y)^rhoY)^(1/rhoY)</f>
        <v>21498.981358266024</v>
      </c>
      <c r="G92" s="64">
        <v>834.03652123400195</v>
      </c>
    </row>
    <row r="93" spans="2:7" x14ac:dyDescent="0.2">
      <c r="B93" t="s">
        <v>38</v>
      </c>
      <c r="C93" s="188">
        <f t="array" ref="C93:D93">(Y/(alphaMY*Y))^rhoY*pMY*alphaMY*Y/(pMY*alphaMY*Y+pK*K+pL*Labour+pEY*alphaEY*Y)</f>
        <v>0.3713520716070341</v>
      </c>
      <c r="D93" s="189">
        <v>6.8064321804125628E-3</v>
      </c>
      <c r="F93" s="132">
        <f t="array" ref="F93:G93">F92:G92-Y</f>
        <v>0</v>
      </c>
      <c r="G93" s="133">
        <v>-1.3642420526593924E-12</v>
      </c>
    </row>
    <row r="94" spans="2:7" x14ac:dyDescent="0.2">
      <c r="B94" t="s">
        <v>39</v>
      </c>
      <c r="C94" s="190">
        <v>0.7</v>
      </c>
      <c r="D94" s="191">
        <v>0.35</v>
      </c>
    </row>
    <row r="95" spans="2:7" x14ac:dyDescent="0.2">
      <c r="B95" t="s">
        <v>40</v>
      </c>
      <c r="C95" s="192">
        <f t="array" ref="C95:D95">(sigmaY-1)/sigmaY</f>
        <v>-0.42857142857142866</v>
      </c>
      <c r="D95" s="193">
        <v>-1.8571428571428574</v>
      </c>
    </row>
    <row r="96" spans="2:7" x14ac:dyDescent="0.2">
      <c r="C96" s="194"/>
      <c r="D96" s="194"/>
    </row>
    <row r="97" spans="2:9" x14ac:dyDescent="0.2">
      <c r="B97" t="s">
        <v>120</v>
      </c>
      <c r="C97" s="186">
        <f t="array" ref="C97:D97">(Y/D)^rhoX*pD*D/(pD*D+pX*X)</f>
        <v>1.0584279955606408</v>
      </c>
      <c r="D97" s="187">
        <v>1.0394054770479291</v>
      </c>
      <c r="E97" s="62" t="s">
        <v>19</v>
      </c>
      <c r="F97" s="63">
        <f t="array" ref="F97:G97">(aX*D^rhoX+bX*X^rhoX)^(1/rhoX)</f>
        <v>21498.981358265988</v>
      </c>
      <c r="G97" s="64">
        <v>834.03652123400275</v>
      </c>
    </row>
    <row r="98" spans="2:9" x14ac:dyDescent="0.2">
      <c r="B98" t="s">
        <v>121</v>
      </c>
      <c r="C98" s="188">
        <f t="array" ref="C98:D98">(Y/X)^rhoX*pX*X/(pD*D+pX*X)</f>
        <v>3.0519891458809019</v>
      </c>
      <c r="D98" s="189">
        <v>3.6665272372954751</v>
      </c>
      <c r="F98" s="132">
        <f t="array" ref="F98:G98">F97:G97-Y</f>
        <v>0</v>
      </c>
      <c r="G98" s="133">
        <v>0</v>
      </c>
    </row>
    <row r="99" spans="2:9" x14ac:dyDescent="0.2">
      <c r="B99" t="s">
        <v>68</v>
      </c>
      <c r="C99" s="183">
        <v>-2</v>
      </c>
      <c r="D99" s="184">
        <v>-2</v>
      </c>
    </row>
    <row r="100" spans="2:9" x14ac:dyDescent="0.2">
      <c r="B100" t="s">
        <v>122</v>
      </c>
      <c r="C100" s="192">
        <f t="array" ref="C100:D100">(sigmaX - 1)/sigmaX</f>
        <v>1.5</v>
      </c>
      <c r="D100" s="193">
        <v>1.5</v>
      </c>
    </row>
    <row r="102" spans="2:9" x14ac:dyDescent="0.2">
      <c r="B102" t="s">
        <v>113</v>
      </c>
      <c r="C102" s="30">
        <v>-0.1</v>
      </c>
    </row>
    <row r="104" spans="2:9" x14ac:dyDescent="0.2">
      <c r="B104" t="s">
        <v>43</v>
      </c>
      <c r="C104" s="69">
        <f>(U/CQ)^rhoU*pCQ*CQ/(pCQ*CQ+pCE*CE)</f>
        <v>306.9103917105399</v>
      </c>
      <c r="E104" s="62" t="s">
        <v>47</v>
      </c>
      <c r="F104" s="66">
        <f>(aU*CQ^rhoU+bU*CE^rhoU)^(1/rhoU)</f>
        <v>1.0000000000000002</v>
      </c>
    </row>
    <row r="105" spans="2:9" x14ac:dyDescent="0.2">
      <c r="B105" t="s">
        <v>44</v>
      </c>
      <c r="C105" s="70">
        <f>(U/CE)^rhoU*pCE*CE/(pCQ*CQ+pCE*CE)</f>
        <v>2.9118299202701641</v>
      </c>
      <c r="F105" s="126">
        <f t="array" ref="F105">F104-U</f>
        <v>0</v>
      </c>
    </row>
    <row r="106" spans="2:9" x14ac:dyDescent="0.2">
      <c r="B106" t="s">
        <v>45</v>
      </c>
      <c r="C106" s="240">
        <v>0.6</v>
      </c>
    </row>
    <row r="107" spans="2:9" x14ac:dyDescent="0.2">
      <c r="B107" t="s">
        <v>46</v>
      </c>
      <c r="C107" s="71">
        <f>(sigmaU-1)/sigmaU</f>
        <v>-0.66666666666666674</v>
      </c>
    </row>
    <row r="109" spans="2:9" x14ac:dyDescent="0.2">
      <c r="B109" t="s">
        <v>54</v>
      </c>
      <c r="C109" s="68">
        <f>-sigmaU-(1-sigmaU)*pCQ*CQ/(pCQ*CQ+pCE*CE)</f>
        <v>-0.97611526291879125</v>
      </c>
      <c r="D109" s="67">
        <v>-0.65</v>
      </c>
      <c r="E109" s="62" t="s">
        <v>55</v>
      </c>
      <c r="F109" s="65">
        <f>-sigmaU-(1-sigmaU)*pCE*CE/(pCQ*CQ+pCE*CE)</f>
        <v>-0.62388473708120873</v>
      </c>
    </row>
    <row r="110" spans="2:9" x14ac:dyDescent="0.2">
      <c r="F110" s="126">
        <f>F109-epsilonE</f>
        <v>2.6115262918791293E-2</v>
      </c>
    </row>
    <row r="111" spans="2:9" x14ac:dyDescent="0.2">
      <c r="H111" s="118"/>
      <c r="I111" s="118"/>
    </row>
    <row r="112" spans="2:9" x14ac:dyDescent="0.2">
      <c r="H112" s="118"/>
      <c r="I112" s="118"/>
    </row>
    <row r="113" spans="2:16" ht="10.5" x14ac:dyDescent="0.25">
      <c r="B113" s="99" t="s">
        <v>108</v>
      </c>
    </row>
    <row r="114" spans="2:16" x14ac:dyDescent="0.2">
      <c r="B114" t="s">
        <v>12</v>
      </c>
      <c r="C114" s="87">
        <f t="array" ref="C114:D114">pY</f>
        <v>1000</v>
      </c>
      <c r="D114" s="88">
        <v>1000</v>
      </c>
    </row>
    <row r="115" spans="2:16" x14ac:dyDescent="0.2">
      <c r="B115" t="s">
        <v>131</v>
      </c>
      <c r="C115" s="100">
        <f t="array" ref="C115:D115">pS</f>
        <v>1000</v>
      </c>
      <c r="D115" s="101">
        <v>1000</v>
      </c>
    </row>
    <row r="116" spans="2:16" x14ac:dyDescent="0.2">
      <c r="B116" t="s">
        <v>17</v>
      </c>
      <c r="C116" s="100">
        <f t="array" ref="C116:D116">w</f>
        <v>1000</v>
      </c>
      <c r="D116" s="101">
        <v>1000</v>
      </c>
    </row>
    <row r="117" spans="2:16" x14ac:dyDescent="0.2">
      <c r="B117" t="s">
        <v>18</v>
      </c>
      <c r="C117" s="159">
        <f t="array" ref="C117:D117">pK</f>
        <v>1000</v>
      </c>
      <c r="D117" s="160">
        <v>1000</v>
      </c>
    </row>
    <row r="118" spans="2:16" x14ac:dyDescent="0.2">
      <c r="B118" t="s">
        <v>63</v>
      </c>
      <c r="C118" s="159">
        <f t="array" ref="C118:D118">pKL</f>
        <v>1000</v>
      </c>
      <c r="D118" s="160">
        <v>1000</v>
      </c>
    </row>
    <row r="119" spans="2:16" x14ac:dyDescent="0.2">
      <c r="B119" t="s">
        <v>130</v>
      </c>
      <c r="C119" s="85">
        <f t="array" ref="C119:D119">S</f>
        <v>20973.127797372959</v>
      </c>
      <c r="D119" s="86">
        <v>1222.2257935314667</v>
      </c>
    </row>
    <row r="120" spans="2:16" x14ac:dyDescent="0.2">
      <c r="B120" t="s">
        <v>8</v>
      </c>
      <c r="C120" s="100">
        <f>C43</f>
        <v>2261.1304131516072</v>
      </c>
      <c r="D120" s="227">
        <f>D52</f>
        <v>0.16485636072655629</v>
      </c>
      <c r="E120" t="s">
        <v>154</v>
      </c>
    </row>
    <row r="121" spans="2:16" x14ac:dyDescent="0.2">
      <c r="B121" t="s">
        <v>66</v>
      </c>
      <c r="C121" s="162">
        <f>GDP</f>
        <v>11714820.670945669</v>
      </c>
      <c r="D121" s="163">
        <v>0</v>
      </c>
    </row>
    <row r="122" spans="2:16" x14ac:dyDescent="0.2">
      <c r="B122" t="s">
        <v>27</v>
      </c>
      <c r="C122" s="162">
        <f t="array" ref="C122:D122">Labour</f>
        <v>3209.4420883953348</v>
      </c>
      <c r="D122" s="170">
        <v>31.623872672841795</v>
      </c>
    </row>
    <row r="123" spans="2:16" x14ac:dyDescent="0.2">
      <c r="B123" t="s">
        <v>19</v>
      </c>
      <c r="C123" s="161">
        <f t="array" ref="C123:D123">Y</f>
        <v>21498.981358265999</v>
      </c>
      <c r="D123" s="164">
        <v>834.03652123400332</v>
      </c>
    </row>
    <row r="126" spans="2:16" x14ac:dyDescent="0.2">
      <c r="E126" s="29"/>
      <c r="F126" s="29"/>
      <c r="G126" s="29"/>
      <c r="H126" s="29"/>
      <c r="I126" s="29"/>
      <c r="J126" s="29"/>
      <c r="K126" s="29"/>
      <c r="L126" s="29"/>
      <c r="M126" s="29"/>
      <c r="N126" s="29"/>
      <c r="O126" s="29"/>
      <c r="P126" s="29"/>
    </row>
    <row r="127" spans="2:16" x14ac:dyDescent="0.2">
      <c r="E127" s="29"/>
      <c r="F127" s="29"/>
      <c r="G127" s="29"/>
      <c r="H127" s="29"/>
      <c r="I127" s="29"/>
      <c r="J127" s="29"/>
      <c r="K127" s="29"/>
      <c r="L127" s="29"/>
      <c r="M127" s="29"/>
      <c r="N127" s="29"/>
      <c r="O127" s="29"/>
      <c r="P127" s="29"/>
    </row>
  </sheetData>
  <conditionalFormatting sqref="C14:D14">
    <cfRule type="cellIs" dxfId="110" priority="28" stopIfTrue="1" operator="notEqual">
      <formula>0</formula>
    </cfRule>
  </conditionalFormatting>
  <conditionalFormatting sqref="K21:L21">
    <cfRule type="cellIs" dxfId="109" priority="27" stopIfTrue="1" operator="notEqual">
      <formula>0</formula>
    </cfRule>
  </conditionalFormatting>
  <conditionalFormatting sqref="K23:L23 K25:L30">
    <cfRule type="cellIs" dxfId="108" priority="26" stopIfTrue="1" operator="notEqual">
      <formula>0</formula>
    </cfRule>
  </conditionalFormatting>
  <conditionalFormatting sqref="K32:L32">
    <cfRule type="cellIs" dxfId="107" priority="25" stopIfTrue="1" operator="notEqual">
      <formula>0</formula>
    </cfRule>
  </conditionalFormatting>
  <conditionalFormatting sqref="K37:L39 K41:L43">
    <cfRule type="cellIs" dxfId="106" priority="24" stopIfTrue="1" operator="notEqual">
      <formula>0</formula>
    </cfRule>
  </conditionalFormatting>
  <conditionalFormatting sqref="K45:L48">
    <cfRule type="cellIs" dxfId="105" priority="23" stopIfTrue="1" operator="notEqual">
      <formula>0</formula>
    </cfRule>
  </conditionalFormatting>
  <conditionalFormatting sqref="K34:L35">
    <cfRule type="cellIs" dxfId="104" priority="22" stopIfTrue="1" operator="notEqual">
      <formula>0</formula>
    </cfRule>
  </conditionalFormatting>
  <conditionalFormatting sqref="K70:L73">
    <cfRule type="cellIs" dxfId="103" priority="21" stopIfTrue="1" operator="notEqual">
      <formula>0</formula>
    </cfRule>
  </conditionalFormatting>
  <conditionalFormatting sqref="K57">
    <cfRule type="cellIs" dxfId="102" priority="20" stopIfTrue="1" operator="notEqual">
      <formula>0</formula>
    </cfRule>
  </conditionalFormatting>
  <conditionalFormatting sqref="K55">
    <cfRule type="cellIs" dxfId="101" priority="19" stopIfTrue="1" operator="notEqual">
      <formula>0</formula>
    </cfRule>
  </conditionalFormatting>
  <conditionalFormatting sqref="F78:G78">
    <cfRule type="cellIs" dxfId="100" priority="18" stopIfTrue="1" operator="notEqual">
      <formula>0</formula>
    </cfRule>
  </conditionalFormatting>
  <conditionalFormatting sqref="F83:G83">
    <cfRule type="cellIs" dxfId="99" priority="17" stopIfTrue="1" operator="notEqual">
      <formula>0</formula>
    </cfRule>
  </conditionalFormatting>
  <conditionalFormatting sqref="F88:G88">
    <cfRule type="cellIs" dxfId="98" priority="16" stopIfTrue="1" operator="notEqual">
      <formula>0</formula>
    </cfRule>
  </conditionalFormatting>
  <conditionalFormatting sqref="F93:G93">
    <cfRule type="cellIs" dxfId="97" priority="15" stopIfTrue="1" operator="notEqual">
      <formula>0</formula>
    </cfRule>
  </conditionalFormatting>
  <conditionalFormatting sqref="F105">
    <cfRule type="cellIs" dxfId="96" priority="14" stopIfTrue="1" operator="notEqual">
      <formula>0</formula>
    </cfRule>
  </conditionalFormatting>
  <conditionalFormatting sqref="F110">
    <cfRule type="cellIs" dxfId="95" priority="13" stopIfTrue="1" operator="notEqual">
      <formula>0</formula>
    </cfRule>
  </conditionalFormatting>
  <conditionalFormatting sqref="K44:L44">
    <cfRule type="cellIs" dxfId="94" priority="11" stopIfTrue="1" operator="notEqual">
      <formula>0</formula>
    </cfRule>
  </conditionalFormatting>
  <conditionalFormatting sqref="L57">
    <cfRule type="cellIs" dxfId="93" priority="8" stopIfTrue="1" operator="notEqual">
      <formula>0</formula>
    </cfRule>
  </conditionalFormatting>
  <conditionalFormatting sqref="K24:L24">
    <cfRule type="cellIs" dxfId="92" priority="6" stopIfTrue="1" operator="notEqual">
      <formula>0</formula>
    </cfRule>
  </conditionalFormatting>
  <conditionalFormatting sqref="K40:L40">
    <cfRule type="cellIs" dxfId="91" priority="5" stopIfTrue="1" operator="notEqual">
      <formula>0</formula>
    </cfRule>
  </conditionalFormatting>
  <conditionalFormatting sqref="F98:G98">
    <cfRule type="cellIs" dxfId="90" priority="3" stopIfTrue="1" operator="notEqual">
      <formula>0</formula>
    </cfRule>
  </conditionalFormatting>
  <conditionalFormatting sqref="K65">
    <cfRule type="cellIs" dxfId="89"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A41" workbookViewId="0">
      <selection activeCell="Q69" sqref="Q69"/>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29" t="s">
        <v>70</v>
      </c>
      <c r="C2" s="2" t="s">
        <v>24</v>
      </c>
      <c r="D2" s="3" t="s">
        <v>25</v>
      </c>
      <c r="E2" s="4" t="s">
        <v>6</v>
      </c>
      <c r="F2" s="5" t="s">
        <v>7</v>
      </c>
      <c r="G2" s="5" t="s">
        <v>8</v>
      </c>
      <c r="H2" s="6" t="s">
        <v>0</v>
      </c>
      <c r="I2" s="1"/>
      <c r="K2" s="129" t="s">
        <v>88</v>
      </c>
      <c r="L2" s="2" t="s">
        <v>24</v>
      </c>
      <c r="M2" s="3" t="s">
        <v>25</v>
      </c>
      <c r="N2" s="4" t="s">
        <v>6</v>
      </c>
      <c r="O2" s="5" t="s">
        <v>7</v>
      </c>
      <c r="P2" s="5" t="s">
        <v>8</v>
      </c>
      <c r="Q2" s="6" t="s">
        <v>0</v>
      </c>
      <c r="R2" s="1"/>
    </row>
    <row r="3" spans="2:18" ht="10.5" x14ac:dyDescent="0.25">
      <c r="B3" s="2" t="s">
        <v>24</v>
      </c>
      <c r="C3" s="51">
        <f t="array" ref="C3:D11">Calibration!C3:D11</f>
        <v>10884850.382054584</v>
      </c>
      <c r="D3" s="52">
        <v>150795.37493224326</v>
      </c>
      <c r="E3" s="53">
        <f t="array" ref="E3:H4">Calibration!E3:H4</f>
        <v>6246419.7385956254</v>
      </c>
      <c r="F3" s="54">
        <v>2538925.8232629192</v>
      </c>
      <c r="G3" s="54">
        <v>2395139.6192288557</v>
      </c>
      <c r="H3" s="60">
        <v>2308085.6113992818</v>
      </c>
      <c r="I3" s="9">
        <f>SUM(C3:H3)</f>
        <v>24524216.549473509</v>
      </c>
      <c r="K3" s="2" t="s">
        <v>24</v>
      </c>
      <c r="L3" s="51">
        <f t="array" ref="L3:M4">pIC*alpha*Y</f>
        <v>10884850.382054599</v>
      </c>
      <c r="M3" s="52">
        <v>150795.37493224323</v>
      </c>
      <c r="N3" s="53">
        <f t="array" ref="N3:N4">TRANSPOSE(pC*Consumption)</f>
        <v>6246419.7385956133</v>
      </c>
      <c r="O3" s="54">
        <f t="array" ref="O3:O4">TRANSPOSE(pG*G)</f>
        <v>2538925.8232629192</v>
      </c>
      <c r="P3" s="54">
        <f t="array" ref="P3:P4">TRANSPOSE(pI*I)</f>
        <v>2395139.6192288552</v>
      </c>
      <c r="Q3" s="60">
        <f t="array" ref="Q3:Q4">TRANSPOSE(pX*X)</f>
        <v>2308085.6113992902</v>
      </c>
      <c r="R3" s="9">
        <f t="array" ref="R3">SUM(L3:Q3)</f>
        <v>24524216.549473517</v>
      </c>
    </row>
    <row r="4" spans="2:18" ht="10.5" x14ac:dyDescent="0.25">
      <c r="B4" s="10" t="s">
        <v>25</v>
      </c>
      <c r="C4" s="55">
        <v>552281.71342200483</v>
      </c>
      <c r="D4" s="56">
        <v>474764.57515449659</v>
      </c>
      <c r="E4" s="55">
        <v>396671.20126269024</v>
      </c>
      <c r="F4" s="57">
        <v>0</v>
      </c>
      <c r="G4" s="57">
        <v>0</v>
      </c>
      <c r="H4" s="49">
        <v>62040.492544331697</v>
      </c>
      <c r="I4" s="11">
        <f>SUM(C4:H4)</f>
        <v>1485757.9823835231</v>
      </c>
      <c r="K4" s="10" t="s">
        <v>25</v>
      </c>
      <c r="L4" s="55">
        <v>552281.71342200495</v>
      </c>
      <c r="M4" s="56">
        <v>474764.57515449624</v>
      </c>
      <c r="N4" s="55">
        <v>396671.2012626896</v>
      </c>
      <c r="O4" s="57">
        <v>0</v>
      </c>
      <c r="P4" s="57">
        <v>0</v>
      </c>
      <c r="Q4" s="49">
        <v>62040.492544331704</v>
      </c>
      <c r="R4" s="11">
        <f t="array" ref="R4">SUM(L4:Q4)</f>
        <v>1485757.9823835227</v>
      </c>
    </row>
    <row r="5" spans="2:18" x14ac:dyDescent="0.2">
      <c r="B5" s="12" t="s">
        <v>1</v>
      </c>
      <c r="C5" s="51">
        <v>3209442.0883953348</v>
      </c>
      <c r="D5" s="52">
        <v>31623.872672841797</v>
      </c>
      <c r="E5" s="13"/>
      <c r="F5" s="13"/>
      <c r="G5" s="13"/>
      <c r="H5" s="13"/>
      <c r="I5" s="1"/>
      <c r="K5" s="12" t="s">
        <v>1</v>
      </c>
      <c r="L5" s="51">
        <f t="array" ref="L5:M5">w*Labour</f>
        <v>3209442.0883953348</v>
      </c>
      <c r="M5" s="52">
        <v>31623.872672841797</v>
      </c>
      <c r="N5" s="13"/>
      <c r="O5" s="13"/>
      <c r="P5" s="13"/>
      <c r="Q5" s="13"/>
      <c r="R5" s="1"/>
    </row>
    <row r="6" spans="2:18" x14ac:dyDescent="0.2">
      <c r="B6" s="14" t="s">
        <v>9</v>
      </c>
      <c r="C6" s="53">
        <v>1834848.4773356575</v>
      </c>
      <c r="D6" s="58">
        <v>17784.31699397675</v>
      </c>
      <c r="E6" s="13"/>
      <c r="F6" s="13"/>
      <c r="G6" s="13"/>
      <c r="H6" s="13"/>
      <c r="I6" s="1"/>
      <c r="K6" s="14" t="s">
        <v>9</v>
      </c>
      <c r="L6" s="53">
        <f t="array" ref="L6:M6">w*tauL*Labour</f>
        <v>1834848.4773356577</v>
      </c>
      <c r="M6" s="58">
        <v>17784.316993976743</v>
      </c>
      <c r="N6" s="13"/>
      <c r="O6" s="13"/>
      <c r="P6" s="13"/>
      <c r="Q6" s="13"/>
      <c r="R6" s="1"/>
    </row>
    <row r="7" spans="2:18" x14ac:dyDescent="0.2">
      <c r="B7" s="14" t="s">
        <v>10</v>
      </c>
      <c r="C7" s="53">
        <v>137255.49416165444</v>
      </c>
      <c r="D7" s="58">
        <v>3134.1497290247535</v>
      </c>
      <c r="E7" s="13"/>
      <c r="F7" s="13"/>
      <c r="G7" s="13"/>
      <c r="H7" s="13"/>
      <c r="I7" s="1"/>
      <c r="K7" s="14" t="s">
        <v>10</v>
      </c>
      <c r="L7" s="53">
        <f t="array" ref="L7:M7">tauY*pY/(1+tauY)*Y</f>
        <v>137255.49416165444</v>
      </c>
      <c r="M7" s="58">
        <v>3134.149729024753</v>
      </c>
      <c r="N7" s="13"/>
      <c r="O7" s="13"/>
      <c r="P7" s="13"/>
      <c r="Q7" s="13"/>
      <c r="R7" s="1"/>
    </row>
    <row r="8" spans="2:18" x14ac:dyDescent="0.2">
      <c r="B8" s="14" t="s">
        <v>2</v>
      </c>
      <c r="C8" s="53">
        <v>4880303.2028967636</v>
      </c>
      <c r="D8" s="58">
        <v>155934.23175142027</v>
      </c>
      <c r="E8" s="13"/>
      <c r="F8" s="13"/>
      <c r="G8" s="13"/>
      <c r="H8" s="13"/>
      <c r="I8" s="1"/>
      <c r="K8" s="14" t="s">
        <v>2</v>
      </c>
      <c r="L8" s="53">
        <f t="array" ref="L8:M8">pK*kappa*Y</f>
        <v>4880303.202896758</v>
      </c>
      <c r="M8" s="58">
        <v>155934.2317514201</v>
      </c>
      <c r="N8" s="13"/>
      <c r="O8" s="13"/>
      <c r="P8" s="13"/>
      <c r="Q8" s="13"/>
      <c r="R8" s="1"/>
    </row>
    <row r="9" spans="2:18" x14ac:dyDescent="0.2">
      <c r="B9" s="2" t="s">
        <v>3</v>
      </c>
      <c r="C9" s="130">
        <v>1782232.0505062393</v>
      </c>
      <c r="D9" s="131">
        <v>450229.76484179485</v>
      </c>
      <c r="E9" s="13"/>
      <c r="F9" s="13"/>
      <c r="G9" s="13"/>
      <c r="H9" s="13"/>
      <c r="I9" s="1"/>
      <c r="K9" s="2" t="s">
        <v>3</v>
      </c>
      <c r="L9" s="130">
        <f t="array" ref="L9:M9">pW*M</f>
        <v>1782232.0505062356</v>
      </c>
      <c r="M9" s="131">
        <v>450229.76484179421</v>
      </c>
      <c r="N9" s="13"/>
      <c r="O9" s="13"/>
      <c r="P9" s="13"/>
      <c r="Q9" s="13"/>
      <c r="R9" s="1"/>
    </row>
    <row r="10" spans="2:18" x14ac:dyDescent="0.2">
      <c r="B10" s="2" t="s">
        <v>4</v>
      </c>
      <c r="C10" s="59">
        <v>1243003.1407012711</v>
      </c>
      <c r="D10" s="60">
        <v>201491.69630772495</v>
      </c>
      <c r="E10" s="13"/>
      <c r="F10" s="13"/>
      <c r="G10" s="13"/>
      <c r="H10" s="13"/>
      <c r="I10" s="1"/>
      <c r="K10" s="2" t="s">
        <v>4</v>
      </c>
      <c r="L10" s="59">
        <f t="array" ref="L10:M10">tauTS*pS*S</f>
        <v>1243003.1407012714</v>
      </c>
      <c r="M10" s="60">
        <v>201491.69630772498</v>
      </c>
      <c r="N10" s="13"/>
      <c r="O10" s="13"/>
      <c r="P10" s="13"/>
      <c r="Q10" s="13"/>
      <c r="R10" s="1"/>
    </row>
    <row r="11" spans="2:18" x14ac:dyDescent="0.2">
      <c r="B11" s="15" t="s">
        <v>5</v>
      </c>
      <c r="C11" s="61">
        <v>0</v>
      </c>
      <c r="D11" s="49">
        <v>0</v>
      </c>
      <c r="E11" s="13"/>
      <c r="F11" s="50" t="s">
        <v>24</v>
      </c>
      <c r="G11" s="16" t="s">
        <v>25</v>
      </c>
      <c r="H11" s="13"/>
      <c r="I11" s="1"/>
      <c r="K11" s="15"/>
      <c r="L11" s="61"/>
      <c r="M11" s="49"/>
      <c r="N11" s="13"/>
      <c r="O11" s="107" t="s">
        <v>24</v>
      </c>
      <c r="P11" s="16" t="s">
        <v>25</v>
      </c>
      <c r="Q11" s="13"/>
      <c r="R11" s="1"/>
    </row>
    <row r="12" spans="2:18" ht="10.5" x14ac:dyDescent="0.25">
      <c r="B12" s="1"/>
      <c r="C12" s="17">
        <f>SUM(C3:C11)</f>
        <v>24524216.549473509</v>
      </c>
      <c r="D12" s="18">
        <f>SUM(D3:D11)</f>
        <v>1485757.9823835234</v>
      </c>
      <c r="E12" s="19"/>
      <c r="F12" s="20">
        <f>SUM(C3:C8)</f>
        <v>21498981.358266</v>
      </c>
      <c r="G12" s="21">
        <f>SUM(D3:D8)</f>
        <v>834036.52123400336</v>
      </c>
      <c r="H12" s="1" t="s">
        <v>11</v>
      </c>
      <c r="I12" s="1"/>
      <c r="K12" s="1"/>
      <c r="L12" s="17">
        <f>SUM(L3:L11)</f>
        <v>24524216.549473513</v>
      </c>
      <c r="M12" s="18">
        <f>SUM(M3:M11)</f>
        <v>1485757.982383522</v>
      </c>
      <c r="N12" s="19"/>
      <c r="O12" s="20">
        <f t="array" ref="O12:P12">pY*Y</f>
        <v>21498981.358266</v>
      </c>
      <c r="P12" s="21">
        <v>834036.52123400336</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3">
        <f>I3-C12</f>
        <v>0</v>
      </c>
      <c r="D14" s="24">
        <f>I4-D12</f>
        <v>0</v>
      </c>
      <c r="E14" s="13"/>
      <c r="F14" s="13"/>
      <c r="G14" s="13"/>
      <c r="H14" s="13"/>
      <c r="I14" s="1"/>
      <c r="K14" s="22" t="s">
        <v>30</v>
      </c>
      <c r="L14" s="23">
        <f t="array" ref="L14">R3-L12</f>
        <v>0</v>
      </c>
      <c r="M14" s="24">
        <f t="array" ref="M14">R4-M12</f>
        <v>0</v>
      </c>
      <c r="N14" s="13"/>
      <c r="O14" s="13"/>
      <c r="P14" s="13"/>
      <c r="Q14" s="13"/>
      <c r="R14" s="1"/>
    </row>
    <row r="15" spans="2:18" x14ac:dyDescent="0.2">
      <c r="B15" s="1"/>
      <c r="C15" s="1"/>
      <c r="D15" s="1"/>
      <c r="E15" s="13"/>
      <c r="F15" s="25"/>
      <c r="G15" s="26"/>
      <c r="H15" s="13"/>
      <c r="I15" s="1"/>
    </row>
    <row r="16" spans="2:18" x14ac:dyDescent="0.2">
      <c r="G16" s="26"/>
      <c r="H16" s="27"/>
      <c r="I16" s="1"/>
    </row>
    <row r="17" spans="2:21" x14ac:dyDescent="0.2">
      <c r="K17" s="62" t="s">
        <v>67</v>
      </c>
      <c r="L17" s="134">
        <f>MAX(ERROR1,ERROR2,ERROR3,ERROR4,ERROR5,ERROR6,ERROR7,ERROR8,ERROR9,ERROR10,ERROR11,ABS(MIN(ERROR1,ERROR2,ERROR3,ERROR4,ERROR5,ERROR6,ERROR7,ERROR8,ERROR9,ERROR10,ERROR11)))</f>
        <v>99.00000000000324</v>
      </c>
    </row>
    <row r="19" spans="2:21" ht="10.5" x14ac:dyDescent="0.25">
      <c r="B19" s="99" t="s">
        <v>81</v>
      </c>
      <c r="C19" s="115" t="s">
        <v>89</v>
      </c>
      <c r="H19" s="99" t="s">
        <v>62</v>
      </c>
      <c r="K19" s="99" t="s">
        <v>61</v>
      </c>
      <c r="Q19" s="99" t="s">
        <v>42</v>
      </c>
    </row>
    <row r="21" spans="2:21" ht="10.5" x14ac:dyDescent="0.25">
      <c r="B21" t="s">
        <v>12</v>
      </c>
      <c r="C21" s="87">
        <f t="array" ref="C21:D21">ABS(C80:D80)</f>
        <v>1000</v>
      </c>
      <c r="D21" s="88">
        <v>1000</v>
      </c>
      <c r="H21" s="63">
        <f t="array" ref="H21:I21">(aY^sigmaY*pKLE^(1-sigmaY)+bY^sigmaY*pMY^(1-sigmaY))^(1/(1-sigmaY))*(1+tauY)</f>
        <v>1000.0000000000009</v>
      </c>
      <c r="I21" s="64">
        <v>999.99999999999909</v>
      </c>
      <c r="J21" s="116" t="s">
        <v>71</v>
      </c>
      <c r="K21" s="123">
        <f t="array" ref="K21:L21">H21:I21/pY-1</f>
        <v>0</v>
      </c>
      <c r="L21" s="123">
        <v>-8.8817841970012523E-16</v>
      </c>
      <c r="N21" s="74">
        <f t="array" ref="N21:O35">PRICES/Calibration!PRICES-1</f>
        <v>0</v>
      </c>
      <c r="O21" s="75">
        <v>0</v>
      </c>
      <c r="Q21" s="123">
        <f t="array" ref="Q21:R21">(pKLE*KLE+pMY*alphaMY*Y)*(1+tauY)/Y-pY</f>
        <v>0</v>
      </c>
      <c r="R21" s="123">
        <v>0</v>
      </c>
      <c r="T21" s="123">
        <f t="array" ref="T21:U21">(aX^sigmaX*pD^(1-sigmaX)+bX^sigmaX*pW^(1-sigmaX))^(1/(1-sigmaX))-pY</f>
        <v>-2.0463630789890885E-12</v>
      </c>
      <c r="U21" s="123">
        <v>0</v>
      </c>
    </row>
    <row r="22" spans="2:21" x14ac:dyDescent="0.2">
      <c r="B22" t="s">
        <v>119</v>
      </c>
      <c r="C22" s="104">
        <f t="array" ref="C22:D22">Calibration!pW</f>
        <v>1000</v>
      </c>
      <c r="D22" s="105">
        <v>1000</v>
      </c>
      <c r="N22" s="76">
        <v>0</v>
      </c>
      <c r="O22" s="77">
        <v>0</v>
      </c>
    </row>
    <row r="23" spans="2:21" ht="10.5" x14ac:dyDescent="0.25">
      <c r="B23" t="s">
        <v>131</v>
      </c>
      <c r="C23" s="100">
        <f t="array" ref="C23:D23">ABS(C81:D81)</f>
        <v>1000</v>
      </c>
      <c r="D23" s="101">
        <v>1000</v>
      </c>
      <c r="H23" s="63">
        <f t="array" ref="H23:I23">(aS^sigmaS*pD^(1-sigmaS)+bS^sigmaS*pW^(1-sigmaS))^(1/(1-sigmaS))</f>
        <v>999.99999999999886</v>
      </c>
      <c r="I23" s="64">
        <v>999.99999999999977</v>
      </c>
      <c r="J23" s="116" t="s">
        <v>124</v>
      </c>
      <c r="K23" s="123">
        <f t="array" ref="K23:L23">(pY*Y+pW*M)/(pS*S+pW*X)-1</f>
        <v>0</v>
      </c>
      <c r="L23" s="123">
        <v>0</v>
      </c>
      <c r="N23" s="76">
        <v>0</v>
      </c>
      <c r="O23" s="77">
        <v>0</v>
      </c>
      <c r="Q23" s="123">
        <f t="array" ref="Q23:R23">pS*S-pD*D-pW*M</f>
        <v>2.8405338525772095E-8</v>
      </c>
      <c r="R23" s="123">
        <v>-5.2386894822120667E-10</v>
      </c>
    </row>
    <row r="24" spans="2:21" x14ac:dyDescent="0.2">
      <c r="B24" t="s">
        <v>79</v>
      </c>
      <c r="C24" s="119">
        <f t="array" ref="C24:D24">aX^(sigmaX/(sigmaX-1))*(pY^(1-sigmaX)-bX^sigmaX*pW^(1-sigmaX))^(1/(1-sigmaX))</f>
        <v>999.99999999999886</v>
      </c>
      <c r="D24" s="177">
        <v>999.99999999999909</v>
      </c>
      <c r="N24" s="76">
        <v>-1.1102230246251565E-15</v>
      </c>
      <c r="O24" s="77">
        <v>-8.8817841970012523E-16</v>
      </c>
    </row>
    <row r="25" spans="2:21" x14ac:dyDescent="0.2">
      <c r="B25" t="s">
        <v>13</v>
      </c>
      <c r="C25" s="33">
        <f t="array" ref="C25:D26">TRANSPOSE(pS*(1+tauTS))</f>
        <v>1059.2664648168009</v>
      </c>
      <c r="D25" s="34">
        <v>1059.2664648168009</v>
      </c>
      <c r="E25" t="s">
        <v>65</v>
      </c>
      <c r="N25" s="76">
        <v>0</v>
      </c>
      <c r="O25" s="77">
        <v>0</v>
      </c>
    </row>
    <row r="26" spans="2:21" x14ac:dyDescent="0.2">
      <c r="C26" s="35">
        <v>1164.8563607265562</v>
      </c>
      <c r="D26" s="36">
        <v>1164.8563607265562</v>
      </c>
      <c r="E26" t="s">
        <v>41</v>
      </c>
      <c r="N26" s="76">
        <v>0</v>
      </c>
      <c r="O26" s="77">
        <v>0</v>
      </c>
    </row>
    <row r="27" spans="2:21" ht="10.5" x14ac:dyDescent="0.25">
      <c r="B27" t="s">
        <v>14</v>
      </c>
      <c r="C27" s="41">
        <f t="array" ref="C27:D27">pS*(1+tauTS)</f>
        <v>1059.2664648168009</v>
      </c>
      <c r="D27" s="42">
        <v>1164.8563607265562</v>
      </c>
      <c r="J27" s="99"/>
      <c r="N27" s="76">
        <v>0</v>
      </c>
      <c r="O27" s="77">
        <v>0</v>
      </c>
    </row>
    <row r="28" spans="2:21" ht="10.5" x14ac:dyDescent="0.25">
      <c r="B28" t="s">
        <v>15</v>
      </c>
      <c r="C28" s="41">
        <f t="array" ref="C28:D28">pS*(1+tauTS)</f>
        <v>1059.2664648168009</v>
      </c>
      <c r="D28" s="42">
        <v>1164.8563607265562</v>
      </c>
      <c r="J28" s="99"/>
      <c r="N28" s="76">
        <v>0</v>
      </c>
      <c r="O28" s="77">
        <v>0</v>
      </c>
    </row>
    <row r="29" spans="2:21" ht="10.5" x14ac:dyDescent="0.25">
      <c r="B29" t="s">
        <v>29</v>
      </c>
      <c r="C29" s="41">
        <f t="array" ref="C29:D29">pS*(1+tauTS)</f>
        <v>1059.2664648168009</v>
      </c>
      <c r="D29" s="42">
        <v>1164.8563607265562</v>
      </c>
      <c r="J29" s="99"/>
      <c r="N29" s="76">
        <v>0</v>
      </c>
      <c r="O29" s="77">
        <v>0</v>
      </c>
    </row>
    <row r="30" spans="2:21" ht="10.5" x14ac:dyDescent="0.25">
      <c r="B30" t="s">
        <v>16</v>
      </c>
      <c r="C30" s="41">
        <f t="array" ref="C30:D30">pW</f>
        <v>1000</v>
      </c>
      <c r="D30" s="42">
        <v>1000</v>
      </c>
      <c r="J30" s="99"/>
      <c r="N30" s="76">
        <v>0</v>
      </c>
      <c r="O30" s="77">
        <v>0</v>
      </c>
    </row>
    <row r="31" spans="2:21" x14ac:dyDescent="0.2">
      <c r="B31" t="s">
        <v>17</v>
      </c>
      <c r="C31" s="100">
        <f>ABS(C82)</f>
        <v>1000</v>
      </c>
      <c r="D31" s="177">
        <f>wQ</f>
        <v>1000</v>
      </c>
      <c r="N31" s="76">
        <v>0</v>
      </c>
      <c r="O31" s="77">
        <v>0</v>
      </c>
    </row>
    <row r="32" spans="2:21" x14ac:dyDescent="0.2">
      <c r="B32" t="s">
        <v>36</v>
      </c>
      <c r="C32" s="41">
        <f t="array" ref="C32:D32">w*(1+tauL)</f>
        <v>1571.7032514685595</v>
      </c>
      <c r="D32" s="42">
        <v>1562.3699911127492</v>
      </c>
      <c r="N32" s="76">
        <v>0</v>
      </c>
      <c r="O32" s="77">
        <v>0</v>
      </c>
      <c r="Q32" s="123">
        <f t="array" ref="Q32:R32">bKL*(Labour/KL)^(rhoKL-1)*pKL/pL-1</f>
        <v>0</v>
      </c>
      <c r="R32" s="123">
        <v>-4.3298697960381105E-15</v>
      </c>
      <c r="S32" t="s">
        <v>138</v>
      </c>
    </row>
    <row r="33" spans="2:19" x14ac:dyDescent="0.2">
      <c r="B33" t="s">
        <v>18</v>
      </c>
      <c r="C33" s="157">
        <f>ABS(C83)</f>
        <v>1000</v>
      </c>
      <c r="D33" s="178">
        <f>C33</f>
        <v>1000</v>
      </c>
      <c r="E33" t="s">
        <v>58</v>
      </c>
      <c r="N33" s="76">
        <v>0</v>
      </c>
      <c r="O33" s="77">
        <v>0</v>
      </c>
      <c r="Q33" s="123">
        <f t="array" ref="Q33:R33">aKL*(K/KL)^(rhoKL-1)*pKL/pK-1</f>
        <v>3.9968028886505635E-15</v>
      </c>
      <c r="R33" s="123">
        <v>0</v>
      </c>
      <c r="S33" t="s">
        <v>138</v>
      </c>
    </row>
    <row r="34" spans="2:19" ht="10.5" x14ac:dyDescent="0.25">
      <c r="B34" t="s">
        <v>63</v>
      </c>
      <c r="C34" s="100">
        <f t="array" ref="C34:D34">ABS(C84:D84)</f>
        <v>1000</v>
      </c>
      <c r="D34" s="101">
        <v>1000</v>
      </c>
      <c r="J34" s="116" t="s">
        <v>137</v>
      </c>
      <c r="K34" s="123">
        <f t="array" ref="K34:L34">pKL*KL/(pK*K+pL*Labour)-1</f>
        <v>0</v>
      </c>
      <c r="L34" s="123">
        <v>0</v>
      </c>
      <c r="N34" s="76">
        <v>0</v>
      </c>
      <c r="O34" s="77">
        <v>0</v>
      </c>
      <c r="Q34" s="123">
        <f t="array" ref="Q34:R34">(aKL^sigmaKL*pK^(1-sigmaKL)+bKL^sigmaKL*pL^(1-sigmaKL))^((rhoKL-1)/rhoKL)-pKL</f>
        <v>0</v>
      </c>
      <c r="R34" s="123">
        <v>0</v>
      </c>
      <c r="S34" t="s">
        <v>138</v>
      </c>
    </row>
    <row r="35" spans="2:19" x14ac:dyDescent="0.2">
      <c r="B35" t="s">
        <v>64</v>
      </c>
      <c r="C35" s="35">
        <f t="array" ref="C35:D35">(aKLE^sigmaKLE*pKL^(1-sigmaKLE)+bKLE^sigmaKLE*pEY^(1-sigmaKLE))^(1/(1-sigmaKLE))</f>
        <v>1000</v>
      </c>
      <c r="D35" s="36">
        <v>999.99999999999977</v>
      </c>
      <c r="N35" s="78">
        <v>0</v>
      </c>
      <c r="O35" s="79">
        <v>0</v>
      </c>
      <c r="Q35" s="123">
        <f t="array" ref="Q35:R35">(pKL*KL+pEY*alphaEY*Y)/KLE-pKLE</f>
        <v>0</v>
      </c>
      <c r="R35" s="123">
        <v>0</v>
      </c>
    </row>
    <row r="37" spans="2:19" ht="10.5" x14ac:dyDescent="0.25">
      <c r="B37" t="s">
        <v>19</v>
      </c>
      <c r="C37" s="87">
        <f t="array" ref="C37:D37">ABS(C89:D89)</f>
        <v>21498.981358265999</v>
      </c>
      <c r="D37" s="88">
        <v>834.03652123400332</v>
      </c>
      <c r="H37" s="63">
        <f t="array" ref="H37:I37">(aX*D^rhoX+bX*X^rhoX)^(1/rhoX)</f>
        <v>21498.981358266028</v>
      </c>
      <c r="I37" s="64">
        <v>834.03652123400423</v>
      </c>
      <c r="J37" s="116" t="s">
        <v>123</v>
      </c>
      <c r="K37" s="123">
        <f t="array" ref="K37:L37">H37:I37/Y-1</f>
        <v>0</v>
      </c>
      <c r="L37" s="123">
        <v>0</v>
      </c>
      <c r="N37" s="74">
        <f t="array" ref="N37:O48">VOLUMES/Calibration!VOLUMES-1</f>
        <v>0</v>
      </c>
      <c r="O37" s="75">
        <v>0</v>
      </c>
      <c r="Q37" s="123">
        <f t="array" ref="Q37:R37">(aY*KLE^rhoY+bY*(alphaMY*Y)^rhoY)^(1/rhoY)-Y</f>
        <v>0</v>
      </c>
      <c r="R37" s="123">
        <v>-1.3642420526593924E-12</v>
      </c>
    </row>
    <row r="38" spans="2:19" x14ac:dyDescent="0.2">
      <c r="B38" t="s">
        <v>3</v>
      </c>
      <c r="C38" s="41">
        <f t="array" ref="C38:D38">(bS/pW)^sigmaS*(aS^sigmaS*pD^(1-sigmaS)+bS^sigmaS*pW^(1-sigmaS))^(-1/rhoS)*S</f>
        <v>1782.2320505062355</v>
      </c>
      <c r="D38" s="42">
        <v>450.22976484179424</v>
      </c>
      <c r="N38" s="76">
        <v>-2.2204460492503131E-15</v>
      </c>
      <c r="O38" s="77">
        <v>-1.4432899320127035E-15</v>
      </c>
      <c r="Q38" s="123">
        <f t="array" ref="Q38:R38">pD*D+pW*M-pS*S</f>
        <v>-2.9802322387695313E-8</v>
      </c>
      <c r="R38" s="123">
        <v>0</v>
      </c>
    </row>
    <row r="39" spans="2:19" ht="10.5" x14ac:dyDescent="0.25">
      <c r="B39" t="s">
        <v>130</v>
      </c>
      <c r="C39" s="85">
        <f t="array" ref="C39:D39">ABS(C85:D85)</f>
        <v>20973.127797372959</v>
      </c>
      <c r="D39" s="86">
        <v>1222.2257935314667</v>
      </c>
      <c r="E39" t="s">
        <v>125</v>
      </c>
      <c r="H39" s="63">
        <f t="array" ref="H39:I39">MMULT(Y,TRANSPOSE(alpha))+Consumption+G+I</f>
        <v>20973.127797372959</v>
      </c>
      <c r="I39" s="64">
        <v>1222.225793531466</v>
      </c>
      <c r="J39" s="116" t="s">
        <v>74</v>
      </c>
      <c r="K39" s="123">
        <f t="array" ref="K39:L39">H39:I39/S-1</f>
        <v>0</v>
      </c>
      <c r="L39" s="123">
        <v>0</v>
      </c>
      <c r="N39" s="76">
        <v>0</v>
      </c>
      <c r="O39" s="77">
        <v>0</v>
      </c>
    </row>
    <row r="40" spans="2:19" x14ac:dyDescent="0.2">
      <c r="B40" t="s">
        <v>78</v>
      </c>
      <c r="C40" s="41">
        <f t="array" ref="C40:D40">(aS/pD)^sigmaS*(aS^sigmaS*pD^(1-sigmaS)+bS^sigmaS*pW^(1-sigmaS))^(-1/rhoS)*S</f>
        <v>19190.895746866718</v>
      </c>
      <c r="D40" s="42">
        <v>771.99602868967372</v>
      </c>
      <c r="F40" s="169"/>
      <c r="N40" s="78">
        <v>0</v>
      </c>
      <c r="O40" s="79">
        <v>2.4424906541753444E-15</v>
      </c>
    </row>
    <row r="41" spans="2:19" ht="10.5" x14ac:dyDescent="0.25">
      <c r="B41" t="s">
        <v>28</v>
      </c>
      <c r="C41" s="41">
        <f>(aU/pCQ)^sigmaU/(aU^sigmaU*pCQ^(1-sigmaU)+bU^sigmaU*pCE^(1-sigmaU))*Revenue</f>
        <v>5896.9295697243897</v>
      </c>
      <c r="D41" s="42">
        <f>(bU/pCE)^sigmaU/(aU^sigmaU*pCQ^(1-sigmaU)+bU^sigmaU*pCE^(1-sigmaU))*Revenue</f>
        <v>340.53228761636649</v>
      </c>
      <c r="E41" t="s">
        <v>59</v>
      </c>
      <c r="H41" s="62" t="s">
        <v>69</v>
      </c>
      <c r="I41" s="97">
        <v>0.99000000000000032</v>
      </c>
      <c r="J41" s="116" t="s">
        <v>75</v>
      </c>
      <c r="K41" s="123">
        <f>Model!SE/(1-I41)/Calibration!SE-1</f>
        <v>99.00000000000324</v>
      </c>
      <c r="N41" s="76">
        <v>-1.9984014443252818E-15</v>
      </c>
      <c r="O41" s="77">
        <v>-1.6653345369377348E-15</v>
      </c>
    </row>
    <row r="42" spans="2:19" x14ac:dyDescent="0.2">
      <c r="B42" t="s">
        <v>7</v>
      </c>
      <c r="C42" s="119">
        <f t="array" ref="C42">omegaG*GDP/pG</f>
        <v>2396.8717103698964</v>
      </c>
      <c r="D42" s="8">
        <v>0</v>
      </c>
      <c r="N42" s="76">
        <v>0</v>
      </c>
      <c r="O42" s="77" t="e">
        <v>#DIV/0!</v>
      </c>
    </row>
    <row r="43" spans="2:19" x14ac:dyDescent="0.2">
      <c r="B43" t="s">
        <v>8</v>
      </c>
      <c r="C43" s="100">
        <f>ABS(C86)</f>
        <v>2261.1304131516072</v>
      </c>
      <c r="D43" s="8">
        <v>0</v>
      </c>
      <c r="J43" s="62"/>
      <c r="N43" s="76">
        <v>0</v>
      </c>
      <c r="O43" s="77" t="e">
        <v>#DIV/0!</v>
      </c>
    </row>
    <row r="44" spans="2:19" x14ac:dyDescent="0.2">
      <c r="B44" t="s">
        <v>0</v>
      </c>
      <c r="C44" s="171">
        <f t="array" ref="C44:D44">(bX/pX)^sigmaX*(aX^sigmaX*pD^(1-sigmaX)+bX^sigmaX*pX^(1-sigmaX))^(-1/rhoX)*Y</f>
        <v>2308.08561139929</v>
      </c>
      <c r="D44" s="172">
        <v>62.040492544331705</v>
      </c>
      <c r="N44" s="76">
        <v>3.5527136788005009E-15</v>
      </c>
      <c r="O44" s="77">
        <v>0</v>
      </c>
    </row>
    <row r="45" spans="2:19" x14ac:dyDescent="0.2">
      <c r="B45" t="s">
        <v>27</v>
      </c>
      <c r="C45" s="87">
        <f t="array" ref="C45:D45">ABS(C88:D88)</f>
        <v>3209.4420883953348</v>
      </c>
      <c r="D45" s="88">
        <v>31.623872672841795</v>
      </c>
      <c r="H45" s="29"/>
      <c r="N45" s="76">
        <v>0</v>
      </c>
      <c r="O45" s="77">
        <v>0</v>
      </c>
      <c r="Q45" s="123">
        <f t="array" ref="Q45:R45">(bKL/pL)^sigmaKL*(aKL^sigmaKL*pK^(1-sigmaKL)+bKL^sigmaKL*pL^(1-sigmaKL))^(-1/rhoKL)*KL/Labour-1</f>
        <v>0</v>
      </c>
      <c r="R45" s="123">
        <v>0</v>
      </c>
      <c r="S45" t="s">
        <v>138</v>
      </c>
    </row>
    <row r="46" spans="2:19" x14ac:dyDescent="0.2">
      <c r="B46" t="s">
        <v>2</v>
      </c>
      <c r="C46" s="35">
        <f t="array" ref="C46:D46">(KL^rhoKL/aKL-bKL*Labour^rhoKL/aKL)^(1/rhoKL)</f>
        <v>4880.3032028967582</v>
      </c>
      <c r="D46" s="36">
        <v>155.9342317514201</v>
      </c>
      <c r="N46" s="76">
        <v>-1.1102230246251565E-15</v>
      </c>
      <c r="O46" s="77">
        <v>-1.1102230246251565E-15</v>
      </c>
      <c r="Q46" s="123">
        <f t="array" ref="Q46:R46">(aKL/pK)^sigmaKL*(aKL^sigmaKL*pK^(1-sigmaKL)+bKL^sigmaKL*pL^(1-sigmaKL))^(-1/rhoKL)*KL/K-1</f>
        <v>0</v>
      </c>
      <c r="R46" s="123">
        <v>0</v>
      </c>
      <c r="S46" t="s">
        <v>138</v>
      </c>
    </row>
    <row r="47" spans="2:19" x14ac:dyDescent="0.2">
      <c r="B47" t="s">
        <v>35</v>
      </c>
      <c r="C47" s="41">
        <f t="array" ref="C47:D47">(aKLE/pKL)^sigmaKLE*(aKLE^sigmaKLE*pKL^(1-sigmaKLE)+bKLE^sigmaKLE*pEY^(1-sigmaKLE))^(-1/rhoKLE)*KLE</f>
        <v>9924.5937686277575</v>
      </c>
      <c r="D47" s="42">
        <v>205.34242141823867</v>
      </c>
      <c r="N47" s="76">
        <v>0</v>
      </c>
      <c r="O47" s="77">
        <v>0</v>
      </c>
      <c r="Q47" s="123">
        <f t="array" ref="Q47:R47">(aKL*K^rhoKL+bKL*Labour^rhoKL)^(1/rhoKL)-KL</f>
        <v>0</v>
      </c>
      <c r="R47" s="123">
        <v>0</v>
      </c>
    </row>
    <row r="48" spans="2:19" x14ac:dyDescent="0.2">
      <c r="B48" t="s">
        <v>53</v>
      </c>
      <c r="C48" s="35">
        <f t="array" ref="C48:D48">(aY/pKLE)^sigmaY*(aY^sigmaY*pKLE^(1-sigmaY)+bY^sigmaY*pMY^(1-sigmaY))^(-1/rhoY)*Y</f>
        <v>10476.875482049762</v>
      </c>
      <c r="D48" s="36">
        <v>680.10699657273517</v>
      </c>
      <c r="N48" s="78">
        <v>0</v>
      </c>
      <c r="O48" s="79">
        <v>0</v>
      </c>
      <c r="Q48" s="123">
        <f t="array" ref="Q48:R48">(aKLE*KL^rhoKLE+bKLE*(alphaEY*Y)^rhoKLE)^(1/rhoKLE)-KLE</f>
        <v>0</v>
      </c>
      <c r="R48" s="123">
        <v>0</v>
      </c>
    </row>
    <row r="50" spans="2:38" x14ac:dyDescent="0.2">
      <c r="B50" t="s">
        <v>26</v>
      </c>
      <c r="C50" s="94">
        <f t="array" ref="C50:D50">Calibration!tauL</f>
        <v>0.57170325146855971</v>
      </c>
      <c r="D50" s="95">
        <v>0.56236999111274899</v>
      </c>
    </row>
    <row r="51" spans="2:38" x14ac:dyDescent="0.2">
      <c r="B51" t="s">
        <v>20</v>
      </c>
      <c r="C51" s="237">
        <f t="array" ref="C51:D51">Calibration!tauY</f>
        <v>6.4252998580182508E-3</v>
      </c>
      <c r="D51" s="238">
        <v>3.7719831312407973E-3</v>
      </c>
    </row>
    <row r="52" spans="2:38" x14ac:dyDescent="0.2">
      <c r="B52" t="s">
        <v>155</v>
      </c>
      <c r="C52" s="96">
        <f>Calibration!C52</f>
        <v>5.9266464816800798E-2</v>
      </c>
      <c r="D52" s="228">
        <f>D86</f>
        <v>0.16485636072655629</v>
      </c>
      <c r="J52" s="29"/>
      <c r="AA52" s="84"/>
    </row>
    <row r="53" spans="2:38" x14ac:dyDescent="0.2">
      <c r="C53" s="29"/>
      <c r="D53" s="29"/>
      <c r="Y53" s="84"/>
      <c r="AA53" s="84"/>
      <c r="AC53" s="84"/>
    </row>
    <row r="54" spans="2:38" ht="10.5" x14ac:dyDescent="0.25">
      <c r="C54" s="29"/>
      <c r="D54" s="29"/>
      <c r="K54" s="197" t="s">
        <v>160</v>
      </c>
      <c r="U54" s="139" t="s">
        <v>91</v>
      </c>
      <c r="W54" s="139" t="s">
        <v>92</v>
      </c>
      <c r="Y54" s="139" t="s">
        <v>166</v>
      </c>
      <c r="AA54" s="197" t="s">
        <v>147</v>
      </c>
      <c r="AC54" s="197" t="s">
        <v>165</v>
      </c>
      <c r="AE54" s="197" t="s">
        <v>149</v>
      </c>
      <c r="AG54" s="197" t="s">
        <v>161</v>
      </c>
      <c r="AI54" s="197" t="s">
        <v>160</v>
      </c>
      <c r="AK54" s="197" t="s">
        <v>151</v>
      </c>
    </row>
    <row r="55" spans="2:38" ht="10.5" x14ac:dyDescent="0.25">
      <c r="B55" t="s">
        <v>48</v>
      </c>
      <c r="C55" s="122">
        <f t="array" ref="C55">SUM(w*tauL*Labour+tauY/(1+tauY)*pY*Y+tauTS*pS*S)</f>
        <v>3437517.2752293102</v>
      </c>
      <c r="J55" s="116" t="s">
        <v>73</v>
      </c>
      <c r="K55" s="123">
        <f t="array" ref="K55">pK/pI/Calibration!pK*Calibration!pI-1</f>
        <v>0</v>
      </c>
      <c r="N55" s="80">
        <f t="array" ref="N55:N59">AGGREGATES/Calibration!AGGREGATES-1</f>
        <v>0</v>
      </c>
      <c r="T55" s="116" t="s">
        <v>140</v>
      </c>
      <c r="U55" s="123">
        <f>SUM(K)/SUM(Calibration!K)-1</f>
        <v>-1.1102230246251565E-15</v>
      </c>
      <c r="W55" s="123">
        <f>SUM(K)/SUM(Calibration!K)-1</f>
        <v>-1.1102230246251565E-15</v>
      </c>
      <c r="Y55" s="123">
        <f>SUM(K)/SUM(Calibration!K)-1</f>
        <v>-1.1102230246251565E-15</v>
      </c>
      <c r="AA55" s="123">
        <f>SUM(K)/SUM(Calibration!K)-1</f>
        <v>-1.1102230246251565E-15</v>
      </c>
      <c r="AC55" s="123">
        <f>SUM(K)/SUM(Calibration!K)-1</f>
        <v>-1.1102230246251565E-15</v>
      </c>
      <c r="AE55" s="123">
        <f>SUM(K)/SUM(Calibration!K)-1</f>
        <v>-1.1102230246251565E-15</v>
      </c>
      <c r="AG55" s="123">
        <f t="array" ref="AG55">pK/pI/Calibration!pK*Calibration!pI*20%^sigmaw*(20%+80%*(SUM(Calibration!K)-SUM(K))/SUM(Calibration!K))^-sigmaw-1</f>
        <v>0</v>
      </c>
      <c r="AI55" s="123">
        <f t="array" ref="AI55">pK/pI/Calibration!pK*Calibration!pI-1</f>
        <v>0</v>
      </c>
      <c r="AK55" s="123">
        <f>SUM(K)/SUM(Calibration!K)-1</f>
        <v>-1.1102230246251565E-15</v>
      </c>
    </row>
    <row r="56" spans="2:38" ht="10.5" x14ac:dyDescent="0.25">
      <c r="B56" t="s">
        <v>47</v>
      </c>
      <c r="C56" s="83">
        <f>(aU*CQ^rhoU+bU*CE^rhoU)^(1/rhoU)</f>
        <v>0.99999999999999867</v>
      </c>
      <c r="J56" s="116" t="s">
        <v>76</v>
      </c>
      <c r="K56" s="123">
        <f t="array" ref="K56">w/CPI/Calibration!w*10.8%^sigmaw*(10.8%+89.2%*(SUM(Calibration!Labour)-SUM(Labour))/SUM(Calibration!Labour))^-sigmaw-1</f>
        <v>0</v>
      </c>
      <c r="N56" s="81">
        <v>-1.3322676295501878E-15</v>
      </c>
      <c r="T56" s="116" t="s">
        <v>141</v>
      </c>
      <c r="U56" s="123">
        <f>SUM(Labour)/SUM(Calibration!Labour)-1</f>
        <v>0</v>
      </c>
      <c r="W56" s="123">
        <f>SUM(Labour)/SUM(Calibration!Labour)-1</f>
        <v>0</v>
      </c>
      <c r="Y56" s="123">
        <f>SUM(Labour)/SUM(Calibration!Labour)-1</f>
        <v>0</v>
      </c>
      <c r="AA56" s="123">
        <f t="array" ref="AA56">omegaI*GDP/SUM(pI*I)-1</f>
        <v>0</v>
      </c>
      <c r="AC56" s="123">
        <f t="array" ref="AC56">w/CPI/Calibration!w-1</f>
        <v>0</v>
      </c>
      <c r="AE56" s="123">
        <f t="array" ref="AE56">w/CPI/Calibration!w-1</f>
        <v>0</v>
      </c>
      <c r="AG56" s="123">
        <f t="array" ref="AG56">w/CPI/Calibration!w*10.8%^sigmaw*(10.8%+89.2%*(SUM(Calibration!Labour)-SUM(Labour))/SUM(Calibration!Labour))^-sigmaw-1</f>
        <v>0</v>
      </c>
      <c r="AI56" s="123">
        <f t="array" ref="AI56">w/CPI/Calibration!w*10.8%^sigmaw*(10.8%+89.2%*(SUM(Calibration!Labour)-SUM(Labour))/SUM(Calibration!Labour))^-sigmaw-1</f>
        <v>0</v>
      </c>
      <c r="AK56" s="123">
        <f t="array" ref="AK56">w/CPI/Calibration!w-1</f>
        <v>0</v>
      </c>
    </row>
    <row r="57" spans="2:38" ht="10.5" x14ac:dyDescent="0.25">
      <c r="B57" t="s">
        <v>66</v>
      </c>
      <c r="C57" s="89">
        <f>ABS(C87)</f>
        <v>11714820.670945669</v>
      </c>
      <c r="J57" s="116" t="s">
        <v>90</v>
      </c>
      <c r="K57" s="123">
        <f t="array" ref="K57">I/SUM(K)/Calibration!I*SUM(K)-1</f>
        <v>0</v>
      </c>
      <c r="N57" s="81">
        <v>0</v>
      </c>
      <c r="Q57" s="123">
        <f t="array" ref="Q57">(SUM(pC*Consumption+pG*G+pI*I)+B)/GDP-1</f>
        <v>0</v>
      </c>
      <c r="R57" s="123">
        <f t="array" ref="R57">SUM(w*Labour,pK*K,T)/GDP-1</f>
        <v>0</v>
      </c>
      <c r="T57" s="116" t="s">
        <v>142</v>
      </c>
      <c r="U57" s="123">
        <f>B/GDP/Calibration!B*Calibration!GDP-1</f>
        <v>9.4368957093138306E-14</v>
      </c>
      <c r="W57" s="123">
        <f>B/GDP/Calibration!B*Calibration!GDP-1</f>
        <v>9.4368957093138306E-14</v>
      </c>
      <c r="Y57" s="123">
        <f>B/GDP/Calibration!B*Calibration!GDP-1</f>
        <v>9.4368957093138306E-14</v>
      </c>
      <c r="AA57" s="123">
        <f>B/GDP/Calibration!B*Calibration!GDP-1</f>
        <v>9.4368957093138306E-14</v>
      </c>
      <c r="AC57" s="123">
        <f>B/GDP/Calibration!B*Calibration!GDP-1</f>
        <v>9.4368957093138306E-14</v>
      </c>
      <c r="AE57" s="123">
        <f>B/GDP/Calibration!B*Calibration!GDP-1</f>
        <v>9.4368957093138306E-14</v>
      </c>
      <c r="AG57" s="123">
        <f>B/GDP/Calibration!B*Calibration!GDP-1</f>
        <v>9.4368957093138306E-14</v>
      </c>
      <c r="AI57" s="123">
        <f t="array" ref="AI57">I/SUM(K)/Calibration!I*SUM(K)-1</f>
        <v>0</v>
      </c>
      <c r="AK57" s="123">
        <f>B/GDP/Calibration!B*Calibration!GDP-1</f>
        <v>9.4368957093138306E-14</v>
      </c>
    </row>
    <row r="58" spans="2:38" ht="10.5" x14ac:dyDescent="0.25">
      <c r="B58" t="s">
        <v>56</v>
      </c>
      <c r="C58" s="120">
        <f t="array" ref="C58">GDP-SUM(pG*G,pI*I,B)</f>
        <v>6643090.9398583025</v>
      </c>
      <c r="J58" s="116" t="s">
        <v>139</v>
      </c>
      <c r="K58" s="123">
        <f t="array" ref="K58:L58">bKL*(KL/Labour)^(1/sigmaKL)*pKL/pL-1</f>
        <v>0</v>
      </c>
      <c r="L58" s="123">
        <v>-4.5519144009631418E-15</v>
      </c>
      <c r="N58" s="81">
        <v>-1.7763568394002505E-15</v>
      </c>
      <c r="Q58" s="123">
        <f t="array" ref="Q58">SUM(pC*Consumption)-Revenue</f>
        <v>0</v>
      </c>
      <c r="T58" s="116" t="s">
        <v>143</v>
      </c>
      <c r="U58" s="123">
        <f t="array" ref="U58:V58">bKL*(KL/Labour)^(1/sigmaKL)*pKL/pL-1</f>
        <v>0</v>
      </c>
      <c r="V58" s="123">
        <v>-4.5519144009631418E-15</v>
      </c>
      <c r="W58" s="123">
        <f t="array" ref="W58:X58">bKL*(KL/Labour)^(1/sigmaKL)*pKL/pL-1</f>
        <v>0</v>
      </c>
      <c r="X58" s="123">
        <v>-4.5519144009631418E-15</v>
      </c>
      <c r="Y58" s="123">
        <f t="array" ref="Y58">omegaI*GDP/SUM(pI*I)-1</f>
        <v>0</v>
      </c>
      <c r="Z58" s="123">
        <f>Labour_Q/KL_Q/Calibration!Labour_Q*Calibration!KL_Q-Labour_E/KL_E/Calibration!Labour_E*Calibration!KL_E</f>
        <v>-1.1102230246251565E-15</v>
      </c>
      <c r="AA58" s="123">
        <f t="array" ref="AA58:AB58">bKL*(KL/Labour)^(1/sigmaKL)*pKL/pL-1</f>
        <v>0</v>
      </c>
      <c r="AB58" s="123">
        <v>-4.5519144009631418E-15</v>
      </c>
      <c r="AC58" s="123">
        <f t="array" ref="AC58">omegaI*GDP/SUM(pI*I)-1</f>
        <v>0</v>
      </c>
      <c r="AD58" s="123">
        <f>Labour_Q/KL_Q/Calibration!Labour_Q*Calibration!KL_Q-Labour_E/KL_E/Calibration!Labour_E*Calibration!KL_E</f>
        <v>-1.1102230246251565E-15</v>
      </c>
      <c r="AE58" s="123">
        <f t="array" ref="AE58">omegaI*GDP/SUM(pI*I)-1</f>
        <v>0</v>
      </c>
      <c r="AF58" s="123">
        <f>Labour_Q/KL_Q/Calibration!Labour_Q*Calibration!KL_Q-Labour_E/KL_E/Calibration!Labour_E*Calibration!KL_E</f>
        <v>-1.1102230246251565E-15</v>
      </c>
      <c r="AG58" s="123">
        <f t="array" ref="AG58:AH58">bKL*(KL/Labour)^(1/sigmaKL)*pKL/pL-1</f>
        <v>0</v>
      </c>
      <c r="AH58" s="123">
        <v>-4.5519144009631418E-15</v>
      </c>
      <c r="AI58" s="123">
        <f t="array" ref="AI58:AJ58">bKL*(KL/Labour)^(1/sigmaKL)*pKL/pL-1</f>
        <v>0</v>
      </c>
      <c r="AJ58" s="123">
        <v>-4.5519144009631418E-15</v>
      </c>
      <c r="AK58" s="123">
        <f t="array" ref="AK58">(pI*I)/(Calibration!pI*Calibration!I)-1</f>
        <v>0</v>
      </c>
      <c r="AL58" s="123">
        <f>Labour_Q/KL_Q/Calibration!Labour_Q*Calibration!KL_Q-Labour_E/KL_E/Calibration!Labour_E*Calibration!KL_E</f>
        <v>-1.1102230246251565E-15</v>
      </c>
    </row>
    <row r="59" spans="2:38" ht="10.5" x14ac:dyDescent="0.25">
      <c r="B59" t="s">
        <v>77</v>
      </c>
      <c r="C59" s="120">
        <f t="array" ref="C59">SUM(pX*X - pW*M)</f>
        <v>137664.28859559208</v>
      </c>
      <c r="J59" s="116" t="s">
        <v>72</v>
      </c>
      <c r="K59" s="123">
        <f t="array" ref="K59">(sL*(SUM(w*Labour))+sG*(T-SUM(pG*G))+sK*SUM(pK*K)-B)/SUM(pI*I)-1</f>
        <v>-5.2180482157382357E-15</v>
      </c>
      <c r="N59" s="82">
        <v>9.4368957093138306E-14</v>
      </c>
      <c r="T59" s="116" t="s">
        <v>144</v>
      </c>
      <c r="U59" s="123">
        <f t="array" ref="U59">(sL*(SUM(w*Labour))+sG*(T-SUM(pG*G))+sK*SUM(pK*K)-B)/SUM(pI*I)-1</f>
        <v>-5.2180482157382357E-15</v>
      </c>
      <c r="W59" s="123">
        <f t="array" ref="W59">omegaI*GDP/SUM(pI*I)-1</f>
        <v>0</v>
      </c>
      <c r="Y59" s="123">
        <f t="array" ref="Y59">(sL*(SUM(w*Labour))+sG*(T-SUM(pG*G))+sK*SUM(pK*K)-B)/SUM(pI*I)-1</f>
        <v>-5.2180482157382357E-15</v>
      </c>
      <c r="AA59" s="123">
        <f t="array" ref="AA59">(sL*(SUM(w*Labour))+sG*(T-SUM(pG*G))+sK*SUM(pK*K)-B)/SUM(pI*I)-1</f>
        <v>-5.2180482157382357E-15</v>
      </c>
      <c r="AC59" s="123">
        <f t="array" ref="AC59">(sL*(SUM(w*Labour))+sG*(T-SUM(pG*G))+sK*SUM(pK*K)-B)/SUM(pI*I)-1</f>
        <v>-5.2180482157382357E-15</v>
      </c>
      <c r="AE59" s="123">
        <f t="array" ref="AE59">(sL*(SUM(w*Labour))+sG*(T-SUM(pG*G))+sK*SUM(pK*K)-B)/SUM(pI*I)-1</f>
        <v>-5.2180482157382357E-15</v>
      </c>
      <c r="AG59" s="123">
        <f t="array" ref="AG59">(sL*(SUM(w*Labour))+sG*(T-SUM(pG*G))+sK*SUM(pK*K)-B)/SUM(pI*I)-1</f>
        <v>-5.2180482157382357E-15</v>
      </c>
      <c r="AI59" s="123">
        <f t="array" ref="AI59">(sL*(SUM(w*Labour))+sG*(T-SUM(pG*G))+sK*SUM(pK*K)-B)/SUM(pI*I)-1</f>
        <v>-5.2180482157382357E-15</v>
      </c>
      <c r="AK59" s="123">
        <f t="array" ref="AK59">(sL*(SUM(w*Labour))+sG*(T-SUM(pG*G))+sK*SUM(pK*K)-B)/SUM(pI*I)-1</f>
        <v>-5.2180482157382357E-15</v>
      </c>
    </row>
    <row r="60" spans="2:38" ht="10.5" x14ac:dyDescent="0.25">
      <c r="B60" t="s">
        <v>164</v>
      </c>
      <c r="C60" s="235">
        <f t="array" ref="C60">SQRT(SUM(pC*Calibration!Consumption)*SUM(pC*Consumption)/SUM(Calibration!pC*Calibration!Consumption)/SUM(Calibration!pC*Consumption))</f>
        <v>1</v>
      </c>
      <c r="J60" s="116" t="s">
        <v>93</v>
      </c>
      <c r="K60" s="179">
        <v>0.19743295343067599</v>
      </c>
      <c r="N60" s="137"/>
      <c r="T60" s="116" t="s">
        <v>93</v>
      </c>
      <c r="U60" s="179">
        <v>0.19743295343067599</v>
      </c>
      <c r="W60" s="179">
        <v>0.19743295343067599</v>
      </c>
      <c r="Y60" s="179">
        <v>0</v>
      </c>
      <c r="AA60" s="179">
        <v>0.19743295343067599</v>
      </c>
      <c r="AC60" s="179">
        <v>0.19743295343067599</v>
      </c>
      <c r="AE60" s="179">
        <v>0</v>
      </c>
      <c r="AG60" s="179">
        <v>0.19743295343067599</v>
      </c>
      <c r="AI60" s="179">
        <v>0.19743295343067599</v>
      </c>
      <c r="AK60" s="179">
        <v>0.19743295343067599</v>
      </c>
    </row>
    <row r="61" spans="2:38" ht="10.5" x14ac:dyDescent="0.25">
      <c r="C61" s="29"/>
      <c r="O61" s="99"/>
      <c r="P61" s="99"/>
      <c r="Q61" s="99"/>
      <c r="R61" s="99"/>
    </row>
    <row r="62" spans="2:38" x14ac:dyDescent="0.2">
      <c r="B62" t="s">
        <v>114</v>
      </c>
      <c r="C62" s="195">
        <f>Calibration!omegaG</f>
        <v>0.21672767296897655</v>
      </c>
      <c r="D62" t="s">
        <v>83</v>
      </c>
    </row>
    <row r="63" spans="2:38" x14ac:dyDescent="0.2">
      <c r="B63" t="s">
        <v>115</v>
      </c>
      <c r="C63" s="195">
        <f>Calibration!omegaI</f>
        <v>0.20445380142857195</v>
      </c>
      <c r="D63" t="s">
        <v>84</v>
      </c>
    </row>
    <row r="64" spans="2:38" x14ac:dyDescent="0.2">
      <c r="B64" t="s">
        <v>100</v>
      </c>
      <c r="C64" s="166">
        <f t="array" ref="C64">(SUM(pI*I)+B)/GDP</f>
        <v>0.21620509429616297</v>
      </c>
      <c r="D64" t="s">
        <v>116</v>
      </c>
    </row>
    <row r="65" spans="2:15" x14ac:dyDescent="0.2">
      <c r="B65" t="s">
        <v>86</v>
      </c>
      <c r="C65" s="195">
        <f>Calibration!sK</f>
        <v>0.19743295343067604</v>
      </c>
      <c r="D65" t="s">
        <v>117</v>
      </c>
    </row>
    <row r="66" spans="2:15" x14ac:dyDescent="0.2">
      <c r="B66" t="s">
        <v>87</v>
      </c>
      <c r="C66" s="195">
        <f>Calibration!sL</f>
        <v>0.19743295343067599</v>
      </c>
      <c r="D66" t="s">
        <v>118</v>
      </c>
    </row>
    <row r="67" spans="2:15" x14ac:dyDescent="0.2">
      <c r="B67" t="s">
        <v>126</v>
      </c>
      <c r="C67" s="195">
        <f>Calibration!sG</f>
        <v>1</v>
      </c>
      <c r="D67" t="s">
        <v>156</v>
      </c>
    </row>
    <row r="69" spans="2:15" x14ac:dyDescent="0.2">
      <c r="C69" s="140"/>
    </row>
    <row r="70" spans="2:15" x14ac:dyDescent="0.2">
      <c r="B70" t="s">
        <v>21</v>
      </c>
      <c r="C70" s="37">
        <f t="array" ref="C70:D70">(bY/pMY)^sigmaY*(aY^sigmaY*pKLE^(1-sigmaY)+bY^sigmaY*pMY^(1-sigmaY))^(-1/rhoY)</f>
        <v>0.47796858982439155</v>
      </c>
      <c r="D70" s="38">
        <v>0.17068593284758601</v>
      </c>
      <c r="E70" t="s">
        <v>24</v>
      </c>
      <c r="N70" s="74">
        <f t="array" ref="N70:O73">FACTORS/Calibration!FACTORS-1</f>
        <v>0</v>
      </c>
      <c r="O70" s="75">
        <v>0</v>
      </c>
    </row>
    <row r="71" spans="2:15" x14ac:dyDescent="0.2">
      <c r="C71" s="39">
        <f t="array" ref="C71:D71">(bKLE/pEY)^sigmaKLE*(aKLE^sigmaKLE*pKL^(1-sigmaKLE)+bKLE^sigmaKLE*pEY^(1-sigmaKLE))^(-1/rhoKLE)*KLE/Y</f>
        <v>2.2053138497826009E-2</v>
      </c>
      <c r="D71" s="40">
        <v>0.48867583383045654</v>
      </c>
      <c r="E71" t="s">
        <v>25</v>
      </c>
      <c r="N71" s="76">
        <v>0</v>
      </c>
      <c r="O71" s="77">
        <v>0</v>
      </c>
    </row>
    <row r="72" spans="2:15" x14ac:dyDescent="0.2">
      <c r="B72" t="s">
        <v>22</v>
      </c>
      <c r="C72" s="37">
        <f t="array" ref="C72:D72">Labour/Y</f>
        <v>0.14928344905798796</v>
      </c>
      <c r="D72" s="38">
        <v>3.7916652170162192E-2</v>
      </c>
      <c r="N72" s="76">
        <v>0</v>
      </c>
      <c r="O72" s="77">
        <v>0</v>
      </c>
    </row>
    <row r="73" spans="2:15" x14ac:dyDescent="0.2">
      <c r="B73" t="s">
        <v>23</v>
      </c>
      <c r="C73" s="39">
        <f t="array" ref="C73:D73">K/Y</f>
        <v>0.22700160168381014</v>
      </c>
      <c r="D73" s="40">
        <v>0.18696331369363389</v>
      </c>
      <c r="N73" s="78">
        <v>-1.2212453270876722E-15</v>
      </c>
      <c r="O73" s="79">
        <v>-9.9920072216264089E-16</v>
      </c>
    </row>
    <row r="79" spans="2:15" ht="10.5" x14ac:dyDescent="0.25">
      <c r="B79" s="99" t="s">
        <v>108</v>
      </c>
    </row>
    <row r="80" spans="2:15" x14ac:dyDescent="0.2">
      <c r="B80" t="s">
        <v>12</v>
      </c>
      <c r="C80" s="87">
        <v>1000</v>
      </c>
      <c r="D80" s="88">
        <v>1000</v>
      </c>
    </row>
    <row r="81" spans="2:5" x14ac:dyDescent="0.2">
      <c r="B81" t="s">
        <v>131</v>
      </c>
      <c r="C81" s="100">
        <v>1000</v>
      </c>
      <c r="D81" s="101">
        <v>1000</v>
      </c>
    </row>
    <row r="82" spans="2:5" x14ac:dyDescent="0.2">
      <c r="B82" t="s">
        <v>17</v>
      </c>
      <c r="C82" s="100">
        <v>1000</v>
      </c>
      <c r="D82" s="101">
        <v>1000</v>
      </c>
    </row>
    <row r="83" spans="2:5" x14ac:dyDescent="0.2">
      <c r="B83" t="s">
        <v>18</v>
      </c>
      <c r="C83" s="159">
        <v>1000</v>
      </c>
      <c r="D83" s="160">
        <v>1000</v>
      </c>
    </row>
    <row r="84" spans="2:5" x14ac:dyDescent="0.2">
      <c r="B84" t="s">
        <v>63</v>
      </c>
      <c r="C84" s="159">
        <v>1000</v>
      </c>
      <c r="D84" s="160">
        <v>1000</v>
      </c>
    </row>
    <row r="85" spans="2:5" x14ac:dyDescent="0.2">
      <c r="B85" t="s">
        <v>130</v>
      </c>
      <c r="C85" s="85">
        <v>20973.127797372959</v>
      </c>
      <c r="D85" s="86">
        <v>1222.2257935314667</v>
      </c>
    </row>
    <row r="86" spans="2:5" x14ac:dyDescent="0.2">
      <c r="B86" t="s">
        <v>8</v>
      </c>
      <c r="C86" s="100">
        <v>2261.1304131516072</v>
      </c>
      <c r="D86" s="227">
        <v>0.16485636072655629</v>
      </c>
      <c r="E86" t="s">
        <v>167</v>
      </c>
    </row>
    <row r="87" spans="2:5" x14ac:dyDescent="0.2">
      <c r="B87" t="s">
        <v>66</v>
      </c>
      <c r="C87" s="162">
        <v>11714820.670945669</v>
      </c>
      <c r="D87" s="163">
        <v>0</v>
      </c>
    </row>
    <row r="88" spans="2:5" x14ac:dyDescent="0.2">
      <c r="B88" t="s">
        <v>27</v>
      </c>
      <c r="C88" s="162">
        <v>3209.4420883953348</v>
      </c>
      <c r="D88" s="170">
        <v>31.623872672841795</v>
      </c>
    </row>
    <row r="89" spans="2:5" x14ac:dyDescent="0.2">
      <c r="B89" t="s">
        <v>19</v>
      </c>
      <c r="C89" s="161">
        <v>21498.981358265999</v>
      </c>
      <c r="D89" s="164">
        <v>834.03652123400332</v>
      </c>
    </row>
  </sheetData>
  <conditionalFormatting sqref="K21:L21">
    <cfRule type="cellIs" dxfId="88" priority="1472" stopIfTrue="1" operator="notEqual">
      <formula>0</formula>
    </cfRule>
  </conditionalFormatting>
  <conditionalFormatting sqref="Q48:R48">
    <cfRule type="cellIs" dxfId="87" priority="1461" stopIfTrue="1" operator="notEqual">
      <formula>0</formula>
    </cfRule>
  </conditionalFormatting>
  <conditionalFormatting sqref="K39:L39">
    <cfRule type="cellIs" dxfId="86" priority="1469" stopIfTrue="1" operator="notEqual">
      <formula>0</formula>
    </cfRule>
  </conditionalFormatting>
  <conditionalFormatting sqref="K41">
    <cfRule type="cellIs" dxfId="85" priority="1468" stopIfTrue="1" operator="notEqual">
      <formula>0</formula>
    </cfRule>
  </conditionalFormatting>
  <conditionalFormatting sqref="Q47:R47">
    <cfRule type="cellIs" dxfId="84" priority="1466" stopIfTrue="1" operator="notEqual">
      <formula>0</formula>
    </cfRule>
  </conditionalFormatting>
  <conditionalFormatting sqref="Q37:R37">
    <cfRule type="cellIs" dxfId="83" priority="1463" stopIfTrue="1" operator="notEqual">
      <formula>0</formula>
    </cfRule>
  </conditionalFormatting>
  <conditionalFormatting sqref="R57">
    <cfRule type="cellIs" dxfId="82" priority="1457" stopIfTrue="1" operator="notEqual">
      <formula>0</formula>
    </cfRule>
  </conditionalFormatting>
  <conditionalFormatting sqref="Q57:Q58">
    <cfRule type="cellIs" dxfId="81" priority="1459" stopIfTrue="1" operator="notEqual">
      <formula>0</formula>
    </cfRule>
  </conditionalFormatting>
  <conditionalFormatting sqref="W59">
    <cfRule type="cellIs" dxfId="80" priority="1404" stopIfTrue="1" operator="notEqual">
      <formula>0</formula>
    </cfRule>
  </conditionalFormatting>
  <conditionalFormatting sqref="K37:L37">
    <cfRule type="cellIs" dxfId="79" priority="1038" stopIfTrue="1" operator="notEqual">
      <formula>0</formula>
    </cfRule>
  </conditionalFormatting>
  <conditionalFormatting sqref="Q21:R21">
    <cfRule type="cellIs" dxfId="78" priority="1021" stopIfTrue="1" operator="notEqual">
      <formula>0</formula>
    </cfRule>
  </conditionalFormatting>
  <conditionalFormatting sqref="Q23:R23">
    <cfRule type="cellIs" dxfId="77" priority="1025" stopIfTrue="1" operator="notEqual">
      <formula>0</formula>
    </cfRule>
  </conditionalFormatting>
  <conditionalFormatting sqref="Q38:R38">
    <cfRule type="cellIs" dxfId="76" priority="1024" stopIfTrue="1" operator="notEqual">
      <formula>0</formula>
    </cfRule>
  </conditionalFormatting>
  <conditionalFormatting sqref="Q34:R34">
    <cfRule type="cellIs" dxfId="75" priority="1023" stopIfTrue="1" operator="notEqual">
      <formula>0</formula>
    </cfRule>
  </conditionalFormatting>
  <conditionalFormatting sqref="Q35:R35">
    <cfRule type="cellIs" dxfId="74" priority="1022" stopIfTrue="1" operator="notEqual">
      <formula>0</formula>
    </cfRule>
  </conditionalFormatting>
  <conditionalFormatting sqref="K23:L23">
    <cfRule type="cellIs" dxfId="73" priority="1020" stopIfTrue="1" operator="notEqual">
      <formula>0</formula>
    </cfRule>
  </conditionalFormatting>
  <conditionalFormatting sqref="K34:L34">
    <cfRule type="cellIs" dxfId="72" priority="791" stopIfTrue="1" operator="notEqual">
      <formula>0</formula>
    </cfRule>
  </conditionalFormatting>
  <conditionalFormatting sqref="Q33:R33">
    <cfRule type="cellIs" dxfId="71" priority="785" stopIfTrue="1" operator="notEqual">
      <formula>0</formula>
    </cfRule>
  </conditionalFormatting>
  <conditionalFormatting sqref="Q46:R46">
    <cfRule type="cellIs" dxfId="70" priority="789" stopIfTrue="1" operator="notEqual">
      <formula>0</formula>
    </cfRule>
  </conditionalFormatting>
  <conditionalFormatting sqref="Q45:R45">
    <cfRule type="cellIs" dxfId="69" priority="790" stopIfTrue="1" operator="notEqual">
      <formula>0</formula>
    </cfRule>
  </conditionalFormatting>
  <conditionalFormatting sqref="W58">
    <cfRule type="cellIs" dxfId="68" priority="776" stopIfTrue="1" operator="notEqual">
      <formula>0</formula>
    </cfRule>
  </conditionalFormatting>
  <conditionalFormatting sqref="Q32:R32">
    <cfRule type="cellIs" dxfId="67" priority="786" stopIfTrue="1" operator="notEqual">
      <formula>0</formula>
    </cfRule>
  </conditionalFormatting>
  <conditionalFormatting sqref="X58">
    <cfRule type="cellIs" dxfId="66" priority="775" stopIfTrue="1" operator="notEqual">
      <formula>0</formula>
    </cfRule>
  </conditionalFormatting>
  <conditionalFormatting sqref="W55">
    <cfRule type="cellIs" dxfId="65" priority="734" stopIfTrue="1" operator="notEqual">
      <formula>0</formula>
    </cfRule>
  </conditionalFormatting>
  <conditionalFormatting sqref="W56">
    <cfRule type="cellIs" dxfId="64" priority="733" stopIfTrue="1" operator="notEqual">
      <formula>0</formula>
    </cfRule>
  </conditionalFormatting>
  <conditionalFormatting sqref="Y55">
    <cfRule type="cellIs" dxfId="63" priority="731" stopIfTrue="1" operator="notEqual">
      <formula>0</formula>
    </cfRule>
  </conditionalFormatting>
  <conditionalFormatting sqref="Y56">
    <cfRule type="cellIs" dxfId="62" priority="730" stopIfTrue="1" operator="notEqual">
      <formula>0</formula>
    </cfRule>
  </conditionalFormatting>
  <conditionalFormatting sqref="AA59">
    <cfRule type="cellIs" dxfId="61" priority="727" stopIfTrue="1" operator="notEqual">
      <formula>0</formula>
    </cfRule>
  </conditionalFormatting>
  <conditionalFormatting sqref="AA55">
    <cfRule type="cellIs" dxfId="60" priority="725" stopIfTrue="1" operator="notEqual">
      <formula>0</formula>
    </cfRule>
  </conditionalFormatting>
  <conditionalFormatting sqref="AA58">
    <cfRule type="cellIs" dxfId="59" priority="721" stopIfTrue="1" operator="notEqual">
      <formula>0</formula>
    </cfRule>
  </conditionalFormatting>
  <conditionalFormatting sqref="AB58">
    <cfRule type="cellIs" dxfId="58" priority="720" stopIfTrue="1" operator="notEqual">
      <formula>0</formula>
    </cfRule>
  </conditionalFormatting>
  <conditionalFormatting sqref="U58">
    <cfRule type="cellIs" dxfId="57" priority="698" stopIfTrue="1" operator="notEqual">
      <formula>0</formula>
    </cfRule>
  </conditionalFormatting>
  <conditionalFormatting sqref="V58">
    <cfRule type="cellIs" dxfId="56" priority="697" stopIfTrue="1" operator="notEqual">
      <formula>0</formula>
    </cfRule>
  </conditionalFormatting>
  <conditionalFormatting sqref="U57">
    <cfRule type="cellIs" dxfId="55" priority="695" stopIfTrue="1" operator="notEqual">
      <formula>0</formula>
    </cfRule>
  </conditionalFormatting>
  <conditionalFormatting sqref="U55">
    <cfRule type="cellIs" dxfId="54" priority="699" stopIfTrue="1" operator="notEqual">
      <formula>0</formula>
    </cfRule>
  </conditionalFormatting>
  <conditionalFormatting sqref="U56">
    <cfRule type="cellIs" dxfId="53" priority="696" stopIfTrue="1" operator="notEqual">
      <formula>0</formula>
    </cfRule>
  </conditionalFormatting>
  <conditionalFormatting sqref="U59">
    <cfRule type="cellIs" dxfId="52" priority="694" stopIfTrue="1" operator="notEqual">
      <formula>0</formula>
    </cfRule>
  </conditionalFormatting>
  <conditionalFormatting sqref="Z58">
    <cfRule type="cellIs" dxfId="51" priority="672" stopIfTrue="1" operator="notEqual">
      <formula>0</formula>
    </cfRule>
  </conditionalFormatting>
  <conditionalFormatting sqref="AC59">
    <cfRule type="cellIs" dxfId="50" priority="665" stopIfTrue="1" operator="notEqual">
      <formula>0</formula>
    </cfRule>
  </conditionalFormatting>
  <conditionalFormatting sqref="AC55">
    <cfRule type="cellIs" dxfId="49" priority="664" stopIfTrue="1" operator="notEqual">
      <formula>0</formula>
    </cfRule>
  </conditionalFormatting>
  <conditionalFormatting sqref="AC56">
    <cfRule type="cellIs" dxfId="48" priority="660" stopIfTrue="1" operator="notEqual">
      <formula>0</formula>
    </cfRule>
  </conditionalFormatting>
  <conditionalFormatting sqref="AD58">
    <cfRule type="cellIs" dxfId="47" priority="658" stopIfTrue="1" operator="notEqual">
      <formula>0</formula>
    </cfRule>
  </conditionalFormatting>
  <conditionalFormatting sqref="AE59">
    <cfRule type="cellIs" dxfId="46" priority="651" stopIfTrue="1" operator="notEqual">
      <formula>0</formula>
    </cfRule>
  </conditionalFormatting>
  <conditionalFormatting sqref="AE55">
    <cfRule type="cellIs" dxfId="45" priority="650" stopIfTrue="1" operator="notEqual">
      <formula>0</formula>
    </cfRule>
  </conditionalFormatting>
  <conditionalFormatting sqref="AE56">
    <cfRule type="cellIs" dxfId="44" priority="648" stopIfTrue="1" operator="notEqual">
      <formula>0</formula>
    </cfRule>
  </conditionalFormatting>
  <conditionalFormatting sqref="AF58">
    <cfRule type="cellIs" dxfId="43" priority="646" stopIfTrue="1" operator="notEqual">
      <formula>0</formula>
    </cfRule>
  </conditionalFormatting>
  <conditionalFormatting sqref="AI59">
    <cfRule type="cellIs" dxfId="42" priority="639" stopIfTrue="1" operator="notEqual">
      <formula>0</formula>
    </cfRule>
  </conditionalFormatting>
  <conditionalFormatting sqref="AI57">
    <cfRule type="cellIs" dxfId="41" priority="637" stopIfTrue="1" operator="notEqual">
      <formula>0</formula>
    </cfRule>
  </conditionalFormatting>
  <conditionalFormatting sqref="AI55">
    <cfRule type="cellIs" dxfId="40" priority="638" stopIfTrue="1" operator="notEqual">
      <formula>0</formula>
    </cfRule>
  </conditionalFormatting>
  <conditionalFormatting sqref="AI58">
    <cfRule type="cellIs" dxfId="39" priority="633" stopIfTrue="1" operator="notEqual">
      <formula>0</formula>
    </cfRule>
  </conditionalFormatting>
  <conditionalFormatting sqref="AJ58">
    <cfRule type="cellIs" dxfId="38" priority="632" stopIfTrue="1" operator="notEqual">
      <formula>0</formula>
    </cfRule>
  </conditionalFormatting>
  <conditionalFormatting sqref="W57">
    <cfRule type="cellIs" dxfId="37" priority="534" stopIfTrue="1" operator="notEqual">
      <formula>0</formula>
    </cfRule>
  </conditionalFormatting>
  <conditionalFormatting sqref="Y57">
    <cfRule type="cellIs" dxfId="36" priority="533" stopIfTrue="1" operator="notEqual">
      <formula>0</formula>
    </cfRule>
  </conditionalFormatting>
  <conditionalFormatting sqref="AA57">
    <cfRule type="cellIs" dxfId="35" priority="532" stopIfTrue="1" operator="notEqual">
      <formula>0</formula>
    </cfRule>
  </conditionalFormatting>
  <conditionalFormatting sqref="AC57">
    <cfRule type="cellIs" dxfId="34" priority="531" stopIfTrue="1" operator="notEqual">
      <formula>0</formula>
    </cfRule>
  </conditionalFormatting>
  <conditionalFormatting sqref="AE57">
    <cfRule type="cellIs" dxfId="33" priority="530" stopIfTrue="1" operator="notEqual">
      <formula>0</formula>
    </cfRule>
  </conditionalFormatting>
  <conditionalFormatting sqref="AK57">
    <cfRule type="cellIs" dxfId="32" priority="430" stopIfTrue="1" operator="notEqual">
      <formula>0</formula>
    </cfRule>
  </conditionalFormatting>
  <conditionalFormatting sqref="AK58">
    <cfRule type="cellIs" dxfId="31" priority="429" stopIfTrue="1" operator="notEqual">
      <formula>0</formula>
    </cfRule>
  </conditionalFormatting>
  <conditionalFormatting sqref="Y58">
    <cfRule type="cellIs" dxfId="30" priority="468" stopIfTrue="1" operator="notEqual">
      <formula>0</formula>
    </cfRule>
  </conditionalFormatting>
  <conditionalFormatting sqref="AA56">
    <cfRule type="cellIs" dxfId="29" priority="461" stopIfTrue="1" operator="notEqual">
      <formula>0</formula>
    </cfRule>
  </conditionalFormatting>
  <conditionalFormatting sqref="AC58">
    <cfRule type="cellIs" dxfId="28" priority="454" stopIfTrue="1" operator="notEqual">
      <formula>0</formula>
    </cfRule>
  </conditionalFormatting>
  <conditionalFormatting sqref="AE58">
    <cfRule type="cellIs" dxfId="27" priority="447" stopIfTrue="1" operator="notEqual">
      <formula>0</formula>
    </cfRule>
  </conditionalFormatting>
  <conditionalFormatting sqref="AK59">
    <cfRule type="cellIs" dxfId="26" priority="434" stopIfTrue="1" operator="notEqual">
      <formula>0</formula>
    </cfRule>
  </conditionalFormatting>
  <conditionalFormatting sqref="AK56">
    <cfRule type="cellIs" dxfId="25" priority="432" stopIfTrue="1" operator="notEqual">
      <formula>0</formula>
    </cfRule>
  </conditionalFormatting>
  <conditionalFormatting sqref="AK55">
    <cfRule type="cellIs" dxfId="24" priority="433" stopIfTrue="1" operator="notEqual">
      <formula>0</formula>
    </cfRule>
  </conditionalFormatting>
  <conditionalFormatting sqref="AL58">
    <cfRule type="cellIs" dxfId="23" priority="431" stopIfTrue="1" operator="notEqual">
      <formula>0</formula>
    </cfRule>
  </conditionalFormatting>
  <conditionalFormatting sqref="T21:U21">
    <cfRule type="cellIs" dxfId="22" priority="391" stopIfTrue="1" operator="notEqual">
      <formula>0</formula>
    </cfRule>
  </conditionalFormatting>
  <conditionalFormatting sqref="AG58">
    <cfRule type="cellIs" dxfId="21" priority="368" stopIfTrue="1" operator="notEqual">
      <formula>0</formula>
    </cfRule>
  </conditionalFormatting>
  <conditionalFormatting sqref="AH58">
    <cfRule type="cellIs" dxfId="20" priority="367" stopIfTrue="1" operator="notEqual">
      <formula>0</formula>
    </cfRule>
  </conditionalFormatting>
  <conditionalFormatting sqref="AG57">
    <cfRule type="cellIs" dxfId="19" priority="364" stopIfTrue="1" operator="notEqual">
      <formula>0</formula>
    </cfRule>
  </conditionalFormatting>
  <conditionalFormatting sqref="AG59">
    <cfRule type="cellIs" dxfId="18" priority="371" stopIfTrue="1" operator="notEqual">
      <formula>0</formula>
    </cfRule>
  </conditionalFormatting>
  <conditionalFormatting sqref="AG56">
    <cfRule type="cellIs" dxfId="17" priority="243" stopIfTrue="1" operator="notEqual">
      <formula>0</formula>
    </cfRule>
  </conditionalFormatting>
  <conditionalFormatting sqref="AG55">
    <cfRule type="cellIs" dxfId="16" priority="242" stopIfTrue="1" operator="notEqual">
      <formula>0</formula>
    </cfRule>
  </conditionalFormatting>
  <conditionalFormatting sqref="AI56">
    <cfRule type="cellIs" dxfId="15" priority="241" stopIfTrue="1" operator="notEqual">
      <formula>0</formula>
    </cfRule>
  </conditionalFormatting>
  <conditionalFormatting sqref="Y59">
    <cfRule type="cellIs" dxfId="14" priority="120" stopIfTrue="1" operator="notEqual">
      <formula>0</formula>
    </cfRule>
  </conditionalFormatting>
  <conditionalFormatting sqref="K59">
    <cfRule type="cellIs" dxfId="13" priority="6" stopIfTrue="1" operator="notEqual">
      <formula>0</formula>
    </cfRule>
  </conditionalFormatting>
  <conditionalFormatting sqref="K57">
    <cfRule type="cellIs" dxfId="12" priority="4" stopIfTrue="1" operator="notEqual">
      <formula>0</formula>
    </cfRule>
  </conditionalFormatting>
  <conditionalFormatting sqref="K55">
    <cfRule type="cellIs" dxfId="11" priority="5" stopIfTrue="1" operator="notEqual">
      <formula>0</formula>
    </cfRule>
  </conditionalFormatting>
  <conditionalFormatting sqref="K58">
    <cfRule type="cellIs" dxfId="10" priority="3" stopIfTrue="1" operator="notEqual">
      <formula>0</formula>
    </cfRule>
  </conditionalFormatting>
  <conditionalFormatting sqref="L58">
    <cfRule type="cellIs" dxfId="9" priority="2" stopIfTrue="1" operator="notEqual">
      <formula>0</formula>
    </cfRule>
  </conditionalFormatting>
  <conditionalFormatting sqref="K56">
    <cfRule type="cellIs" dxfId="8"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workbookViewId="0">
      <pane xSplit="1" ySplit="1" topLeftCell="AH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7">
        <v>0</v>
      </c>
      <c r="D1" s="97">
        <v>0.05</v>
      </c>
      <c r="F1" s="97">
        <v>0.1</v>
      </c>
      <c r="H1" s="97">
        <v>0.15000000000000002</v>
      </c>
      <c r="J1" s="97">
        <v>0.2</v>
      </c>
      <c r="L1" s="97">
        <v>0.25</v>
      </c>
      <c r="N1" s="97">
        <v>0.3</v>
      </c>
      <c r="P1" s="97">
        <v>0.35</v>
      </c>
      <c r="R1" s="97">
        <v>0.39999999999999997</v>
      </c>
      <c r="T1" s="97">
        <v>0.44999999999999996</v>
      </c>
      <c r="V1" s="97">
        <v>0.49999999999999994</v>
      </c>
      <c r="X1" s="97">
        <v>0.54999999999999993</v>
      </c>
      <c r="Z1" s="97">
        <v>0.6</v>
      </c>
      <c r="AB1" s="97">
        <v>0.65</v>
      </c>
      <c r="AD1" s="97">
        <v>0.70000000000000007</v>
      </c>
      <c r="AF1" s="97">
        <v>0.75000000000000011</v>
      </c>
      <c r="AH1" s="97">
        <v>0.80000000000000016</v>
      </c>
      <c r="AJ1" s="97">
        <v>0.8500000000000002</v>
      </c>
      <c r="AL1" s="97">
        <v>0.90000000000000024</v>
      </c>
      <c r="AN1" s="97">
        <v>0.95000000000000029</v>
      </c>
      <c r="AP1" s="97">
        <v>0.9600000000000003</v>
      </c>
      <c r="AR1" s="97">
        <v>0.97000000000000031</v>
      </c>
      <c r="AT1" s="97">
        <v>0.98000000000000032</v>
      </c>
      <c r="AV1" s="97"/>
    </row>
    <row r="2" spans="1:49" x14ac:dyDescent="0.2">
      <c r="A2" s="232" t="s">
        <v>158</v>
      </c>
      <c r="B2" s="229">
        <v>0.16485636072655629</v>
      </c>
      <c r="C2" s="230"/>
      <c r="D2" s="229">
        <v>0.19234524173560413</v>
      </c>
      <c r="E2" s="230"/>
      <c r="F2" s="229">
        <v>0.2221452008607506</v>
      </c>
      <c r="G2" s="230"/>
      <c r="H2" s="229">
        <v>0.25457906961424259</v>
      </c>
      <c r="I2" s="230"/>
      <c r="J2" s="229">
        <v>0.2900287474184533</v>
      </c>
      <c r="K2" s="230"/>
      <c r="L2" s="229">
        <v>0.32894850675827048</v>
      </c>
      <c r="M2" s="230"/>
      <c r="N2" s="229">
        <v>0.37188340302079709</v>
      </c>
      <c r="O2" s="230"/>
      <c r="P2" s="229">
        <v>0.41949704620848638</v>
      </c>
      <c r="Q2" s="230"/>
      <c r="R2" s="229">
        <v>0.47261988990687903</v>
      </c>
      <c r="S2" s="230"/>
      <c r="T2" s="229">
        <v>0.53234322285681879</v>
      </c>
      <c r="U2" s="230"/>
      <c r="V2" s="229">
        <v>0.60021729580866745</v>
      </c>
      <c r="W2" s="230"/>
      <c r="X2" s="229">
        <v>0.67868902683398491</v>
      </c>
      <c r="Y2" s="230"/>
      <c r="Z2" s="229">
        <v>0.77208007240913856</v>
      </c>
      <c r="AA2" s="230"/>
      <c r="AB2" s="229">
        <v>0.88881682604531631</v>
      </c>
      <c r="AC2" s="230"/>
      <c r="AD2" s="229">
        <v>1.0466515849868581</v>
      </c>
      <c r="AE2" s="230"/>
      <c r="AF2" s="229">
        <v>1.28579608523013</v>
      </c>
      <c r="AG2" s="230"/>
      <c r="AH2" s="229">
        <v>1.7060331248008285</v>
      </c>
      <c r="AI2" s="230"/>
      <c r="AJ2" s="229">
        <v>2.5894779929901866</v>
      </c>
      <c r="AK2" s="230"/>
      <c r="AL2" s="229">
        <v>4.9174014360240443</v>
      </c>
      <c r="AM2" s="230"/>
      <c r="AN2" s="229">
        <v>14.34770053111137</v>
      </c>
      <c r="AO2" s="230"/>
      <c r="AP2" s="229">
        <v>19.852423296458582</v>
      </c>
      <c r="AQ2" s="230"/>
      <c r="AR2" s="229">
        <v>29.742415714326967</v>
      </c>
      <c r="AS2" s="230"/>
      <c r="AT2" s="229">
        <v>51.254791297814918</v>
      </c>
      <c r="AU2" s="230"/>
      <c r="AV2" s="229"/>
      <c r="AW2" s="230"/>
    </row>
    <row r="3" spans="1:49" x14ac:dyDescent="0.2">
      <c r="A3" t="s">
        <v>12</v>
      </c>
      <c r="B3" s="87">
        <v>1000</v>
      </c>
      <c r="C3" s="88">
        <v>1000</v>
      </c>
      <c r="D3" s="87">
        <v>999.1102131240059</v>
      </c>
      <c r="E3" s="88">
        <v>1021.0388115380238</v>
      </c>
      <c r="F3" s="87">
        <v>998.54524064682516</v>
      </c>
      <c r="G3" s="88">
        <v>1044.0846185412893</v>
      </c>
      <c r="H3" s="87">
        <v>998.38584229591925</v>
      </c>
      <c r="I3" s="88">
        <v>1069.4167925206473</v>
      </c>
      <c r="J3" s="87">
        <v>998.73965126074336</v>
      </c>
      <c r="K3" s="88">
        <v>1097.3675943000665</v>
      </c>
      <c r="L3" s="87">
        <v>999.75201709623286</v>
      </c>
      <c r="M3" s="88">
        <v>1128.3357619599769</v>
      </c>
      <c r="N3" s="87">
        <v>1001.6220015474429</v>
      </c>
      <c r="O3" s="88">
        <v>1162.8055378111919</v>
      </c>
      <c r="P3" s="87">
        <v>1004.626092130783</v>
      </c>
      <c r="Q3" s="88">
        <v>1201.3764799030901</v>
      </c>
      <c r="R3" s="87">
        <v>1009.1541255082827</v>
      </c>
      <c r="S3" s="88">
        <v>1244.8128524046513</v>
      </c>
      <c r="T3" s="87">
        <v>1015.7643199095324</v>
      </c>
      <c r="U3" s="88">
        <v>1294.1343259978612</v>
      </c>
      <c r="V3" s="87">
        <v>1025.2693875685534</v>
      </c>
      <c r="W3" s="88">
        <v>1350.7939736794458</v>
      </c>
      <c r="X3" s="87">
        <v>1038.8749400943682</v>
      </c>
      <c r="Y3" s="88">
        <v>1417.04215295934</v>
      </c>
      <c r="Z3" s="87">
        <v>1058.4105053094186</v>
      </c>
      <c r="AA3" s="88">
        <v>1496.692669430533</v>
      </c>
      <c r="AB3" s="87">
        <v>1086.7396525996032</v>
      </c>
      <c r="AC3" s="88">
        <v>1596.7734662006542</v>
      </c>
      <c r="AD3" s="87">
        <v>1128.5444348337619</v>
      </c>
      <c r="AE3" s="88">
        <v>1731.2229090255803</v>
      </c>
      <c r="AF3" s="87">
        <v>1191.9909650841196</v>
      </c>
      <c r="AG3" s="88">
        <v>1929.8043304544701</v>
      </c>
      <c r="AH3" s="87">
        <v>1292.6664715171814</v>
      </c>
      <c r="AI3" s="88">
        <v>2262.3526636771248</v>
      </c>
      <c r="AJ3" s="87">
        <v>1463.7871135529185</v>
      </c>
      <c r="AK3" s="88">
        <v>2916.1440949247103</v>
      </c>
      <c r="AL3" s="87">
        <v>1787.8910323518278</v>
      </c>
      <c r="AM3" s="88">
        <v>4512.7171399171366</v>
      </c>
      <c r="AN3" s="87">
        <v>2577.749088304311</v>
      </c>
      <c r="AO3" s="88">
        <v>10492.968824153952</v>
      </c>
      <c r="AP3" s="87">
        <v>2904.002294671961</v>
      </c>
      <c r="AQ3" s="88">
        <v>13857.910628309997</v>
      </c>
      <c r="AR3" s="87">
        <v>3384.9395750679073</v>
      </c>
      <c r="AS3" s="88">
        <v>19800.743306216809</v>
      </c>
      <c r="AT3" s="87">
        <v>4193.0506742243415</v>
      </c>
      <c r="AU3" s="88">
        <v>32484.595603303387</v>
      </c>
      <c r="AV3" s="87"/>
      <c r="AW3" s="88"/>
    </row>
    <row r="4" spans="1:49" x14ac:dyDescent="0.2">
      <c r="A4" t="s">
        <v>119</v>
      </c>
      <c r="B4" s="104">
        <v>1000</v>
      </c>
      <c r="C4" s="105">
        <v>1000</v>
      </c>
      <c r="D4" s="104">
        <v>1000</v>
      </c>
      <c r="E4" s="105">
        <v>1000</v>
      </c>
      <c r="F4" s="104">
        <v>1000</v>
      </c>
      <c r="G4" s="105">
        <v>1000</v>
      </c>
      <c r="H4" s="104">
        <v>1000</v>
      </c>
      <c r="I4" s="105">
        <v>1000</v>
      </c>
      <c r="J4" s="104">
        <v>1000</v>
      </c>
      <c r="K4" s="105">
        <v>1000</v>
      </c>
      <c r="L4" s="104">
        <v>1000</v>
      </c>
      <c r="M4" s="105">
        <v>1000</v>
      </c>
      <c r="N4" s="104">
        <v>1000</v>
      </c>
      <c r="O4" s="105">
        <v>1000</v>
      </c>
      <c r="P4" s="104">
        <v>1000</v>
      </c>
      <c r="Q4" s="105">
        <v>1000</v>
      </c>
      <c r="R4" s="104">
        <v>1000</v>
      </c>
      <c r="S4" s="105">
        <v>1000</v>
      </c>
      <c r="T4" s="104">
        <v>1000</v>
      </c>
      <c r="U4" s="105">
        <v>1000</v>
      </c>
      <c r="V4" s="104">
        <v>1000</v>
      </c>
      <c r="W4" s="105">
        <v>1000</v>
      </c>
      <c r="X4" s="104">
        <v>1000</v>
      </c>
      <c r="Y4" s="105">
        <v>1000</v>
      </c>
      <c r="Z4" s="104">
        <v>1000</v>
      </c>
      <c r="AA4" s="105">
        <v>1000</v>
      </c>
      <c r="AB4" s="104">
        <v>1000</v>
      </c>
      <c r="AC4" s="105">
        <v>1000</v>
      </c>
      <c r="AD4" s="104">
        <v>1000</v>
      </c>
      <c r="AE4" s="105">
        <v>1000</v>
      </c>
      <c r="AF4" s="104">
        <v>1000</v>
      </c>
      <c r="AG4" s="105">
        <v>1000</v>
      </c>
      <c r="AH4" s="104">
        <v>1000</v>
      </c>
      <c r="AI4" s="105">
        <v>1000</v>
      </c>
      <c r="AJ4" s="104">
        <v>1000</v>
      </c>
      <c r="AK4" s="105">
        <v>1000</v>
      </c>
      <c r="AL4" s="104">
        <v>1000</v>
      </c>
      <c r="AM4" s="105">
        <v>1000</v>
      </c>
      <c r="AN4" s="104">
        <v>1000</v>
      </c>
      <c r="AO4" s="105">
        <v>1000</v>
      </c>
      <c r="AP4" s="104">
        <v>1000</v>
      </c>
      <c r="AQ4" s="105">
        <v>1000</v>
      </c>
      <c r="AR4" s="104">
        <v>1000</v>
      </c>
      <c r="AS4" s="105">
        <v>1000</v>
      </c>
      <c r="AT4" s="104">
        <v>1000</v>
      </c>
      <c r="AU4" s="105">
        <v>1000</v>
      </c>
      <c r="AV4" s="104"/>
      <c r="AW4" s="105"/>
    </row>
    <row r="5" spans="1:49" x14ac:dyDescent="0.2">
      <c r="A5" t="s">
        <v>131</v>
      </c>
      <c r="B5" s="41">
        <v>1000</v>
      </c>
      <c r="C5" s="42">
        <v>1000</v>
      </c>
      <c r="D5" s="41">
        <v>999.0877287323591</v>
      </c>
      <c r="E5" s="42">
        <v>1014.0946129747192</v>
      </c>
      <c r="F5" s="41">
        <v>998.50829776301532</v>
      </c>
      <c r="G5" s="42">
        <v>1028.944641265211</v>
      </c>
      <c r="H5" s="41">
        <v>998.34479455381393</v>
      </c>
      <c r="I5" s="42">
        <v>1044.5805604461389</v>
      </c>
      <c r="J5" s="41">
        <v>998.70769955762978</v>
      </c>
      <c r="K5" s="42">
        <v>1061.0280897524424</v>
      </c>
      <c r="L5" s="41">
        <v>999.7457858969442</v>
      </c>
      <c r="M5" s="42">
        <v>1078.3061720133469</v>
      </c>
      <c r="N5" s="41">
        <v>1001.6620893999071</v>
      </c>
      <c r="O5" s="42">
        <v>1096.4243558928811</v>
      </c>
      <c r="P5" s="41">
        <v>1004.7373759014311</v>
      </c>
      <c r="Q5" s="42">
        <v>1115.3822449136385</v>
      </c>
      <c r="R5" s="41">
        <v>1009.3653038573093</v>
      </c>
      <c r="S5" s="42">
        <v>1135.1706588348125</v>
      </c>
      <c r="T5" s="41">
        <v>1016.105534786838</v>
      </c>
      <c r="U5" s="42">
        <v>1155.7793683955244</v>
      </c>
      <c r="V5" s="41">
        <v>1025.7653770744971</v>
      </c>
      <c r="W5" s="42">
        <v>1177.2174798478095</v>
      </c>
      <c r="X5" s="41">
        <v>1039.5281746971475</v>
      </c>
      <c r="Y5" s="42">
        <v>1199.5514033448624</v>
      </c>
      <c r="Z5" s="41">
        <v>1059.1621707080244</v>
      </c>
      <c r="AA5" s="42">
        <v>1222.969582251191</v>
      </c>
      <c r="AB5" s="41">
        <v>1087.3811078554625</v>
      </c>
      <c r="AC5" s="42">
        <v>1247.8553184437601</v>
      </c>
      <c r="AD5" s="41">
        <v>1128.5143340767499</v>
      </c>
      <c r="AE5" s="42">
        <v>1274.8102988751639</v>
      </c>
      <c r="AF5" s="41">
        <v>1189.8892868043276</v>
      </c>
      <c r="AG5" s="42">
        <v>1304.4065161524118</v>
      </c>
      <c r="AH5" s="41">
        <v>1284.9857420344567</v>
      </c>
      <c r="AI5" s="42">
        <v>1336.1782151301957</v>
      </c>
      <c r="AJ5" s="41">
        <v>1441.1507080852359</v>
      </c>
      <c r="AK5" s="42">
        <v>1366.3614447135908</v>
      </c>
      <c r="AL5" s="41">
        <v>1721.5307169936077</v>
      </c>
      <c r="AM5" s="42">
        <v>1387.048525600743</v>
      </c>
      <c r="AN5" s="41">
        <v>2339.3068595978157</v>
      </c>
      <c r="AO5" s="42">
        <v>1394.3559794680273</v>
      </c>
      <c r="AP5" s="41">
        <v>2571.9726458464265</v>
      </c>
      <c r="AQ5" s="42">
        <v>1394.717028803318</v>
      </c>
      <c r="AR5" s="41">
        <v>2894.3794339954306</v>
      </c>
      <c r="AS5" s="42">
        <v>1394.8991862034111</v>
      </c>
      <c r="AT5" s="41">
        <v>3387.5802359565491</v>
      </c>
      <c r="AU5" s="42">
        <v>1394.9727098024882</v>
      </c>
      <c r="AV5" s="41"/>
      <c r="AW5" s="42"/>
    </row>
    <row r="6" spans="1:49" x14ac:dyDescent="0.2">
      <c r="A6" t="s">
        <v>79</v>
      </c>
      <c r="B6" s="41">
        <v>999.99999999999886</v>
      </c>
      <c r="C6" s="42">
        <v>999.99999999999909</v>
      </c>
      <c r="D6" s="41">
        <v>999.00309179701571</v>
      </c>
      <c r="E6" s="42">
        <v>1022.6922908500819</v>
      </c>
      <c r="F6" s="41">
        <v>998.36999121876022</v>
      </c>
      <c r="G6" s="42">
        <v>1047.4689583414481</v>
      </c>
      <c r="H6" s="41">
        <v>998.1913559134457</v>
      </c>
      <c r="I6" s="42">
        <v>1074.6157934720693</v>
      </c>
      <c r="J6" s="41">
        <v>998.58785490480864</v>
      </c>
      <c r="K6" s="42">
        <v>1104.4725686028014</v>
      </c>
      <c r="L6" s="41">
        <v>999.72218394786091</v>
      </c>
      <c r="M6" s="42">
        <v>1137.4469565860584</v>
      </c>
      <c r="N6" s="41">
        <v>1001.8167257922748</v>
      </c>
      <c r="O6" s="42">
        <v>1174.0340613880571</v>
      </c>
      <c r="P6" s="41">
        <v>1005.1796083043802</v>
      </c>
      <c r="Q6" s="42">
        <v>1214.847129490312</v>
      </c>
      <c r="R6" s="41">
        <v>1010.2439564178063</v>
      </c>
      <c r="S6" s="42">
        <v>1260.668531867432</v>
      </c>
      <c r="T6" s="41">
        <v>1017.6275992128974</v>
      </c>
      <c r="U6" s="42">
        <v>1312.5435210552228</v>
      </c>
      <c r="V6" s="41">
        <v>1028.2257105224112</v>
      </c>
      <c r="W6" s="42">
        <v>1371.9642341695157</v>
      </c>
      <c r="X6" s="41">
        <v>1043.358270977204</v>
      </c>
      <c r="Y6" s="42">
        <v>1441.2454687425843</v>
      </c>
      <c r="Z6" s="41">
        <v>1065.0136869053151</v>
      </c>
      <c r="AA6" s="42">
        <v>1524.3146217548001</v>
      </c>
      <c r="AB6" s="41">
        <v>1096.2773586974888</v>
      </c>
      <c r="AC6" s="42">
        <v>1628.4103753403222</v>
      </c>
      <c r="AD6" s="41">
        <v>1142.1457861407964</v>
      </c>
      <c r="AE6" s="42">
        <v>1767.8792854509547</v>
      </c>
      <c r="AF6" s="41">
        <v>1211.2493750357655</v>
      </c>
      <c r="AG6" s="42">
        <v>1973.318187958022</v>
      </c>
      <c r="AH6" s="41">
        <v>1319.9190271904156</v>
      </c>
      <c r="AI6" s="42">
        <v>2316.4201212403523</v>
      </c>
      <c r="AJ6" s="41">
        <v>1502.7155495814993</v>
      </c>
      <c r="AK6" s="42">
        <v>2989.2627582831392</v>
      </c>
      <c r="AL6" s="41">
        <v>1845.1711399332698</v>
      </c>
      <c r="AM6" s="42">
        <v>4629.2527117596519</v>
      </c>
      <c r="AN6" s="41">
        <v>2671.5992617645265</v>
      </c>
      <c r="AO6" s="42">
        <v>10766.611986221433</v>
      </c>
      <c r="AP6" s="41">
        <v>3011.6314942041022</v>
      </c>
      <c r="AQ6" s="42">
        <v>14219.479859801761</v>
      </c>
      <c r="AR6" s="41">
        <v>3512.2912417282059</v>
      </c>
      <c r="AS6" s="42">
        <v>20317.492458229914</v>
      </c>
      <c r="AT6" s="41">
        <v>4352.7128625511668</v>
      </c>
      <c r="AU6" s="42">
        <v>33332.443463780619</v>
      </c>
      <c r="AV6" s="41"/>
      <c r="AW6" s="42"/>
    </row>
    <row r="7" spans="1:49" x14ac:dyDescent="0.2">
      <c r="A7" t="s">
        <v>13</v>
      </c>
      <c r="B7" s="33">
        <v>1059.2664648168009</v>
      </c>
      <c r="C7" s="34">
        <v>1059.2664648168009</v>
      </c>
      <c r="D7" s="33">
        <v>1058.3001264561728</v>
      </c>
      <c r="E7" s="34">
        <v>1058.3001264561728</v>
      </c>
      <c r="F7" s="33">
        <v>1057.6863546616707</v>
      </c>
      <c r="G7" s="34">
        <v>1057.6863546616707</v>
      </c>
      <c r="H7" s="33">
        <v>1057.5131611952738</v>
      </c>
      <c r="I7" s="34">
        <v>1057.5131611952738</v>
      </c>
      <c r="J7" s="33">
        <v>1057.8975742957302</v>
      </c>
      <c r="K7" s="34">
        <v>1057.8975742957302</v>
      </c>
      <c r="L7" s="33">
        <v>1058.9971843425503</v>
      </c>
      <c r="M7" s="34">
        <v>1058.9971843425503</v>
      </c>
      <c r="N7" s="33">
        <v>1061.02706037965</v>
      </c>
      <c r="O7" s="34">
        <v>1061.02706037965</v>
      </c>
      <c r="P7" s="33">
        <v>1064.284608240418</v>
      </c>
      <c r="Q7" s="34">
        <v>1064.284608240418</v>
      </c>
      <c r="R7" s="33">
        <v>1069.1868171256681</v>
      </c>
      <c r="S7" s="34">
        <v>1069.1868171256681</v>
      </c>
      <c r="T7" s="33">
        <v>1076.3265177144388</v>
      </c>
      <c r="U7" s="34">
        <v>1076.3265177144388</v>
      </c>
      <c r="V7" s="33">
        <v>1086.5588647051752</v>
      </c>
      <c r="W7" s="34">
        <v>1086.5588647051752</v>
      </c>
      <c r="X7" s="33">
        <v>1101.1373346889093</v>
      </c>
      <c r="Y7" s="34">
        <v>1101.1373346889093</v>
      </c>
      <c r="Z7" s="33">
        <v>1121.934968233578</v>
      </c>
      <c r="AA7" s="34">
        <v>1121.934968233578</v>
      </c>
      <c r="AB7" s="33">
        <v>1151.8263420266321</v>
      </c>
      <c r="AC7" s="34">
        <v>1151.8263420266321</v>
      </c>
      <c r="AD7" s="33">
        <v>1195.3973891525652</v>
      </c>
      <c r="AE7" s="34">
        <v>1195.3973891525652</v>
      </c>
      <c r="AF7" s="33">
        <v>1260.4098183566045</v>
      </c>
      <c r="AG7" s="34">
        <v>1260.4098183566045</v>
      </c>
      <c r="AH7" s="33">
        <v>1361.1423043048326</v>
      </c>
      <c r="AI7" s="34">
        <v>1361.1423043048326</v>
      </c>
      <c r="AJ7" s="33">
        <v>1526.5626158216771</v>
      </c>
      <c r="AK7" s="34">
        <v>1526.5626158216771</v>
      </c>
      <c r="AL7" s="33">
        <v>1823.5597566633514</v>
      </c>
      <c r="AM7" s="34">
        <v>1823.5597566633514</v>
      </c>
      <c r="AN7" s="33">
        <v>2477.9493072878704</v>
      </c>
      <c r="AO7" s="34">
        <v>2477.9493072878704</v>
      </c>
      <c r="AP7" s="33">
        <v>2724.4043721712578</v>
      </c>
      <c r="AQ7" s="34">
        <v>2724.4043721712578</v>
      </c>
      <c r="AR7" s="33">
        <v>3065.9190708867927</v>
      </c>
      <c r="AS7" s="34">
        <v>3065.9190708867927</v>
      </c>
      <c r="AT7" s="33">
        <v>3588.3501408249581</v>
      </c>
      <c r="AU7" s="34">
        <v>3588.3501408249581</v>
      </c>
      <c r="AV7" s="33"/>
      <c r="AW7" s="34"/>
    </row>
    <row r="8" spans="1:49" x14ac:dyDescent="0.2">
      <c r="B8" s="35">
        <v>1164.8563607265562</v>
      </c>
      <c r="C8" s="36">
        <v>1164.8563607265562</v>
      </c>
      <c r="D8" s="35">
        <v>1209.1508864501156</v>
      </c>
      <c r="E8" s="36">
        <v>1209.1508864501156</v>
      </c>
      <c r="F8" s="35">
        <v>1257.5197552736643</v>
      </c>
      <c r="G8" s="36">
        <v>1257.5197552736643</v>
      </c>
      <c r="H8" s="35">
        <v>1310.5089076616409</v>
      </c>
      <c r="I8" s="36">
        <v>1310.5089076616409</v>
      </c>
      <c r="J8" s="35">
        <v>1368.7567375991375</v>
      </c>
      <c r="K8" s="36">
        <v>1368.7567375991375</v>
      </c>
      <c r="L8" s="35">
        <v>1433.0133771253641</v>
      </c>
      <c r="M8" s="36">
        <v>1433.0133771253641</v>
      </c>
      <c r="N8" s="35">
        <v>1504.1663765172113</v>
      </c>
      <c r="O8" s="36">
        <v>1504.1663765172113</v>
      </c>
      <c r="P8" s="35">
        <v>1583.2818020483003</v>
      </c>
      <c r="Q8" s="36">
        <v>1583.2818020483003</v>
      </c>
      <c r="R8" s="35">
        <v>1671.6748906388409</v>
      </c>
      <c r="S8" s="36">
        <v>1671.6748906388409</v>
      </c>
      <c r="T8" s="35">
        <v>1771.0506822786165</v>
      </c>
      <c r="U8" s="36">
        <v>1771.0506822786165</v>
      </c>
      <c r="V8" s="35">
        <v>1883.8037721807564</v>
      </c>
      <c r="W8" s="36">
        <v>1883.8037721807564</v>
      </c>
      <c r="X8" s="35">
        <v>2013.6737779183279</v>
      </c>
      <c r="Y8" s="36">
        <v>2013.6737779183279</v>
      </c>
      <c r="Z8" s="35">
        <v>2167.2000258698645</v>
      </c>
      <c r="AA8" s="36">
        <v>2167.2000258698645</v>
      </c>
      <c r="AB8" s="35">
        <v>2356.9701219467106</v>
      </c>
      <c r="AC8" s="36">
        <v>2356.9701219467106</v>
      </c>
      <c r="AD8" s="35">
        <v>2609.092518750424</v>
      </c>
      <c r="AE8" s="36">
        <v>2609.092518750424</v>
      </c>
      <c r="AF8" s="35">
        <v>2981.6073081698551</v>
      </c>
      <c r="AG8" s="36">
        <v>2981.6073081698551</v>
      </c>
      <c r="AH8" s="35">
        <v>3615.7425107795571</v>
      </c>
      <c r="AI8" s="36">
        <v>3615.7425107795571</v>
      </c>
      <c r="AJ8" s="35">
        <v>4904.524336269712</v>
      </c>
      <c r="AK8" s="36">
        <v>4904.524336269712</v>
      </c>
      <c r="AL8" s="35">
        <v>8207.7229372248694</v>
      </c>
      <c r="AM8" s="36">
        <v>8207.7229372248694</v>
      </c>
      <c r="AN8" s="35">
        <v>21400.158006639755</v>
      </c>
      <c r="AO8" s="36">
        <v>21400.158006639755</v>
      </c>
      <c r="AP8" s="35">
        <v>29083.229863385804</v>
      </c>
      <c r="AQ8" s="36">
        <v>29083.229863385804</v>
      </c>
      <c r="AR8" s="35">
        <v>42882.570661841644</v>
      </c>
      <c r="AS8" s="36">
        <v>42882.570661841644</v>
      </c>
      <c r="AT8" s="35">
        <v>72894.007816876358</v>
      </c>
      <c r="AU8" s="36">
        <v>72894.007816876358</v>
      </c>
      <c r="AV8" s="35"/>
      <c r="AW8" s="36"/>
    </row>
    <row r="9" spans="1:49" x14ac:dyDescent="0.2">
      <c r="A9" t="s">
        <v>14</v>
      </c>
      <c r="B9" s="41">
        <v>1059.2664648168009</v>
      </c>
      <c r="C9" s="42">
        <v>1164.8563607265562</v>
      </c>
      <c r="D9" s="41">
        <v>1058.3001264561728</v>
      </c>
      <c r="E9" s="42">
        <v>1209.1508864501156</v>
      </c>
      <c r="F9" s="41">
        <v>1057.6863546616707</v>
      </c>
      <c r="G9" s="42">
        <v>1257.5197552736643</v>
      </c>
      <c r="H9" s="41">
        <v>1057.5131611952738</v>
      </c>
      <c r="I9" s="42">
        <v>1310.5089076616409</v>
      </c>
      <c r="J9" s="41">
        <v>1057.8975742957302</v>
      </c>
      <c r="K9" s="42">
        <v>1368.7567375991375</v>
      </c>
      <c r="L9" s="41">
        <v>1058.9971843425503</v>
      </c>
      <c r="M9" s="42">
        <v>1433.0133771253641</v>
      </c>
      <c r="N9" s="41">
        <v>1061.02706037965</v>
      </c>
      <c r="O9" s="42">
        <v>1504.1663765172113</v>
      </c>
      <c r="P9" s="41">
        <v>1064.284608240418</v>
      </c>
      <c r="Q9" s="42">
        <v>1583.2818020483003</v>
      </c>
      <c r="R9" s="41">
        <v>1069.1868171256681</v>
      </c>
      <c r="S9" s="42">
        <v>1671.6748906388409</v>
      </c>
      <c r="T9" s="41">
        <v>1076.3265177144388</v>
      </c>
      <c r="U9" s="42">
        <v>1771.0506822786165</v>
      </c>
      <c r="V9" s="41">
        <v>1086.5588647051752</v>
      </c>
      <c r="W9" s="42">
        <v>1883.8037721807564</v>
      </c>
      <c r="X9" s="41">
        <v>1101.1373346889093</v>
      </c>
      <c r="Y9" s="42">
        <v>2013.6737779183279</v>
      </c>
      <c r="Z9" s="41">
        <v>1121.934968233578</v>
      </c>
      <c r="AA9" s="42">
        <v>2167.2000258698645</v>
      </c>
      <c r="AB9" s="41">
        <v>1151.8263420266321</v>
      </c>
      <c r="AC9" s="42">
        <v>2356.9701219467106</v>
      </c>
      <c r="AD9" s="41">
        <v>1195.3973891525652</v>
      </c>
      <c r="AE9" s="42">
        <v>2609.092518750424</v>
      </c>
      <c r="AF9" s="41">
        <v>1260.4098183566045</v>
      </c>
      <c r="AG9" s="42">
        <v>2981.6073081698551</v>
      </c>
      <c r="AH9" s="41">
        <v>1361.1423043048326</v>
      </c>
      <c r="AI9" s="42">
        <v>3615.7425107795571</v>
      </c>
      <c r="AJ9" s="41">
        <v>1526.5626158216771</v>
      </c>
      <c r="AK9" s="42">
        <v>4904.524336269712</v>
      </c>
      <c r="AL9" s="41">
        <v>1823.5597566633514</v>
      </c>
      <c r="AM9" s="42">
        <v>8207.7229372248694</v>
      </c>
      <c r="AN9" s="41">
        <v>2477.9493072878704</v>
      </c>
      <c r="AO9" s="42">
        <v>21400.158006639755</v>
      </c>
      <c r="AP9" s="41">
        <v>2724.4043721712578</v>
      </c>
      <c r="AQ9" s="42">
        <v>29083.229863385804</v>
      </c>
      <c r="AR9" s="41">
        <v>3065.9190708867927</v>
      </c>
      <c r="AS9" s="42">
        <v>42882.570661841644</v>
      </c>
      <c r="AT9" s="41">
        <v>3588.3501408249581</v>
      </c>
      <c r="AU9" s="42">
        <v>72894.007816876358</v>
      </c>
      <c r="AV9" s="41"/>
      <c r="AW9" s="42"/>
    </row>
    <row r="10" spans="1:49" x14ac:dyDescent="0.2">
      <c r="A10" t="s">
        <v>15</v>
      </c>
      <c r="B10" s="41">
        <v>1059.2664648168009</v>
      </c>
      <c r="C10" s="42">
        <v>1164.8563607265562</v>
      </c>
      <c r="D10" s="41">
        <v>1058.3001264561728</v>
      </c>
      <c r="E10" s="42">
        <v>1209.1508864501156</v>
      </c>
      <c r="F10" s="41">
        <v>1057.6863546616707</v>
      </c>
      <c r="G10" s="42">
        <v>1257.5197552736643</v>
      </c>
      <c r="H10" s="41">
        <v>1057.5131611952738</v>
      </c>
      <c r="I10" s="42">
        <v>1310.5089076616409</v>
      </c>
      <c r="J10" s="41">
        <v>1057.8975742957302</v>
      </c>
      <c r="K10" s="42">
        <v>1368.7567375991375</v>
      </c>
      <c r="L10" s="41">
        <v>1058.9971843425503</v>
      </c>
      <c r="M10" s="42">
        <v>1433.0133771253641</v>
      </c>
      <c r="N10" s="41">
        <v>1061.02706037965</v>
      </c>
      <c r="O10" s="42">
        <v>1504.1663765172113</v>
      </c>
      <c r="P10" s="41">
        <v>1064.284608240418</v>
      </c>
      <c r="Q10" s="42">
        <v>1583.2818020483003</v>
      </c>
      <c r="R10" s="41">
        <v>1069.1868171256681</v>
      </c>
      <c r="S10" s="42">
        <v>1671.6748906388409</v>
      </c>
      <c r="T10" s="41">
        <v>1076.3265177144388</v>
      </c>
      <c r="U10" s="42">
        <v>1771.0506822786165</v>
      </c>
      <c r="V10" s="41">
        <v>1086.5588647051752</v>
      </c>
      <c r="W10" s="42">
        <v>1883.8037721807564</v>
      </c>
      <c r="X10" s="41">
        <v>1101.1373346889093</v>
      </c>
      <c r="Y10" s="42">
        <v>2013.6737779183279</v>
      </c>
      <c r="Z10" s="41">
        <v>1121.934968233578</v>
      </c>
      <c r="AA10" s="42">
        <v>2167.2000258698645</v>
      </c>
      <c r="AB10" s="41">
        <v>1151.8263420266321</v>
      </c>
      <c r="AC10" s="42">
        <v>2356.9701219467106</v>
      </c>
      <c r="AD10" s="41">
        <v>1195.3973891525652</v>
      </c>
      <c r="AE10" s="42">
        <v>2609.092518750424</v>
      </c>
      <c r="AF10" s="41">
        <v>1260.4098183566045</v>
      </c>
      <c r="AG10" s="42">
        <v>2981.6073081698551</v>
      </c>
      <c r="AH10" s="41">
        <v>1361.1423043048326</v>
      </c>
      <c r="AI10" s="42">
        <v>3615.7425107795571</v>
      </c>
      <c r="AJ10" s="41">
        <v>1526.5626158216771</v>
      </c>
      <c r="AK10" s="42">
        <v>4904.524336269712</v>
      </c>
      <c r="AL10" s="41">
        <v>1823.5597566633514</v>
      </c>
      <c r="AM10" s="42">
        <v>8207.7229372248694</v>
      </c>
      <c r="AN10" s="41">
        <v>2477.9493072878704</v>
      </c>
      <c r="AO10" s="42">
        <v>21400.158006639755</v>
      </c>
      <c r="AP10" s="41">
        <v>2724.4043721712578</v>
      </c>
      <c r="AQ10" s="42">
        <v>29083.229863385804</v>
      </c>
      <c r="AR10" s="41">
        <v>3065.9190708867927</v>
      </c>
      <c r="AS10" s="42">
        <v>42882.570661841644</v>
      </c>
      <c r="AT10" s="41">
        <v>3588.3501408249581</v>
      </c>
      <c r="AU10" s="42">
        <v>72894.007816876358</v>
      </c>
      <c r="AV10" s="41"/>
      <c r="AW10" s="42"/>
    </row>
    <row r="11" spans="1:49" x14ac:dyDescent="0.2">
      <c r="A11" t="s">
        <v>29</v>
      </c>
      <c r="B11" s="41">
        <v>1059.2664648168009</v>
      </c>
      <c r="C11" s="42">
        <v>1164.8563607265562</v>
      </c>
      <c r="D11" s="41">
        <v>1058.3001264561728</v>
      </c>
      <c r="E11" s="42">
        <v>1209.1508864501156</v>
      </c>
      <c r="F11" s="41">
        <v>1057.6863546616707</v>
      </c>
      <c r="G11" s="42">
        <v>1257.5197552736643</v>
      </c>
      <c r="H11" s="41">
        <v>1057.5131611952738</v>
      </c>
      <c r="I11" s="42">
        <v>1310.5089076616409</v>
      </c>
      <c r="J11" s="41">
        <v>1057.8975742957302</v>
      </c>
      <c r="K11" s="42">
        <v>1368.7567375991375</v>
      </c>
      <c r="L11" s="41">
        <v>1058.9971843425503</v>
      </c>
      <c r="M11" s="42">
        <v>1433.0133771253641</v>
      </c>
      <c r="N11" s="41">
        <v>1061.02706037965</v>
      </c>
      <c r="O11" s="42">
        <v>1504.1663765172113</v>
      </c>
      <c r="P11" s="41">
        <v>1064.284608240418</v>
      </c>
      <c r="Q11" s="42">
        <v>1583.2818020483003</v>
      </c>
      <c r="R11" s="41">
        <v>1069.1868171256681</v>
      </c>
      <c r="S11" s="42">
        <v>1671.6748906388409</v>
      </c>
      <c r="T11" s="41">
        <v>1076.3265177144388</v>
      </c>
      <c r="U11" s="42">
        <v>1771.0506822786165</v>
      </c>
      <c r="V11" s="41">
        <v>1086.5588647051752</v>
      </c>
      <c r="W11" s="42">
        <v>1883.8037721807564</v>
      </c>
      <c r="X11" s="41">
        <v>1101.1373346889093</v>
      </c>
      <c r="Y11" s="42">
        <v>2013.6737779183279</v>
      </c>
      <c r="Z11" s="41">
        <v>1121.934968233578</v>
      </c>
      <c r="AA11" s="42">
        <v>2167.2000258698645</v>
      </c>
      <c r="AB11" s="41">
        <v>1151.8263420266321</v>
      </c>
      <c r="AC11" s="42">
        <v>2356.9701219467106</v>
      </c>
      <c r="AD11" s="41">
        <v>1195.3973891525652</v>
      </c>
      <c r="AE11" s="42">
        <v>2609.092518750424</v>
      </c>
      <c r="AF11" s="41">
        <v>1260.4098183566045</v>
      </c>
      <c r="AG11" s="42">
        <v>2981.6073081698551</v>
      </c>
      <c r="AH11" s="41">
        <v>1361.1423043048326</v>
      </c>
      <c r="AI11" s="42">
        <v>3615.7425107795571</v>
      </c>
      <c r="AJ11" s="41">
        <v>1526.5626158216771</v>
      </c>
      <c r="AK11" s="42">
        <v>4904.524336269712</v>
      </c>
      <c r="AL11" s="41">
        <v>1823.5597566633514</v>
      </c>
      <c r="AM11" s="42">
        <v>8207.7229372248694</v>
      </c>
      <c r="AN11" s="41">
        <v>2477.9493072878704</v>
      </c>
      <c r="AO11" s="42">
        <v>21400.158006639755</v>
      </c>
      <c r="AP11" s="41">
        <v>2724.4043721712578</v>
      </c>
      <c r="AQ11" s="42">
        <v>29083.229863385804</v>
      </c>
      <c r="AR11" s="41">
        <v>3065.9190708867927</v>
      </c>
      <c r="AS11" s="42">
        <v>42882.570661841644</v>
      </c>
      <c r="AT11" s="41">
        <v>3588.3501408249581</v>
      </c>
      <c r="AU11" s="42">
        <v>72894.007816876358</v>
      </c>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c r="AW12" s="42"/>
    </row>
    <row r="13" spans="1:49" x14ac:dyDescent="0.2">
      <c r="A13" t="s">
        <v>17</v>
      </c>
      <c r="B13" s="100">
        <v>1000</v>
      </c>
      <c r="C13" s="101">
        <v>1000</v>
      </c>
      <c r="D13" s="100">
        <v>994.96393145731554</v>
      </c>
      <c r="E13" s="101">
        <v>994.96393145731554</v>
      </c>
      <c r="F13" s="100">
        <v>989.97962313724759</v>
      </c>
      <c r="G13" s="101">
        <v>989.97962313724759</v>
      </c>
      <c r="H13" s="100">
        <v>985.09701569322692</v>
      </c>
      <c r="I13" s="101">
        <v>985.09701569322692</v>
      </c>
      <c r="J13" s="100">
        <v>980.38902409765592</v>
      </c>
      <c r="K13" s="101">
        <v>980.38902409765592</v>
      </c>
      <c r="L13" s="100">
        <v>975.96206271583492</v>
      </c>
      <c r="M13" s="101">
        <v>975.96206271583492</v>
      </c>
      <c r="N13" s="100">
        <v>971.97188571089691</v>
      </c>
      <c r="O13" s="101">
        <v>971.97188571089691</v>
      </c>
      <c r="P13" s="100">
        <v>968.64718153955596</v>
      </c>
      <c r="Q13" s="101">
        <v>968.64718153955596</v>
      </c>
      <c r="R13" s="100">
        <v>966.32552844129646</v>
      </c>
      <c r="S13" s="101">
        <v>966.32552844129646</v>
      </c>
      <c r="T13" s="100">
        <v>965.50811110585653</v>
      </c>
      <c r="U13" s="101">
        <v>965.50811110585653</v>
      </c>
      <c r="V13" s="100">
        <v>966.94411185403919</v>
      </c>
      <c r="W13" s="101">
        <v>966.94411185403919</v>
      </c>
      <c r="X13" s="100">
        <v>971.76378591361038</v>
      </c>
      <c r="Y13" s="101">
        <v>971.76378591361038</v>
      </c>
      <c r="Z13" s="100">
        <v>981.69577031024301</v>
      </c>
      <c r="AA13" s="101">
        <v>981.69577031024301</v>
      </c>
      <c r="AB13" s="100">
        <v>999.44793583895739</v>
      </c>
      <c r="AC13" s="101">
        <v>999.44793583895739</v>
      </c>
      <c r="AD13" s="100">
        <v>1029.4347217749948</v>
      </c>
      <c r="AE13" s="101">
        <v>1029.4347217749948</v>
      </c>
      <c r="AF13" s="100">
        <v>1079.3429829592633</v>
      </c>
      <c r="AG13" s="101">
        <v>1079.3429829592633</v>
      </c>
      <c r="AH13" s="100">
        <v>1163.9285281533682</v>
      </c>
      <c r="AI13" s="101">
        <v>1163.9285281533682</v>
      </c>
      <c r="AJ13" s="100">
        <v>1315.2676456376319</v>
      </c>
      <c r="AK13" s="101">
        <v>1315.2676456376319</v>
      </c>
      <c r="AL13" s="100">
        <v>1616.6317879621588</v>
      </c>
      <c r="AM13" s="101">
        <v>1616.6317879621588</v>
      </c>
      <c r="AN13" s="100">
        <v>2411.6358565488727</v>
      </c>
      <c r="AO13" s="101">
        <v>2411.6358565488727</v>
      </c>
      <c r="AP13" s="100">
        <v>2763.7369532083017</v>
      </c>
      <c r="AQ13" s="101">
        <v>2763.7369532083017</v>
      </c>
      <c r="AR13" s="100">
        <v>3307.3647889062927</v>
      </c>
      <c r="AS13" s="101">
        <v>3307.3647889062927</v>
      </c>
      <c r="AT13" s="100">
        <v>4284.098580966368</v>
      </c>
      <c r="AU13" s="101">
        <v>4284.098580966368</v>
      </c>
      <c r="AV13" s="100"/>
      <c r="AW13" s="101"/>
    </row>
    <row r="14" spans="1:49" x14ac:dyDescent="0.2">
      <c r="A14" t="s">
        <v>36</v>
      </c>
      <c r="B14" s="41">
        <v>1571.7032514685595</v>
      </c>
      <c r="C14" s="42">
        <v>1562.3699911127492</v>
      </c>
      <c r="D14" s="41">
        <v>1563.788046165404</v>
      </c>
      <c r="E14" s="42">
        <v>1554.5017887484719</v>
      </c>
      <c r="F14" s="41">
        <v>1555.9541925724313</v>
      </c>
      <c r="G14" s="42">
        <v>1546.7144550027442</v>
      </c>
      <c r="H14" s="41">
        <v>1548.2801825770193</v>
      </c>
      <c r="I14" s="42">
        <v>1539.0860156538226</v>
      </c>
      <c r="J14" s="41">
        <v>1540.8806168783738</v>
      </c>
      <c r="K14" s="42">
        <v>1531.7303908664915</v>
      </c>
      <c r="L14" s="41">
        <v>1533.92274728044</v>
      </c>
      <c r="M14" s="42">
        <v>1524.8138392517192</v>
      </c>
      <c r="N14" s="41">
        <v>1527.6513731078439</v>
      </c>
      <c r="O14" s="42">
        <v>1518.579706439976</v>
      </c>
      <c r="P14" s="41">
        <v>1522.4259247515763</v>
      </c>
      <c r="Q14" s="42">
        <v>1513.3852884133455</v>
      </c>
      <c r="R14" s="41">
        <v>1518.7769750282598</v>
      </c>
      <c r="S14" s="42">
        <v>1509.7580072828509</v>
      </c>
      <c r="T14" s="41">
        <v>1517.4922375443421</v>
      </c>
      <c r="U14" s="42">
        <v>1508.4808989677442</v>
      </c>
      <c r="V14" s="41">
        <v>1519.7492045893721</v>
      </c>
      <c r="W14" s="42">
        <v>1510.7244634439203</v>
      </c>
      <c r="X14" s="41">
        <v>1527.3243019798188</v>
      </c>
      <c r="Y14" s="42">
        <v>1518.2545775615388</v>
      </c>
      <c r="Z14" s="41">
        <v>1542.9344341495412</v>
      </c>
      <c r="AA14" s="42">
        <v>1533.7720119350377</v>
      </c>
      <c r="AB14" s="41">
        <v>1570.8355704316298</v>
      </c>
      <c r="AC14" s="42">
        <v>1561.5074626343674</v>
      </c>
      <c r="AD14" s="41">
        <v>1617.9658993883913</v>
      </c>
      <c r="AE14" s="42">
        <v>1608.357917110754</v>
      </c>
      <c r="AF14" s="41">
        <v>1696.4068757668483</v>
      </c>
      <c r="AG14" s="42">
        <v>1686.3330866936724</v>
      </c>
      <c r="AH14" s="41">
        <v>1829.3502521756639</v>
      </c>
      <c r="AI14" s="42">
        <v>1818.487004186853</v>
      </c>
      <c r="AJ14" s="41">
        <v>2067.2104352000633</v>
      </c>
      <c r="AK14" s="42">
        <v>2054.9346998257533</v>
      </c>
      <c r="AL14" s="41">
        <v>2540.865437567556</v>
      </c>
      <c r="AM14" s="42">
        <v>2525.7769921910258</v>
      </c>
      <c r="AN14" s="41">
        <v>3790.3759170960279</v>
      </c>
      <c r="AO14" s="42">
        <v>3767.8674917634494</v>
      </c>
      <c r="AP14" s="41">
        <v>4343.7743555612979</v>
      </c>
      <c r="AQ14" s="42">
        <v>4317.9796790220307</v>
      </c>
      <c r="AR14" s="41">
        <v>5198.1959925166466</v>
      </c>
      <c r="AS14" s="42">
        <v>5167.3274958501443</v>
      </c>
      <c r="AT14" s="41">
        <v>6733.3316693166826</v>
      </c>
      <c r="AU14" s="42">
        <v>6693.3470618705651</v>
      </c>
      <c r="AV14" s="41"/>
      <c r="AW14" s="42"/>
    </row>
    <row r="15" spans="1:49" x14ac:dyDescent="0.2">
      <c r="A15" t="s">
        <v>18</v>
      </c>
      <c r="B15" s="157">
        <v>1000</v>
      </c>
      <c r="C15" s="158">
        <v>1000</v>
      </c>
      <c r="D15" s="157">
        <v>999.0877287323591</v>
      </c>
      <c r="E15" s="158">
        <v>999.0877287323591</v>
      </c>
      <c r="F15" s="157">
        <v>998.50829776301532</v>
      </c>
      <c r="G15" s="158">
        <v>998.50829776301532</v>
      </c>
      <c r="H15" s="157">
        <v>998.34479455381393</v>
      </c>
      <c r="I15" s="158">
        <v>998.34479455381393</v>
      </c>
      <c r="J15" s="157">
        <v>998.70769955762978</v>
      </c>
      <c r="K15" s="158">
        <v>998.70769955762978</v>
      </c>
      <c r="L15" s="157">
        <v>999.7457858969442</v>
      </c>
      <c r="M15" s="158">
        <v>999.7457858969442</v>
      </c>
      <c r="N15" s="157">
        <v>1001.6620893999071</v>
      </c>
      <c r="O15" s="158">
        <v>1001.6620893999071</v>
      </c>
      <c r="P15" s="157">
        <v>1004.7373759014311</v>
      </c>
      <c r="Q15" s="158">
        <v>1004.7373759014311</v>
      </c>
      <c r="R15" s="157">
        <v>1009.3653038573093</v>
      </c>
      <c r="S15" s="158">
        <v>1009.3653038573093</v>
      </c>
      <c r="T15" s="157">
        <v>1016.105534786838</v>
      </c>
      <c r="U15" s="158">
        <v>1016.105534786838</v>
      </c>
      <c r="V15" s="157">
        <v>1025.7653770744971</v>
      </c>
      <c r="W15" s="158">
        <v>1025.7653770744971</v>
      </c>
      <c r="X15" s="157">
        <v>1039.5281746971475</v>
      </c>
      <c r="Y15" s="158">
        <v>1039.5281746971475</v>
      </c>
      <c r="Z15" s="157">
        <v>1059.1621707080244</v>
      </c>
      <c r="AA15" s="158">
        <v>1059.1621707080244</v>
      </c>
      <c r="AB15" s="157">
        <v>1087.3811078554625</v>
      </c>
      <c r="AC15" s="158">
        <v>1087.3811078554625</v>
      </c>
      <c r="AD15" s="157">
        <v>1128.5143340767499</v>
      </c>
      <c r="AE15" s="158">
        <v>1128.5143340767499</v>
      </c>
      <c r="AF15" s="157">
        <v>1189.8892868043276</v>
      </c>
      <c r="AG15" s="158">
        <v>1189.8892868043276</v>
      </c>
      <c r="AH15" s="157">
        <v>1284.9857420344567</v>
      </c>
      <c r="AI15" s="158">
        <v>1284.9857420344567</v>
      </c>
      <c r="AJ15" s="157">
        <v>1441.1507080852355</v>
      </c>
      <c r="AK15" s="158">
        <v>1441.1507080852355</v>
      </c>
      <c r="AL15" s="157">
        <v>1721.5307169936073</v>
      </c>
      <c r="AM15" s="158">
        <v>1721.5307169936073</v>
      </c>
      <c r="AN15" s="157">
        <v>2339.3068595978148</v>
      </c>
      <c r="AO15" s="158">
        <v>2339.3068595978148</v>
      </c>
      <c r="AP15" s="157">
        <v>2571.9726458464256</v>
      </c>
      <c r="AQ15" s="158">
        <v>2571.9726458464256</v>
      </c>
      <c r="AR15" s="157">
        <v>2894.3794339954297</v>
      </c>
      <c r="AS15" s="158">
        <v>2894.3794339954297</v>
      </c>
      <c r="AT15" s="157">
        <v>3387.5802359565482</v>
      </c>
      <c r="AU15" s="158">
        <v>3387.5802359565482</v>
      </c>
      <c r="AV15" s="157"/>
      <c r="AW15" s="158"/>
    </row>
    <row r="16" spans="1:49" s="29" customFormat="1" x14ac:dyDescent="0.2">
      <c r="A16" t="s">
        <v>63</v>
      </c>
      <c r="B16" s="41">
        <v>1000</v>
      </c>
      <c r="C16" s="42">
        <v>1000</v>
      </c>
      <c r="D16" s="41">
        <v>996.99112120908114</v>
      </c>
      <c r="E16" s="42">
        <v>998.09525313240863</v>
      </c>
      <c r="F16" s="41">
        <v>994.17075661423371</v>
      </c>
      <c r="G16" s="42">
        <v>996.45518017018117</v>
      </c>
      <c r="H16" s="41">
        <v>991.60482170309399</v>
      </c>
      <c r="I16" s="42">
        <v>995.1547748879683</v>
      </c>
      <c r="J16" s="41">
        <v>989.38430506203315</v>
      </c>
      <c r="K16" s="42">
        <v>994.29533404815561</v>
      </c>
      <c r="L16" s="41">
        <v>987.63596244463054</v>
      </c>
      <c r="M16" s="42">
        <v>994.01526147850882</v>
      </c>
      <c r="N16" s="41">
        <v>986.53820516465566</v>
      </c>
      <c r="O16" s="42">
        <v>994.5060012903499</v>
      </c>
      <c r="P16" s="41">
        <v>986.34461876818409</v>
      </c>
      <c r="Q16" s="42">
        <v>996.03553107762821</v>
      </c>
      <c r="R16" s="41">
        <v>987.41952362299423</v>
      </c>
      <c r="S16" s="42">
        <v>998.98371365218463</v>
      </c>
      <c r="T16" s="41">
        <v>990.29191610503926</v>
      </c>
      <c r="U16" s="42">
        <v>1003.8957993614418</v>
      </c>
      <c r="V16" s="41">
        <v>995.73856166524297</v>
      </c>
      <c r="W16" s="42">
        <v>1011.5647503120229</v>
      </c>
      <c r="X16" s="41">
        <v>1004.9148897984219</v>
      </c>
      <c r="Y16" s="42">
        <v>1023.1608021264914</v>
      </c>
      <c r="Z16" s="41">
        <v>1019.5684048579631</v>
      </c>
      <c r="AA16" s="42">
        <v>1040.442450402817</v>
      </c>
      <c r="AB16" s="41">
        <v>1042.4100910289001</v>
      </c>
      <c r="AC16" s="42">
        <v>1066.1221111051382</v>
      </c>
      <c r="AD16" s="41">
        <v>1077.8146766849845</v>
      </c>
      <c r="AE16" s="42">
        <v>1104.5503798910254</v>
      </c>
      <c r="AF16" s="41">
        <v>1133.2987905190514</v>
      </c>
      <c r="AG16" s="42">
        <v>1163.1435303970725</v>
      </c>
      <c r="AH16" s="41">
        <v>1223.0080088656186</v>
      </c>
      <c r="AI16" s="42">
        <v>1255.6946017112371</v>
      </c>
      <c r="AJ16" s="41">
        <v>1376.7378711500696</v>
      </c>
      <c r="AK16" s="42">
        <v>1410.7047563314243</v>
      </c>
      <c r="AL16" s="41">
        <v>1667.9673805618086</v>
      </c>
      <c r="AM16" s="42">
        <v>1696.2005805070207</v>
      </c>
      <c r="AN16" s="41">
        <v>2375.9863510997607</v>
      </c>
      <c r="AO16" s="42">
        <v>2356.6799664039995</v>
      </c>
      <c r="AP16" s="41">
        <v>2668.9222251678125</v>
      </c>
      <c r="AQ16" s="42">
        <v>2617.9239850339923</v>
      </c>
      <c r="AR16" s="41">
        <v>3102.2202397458614</v>
      </c>
      <c r="AS16" s="42">
        <v>2992.9887533026617</v>
      </c>
      <c r="AT16" s="41">
        <v>3835.3682629166392</v>
      </c>
      <c r="AU16" s="42">
        <v>3600.37359885243</v>
      </c>
      <c r="AV16" s="41"/>
      <c r="AW16" s="42"/>
    </row>
    <row r="17" spans="1:49" x14ac:dyDescent="0.2">
      <c r="A17" t="s">
        <v>64</v>
      </c>
      <c r="B17" s="35">
        <v>1000</v>
      </c>
      <c r="C17" s="36">
        <v>999.99999999999977</v>
      </c>
      <c r="D17" s="35">
        <v>999.13357336072613</v>
      </c>
      <c r="E17" s="36">
        <v>1025.928450605046</v>
      </c>
      <c r="F17" s="35">
        <v>998.58362294937126</v>
      </c>
      <c r="G17" s="36">
        <v>1054.2860548238241</v>
      </c>
      <c r="H17" s="35">
        <v>998.42848940537692</v>
      </c>
      <c r="I17" s="36">
        <v>1085.4056196848373</v>
      </c>
      <c r="J17" s="35">
        <v>998.77284741986466</v>
      </c>
      <c r="K17" s="36">
        <v>1119.6803158863986</v>
      </c>
      <c r="L17" s="35">
        <v>999.75849101388008</v>
      </c>
      <c r="M17" s="36">
        <v>1157.5781223952613</v>
      </c>
      <c r="N17" s="35">
        <v>1001.5803539496892</v>
      </c>
      <c r="O17" s="36">
        <v>1199.6617111742519</v>
      </c>
      <c r="P17" s="35">
        <v>1004.5104843028721</v>
      </c>
      <c r="Q17" s="36">
        <v>1246.6199121763123</v>
      </c>
      <c r="R17" s="35">
        <v>1008.9347570466015</v>
      </c>
      <c r="S17" s="36">
        <v>1299.3204446733118</v>
      </c>
      <c r="T17" s="35">
        <v>1015.4099027537109</v>
      </c>
      <c r="U17" s="36">
        <v>1358.9095023581569</v>
      </c>
      <c r="V17" s="35">
        <v>1024.7542616074782</v>
      </c>
      <c r="W17" s="36">
        <v>1427.0131505745514</v>
      </c>
      <c r="X17" s="35">
        <v>1038.1965719298446</v>
      </c>
      <c r="Y17" s="36">
        <v>1506.1593978608387</v>
      </c>
      <c r="Z17" s="35">
        <v>1057.6299661214045</v>
      </c>
      <c r="AA17" s="36">
        <v>1600.6855829508133</v>
      </c>
      <c r="AB17" s="35">
        <v>1086.0734990950371</v>
      </c>
      <c r="AC17" s="36">
        <v>1718.7212618697747</v>
      </c>
      <c r="AD17" s="35">
        <v>1128.5757079962762</v>
      </c>
      <c r="AE17" s="36">
        <v>1876.6787381797069</v>
      </c>
      <c r="AF17" s="35">
        <v>1194.177235217375</v>
      </c>
      <c r="AG17" s="36">
        <v>2110.1815097812996</v>
      </c>
      <c r="AH17" s="35">
        <v>1300.6802710031711</v>
      </c>
      <c r="AI17" s="36">
        <v>2504.0944017275383</v>
      </c>
      <c r="AJ17" s="35">
        <v>1487.5673939567168</v>
      </c>
      <c r="AK17" s="36">
        <v>3289.6685587411939</v>
      </c>
      <c r="AL17" s="35">
        <v>1858.7107813282435</v>
      </c>
      <c r="AM17" s="36">
        <v>5248.8642915511055</v>
      </c>
      <c r="AN17" s="35">
        <v>2842.975474263927</v>
      </c>
      <c r="AO17" s="36">
        <v>12804.173143405334</v>
      </c>
      <c r="AP17" s="35">
        <v>3279.5905866766152</v>
      </c>
      <c r="AQ17" s="36">
        <v>17125.399900597225</v>
      </c>
      <c r="AR17" s="35">
        <v>3953.3603114853458</v>
      </c>
      <c r="AS17" s="36">
        <v>24820.244062698534</v>
      </c>
      <c r="AT17" s="35">
        <v>5162.782778645671</v>
      </c>
      <c r="AU17" s="36">
        <v>41398.660711489683</v>
      </c>
      <c r="AV17" s="35"/>
      <c r="AW17" s="36"/>
    </row>
    <row r="18" spans="1:49" x14ac:dyDescent="0.2">
      <c r="A18" t="s">
        <v>19</v>
      </c>
      <c r="B18" s="33">
        <v>21498.981358265999</v>
      </c>
      <c r="C18" s="34">
        <v>834.03652123400332</v>
      </c>
      <c r="D18" s="33">
        <v>21305.484841795955</v>
      </c>
      <c r="E18" s="34">
        <v>763.54946588686119</v>
      </c>
      <c r="F18" s="33">
        <v>21085.208261126529</v>
      </c>
      <c r="G18" s="34">
        <v>694.41649737</v>
      </c>
      <c r="H18" s="33">
        <v>20833.127460112868</v>
      </c>
      <c r="I18" s="34">
        <v>626.82515112172405</v>
      </c>
      <c r="J18" s="33">
        <v>20543.075528495247</v>
      </c>
      <c r="K18" s="34">
        <v>560.99269388859068</v>
      </c>
      <c r="L18" s="33">
        <v>20207.489124811062</v>
      </c>
      <c r="M18" s="34">
        <v>497.16951023908206</v>
      </c>
      <c r="N18" s="33">
        <v>19817.139236875246</v>
      </c>
      <c r="O18" s="34">
        <v>435.64006607577818</v>
      </c>
      <c r="P18" s="33">
        <v>19360.892536419902</v>
      </c>
      <c r="Q18" s="34">
        <v>376.72272075721054</v>
      </c>
      <c r="R18" s="33">
        <v>18825.602468684789</v>
      </c>
      <c r="S18" s="34">
        <v>320.76254509546499</v>
      </c>
      <c r="T18" s="33">
        <v>18196.309365475448</v>
      </c>
      <c r="U18" s="34">
        <v>268.1167423758373</v>
      </c>
      <c r="V18" s="33">
        <v>17457.02639927101</v>
      </c>
      <c r="W18" s="34">
        <v>219.13076360983237</v>
      </c>
      <c r="X18" s="33">
        <v>16592.471618096548</v>
      </c>
      <c r="Y18" s="34">
        <v>174.10488984066561</v>
      </c>
      <c r="Z18" s="33">
        <v>15590.989963320671</v>
      </c>
      <c r="AA18" s="34">
        <v>133.26785222616695</v>
      </c>
      <c r="AB18" s="33">
        <v>14448.463948619894</v>
      </c>
      <c r="AC18" s="34">
        <v>96.786208807641671</v>
      </c>
      <c r="AD18" s="33">
        <v>13171.831562153433</v>
      </c>
      <c r="AE18" s="34">
        <v>64.875222907817815</v>
      </c>
      <c r="AF18" s="33">
        <v>11779.257558066054</v>
      </c>
      <c r="AG18" s="34">
        <v>38.073327506128187</v>
      </c>
      <c r="AH18" s="33">
        <v>10292.825197055396</v>
      </c>
      <c r="AI18" s="34">
        <v>17.615264316744216</v>
      </c>
      <c r="AJ18" s="33">
        <v>8720.4618751254275</v>
      </c>
      <c r="AK18" s="34">
        <v>5.1972335137051688</v>
      </c>
      <c r="AL18" s="33">
        <v>7015.2077171539595</v>
      </c>
      <c r="AM18" s="34">
        <v>0.63879681210500006</v>
      </c>
      <c r="AN18" s="33">
        <v>4919.085497404848</v>
      </c>
      <c r="AO18" s="34">
        <v>1.1142234918193694E-2</v>
      </c>
      <c r="AP18" s="33">
        <v>4380.3999251651821</v>
      </c>
      <c r="AQ18" s="34">
        <v>2.9328014218379305E-3</v>
      </c>
      <c r="AR18" s="33">
        <v>3759.4078373205234</v>
      </c>
      <c r="AS18" s="34">
        <v>5.2798301365112655E-4</v>
      </c>
      <c r="AT18" s="33">
        <v>3008.2797478747052</v>
      </c>
      <c r="AU18" s="34">
        <v>4.8599282108129026E-5</v>
      </c>
      <c r="AV18" s="33"/>
      <c r="AW18" s="34"/>
    </row>
    <row r="19" spans="1:49" x14ac:dyDescent="0.2">
      <c r="A19" t="s">
        <v>3</v>
      </c>
      <c r="B19" s="41">
        <v>1782.2320505062355</v>
      </c>
      <c r="C19" s="42">
        <v>450.22976484179424</v>
      </c>
      <c r="D19" s="41">
        <v>1762.2938288965468</v>
      </c>
      <c r="E19" s="42">
        <v>452.34701562277706</v>
      </c>
      <c r="F19" s="41">
        <v>1741.6257757617018</v>
      </c>
      <c r="G19" s="42">
        <v>454.19754944459919</v>
      </c>
      <c r="H19" s="41">
        <v>1720.1219115663293</v>
      </c>
      <c r="I19" s="42">
        <v>455.63906002992695</v>
      </c>
      <c r="J19" s="41">
        <v>1697.6664391593513</v>
      </c>
      <c r="K19" s="42">
        <v>456.49057642889585</v>
      </c>
      <c r="L19" s="41">
        <v>1674.1387894301929</v>
      </c>
      <c r="M19" s="42">
        <v>456.52420634137763</v>
      </c>
      <c r="N19" s="41">
        <v>1649.4255911207295</v>
      </c>
      <c r="O19" s="42">
        <v>455.45649592344364</v>
      </c>
      <c r="P19" s="41">
        <v>1623.4447473836124</v>
      </c>
      <c r="Q19" s="42">
        <v>452.94178998091212</v>
      </c>
      <c r="R19" s="41">
        <v>1596.1926042567895</v>
      </c>
      <c r="S19" s="42">
        <v>448.56972133688885</v>
      </c>
      <c r="T19" s="41">
        <v>1567.8311147056149</v>
      </c>
      <c r="U19" s="42">
        <v>441.8721991652269</v>
      </c>
      <c r="V19" s="41">
        <v>1538.8436272556633</v>
      </c>
      <c r="W19" s="42">
        <v>432.34561575710421</v>
      </c>
      <c r="X19" s="41">
        <v>1510.3053258015143</v>
      </c>
      <c r="Y19" s="42">
        <v>419.49088087825447</v>
      </c>
      <c r="Z19" s="41">
        <v>1484.3370585734835</v>
      </c>
      <c r="AA19" s="42">
        <v>402.86241961591168</v>
      </c>
      <c r="AB19" s="41">
        <v>1464.8690243368906</v>
      </c>
      <c r="AC19" s="42">
        <v>382.08436409381977</v>
      </c>
      <c r="AD19" s="41">
        <v>1458.9532456988886</v>
      </c>
      <c r="AE19" s="42">
        <v>356.72846207132091</v>
      </c>
      <c r="AF19" s="41">
        <v>1479.2876141680249</v>
      </c>
      <c r="AG19" s="42">
        <v>325.85623651913835</v>
      </c>
      <c r="AH19" s="41">
        <v>1549.8767097140683</v>
      </c>
      <c r="AI19" s="42">
        <v>287.02636310177354</v>
      </c>
      <c r="AJ19" s="41">
        <v>1720.4305131243161</v>
      </c>
      <c r="AK19" s="42">
        <v>235.38991212668685</v>
      </c>
      <c r="AL19" s="41">
        <v>2108.8778338031384</v>
      </c>
      <c r="AM19" s="42">
        <v>166.64827308454835</v>
      </c>
      <c r="AN19" s="41">
        <v>3126.3292407610297</v>
      </c>
      <c r="AO19" s="42">
        <v>85.093984597823038</v>
      </c>
      <c r="AP19" s="41">
        <v>3542.203757163818</v>
      </c>
      <c r="AQ19" s="42">
        <v>68.145723724871402</v>
      </c>
      <c r="AR19" s="41">
        <v>4139.291873746427</v>
      </c>
      <c r="AS19" s="42">
        <v>51.135998586664421</v>
      </c>
      <c r="AT19" s="41">
        <v>5091.4846583516346</v>
      </c>
      <c r="AU19" s="42">
        <v>34.097853819157493</v>
      </c>
      <c r="AV19" s="41"/>
      <c r="AW19" s="42"/>
    </row>
    <row r="20" spans="1:49" x14ac:dyDescent="0.2">
      <c r="A20" t="s">
        <v>130</v>
      </c>
      <c r="B20" s="85">
        <v>20973.127797372959</v>
      </c>
      <c r="C20" s="86">
        <v>1222.2257935314667</v>
      </c>
      <c r="D20" s="85">
        <v>20776.386919145116</v>
      </c>
      <c r="E20" s="86">
        <v>1161.1145038548932</v>
      </c>
      <c r="F20" s="85">
        <v>20556.560025889317</v>
      </c>
      <c r="G20" s="86">
        <v>1100.0032141783201</v>
      </c>
      <c r="H20" s="85">
        <v>20309.39873284462</v>
      </c>
      <c r="I20" s="86">
        <v>1038.8919245017466</v>
      </c>
      <c r="J20" s="85">
        <v>20029.703513030683</v>
      </c>
      <c r="K20" s="86">
        <v>977.78063482517337</v>
      </c>
      <c r="L20" s="85">
        <v>19711.117569946688</v>
      </c>
      <c r="M20" s="86">
        <v>916.66934514860009</v>
      </c>
      <c r="N20" s="85">
        <v>19345.912004808568</v>
      </c>
      <c r="O20" s="86">
        <v>855.55805547202669</v>
      </c>
      <c r="P20" s="85">
        <v>18924.802230012756</v>
      </c>
      <c r="Q20" s="86">
        <v>794.4467657954533</v>
      </c>
      <c r="R20" s="85">
        <v>18436.883168084903</v>
      </c>
      <c r="S20" s="86">
        <v>733.33547611888014</v>
      </c>
      <c r="T20" s="85">
        <v>17869.837315676825</v>
      </c>
      <c r="U20" s="86">
        <v>672.22418644230675</v>
      </c>
      <c r="V20" s="85">
        <v>17210.653923915979</v>
      </c>
      <c r="W20" s="86">
        <v>611.11289676573335</v>
      </c>
      <c r="X20" s="85">
        <v>16447.169763242524</v>
      </c>
      <c r="Y20" s="86">
        <v>550.00160708916007</v>
      </c>
      <c r="Z20" s="85">
        <v>15570.643482083755</v>
      </c>
      <c r="AA20" s="86">
        <v>488.89031741258668</v>
      </c>
      <c r="AB20" s="85">
        <v>14579.21640362236</v>
      </c>
      <c r="AC20" s="86">
        <v>427.77902773601335</v>
      </c>
      <c r="AD20" s="85">
        <v>13481.126025540434</v>
      </c>
      <c r="AE20" s="86">
        <v>366.66773805943996</v>
      </c>
      <c r="AF20" s="85">
        <v>12295.281197610229</v>
      </c>
      <c r="AG20" s="86">
        <v>305.55644838286656</v>
      </c>
      <c r="AH20" s="85">
        <v>11045.858816135378</v>
      </c>
      <c r="AI20" s="86">
        <v>244.44515870629314</v>
      </c>
      <c r="AJ20" s="85">
        <v>9748.0397436728035</v>
      </c>
      <c r="AK20" s="86">
        <v>183.33386902971975</v>
      </c>
      <c r="AL20" s="85">
        <v>8373.7660518365901</v>
      </c>
      <c r="AM20" s="86">
        <v>122.22257935314637</v>
      </c>
      <c r="AN20" s="85">
        <v>6722.9406557125703</v>
      </c>
      <c r="AO20" s="86">
        <v>61.11128967657298</v>
      </c>
      <c r="AP20" s="85">
        <v>6301.4399558862278</v>
      </c>
      <c r="AQ20" s="86">
        <v>48.8890317412583</v>
      </c>
      <c r="AR20" s="85">
        <v>5814.522792805039</v>
      </c>
      <c r="AS20" s="86">
        <v>36.66677380594362</v>
      </c>
      <c r="AT20" s="85">
        <v>5221.1264606784462</v>
      </c>
      <c r="AU20" s="86">
        <v>24.444515870628948</v>
      </c>
      <c r="AV20" s="85"/>
      <c r="AW20" s="86"/>
    </row>
    <row r="21" spans="1:49" x14ac:dyDescent="0.2">
      <c r="A21" t="s">
        <v>78</v>
      </c>
      <c r="B21" s="85">
        <v>19190.895746866718</v>
      </c>
      <c r="C21" s="86">
        <v>771.99602868967372</v>
      </c>
      <c r="D21" s="85">
        <v>19014.094696032233</v>
      </c>
      <c r="E21" s="86">
        <v>709.04314693623894</v>
      </c>
      <c r="F21" s="85">
        <v>18814.938498120082</v>
      </c>
      <c r="G21" s="86">
        <v>646.93553052349966</v>
      </c>
      <c r="H21" s="85">
        <v>18589.281988652187</v>
      </c>
      <c r="I21" s="86">
        <v>585.85337256045602</v>
      </c>
      <c r="J21" s="85">
        <v>18332.040180365122</v>
      </c>
      <c r="K21" s="86">
        <v>526.00872045459232</v>
      </c>
      <c r="L21" s="85">
        <v>18036.978898815069</v>
      </c>
      <c r="M21" s="86">
        <v>467.64905524864872</v>
      </c>
      <c r="N21" s="85">
        <v>17696.491376947295</v>
      </c>
      <c r="O21" s="86">
        <v>411.0597710219651</v>
      </c>
      <c r="P21" s="85">
        <v>17301.396926184374</v>
      </c>
      <c r="Q21" s="86">
        <v>356.56337178026331</v>
      </c>
      <c r="R21" s="85">
        <v>16840.840739733656</v>
      </c>
      <c r="S21" s="86">
        <v>304.51393337861077</v>
      </c>
      <c r="T21" s="85">
        <v>16302.436668010594</v>
      </c>
      <c r="U21" s="86">
        <v>255.28346816495801</v>
      </c>
      <c r="V21" s="85">
        <v>15672.871355289131</v>
      </c>
      <c r="W21" s="86">
        <v>209.23809778520641</v>
      </c>
      <c r="X21" s="85">
        <v>14939.251005264612</v>
      </c>
      <c r="Y21" s="86">
        <v>166.70612937115953</v>
      </c>
      <c r="Z21" s="85">
        <v>14091.367743390872</v>
      </c>
      <c r="AA21" s="86">
        <v>127.94966638864769</v>
      </c>
      <c r="AB21" s="85">
        <v>13124.685421077891</v>
      </c>
      <c r="AC21" s="86">
        <v>93.171842876581167</v>
      </c>
      <c r="AD21" s="85">
        <v>12042.85029335525</v>
      </c>
      <c r="AE21" s="86">
        <v>62.61929823156094</v>
      </c>
      <c r="AF21" s="85">
        <v>10857.16619335729</v>
      </c>
      <c r="AG21" s="86">
        <v>36.848382221616298</v>
      </c>
      <c r="AH21" s="85">
        <v>9579.2954870371723</v>
      </c>
      <c r="AI21" s="86">
        <v>17.093592109369155</v>
      </c>
      <c r="AJ21" s="85">
        <v>8203.7907114313639</v>
      </c>
      <c r="AK21" s="86">
        <v>5.0548973877581176</v>
      </c>
      <c r="AL21" s="85">
        <v>6669.743188977588</v>
      </c>
      <c r="AM21" s="86">
        <v>0.62221162692746745</v>
      </c>
      <c r="AN21" s="85">
        <v>4716.5351975555759</v>
      </c>
      <c r="AO21" s="86">
        <v>1.0858340986297718E-2</v>
      </c>
      <c r="AP21" s="85">
        <v>4205.3376926085166</v>
      </c>
      <c r="AQ21" s="86">
        <v>2.8581474479179329E-3</v>
      </c>
      <c r="AR21" s="85">
        <v>3613.0669249404345</v>
      </c>
      <c r="AS21" s="86">
        <v>5.1454951798067528E-4</v>
      </c>
      <c r="AT21" s="85">
        <v>2893.7126217989367</v>
      </c>
      <c r="AU21" s="86">
        <v>4.7363010920845818E-5</v>
      </c>
      <c r="AV21" s="85"/>
      <c r="AW21" s="86"/>
    </row>
    <row r="22" spans="1:49" x14ac:dyDescent="0.2">
      <c r="A22" t="s">
        <v>28</v>
      </c>
      <c r="B22" s="41">
        <v>5896.9295697243897</v>
      </c>
      <c r="C22" s="42">
        <v>340.53228761636649</v>
      </c>
      <c r="D22" s="41">
        <v>5824.8367098902063</v>
      </c>
      <c r="E22" s="42">
        <v>328.74065128906022</v>
      </c>
      <c r="F22" s="41">
        <v>5745.3345143388224</v>
      </c>
      <c r="G22" s="42">
        <v>316.60168177359833</v>
      </c>
      <c r="H22" s="41">
        <v>5657.1161207892064</v>
      </c>
      <c r="I22" s="42">
        <v>304.08515717536972</v>
      </c>
      <c r="J22" s="41">
        <v>5558.5917109377078</v>
      </c>
      <c r="K22" s="42">
        <v>291.15740013799876</v>
      </c>
      <c r="L22" s="41">
        <v>5447.829748363004</v>
      </c>
      <c r="M22" s="42">
        <v>277.78123846639102</v>
      </c>
      <c r="N22" s="41">
        <v>5322.4975941382809</v>
      </c>
      <c r="O22" s="42">
        <v>263.91645595109145</v>
      </c>
      <c r="P22" s="41">
        <v>5179.8127005489787</v>
      </c>
      <c r="Q22" s="42">
        <v>249.52061915856092</v>
      </c>
      <c r="R22" s="41">
        <v>5016.5321114759363</v>
      </c>
      <c r="S22" s="42">
        <v>234.5510107132713</v>
      </c>
      <c r="T22" s="41">
        <v>4829.0245260460506</v>
      </c>
      <c r="U22" s="42">
        <v>218.9676149620183</v>
      </c>
      <c r="V22" s="41">
        <v>4613.4932107543964</v>
      </c>
      <c r="W22" s="42">
        <v>202.73703494338341</v>
      </c>
      <c r="X22" s="41">
        <v>4366.4367147710354</v>
      </c>
      <c r="Y22" s="42">
        <v>185.83659540748624</v>
      </c>
      <c r="Z22" s="41">
        <v>4085.3955573791663</v>
      </c>
      <c r="AA22" s="42">
        <v>168.25499691752483</v>
      </c>
      <c r="AB22" s="41">
        <v>3769.9299156927473</v>
      </c>
      <c r="AC22" s="42">
        <v>149.98425859774903</v>
      </c>
      <c r="AD22" s="41">
        <v>3422.4613541930908</v>
      </c>
      <c r="AE22" s="42">
        <v>130.99203630071673</v>
      </c>
      <c r="AF22" s="41">
        <v>3048.2579997299472</v>
      </c>
      <c r="AG22" s="42">
        <v>111.16835228824583</v>
      </c>
      <c r="AH22" s="41">
        <v>2653.557410518295</v>
      </c>
      <c r="AI22" s="42">
        <v>90.270273164596063</v>
      </c>
      <c r="AJ22" s="41">
        <v>2241.0464842588526</v>
      </c>
      <c r="AK22" s="42">
        <v>68.016479393359077</v>
      </c>
      <c r="AL22" s="41">
        <v>1799.7897418805999</v>
      </c>
      <c r="AM22" s="42">
        <v>44.620332845152397</v>
      </c>
      <c r="AN22" s="41">
        <v>1267.8180592467111</v>
      </c>
      <c r="AO22" s="42">
        <v>21.259587945365009</v>
      </c>
      <c r="AP22" s="41">
        <v>1133.2585346228332</v>
      </c>
      <c r="AQ22" s="42">
        <v>16.733970712498785</v>
      </c>
      <c r="AR22" s="41">
        <v>979.21590354226294</v>
      </c>
      <c r="AS22" s="42">
        <v>12.295297166562939</v>
      </c>
      <c r="AT22" s="41">
        <v>794.18989738078074</v>
      </c>
      <c r="AU22" s="42">
        <v>7.9714769654716449</v>
      </c>
      <c r="AV22" s="41"/>
      <c r="AW22" s="42"/>
    </row>
    <row r="23" spans="1:49" x14ac:dyDescent="0.2">
      <c r="A23" t="s">
        <v>7</v>
      </c>
      <c r="B23" s="119">
        <v>2396.8717103698964</v>
      </c>
      <c r="C23" s="8">
        <v>0</v>
      </c>
      <c r="D23" s="119">
        <v>2375.5845445474133</v>
      </c>
      <c r="E23" s="8">
        <v>0</v>
      </c>
      <c r="F23" s="119">
        <v>2351.3735751517825</v>
      </c>
      <c r="G23" s="8">
        <v>0</v>
      </c>
      <c r="H23" s="119">
        <v>2323.688378440263</v>
      </c>
      <c r="I23" s="8">
        <v>0</v>
      </c>
      <c r="J23" s="119">
        <v>2291.8532255985861</v>
      </c>
      <c r="K23" s="8">
        <v>0</v>
      </c>
      <c r="L23" s="119">
        <v>2255.039405191179</v>
      </c>
      <c r="M23" s="8">
        <v>0</v>
      </c>
      <c r="N23" s="119">
        <v>2212.2361832583661</v>
      </c>
      <c r="O23" s="8">
        <v>0</v>
      </c>
      <c r="P23" s="119">
        <v>2162.2256581513225</v>
      </c>
      <c r="Q23" s="8">
        <v>0</v>
      </c>
      <c r="R23" s="119">
        <v>2103.5734135176872</v>
      </c>
      <c r="S23" s="8">
        <v>0</v>
      </c>
      <c r="T23" s="119">
        <v>2034.6560936362059</v>
      </c>
      <c r="U23" s="8">
        <v>0</v>
      </c>
      <c r="V23" s="119">
        <v>1953.7592643593625</v>
      </c>
      <c r="W23" s="8">
        <v>0</v>
      </c>
      <c r="X23" s="119">
        <v>1859.2905552973616</v>
      </c>
      <c r="Y23" s="8">
        <v>0</v>
      </c>
      <c r="Z23" s="119">
        <v>1750.1430702937662</v>
      </c>
      <c r="AA23" s="8">
        <v>0</v>
      </c>
      <c r="AB23" s="119">
        <v>1626.198232992467</v>
      </c>
      <c r="AC23" s="8">
        <v>0</v>
      </c>
      <c r="AD23" s="119">
        <v>1488.8325359178461</v>
      </c>
      <c r="AE23" s="8">
        <v>0</v>
      </c>
      <c r="AF23" s="119">
        <v>1341.1214685632553</v>
      </c>
      <c r="AG23" s="8">
        <v>0</v>
      </c>
      <c r="AH23" s="119">
        <v>1187.2930003315209</v>
      </c>
      <c r="AI23" s="8">
        <v>0</v>
      </c>
      <c r="AJ23" s="119">
        <v>1030.8995175526322</v>
      </c>
      <c r="AK23" s="8">
        <v>0</v>
      </c>
      <c r="AL23" s="119">
        <v>869.68314784713971</v>
      </c>
      <c r="AM23" s="8">
        <v>0</v>
      </c>
      <c r="AN23" s="119">
        <v>677.52253418245289</v>
      </c>
      <c r="AO23" s="8">
        <v>0</v>
      </c>
      <c r="AP23" s="119">
        <v>627.62909414167927</v>
      </c>
      <c r="AQ23" s="8">
        <v>0</v>
      </c>
      <c r="AR23" s="119">
        <v>569.17056212680291</v>
      </c>
      <c r="AS23" s="8">
        <v>0</v>
      </c>
      <c r="AT23" s="119">
        <v>496.38486438156446</v>
      </c>
      <c r="AU23" s="8">
        <v>0</v>
      </c>
      <c r="AV23" s="119"/>
      <c r="AW23" s="8"/>
    </row>
    <row r="24" spans="1:49" x14ac:dyDescent="0.2">
      <c r="A24" t="s">
        <v>8</v>
      </c>
      <c r="B24" s="100">
        <v>2261.1304131516072</v>
      </c>
      <c r="C24" s="8">
        <v>0</v>
      </c>
      <c r="D24" s="100">
        <v>2261.1304131516072</v>
      </c>
      <c r="E24" s="8">
        <v>0</v>
      </c>
      <c r="F24" s="100">
        <v>2261.1304131516072</v>
      </c>
      <c r="G24" s="8">
        <v>0</v>
      </c>
      <c r="H24" s="100">
        <v>2261.1304131516072</v>
      </c>
      <c r="I24" s="8">
        <v>0</v>
      </c>
      <c r="J24" s="100">
        <v>2261.1304131516072</v>
      </c>
      <c r="K24" s="8">
        <v>0</v>
      </c>
      <c r="L24" s="100">
        <v>2261.1304131516072</v>
      </c>
      <c r="M24" s="8">
        <v>0</v>
      </c>
      <c r="N24" s="100">
        <v>2261.1304131516072</v>
      </c>
      <c r="O24" s="8">
        <v>0</v>
      </c>
      <c r="P24" s="100">
        <v>2261.1304131516072</v>
      </c>
      <c r="Q24" s="8">
        <v>0</v>
      </c>
      <c r="R24" s="100">
        <v>2261.1304131516072</v>
      </c>
      <c r="S24" s="8">
        <v>0</v>
      </c>
      <c r="T24" s="100">
        <v>2261.1304131516072</v>
      </c>
      <c r="U24" s="8">
        <v>0</v>
      </c>
      <c r="V24" s="100">
        <v>2261.1304131516072</v>
      </c>
      <c r="W24" s="8">
        <v>0</v>
      </c>
      <c r="X24" s="100">
        <v>2261.1304131516072</v>
      </c>
      <c r="Y24" s="8">
        <v>0</v>
      </c>
      <c r="Z24" s="100">
        <v>2261.1304131516072</v>
      </c>
      <c r="AA24" s="8">
        <v>0</v>
      </c>
      <c r="AB24" s="100">
        <v>2261.1304131516072</v>
      </c>
      <c r="AC24" s="8">
        <v>0</v>
      </c>
      <c r="AD24" s="100">
        <v>2261.1304131516072</v>
      </c>
      <c r="AE24" s="8">
        <v>0</v>
      </c>
      <c r="AF24" s="100">
        <v>2261.1304131516072</v>
      </c>
      <c r="AG24" s="8">
        <v>0</v>
      </c>
      <c r="AH24" s="100">
        <v>2261.1304131516072</v>
      </c>
      <c r="AI24" s="8">
        <v>0</v>
      </c>
      <c r="AJ24" s="100">
        <v>2261.1304131516072</v>
      </c>
      <c r="AK24" s="8">
        <v>0</v>
      </c>
      <c r="AL24" s="100">
        <v>2261.1304131516072</v>
      </c>
      <c r="AM24" s="8">
        <v>0</v>
      </c>
      <c r="AN24" s="100">
        <v>2261.1304131516072</v>
      </c>
      <c r="AO24" s="8">
        <v>0</v>
      </c>
      <c r="AP24" s="100">
        <v>2261.1304131516072</v>
      </c>
      <c r="AQ24" s="8">
        <v>0</v>
      </c>
      <c r="AR24" s="100">
        <v>2261.1304131516072</v>
      </c>
      <c r="AS24" s="8">
        <v>0</v>
      </c>
      <c r="AT24" s="100">
        <v>2261.1304131516072</v>
      </c>
      <c r="AU24" s="8">
        <v>0</v>
      </c>
      <c r="AV24" s="100"/>
      <c r="AW24" s="8"/>
    </row>
    <row r="25" spans="1:49" x14ac:dyDescent="0.2">
      <c r="A25" t="s">
        <v>0</v>
      </c>
      <c r="B25" s="41">
        <v>2308.08561139929</v>
      </c>
      <c r="C25" s="42">
        <v>62.040492544331705</v>
      </c>
      <c r="D25" s="41">
        <v>2291.388110645938</v>
      </c>
      <c r="E25" s="42">
        <v>54.480720839197417</v>
      </c>
      <c r="F25" s="41">
        <v>2270.2643703291942</v>
      </c>
      <c r="G25" s="42">
        <v>47.384772865657283</v>
      </c>
      <c r="H25" s="41">
        <v>2243.8389048266472</v>
      </c>
      <c r="I25" s="42">
        <v>40.770175814017776</v>
      </c>
      <c r="J25" s="41">
        <v>2211.0313926329977</v>
      </c>
      <c r="K25" s="42">
        <v>34.653181384555154</v>
      </c>
      <c r="L25" s="41">
        <v>2170.5100754079926</v>
      </c>
      <c r="M25" s="42">
        <v>29.048114626324438</v>
      </c>
      <c r="N25" s="41">
        <v>2120.6416165380074</v>
      </c>
      <c r="O25" s="42">
        <v>23.96645506714767</v>
      </c>
      <c r="P25" s="41">
        <v>2059.4464220478594</v>
      </c>
      <c r="Q25" s="42">
        <v>19.415730377278525</v>
      </c>
      <c r="R25" s="41">
        <v>1984.5768187533617</v>
      </c>
      <c r="S25" s="42">
        <v>15.398048822088041</v>
      </c>
      <c r="T25" s="41">
        <v>1893.3523159664751</v>
      </c>
      <c r="U25" s="42">
        <v>11.908454167612721</v>
      </c>
      <c r="V25" s="41">
        <v>1782.9054736676508</v>
      </c>
      <c r="W25" s="42">
        <v>8.9333693884541994</v>
      </c>
      <c r="X25" s="41">
        <v>1650.5115712081065</v>
      </c>
      <c r="Y25" s="42">
        <v>6.4496418475035826</v>
      </c>
      <c r="Z25" s="41">
        <v>1494.1680267096099</v>
      </c>
      <c r="AA25" s="42">
        <v>4.4253773056296009</v>
      </c>
      <c r="AB25" s="41">
        <v>1313.4231949946181</v>
      </c>
      <c r="AC25" s="42">
        <v>2.8236901110139199</v>
      </c>
      <c r="AD25" s="41">
        <v>1110.3064736071365</v>
      </c>
      <c r="AE25" s="42">
        <v>1.6101378199385408</v>
      </c>
      <c r="AF25" s="41">
        <v>890.03281921923542</v>
      </c>
      <c r="AG25" s="42">
        <v>0.76047413977645062</v>
      </c>
      <c r="AH25" s="41">
        <v>661.29563912984406</v>
      </c>
      <c r="AI25" s="42">
        <v>0.25601105689712889</v>
      </c>
      <c r="AJ25" s="41">
        <v>436.93584971944472</v>
      </c>
      <c r="AK25" s="42">
        <v>4.5461570995613827E-2</v>
      </c>
      <c r="AL25" s="41">
        <v>235.60932397663245</v>
      </c>
      <c r="AM25" s="42">
        <v>2.3333327891229506E-3</v>
      </c>
      <c r="AN25" s="41">
        <v>79.476204324535786</v>
      </c>
      <c r="AO25" s="42">
        <v>7.5277591345342249E-6</v>
      </c>
      <c r="AP25" s="41">
        <v>55.763995433426743</v>
      </c>
      <c r="AQ25" s="42">
        <v>1.1359973406293507E-6</v>
      </c>
      <c r="AR25" s="41">
        <v>35.225051120534083</v>
      </c>
      <c r="AS25" s="42">
        <v>1.0017218158351103E-7</v>
      </c>
      <c r="AT25" s="41">
        <v>18.369275532103867</v>
      </c>
      <c r="AU25" s="42">
        <v>3.4258243635592854E-9</v>
      </c>
      <c r="AV25" s="41"/>
      <c r="AW25" s="42"/>
    </row>
    <row r="26" spans="1:49" x14ac:dyDescent="0.2">
      <c r="A26" t="s">
        <v>27</v>
      </c>
      <c r="B26" s="33">
        <v>3209.4420883953348</v>
      </c>
      <c r="C26" s="34">
        <v>31.623872672841795</v>
      </c>
      <c r="D26" s="33">
        <v>3185.8644307887489</v>
      </c>
      <c r="E26" s="34">
        <v>29.116016140582893</v>
      </c>
      <c r="F26" s="33">
        <v>3158.5664359322968</v>
      </c>
      <c r="G26" s="34">
        <v>26.639248146992703</v>
      </c>
      <c r="H26" s="33">
        <v>3126.8007021468425</v>
      </c>
      <c r="I26" s="34">
        <v>24.199575933515391</v>
      </c>
      <c r="J26" s="33">
        <v>3089.6397681908679</v>
      </c>
      <c r="K26" s="34">
        <v>21.804180544607789</v>
      </c>
      <c r="L26" s="33">
        <v>3045.9329317332163</v>
      </c>
      <c r="M26" s="34">
        <v>19.461603022936373</v>
      </c>
      <c r="N26" s="33">
        <v>2994.2583422401203</v>
      </c>
      <c r="O26" s="34">
        <v>17.181876299222409</v>
      </c>
      <c r="P26" s="33">
        <v>2932.8769076561439</v>
      </c>
      <c r="Q26" s="34">
        <v>14.976617061016547</v>
      </c>
      <c r="R26" s="33">
        <v>2859.7021378815812</v>
      </c>
      <c r="S26" s="34">
        <v>12.85890564126227</v>
      </c>
      <c r="T26" s="33">
        <v>2772.3134764150141</v>
      </c>
      <c r="U26" s="34">
        <v>10.842898849316335</v>
      </c>
      <c r="V26" s="33">
        <v>2668.0569687630041</v>
      </c>
      <c r="W26" s="34">
        <v>8.9430812895665355</v>
      </c>
      <c r="X26" s="33">
        <v>2544.2925383755928</v>
      </c>
      <c r="Y26" s="34">
        <v>7.1731411423622928</v>
      </c>
      <c r="Z26" s="33">
        <v>2398.8337658656192</v>
      </c>
      <c r="AA26" s="34">
        <v>5.5450162548851472</v>
      </c>
      <c r="AB26" s="33">
        <v>2230.5583115867098</v>
      </c>
      <c r="AC26" s="34">
        <v>4.0692406525274318</v>
      </c>
      <c r="AD26" s="33">
        <v>2039.9817924528784</v>
      </c>
      <c r="AE26" s="34">
        <v>2.7592118743920069</v>
      </c>
      <c r="AF26" s="33">
        <v>1829.3220476500089</v>
      </c>
      <c r="AG26" s="34">
        <v>1.642143942939271</v>
      </c>
      <c r="AH26" s="33">
        <v>1601.3598377225733</v>
      </c>
      <c r="AI26" s="34">
        <v>0.77477010509416255</v>
      </c>
      <c r="AJ26" s="33">
        <v>1356.4877275238896</v>
      </c>
      <c r="AK26" s="34">
        <v>0.23592523576898605</v>
      </c>
      <c r="AL26" s="33">
        <v>1085.9947334547905</v>
      </c>
      <c r="AM26" s="34">
        <v>3.0690228486636752E-2</v>
      </c>
      <c r="AN26" s="33">
        <v>746.70240512551118</v>
      </c>
      <c r="AO26" s="34">
        <v>5.995214438119852E-4</v>
      </c>
      <c r="AP26" s="33">
        <v>658.78419363701596</v>
      </c>
      <c r="AQ26" s="34">
        <v>1.6380327810330085E-4</v>
      </c>
      <c r="AR26" s="33">
        <v>557.49928245280751</v>
      </c>
      <c r="AS26" s="34">
        <v>3.0922531403207733E-5</v>
      </c>
      <c r="AT26" s="33">
        <v>435.71743352619706</v>
      </c>
      <c r="AU26" s="34">
        <v>3.0369291328644588E-6</v>
      </c>
      <c r="AV26" s="33"/>
      <c r="AW26" s="34"/>
    </row>
    <row r="27" spans="1:49" x14ac:dyDescent="0.2">
      <c r="A27" t="s">
        <v>2</v>
      </c>
      <c r="B27" s="35">
        <v>4880.3032028967582</v>
      </c>
      <c r="C27" s="36">
        <v>155.9342317514201</v>
      </c>
      <c r="D27" s="35">
        <v>4838.4434124754998</v>
      </c>
      <c r="E27" s="36">
        <v>143.4791877175775</v>
      </c>
      <c r="F27" s="35">
        <v>4790.5971377852829</v>
      </c>
      <c r="G27" s="36">
        <v>131.18661939127705</v>
      </c>
      <c r="H27" s="35">
        <v>4735.6216364898228</v>
      </c>
      <c r="I27" s="36">
        <v>119.08687477776553</v>
      </c>
      <c r="J27" s="35">
        <v>4672.1106666746628</v>
      </c>
      <c r="K27" s="36">
        <v>107.21613046328453</v>
      </c>
      <c r="L27" s="35">
        <v>4598.3349583074041</v>
      </c>
      <c r="M27" s="36">
        <v>95.617313354857131</v>
      </c>
      <c r="N27" s="35">
        <v>4512.1784694915132</v>
      </c>
      <c r="O27" s="36">
        <v>84.340640326098949</v>
      </c>
      <c r="P27" s="35">
        <v>4411.0808201385616</v>
      </c>
      <c r="Q27" s="36">
        <v>73.444138968321482</v>
      </c>
      <c r="R27" s="35">
        <v>4292.0086100653007</v>
      </c>
      <c r="S27" s="36">
        <v>62.992923838732949</v>
      </c>
      <c r="T27" s="35">
        <v>4151.4970173627462</v>
      </c>
      <c r="U27" s="36">
        <v>53.057203970991125</v>
      </c>
      <c r="V27" s="35">
        <v>3985.8262306624247</v>
      </c>
      <c r="W27" s="36">
        <v>43.708566125818727</v>
      </c>
      <c r="X27" s="35">
        <v>3791.4177727465285</v>
      </c>
      <c r="Y27" s="36">
        <v>35.014215139706245</v>
      </c>
      <c r="Z27" s="35">
        <v>3565.5107545450105</v>
      </c>
      <c r="AA27" s="36">
        <v>27.032203538699598</v>
      </c>
      <c r="AB27" s="35">
        <v>3307.0774065535484</v>
      </c>
      <c r="AC27" s="36">
        <v>19.812830249459576</v>
      </c>
      <c r="AD27" s="35">
        <v>3017.6653231925329</v>
      </c>
      <c r="AE27" s="36">
        <v>13.419155655945895</v>
      </c>
      <c r="AF27" s="35">
        <v>2701.4896314308689</v>
      </c>
      <c r="AG27" s="36">
        <v>7.9796820343286239</v>
      </c>
      <c r="AH27" s="35">
        <v>2363.8210426993428</v>
      </c>
      <c r="AI27" s="36">
        <v>3.764033181089856</v>
      </c>
      <c r="AJ27" s="35">
        <v>2006.8945391806833</v>
      </c>
      <c r="AK27" s="36">
        <v>1.1474837305030383</v>
      </c>
      <c r="AL27" s="35">
        <v>1620.5180827887966</v>
      </c>
      <c r="AM27" s="36">
        <v>0.14991014042382986</v>
      </c>
      <c r="AN27" s="35">
        <v>1145.8616184501416</v>
      </c>
      <c r="AO27" s="36">
        <v>2.9697155846213417E-3</v>
      </c>
      <c r="AP27" s="35">
        <v>1023.5982613256366</v>
      </c>
      <c r="AQ27" s="36">
        <v>8.1645741609355212E-4</v>
      </c>
      <c r="AR27" s="35">
        <v>882.34730635953576</v>
      </c>
      <c r="AS27" s="36">
        <v>1.5555731796865237E-4</v>
      </c>
      <c r="AT27" s="35">
        <v>710.90760064029894</v>
      </c>
      <c r="AU27" s="36">
        <v>1.5511597776499651E-5</v>
      </c>
      <c r="AV27" s="35"/>
      <c r="AW27" s="36"/>
    </row>
    <row r="28" spans="1:49" x14ac:dyDescent="0.2">
      <c r="A28" t="s">
        <v>35</v>
      </c>
      <c r="B28" s="41">
        <v>9924.5937686277575</v>
      </c>
      <c r="C28" s="42">
        <v>205.34242141823867</v>
      </c>
      <c r="D28" s="41">
        <v>9845.6705825014233</v>
      </c>
      <c r="E28" s="42">
        <v>188.96913331338681</v>
      </c>
      <c r="F28" s="41">
        <v>9754.8993643583781</v>
      </c>
      <c r="G28" s="42">
        <v>172.80680719350946</v>
      </c>
      <c r="H28" s="41">
        <v>9649.9599056320076</v>
      </c>
      <c r="I28" s="42">
        <v>156.8951829177968</v>
      </c>
      <c r="J28" s="41">
        <v>9527.9851110992076</v>
      </c>
      <c r="K28" s="42">
        <v>141.28166570588607</v>
      </c>
      <c r="L28" s="41">
        <v>9385.4336617020344</v>
      </c>
      <c r="M28" s="42">
        <v>126.02253965659693</v>
      </c>
      <c r="N28" s="41">
        <v>9217.9511487134987</v>
      </c>
      <c r="O28" s="42">
        <v>111.18371385779326</v>
      </c>
      <c r="P28" s="41">
        <v>9020.2404284411969</v>
      </c>
      <c r="Q28" s="42">
        <v>96.841388066725742</v>
      </c>
      <c r="R28" s="41">
        <v>8785.9862297511281</v>
      </c>
      <c r="S28" s="42">
        <v>83.081141699053788</v>
      </c>
      <c r="T28" s="41">
        <v>8507.9188675812456</v>
      </c>
      <c r="U28" s="42">
        <v>69.99533663097418</v>
      </c>
      <c r="V28" s="41">
        <v>8178.1506873194849</v>
      </c>
      <c r="W28" s="42">
        <v>57.678231154286053</v>
      </c>
      <c r="X28" s="41">
        <v>7788.9635244588499</v>
      </c>
      <c r="Y28" s="42">
        <v>46.218460911208673</v>
      </c>
      <c r="Z28" s="41">
        <v>7334.1791430558096</v>
      </c>
      <c r="AA28" s="42">
        <v>35.692774840846447</v>
      </c>
      <c r="AB28" s="41">
        <v>6811.0371272855173</v>
      </c>
      <c r="AC28" s="42">
        <v>26.167965809909568</v>
      </c>
      <c r="AD28" s="41">
        <v>6221.9412050030987</v>
      </c>
      <c r="AE28" s="42">
        <v>17.728036790891878</v>
      </c>
      <c r="AF28" s="41">
        <v>5574.6535012129398</v>
      </c>
      <c r="AG28" s="42">
        <v>10.543960834059428</v>
      </c>
      <c r="AH28" s="41">
        <v>4878.8923018462456</v>
      </c>
      <c r="AI28" s="42">
        <v>4.973851387975011</v>
      </c>
      <c r="AJ28" s="41">
        <v>4137.5945204333721</v>
      </c>
      <c r="AK28" s="42">
        <v>1.5159146055902621</v>
      </c>
      <c r="AL28" s="41">
        <v>3326.8864878488857</v>
      </c>
      <c r="AM28" s="42">
        <v>0.19784899757129287</v>
      </c>
      <c r="AN28" s="41">
        <v>2319.3755954294597</v>
      </c>
      <c r="AO28" s="42">
        <v>3.9063400750886639E-3</v>
      </c>
      <c r="AP28" s="41">
        <v>2058.6124851538284</v>
      </c>
      <c r="AQ28" s="42">
        <v>1.0723020924009413E-3</v>
      </c>
      <c r="AR28" s="41">
        <v>1757.3988987616212</v>
      </c>
      <c r="AS28" s="42">
        <v>2.0381925860025167E-4</v>
      </c>
      <c r="AT28" s="41">
        <v>1392.8483956028854</v>
      </c>
      <c r="AU28" s="42">
        <v>2.024067801397887E-5</v>
      </c>
      <c r="AV28" s="41"/>
      <c r="AW28" s="42"/>
    </row>
    <row r="29" spans="1:49" x14ac:dyDescent="0.2">
      <c r="A29" t="s">
        <v>53</v>
      </c>
      <c r="B29" s="35">
        <v>10476.875482049762</v>
      </c>
      <c r="C29" s="36">
        <v>680.10699657273517</v>
      </c>
      <c r="D29" s="35">
        <v>10382.410906862187</v>
      </c>
      <c r="E29" s="36">
        <v>621.58877630703319</v>
      </c>
      <c r="F29" s="35">
        <v>10274.959267692258</v>
      </c>
      <c r="G29" s="36">
        <v>564.33142742809343</v>
      </c>
      <c r="H29" s="35">
        <v>10152.088252523663</v>
      </c>
      <c r="I29" s="36">
        <v>508.49046646106962</v>
      </c>
      <c r="J29" s="35">
        <v>10010.810895325778</v>
      </c>
      <c r="K29" s="36">
        <v>454.24453370686547</v>
      </c>
      <c r="L29" s="35">
        <v>9847.4613371998203</v>
      </c>
      <c r="M29" s="36">
        <v>401.79772799456305</v>
      </c>
      <c r="N29" s="35">
        <v>9657.5619103099434</v>
      </c>
      <c r="O29" s="36">
        <v>351.37988218696637</v>
      </c>
      <c r="P29" s="35">
        <v>9435.7029308254332</v>
      </c>
      <c r="Q29" s="36">
        <v>303.24577749371593</v>
      </c>
      <c r="R29" s="35">
        <v>9175.481724681762</v>
      </c>
      <c r="S29" s="36">
        <v>257.6686331350428</v>
      </c>
      <c r="T29" s="35">
        <v>8869.5850484077237</v>
      </c>
      <c r="U29" s="36">
        <v>214.9276032005975</v>
      </c>
      <c r="V29" s="35">
        <v>8510.1447674733172</v>
      </c>
      <c r="W29" s="36">
        <v>175.28789466137573</v>
      </c>
      <c r="X29" s="35">
        <v>8089.5350004593129</v>
      </c>
      <c r="Y29" s="36">
        <v>138.97359189298359</v>
      </c>
      <c r="Z29" s="35">
        <v>7601.719975500956</v>
      </c>
      <c r="AA29" s="36">
        <v>106.14679449180993</v>
      </c>
      <c r="AB29" s="35">
        <v>7044.0427937193663</v>
      </c>
      <c r="AC29" s="36">
        <v>76.916391737454006</v>
      </c>
      <c r="AD29" s="35">
        <v>6418.7674762561373</v>
      </c>
      <c r="AE29" s="36">
        <v>51.429003208386362</v>
      </c>
      <c r="AF29" s="35">
        <v>5732.904934572156</v>
      </c>
      <c r="AG29" s="36">
        <v>30.090591285076783</v>
      </c>
      <c r="AH29" s="35">
        <v>4994.242758372704</v>
      </c>
      <c r="AI29" s="36">
        <v>13.862759891903801</v>
      </c>
      <c r="AJ29" s="35">
        <v>4201.9828481792529</v>
      </c>
      <c r="AK29" s="36">
        <v>4.0629763809217607</v>
      </c>
      <c r="AL29" s="35">
        <v>3326.939426067448</v>
      </c>
      <c r="AM29" s="36">
        <v>0.49406647267836035</v>
      </c>
      <c r="AN29" s="35">
        <v>2238.3373434785926</v>
      </c>
      <c r="AO29" s="36">
        <v>8.474339927966713E-3</v>
      </c>
      <c r="AP29" s="35">
        <v>1960.4320271949673</v>
      </c>
      <c r="AQ29" s="36">
        <v>2.2207250666773848E-3</v>
      </c>
      <c r="AR29" s="35">
        <v>1643.3970664758817</v>
      </c>
      <c r="AS29" s="36">
        <v>3.9780344561761341E-4</v>
      </c>
      <c r="AT29" s="35">
        <v>1267.3147804886339</v>
      </c>
      <c r="AU29" s="36">
        <v>3.6405243411111838E-5</v>
      </c>
      <c r="AV29" s="35"/>
      <c r="AW29" s="36"/>
    </row>
    <row r="30" spans="1:49" x14ac:dyDescent="0.2">
      <c r="A30" t="s">
        <v>48</v>
      </c>
      <c r="B30" s="122">
        <v>3437517.2752293102</v>
      </c>
      <c r="D30" s="122">
        <v>3424019.1498477962</v>
      </c>
      <c r="F30" s="122">
        <v>3407572.4579249131</v>
      </c>
      <c r="H30" s="122">
        <v>3387621.3898572423</v>
      </c>
      <c r="J30" s="122">
        <v>3363486.2068296466</v>
      </c>
      <c r="L30" s="122">
        <v>3334339.150159013</v>
      </c>
      <c r="N30" s="122">
        <v>3299183.0944719086</v>
      </c>
      <c r="P30" s="122">
        <v>3256841.9865057264</v>
      </c>
      <c r="R30" s="122">
        <v>3205982.9328386392</v>
      </c>
      <c r="T30" s="122">
        <v>3145205.3997327313</v>
      </c>
      <c r="V30" s="122">
        <v>3073257.3503478607</v>
      </c>
      <c r="X30" s="122">
        <v>2989469.5901785754</v>
      </c>
      <c r="Z30" s="122">
        <v>2894518.2864505178</v>
      </c>
      <c r="AB30" s="122">
        <v>2791642.5655491701</v>
      </c>
      <c r="AD30" s="122">
        <v>2688411.7376439036</v>
      </c>
      <c r="AF30" s="122">
        <v>2599270.9167648642</v>
      </c>
      <c r="AH30" s="122">
        <v>2549623.6477466044</v>
      </c>
      <c r="AJ30" s="122">
        <v>2582991.0688148877</v>
      </c>
      <c r="AL30" s="122">
        <v>2771833.6911905408</v>
      </c>
      <c r="AN30" s="122">
        <v>3265128.8134254441</v>
      </c>
      <c r="AP30" s="122">
        <v>3436320.4695591158</v>
      </c>
      <c r="AR30" s="122">
        <v>3654019.6317759193</v>
      </c>
      <c r="AT30" s="122">
        <v>3943708.3909045649</v>
      </c>
      <c r="AV30" s="122"/>
    </row>
    <row r="31" spans="1:49" x14ac:dyDescent="0.2">
      <c r="A31" t="s">
        <v>47</v>
      </c>
      <c r="B31" s="83">
        <v>0.99999999999999867</v>
      </c>
      <c r="D31" s="83">
        <v>0.98641263528533207</v>
      </c>
      <c r="F31" s="83">
        <v>0.97153217515149082</v>
      </c>
      <c r="H31" s="83">
        <v>0.95514175589892902</v>
      </c>
      <c r="J31" s="83">
        <v>0.93697937332515679</v>
      </c>
      <c r="L31" s="83">
        <v>0.91672897914554841</v>
      </c>
      <c r="N31" s="83">
        <v>0.89401176684482597</v>
      </c>
      <c r="P31" s="83">
        <v>0.86837943102991799</v>
      </c>
      <c r="R31" s="83">
        <v>0.83931392077147859</v>
      </c>
      <c r="T31" s="83">
        <v>0.80624052293684068</v>
      </c>
      <c r="V31" s="83">
        <v>0.76856460593439602</v>
      </c>
      <c r="X31" s="83">
        <v>0.72574470037236671</v>
      </c>
      <c r="Z31" s="83">
        <v>0.67740721413745253</v>
      </c>
      <c r="AB31" s="83">
        <v>0.62349090143053021</v>
      </c>
      <c r="AD31" s="83">
        <v>0.56435841725722991</v>
      </c>
      <c r="AF31" s="83">
        <v>0.50075657806009666</v>
      </c>
      <c r="AH31" s="83">
        <v>0.43346297129567024</v>
      </c>
      <c r="AJ31" s="83">
        <v>0.36251103025264997</v>
      </c>
      <c r="AL31" s="83">
        <v>0.28562036857358647</v>
      </c>
      <c r="AN31" s="83">
        <v>0.19250183940575799</v>
      </c>
      <c r="AP31" s="83">
        <v>0.16922187382824486</v>
      </c>
      <c r="AR31" s="83">
        <v>0.14287594394158901</v>
      </c>
      <c r="AT31" s="83">
        <v>0.11182085612175412</v>
      </c>
      <c r="AV31" s="83"/>
    </row>
    <row r="32" spans="1:49" x14ac:dyDescent="0.2">
      <c r="A32" t="s">
        <v>66</v>
      </c>
      <c r="B32" s="89">
        <v>11714820.670945669</v>
      </c>
      <c r="D32" s="89">
        <v>11600186.489621634</v>
      </c>
      <c r="F32" s="89">
        <v>11475303.135405658</v>
      </c>
      <c r="H32" s="89">
        <v>11338335.382158773</v>
      </c>
      <c r="J32" s="89">
        <v>11187062.246313373</v>
      </c>
      <c r="L32" s="89">
        <v>11018806.91083136</v>
      </c>
      <c r="N32" s="89">
        <v>10830377.229787894</v>
      </c>
      <c r="P32" s="89">
        <v>10618041.784827212</v>
      </c>
      <c r="R32" s="89">
        <v>10377599.370575542</v>
      </c>
      <c r="T32" s="89">
        <v>10104636.283911014</v>
      </c>
      <c r="V32" s="89">
        <v>9795124.0794866364</v>
      </c>
      <c r="X32" s="89">
        <v>9446575.1347104814</v>
      </c>
      <c r="Z32" s="89">
        <v>9059972.2826135121</v>
      </c>
      <c r="AB32" s="89">
        <v>8642634.032184761</v>
      </c>
      <c r="AD32" s="89">
        <v>8211902.5315994024</v>
      </c>
      <c r="AF32" s="89">
        <v>7799477.7659423398</v>
      </c>
      <c r="AH32" s="89">
        <v>7456706.8811170114</v>
      </c>
      <c r="AJ32" s="89">
        <v>7261336.9700588388</v>
      </c>
      <c r="AL32" s="89">
        <v>7317566.638983679</v>
      </c>
      <c r="AN32" s="89">
        <v>7746433.4445636421</v>
      </c>
      <c r="AP32" s="89">
        <v>7889695.9707874618</v>
      </c>
      <c r="AR32" s="89">
        <v>8051721.5780825242</v>
      </c>
      <c r="AT32" s="89">
        <v>8218621.4321690919</v>
      </c>
      <c r="AV32" s="89"/>
    </row>
    <row r="33" spans="1:49 16319:16321" x14ac:dyDescent="0.2">
      <c r="A33" t="s">
        <v>56</v>
      </c>
      <c r="B33" s="120">
        <v>6643090.9398583025</v>
      </c>
      <c r="D33" s="120">
        <v>6561922.4765817197</v>
      </c>
      <c r="F33" s="120">
        <v>6474894.7881660778</v>
      </c>
      <c r="H33" s="120">
        <v>6380981.0593105499</v>
      </c>
      <c r="J33" s="120">
        <v>6278944.3406420909</v>
      </c>
      <c r="L33" s="120">
        <v>6167300.594930796</v>
      </c>
      <c r="N33" s="120">
        <v>6044288.235437518</v>
      </c>
      <c r="P33" s="120">
        <v>5907856.3863120852</v>
      </c>
      <c r="R33" s="120">
        <v>5755703.0364610031</v>
      </c>
      <c r="T33" s="120">
        <v>5585409.8959521679</v>
      </c>
      <c r="V33" s="120">
        <v>5394748.7365894169</v>
      </c>
      <c r="X33" s="120">
        <v>5182260.7653404474</v>
      </c>
      <c r="Z33" s="120">
        <v>4948190.3685621889</v>
      </c>
      <c r="AB33" s="120">
        <v>4695813.0007663704</v>
      </c>
      <c r="AD33" s="120">
        <v>4432971.7092060586</v>
      </c>
      <c r="AF33" s="120">
        <v>4173514.6833635243</v>
      </c>
      <c r="AH33" s="120">
        <v>3938263.3124989499</v>
      </c>
      <c r="AJ33" s="120">
        <v>3754686.2616402837</v>
      </c>
      <c r="AL33" s="120">
        <v>3648255.473108748</v>
      </c>
      <c r="AN33" s="120">
        <v>3596547.4228643063</v>
      </c>
      <c r="AP33" s="120">
        <v>3574132.4232856082</v>
      </c>
      <c r="AR33" s="120">
        <v>3529450.6627393421</v>
      </c>
      <c r="AT33" s="120">
        <v>3430904.3343412234</v>
      </c>
      <c r="AV33" s="120"/>
    </row>
    <row r="34" spans="1:49 16319:16321" x14ac:dyDescent="0.2">
      <c r="A34" t="s">
        <v>77</v>
      </c>
      <c r="B34" s="120">
        <v>137664.28859559208</v>
      </c>
      <c r="D34" s="120">
        <v>131227.98696581181</v>
      </c>
      <c r="F34" s="120">
        <v>121825.81798855047</v>
      </c>
      <c r="H34" s="120">
        <v>108848.10904440854</v>
      </c>
      <c r="J34" s="120">
        <v>91527.558429305442</v>
      </c>
      <c r="L34" s="120">
        <v>68895.194262746489</v>
      </c>
      <c r="N34" s="120">
        <v>39725.984560981859</v>
      </c>
      <c r="P34" s="120">
        <v>2475.6150606134906</v>
      </c>
      <c r="R34" s="120">
        <v>-44787.458018228528</v>
      </c>
      <c r="T34" s="120">
        <v>-104442.5437367541</v>
      </c>
      <c r="V34" s="120">
        <v>-179350.39995666256</v>
      </c>
      <c r="X34" s="120">
        <v>-272834.99362415861</v>
      </c>
      <c r="Z34" s="120">
        <v>-388606.07417415566</v>
      </c>
      <c r="AB34" s="120">
        <v>-530706.50332507817</v>
      </c>
      <c r="AD34" s="120">
        <v>-703765.09634313453</v>
      </c>
      <c r="AF34" s="120">
        <v>-914350.55732815131</v>
      </c>
      <c r="AH34" s="120">
        <v>-1175351.4226291007</v>
      </c>
      <c r="AJ34" s="120">
        <v>-1518839.1139605627</v>
      </c>
      <c r="AL34" s="120">
        <v>-2039914.449578265</v>
      </c>
      <c r="AN34" s="120">
        <v>-3131947.0135065573</v>
      </c>
      <c r="AP34" s="120">
        <v>-3554585.484319265</v>
      </c>
      <c r="AR34" s="120">
        <v>-4155202.821112385</v>
      </c>
      <c r="AT34" s="120">
        <v>-5107213.2366352621</v>
      </c>
      <c r="AV34" s="120"/>
    </row>
    <row r="35" spans="1:49 16319:16321" x14ac:dyDescent="0.2">
      <c r="A35" t="s">
        <v>80</v>
      </c>
      <c r="B35" s="236">
        <v>1</v>
      </c>
      <c r="D35" s="236">
        <v>1.0013879646975996</v>
      </c>
      <c r="F35" s="236">
        <v>1.0032430412489304</v>
      </c>
      <c r="H35" s="236">
        <v>1.0056628544791162</v>
      </c>
      <c r="J35" s="236">
        <v>1.0087742168995693</v>
      </c>
      <c r="L35" s="236">
        <v>1.0127442388684436</v>
      </c>
      <c r="N35" s="236">
        <v>1.0177965708862753</v>
      </c>
      <c r="P35" s="236">
        <v>1.0242355104402288</v>
      </c>
      <c r="R35" s="236">
        <v>1.0324825810684584</v>
      </c>
      <c r="T35" s="236">
        <v>1.0431332208484987</v>
      </c>
      <c r="V35" s="236">
        <v>1.0570471856581838</v>
      </c>
      <c r="X35" s="236">
        <v>1.0754975071972033</v>
      </c>
      <c r="Z35" s="236">
        <v>1.1004266040127697</v>
      </c>
      <c r="AB35" s="236">
        <v>1.1349134726244599</v>
      </c>
      <c r="AD35" s="236">
        <v>1.1840882814038178</v>
      </c>
      <c r="AF35" s="236">
        <v>1.2571084701166824</v>
      </c>
      <c r="AH35" s="236">
        <v>1.371924008721517</v>
      </c>
      <c r="AJ35" s="236">
        <v>1.568090610111416</v>
      </c>
      <c r="AL35" s="236">
        <v>1.9491583219671071</v>
      </c>
      <c r="AN35" s="236">
        <v>2.9442752570200876</v>
      </c>
      <c r="AP35" s="236">
        <v>3.3842801879908677</v>
      </c>
      <c r="AR35" s="236">
        <v>4.0635518940110629</v>
      </c>
      <c r="AT35" s="236">
        <v>5.2840805278725691</v>
      </c>
      <c r="AV35" s="236"/>
    </row>
    <row r="36" spans="1:49 16319:16321" x14ac:dyDescent="0.2">
      <c r="A36" t="s">
        <v>21</v>
      </c>
      <c r="B36" s="37">
        <v>0.47796858982439155</v>
      </c>
      <c r="C36" s="38">
        <v>0.17068593284758601</v>
      </c>
      <c r="D36" s="37">
        <v>0.47797611943736928</v>
      </c>
      <c r="E36" s="38">
        <v>0.17198922874913514</v>
      </c>
      <c r="F36" s="37">
        <v>0.4779809684698979</v>
      </c>
      <c r="G36" s="38">
        <v>0.17337326845444742</v>
      </c>
      <c r="H36" s="37">
        <v>0.47798234613130253</v>
      </c>
      <c r="I36" s="38">
        <v>0.17484410090760213</v>
      </c>
      <c r="J36" s="37">
        <v>0.47797929385832372</v>
      </c>
      <c r="K36" s="38">
        <v>0.17640769928848116</v>
      </c>
      <c r="L36" s="37">
        <v>0.47797067518197817</v>
      </c>
      <c r="M36" s="38">
        <v>0.17806960694771207</v>
      </c>
      <c r="N36" s="37">
        <v>0.47795519950327442</v>
      </c>
      <c r="O36" s="38">
        <v>0.17983440382763882</v>
      </c>
      <c r="P36" s="37">
        <v>0.47793153170237407</v>
      </c>
      <c r="Q36" s="38">
        <v>0.18170506331518238</v>
      </c>
      <c r="R36" s="37">
        <v>0.47789858765152193</v>
      </c>
      <c r="S36" s="38">
        <v>0.18368226388981529</v>
      </c>
      <c r="T36" s="37">
        <v>0.47785623065598543</v>
      </c>
      <c r="U36" s="38">
        <v>0.18576415592890425</v>
      </c>
      <c r="V36" s="37">
        <v>0.47780679916587032</v>
      </c>
      <c r="W36" s="38">
        <v>0.18794773963206976</v>
      </c>
      <c r="X36" s="37">
        <v>0.47775832264953255</v>
      </c>
      <c r="Y36" s="38">
        <v>0.19023437862152137</v>
      </c>
      <c r="Z36" s="37">
        <v>0.4777311216056766</v>
      </c>
      <c r="AA36" s="38">
        <v>0.19264480002630993</v>
      </c>
      <c r="AB36" s="37">
        <v>0.47777120193484945</v>
      </c>
      <c r="AC36" s="38">
        <v>0.19525369571117179</v>
      </c>
      <c r="AD36" s="37">
        <v>0.47797751390886239</v>
      </c>
      <c r="AE36" s="38">
        <v>0.19826397006752125</v>
      </c>
      <c r="AF36" s="37">
        <v>0.47855939208643761</v>
      </c>
      <c r="AG36" s="38">
        <v>0.20216225968574947</v>
      </c>
      <c r="AH36" s="37">
        <v>0.47996667040770818</v>
      </c>
      <c r="AI36" s="38">
        <v>0.20805560901238723</v>
      </c>
      <c r="AJ36" s="37">
        <v>0.48321156677410076</v>
      </c>
      <c r="AK36" s="38">
        <v>0.21844020907650241</v>
      </c>
      <c r="AL36" s="37">
        <v>0.49079230672059582</v>
      </c>
      <c r="AM36" s="38">
        <v>0.23915578905016954</v>
      </c>
      <c r="AN36" s="37">
        <v>0.51157200552081772</v>
      </c>
      <c r="AO36" s="38">
        <v>0.28862347145426331</v>
      </c>
      <c r="AP36" s="37">
        <v>0.52036824270402815</v>
      </c>
      <c r="AQ36" s="38">
        <v>0.30775046925900013</v>
      </c>
      <c r="AR36" s="37">
        <v>0.53333020095105255</v>
      </c>
      <c r="AS36" s="38">
        <v>0.33457373906975563</v>
      </c>
      <c r="AT36" s="37">
        <v>0.5549421621024565</v>
      </c>
      <c r="AU36" s="38">
        <v>0.37655072317847071</v>
      </c>
      <c r="AV36" s="37"/>
      <c r="AW36" s="38"/>
    </row>
    <row r="37" spans="1:49 16319:16321" x14ac:dyDescent="0.2">
      <c r="B37" s="39">
        <v>2.2053138497826009E-2</v>
      </c>
      <c r="C37" s="40">
        <v>0.48867583383045654</v>
      </c>
      <c r="D37" s="39">
        <v>2.1635703032222897E-2</v>
      </c>
      <c r="E37" s="40">
        <v>0.48643174781841952</v>
      </c>
      <c r="F37" s="39">
        <v>2.1209465247519498E-2</v>
      </c>
      <c r="G37" s="40">
        <v>0.48414104163580429</v>
      </c>
      <c r="H37" s="39">
        <v>2.0774572744895126E-2</v>
      </c>
      <c r="I37" s="40">
        <v>0.48180489172022029</v>
      </c>
      <c r="J37" s="39">
        <v>2.0331373410421724E-2</v>
      </c>
      <c r="K37" s="40">
        <v>0.47942561050674359</v>
      </c>
      <c r="L37" s="39">
        <v>1.9880488540096226E-2</v>
      </c>
      <c r="M37" s="40">
        <v>0.47700703945549161</v>
      </c>
      <c r="N37" s="39">
        <v>1.942290535822579E-2</v>
      </c>
      <c r="O37" s="40">
        <v>0.47455503992270726</v>
      </c>
      <c r="P37" s="39">
        <v>1.8960059910586299E-2</v>
      </c>
      <c r="Q37" s="40">
        <v>0.47207792231612822</v>
      </c>
      <c r="R37" s="39">
        <v>1.8493891971784606E-2</v>
      </c>
      <c r="S37" s="40">
        <v>0.46958671104354704</v>
      </c>
      <c r="T37" s="39">
        <v>1.8026768703420182E-2</v>
      </c>
      <c r="U37" s="40">
        <v>0.46709468988803771</v>
      </c>
      <c r="V37" s="39">
        <v>1.7561087556938963E-2</v>
      </c>
      <c r="W37" s="40">
        <v>0.46461522068620881</v>
      </c>
      <c r="X37" s="39">
        <v>1.7098200532817229E-2</v>
      </c>
      <c r="Y37" s="40">
        <v>0.46215595249042868</v>
      </c>
      <c r="Z37" s="39">
        <v>1.6635974423657225E-2</v>
      </c>
      <c r="AA37" s="40">
        <v>0.45970584536037817</v>
      </c>
      <c r="AB37" s="39">
        <v>1.6163878239389907E-2</v>
      </c>
      <c r="AC37" s="40">
        <v>0.45720929320557485</v>
      </c>
      <c r="AD37" s="39">
        <v>1.5653763844910039E-2</v>
      </c>
      <c r="AE37" s="40">
        <v>0.45451805493611525</v>
      </c>
      <c r="AF37" s="39">
        <v>1.5043839368631261E-2</v>
      </c>
      <c r="AG37" s="40">
        <v>0.45130901783371058</v>
      </c>
      <c r="AH37" s="39">
        <v>1.4213933313135486E-2</v>
      </c>
      <c r="AI37" s="40">
        <v>0.44696201842108768</v>
      </c>
      <c r="AJ37" s="39">
        <v>1.2961264083681931E-2</v>
      </c>
      <c r="AK37" s="40">
        <v>0.4404612044141395</v>
      </c>
      <c r="AL37" s="39">
        <v>1.1022792129337999E-2</v>
      </c>
      <c r="AM37" s="40">
        <v>0.43060601270723931</v>
      </c>
      <c r="AN37" s="39">
        <v>8.1005019226007263E-3</v>
      </c>
      <c r="AO37" s="40">
        <v>0.41645107898413947</v>
      </c>
      <c r="AP37" s="39">
        <v>7.3403913905582029E-3</v>
      </c>
      <c r="AQ37" s="40">
        <v>0.41296043064630722</v>
      </c>
      <c r="AR37" s="39">
        <v>6.4827392165631879E-3</v>
      </c>
      <c r="AS37" s="40">
        <v>0.40914446557970574</v>
      </c>
      <c r="AT37" s="39">
        <v>5.4758934033176708E-3</v>
      </c>
      <c r="AU37" s="40">
        <v>0.4048596383023419</v>
      </c>
      <c r="AV37" s="39"/>
      <c r="AW37" s="40"/>
    </row>
    <row r="38" spans="1:49 16319:16321" x14ac:dyDescent="0.2">
      <c r="A38" t="s">
        <v>22</v>
      </c>
      <c r="B38" s="37">
        <v>0.14928344905798796</v>
      </c>
      <c r="C38" s="38">
        <v>3.7916652170162192E-2</v>
      </c>
      <c r="D38" s="37">
        <v>0.14953259474944647</v>
      </c>
      <c r="E38" s="38">
        <v>3.8132455644854256E-2</v>
      </c>
      <c r="F38" s="37">
        <v>0.14980010616046638</v>
      </c>
      <c r="G38" s="38">
        <v>3.8362061166295619E-2</v>
      </c>
      <c r="H38" s="37">
        <v>0.15008791685902267</v>
      </c>
      <c r="I38" s="38">
        <v>3.8606580942403892E-2</v>
      </c>
      <c r="J38" s="37">
        <v>0.15039811170947781</v>
      </c>
      <c r="K38" s="38">
        <v>3.8867138168002503E-2</v>
      </c>
      <c r="L38" s="37">
        <v>0.15073287497125873</v>
      </c>
      <c r="M38" s="38">
        <v>3.9144803979587472E-2</v>
      </c>
      <c r="N38" s="37">
        <v>0.15109437878240659</v>
      </c>
      <c r="O38" s="38">
        <v>3.9440532763654661E-2</v>
      </c>
      <c r="P38" s="37">
        <v>0.15148459205272122</v>
      </c>
      <c r="Q38" s="38">
        <v>3.9755014061571947E-2</v>
      </c>
      <c r="R38" s="37">
        <v>0.15190494660866852</v>
      </c>
      <c r="S38" s="38">
        <v>4.0088550979152558E-2</v>
      </c>
      <c r="T38" s="37">
        <v>0.15235581132045548</v>
      </c>
      <c r="U38" s="38">
        <v>4.0440961475345365E-2</v>
      </c>
      <c r="V38" s="37">
        <v>0.15283570682315173</v>
      </c>
      <c r="W38" s="38">
        <v>4.0811619246168045E-2</v>
      </c>
      <c r="X38" s="37">
        <v>0.15334017721631446</v>
      </c>
      <c r="Y38" s="38">
        <v>4.1200113040632508E-2</v>
      </c>
      <c r="Z38" s="37">
        <v>0.15386025977241408</v>
      </c>
      <c r="AA38" s="38">
        <v>4.160805597342996E-2</v>
      </c>
      <c r="AB38" s="37">
        <v>0.15438030779733999</v>
      </c>
      <c r="AC38" s="38">
        <v>4.2043600040320504E-2</v>
      </c>
      <c r="AD38" s="37">
        <v>0.1548745732760772</v>
      </c>
      <c r="AE38" s="38">
        <v>4.2531058094592025E-2</v>
      </c>
      <c r="AF38" s="37">
        <v>0.15530028430334716</v>
      </c>
      <c r="AG38" s="38">
        <v>4.3131085473812489E-2</v>
      </c>
      <c r="AH38" s="37">
        <v>0.15558020340039344</v>
      </c>
      <c r="AI38" s="38">
        <v>4.3982882752301576E-2</v>
      </c>
      <c r="AJ38" s="37">
        <v>0.1555522800223674</v>
      </c>
      <c r="AK38" s="38">
        <v>4.5394388215739837E-2</v>
      </c>
      <c r="AL38" s="37">
        <v>0.1548057844102404</v>
      </c>
      <c r="AM38" s="38">
        <v>4.8043803452156475E-2</v>
      </c>
      <c r="AN38" s="37">
        <v>0.15179699672214428</v>
      </c>
      <c r="AO38" s="38">
        <v>5.3806211071088753E-2</v>
      </c>
      <c r="AP38" s="37">
        <v>0.15039361813799995</v>
      </c>
      <c r="AQ38" s="38">
        <v>5.5852154490790062E-2</v>
      </c>
      <c r="AR38" s="37">
        <v>0.1482944406612077</v>
      </c>
      <c r="AS38" s="38">
        <v>5.8567284559726963E-2</v>
      </c>
      <c r="AT38" s="37">
        <v>0.14483939993746375</v>
      </c>
      <c r="AU38" s="38">
        <v>6.2489176817623872E-2</v>
      </c>
      <c r="AV38" s="37"/>
      <c r="AW38" s="38"/>
    </row>
    <row r="39" spans="1:49 16319:16321" x14ac:dyDescent="0.2">
      <c r="A39" t="s">
        <v>23</v>
      </c>
      <c r="B39" s="39">
        <v>0.22700160168381014</v>
      </c>
      <c r="C39" s="40">
        <v>0.18696331369363389</v>
      </c>
      <c r="D39" s="39">
        <v>0.2270984888822479</v>
      </c>
      <c r="E39" s="40">
        <v>0.18791079573466365</v>
      </c>
      <c r="F39" s="39">
        <v>0.22720179371514226</v>
      </c>
      <c r="G39" s="40">
        <v>0.1889163346322085</v>
      </c>
      <c r="H39" s="39">
        <v>0.22731208483011731</v>
      </c>
      <c r="I39" s="40">
        <v>0.18998419984369755</v>
      </c>
      <c r="J39" s="39">
        <v>0.2274299512842656</v>
      </c>
      <c r="K39" s="40">
        <v>0.19111858609085008</v>
      </c>
      <c r="L39" s="39">
        <v>0.22755597837543798</v>
      </c>
      <c r="M39" s="40">
        <v>0.19232336534248864</v>
      </c>
      <c r="N39" s="39">
        <v>0.22769070830846069</v>
      </c>
      <c r="O39" s="40">
        <v>0.19360166085235184</v>
      </c>
      <c r="P39" s="39">
        <v>0.22783458003502929</v>
      </c>
      <c r="Q39" s="40">
        <v>0.19495542721898795</v>
      </c>
      <c r="R39" s="39">
        <v>0.22798784884599516</v>
      </c>
      <c r="S39" s="40">
        <v>0.19638491090032056</v>
      </c>
      <c r="T39" s="39">
        <v>0.22815049656385486</v>
      </c>
      <c r="U39" s="40">
        <v>0.19788844031461961</v>
      </c>
      <c r="V39" s="39">
        <v>0.22832217466480256</v>
      </c>
      <c r="W39" s="40">
        <v>0.19946339530693594</v>
      </c>
      <c r="X39" s="39">
        <v>0.22850229067810643</v>
      </c>
      <c r="Y39" s="40">
        <v>0.20110988939914304</v>
      </c>
      <c r="Z39" s="39">
        <v>0.22869046564286316</v>
      </c>
      <c r="AA39" s="40">
        <v>0.20284114351016655</v>
      </c>
      <c r="AB39" s="39">
        <v>0.22888781937746661</v>
      </c>
      <c r="AC39" s="40">
        <v>0.20470716327815572</v>
      </c>
      <c r="AD39" s="39">
        <v>0.22909990223859056</v>
      </c>
      <c r="AE39" s="40">
        <v>0.20684561924378089</v>
      </c>
      <c r="AF39" s="39">
        <v>0.2293429461164109</v>
      </c>
      <c r="AG39" s="40">
        <v>0.209587198099358</v>
      </c>
      <c r="AH39" s="39">
        <v>0.22965716384414964</v>
      </c>
      <c r="AI39" s="40">
        <v>0.21368019879849026</v>
      </c>
      <c r="AJ39" s="39">
        <v>0.23013626662427417</v>
      </c>
      <c r="AK39" s="40">
        <v>0.22078741074017735</v>
      </c>
      <c r="AL39" s="39">
        <v>0.2310007270100099</v>
      </c>
      <c r="AM39" s="40">
        <v>0.23467578044079043</v>
      </c>
      <c r="AN39" s="39">
        <v>0.23294200091758144</v>
      </c>
      <c r="AO39" s="40">
        <v>0.26652782017476728</v>
      </c>
      <c r="AP39" s="39">
        <v>0.2336768968159996</v>
      </c>
      <c r="AQ39" s="40">
        <v>0.2783882365898111</v>
      </c>
      <c r="AR39" s="39">
        <v>0.23470380031670601</v>
      </c>
      <c r="AS39" s="40">
        <v>0.29462561095088452</v>
      </c>
      <c r="AT39" s="39">
        <v>0.23631698519479188</v>
      </c>
      <c r="AU39" s="40">
        <v>0.31917339317868404</v>
      </c>
      <c r="AV39" s="39"/>
      <c r="AW39" s="40"/>
    </row>
    <row r="40" spans="1:49 16319:16321" x14ac:dyDescent="0.2">
      <c r="B40" s="138"/>
      <c r="C40" s="138"/>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138"/>
      <c r="AB40" s="138"/>
      <c r="AC40" s="138"/>
      <c r="AD40" s="138"/>
      <c r="AE40" s="138"/>
      <c r="AF40" s="138"/>
      <c r="AG40" s="138"/>
      <c r="AH40" s="138"/>
      <c r="AI40" s="138"/>
      <c r="AJ40" s="138"/>
      <c r="AK40" s="138"/>
      <c r="AL40" s="138"/>
      <c r="AM40" s="138"/>
      <c r="AN40" s="138"/>
      <c r="AO40" s="138"/>
      <c r="AP40" s="138"/>
      <c r="AQ40" s="138"/>
      <c r="AR40" s="138"/>
      <c r="AS40" s="138"/>
      <c r="AT40" s="138"/>
      <c r="AU40" s="138"/>
    </row>
    <row r="41" spans="1:49 16319:16321" x14ac:dyDescent="0.2">
      <c r="B41" s="138"/>
      <c r="C41" s="138"/>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138"/>
      <c r="AB41" s="138"/>
      <c r="AC41" s="138"/>
      <c r="AD41" s="138"/>
      <c r="AE41" s="138"/>
      <c r="AF41" s="138"/>
      <c r="AG41" s="138"/>
      <c r="AH41" s="138"/>
      <c r="AI41" s="138"/>
      <c r="AJ41" s="138"/>
      <c r="AK41" s="138"/>
      <c r="AL41" s="138"/>
      <c r="AM41" s="138"/>
      <c r="AN41" s="138"/>
      <c r="AO41" s="138"/>
      <c r="AP41" s="138"/>
      <c r="AQ41" s="138"/>
      <c r="AR41" s="138"/>
      <c r="AS41" s="138"/>
      <c r="AT41" s="138"/>
      <c r="AU41" s="138"/>
    </row>
    <row r="42" spans="1:49 16319:16321" x14ac:dyDescent="0.2">
      <c r="A42" t="s">
        <v>110</v>
      </c>
      <c r="B42" s="180">
        <f>10.8%+(1-10.8%)*(1-SUM(B26:C26)/SUM($B$26:$C$26))</f>
        <v>0.10800000000000001</v>
      </c>
      <c r="C42" s="138"/>
      <c r="D42" s="180">
        <f>10.8%+(1-10.8%)*(1-SUM(D26:E26)/SUM($B$26:$C$26))</f>
        <v>0.11517920551181277</v>
      </c>
      <c r="E42" s="138"/>
      <c r="F42" s="180">
        <f>10.8%+(1-10.8%)*(1-SUM(F26:G26)/SUM($B$26:$C$26))</f>
        <v>0.12337375902638689</v>
      </c>
      <c r="G42" s="138"/>
      <c r="H42" s="180">
        <f>10.8%+(1-10.8%)*(1-SUM(H26:I26)/SUM($B$26:$C$26))</f>
        <v>0.13278770570860476</v>
      </c>
      <c r="I42" s="138"/>
      <c r="J42" s="180">
        <f>10.8%+(1-10.8%)*(1-SUM(J26:K26)/SUM($B$26:$C$26))</f>
        <v>0.14367432332128854</v>
      </c>
      <c r="K42" s="138"/>
      <c r="L42" s="180">
        <f>10.8%+(1-10.8%)*(1-SUM(L26:M26)/SUM($B$26:$C$26))</f>
        <v>0.15634795531858942</v>
      </c>
      <c r="M42" s="138"/>
      <c r="N42" s="180">
        <f>10.8%+(1-10.8%)*(1-SUM(N26:O26)/SUM($B$26:$C$26))</f>
        <v>0.17119715945189029</v>
      </c>
      <c r="O42" s="138"/>
      <c r="P42" s="180">
        <f>10.8%+(1-10.8%)*(1-SUM(P26:Q26)/SUM($B$26:$C$26))</f>
        <v>0.18869736820132699</v>
      </c>
      <c r="Q42" s="138"/>
      <c r="R42" s="180">
        <f>10.8%+(1-10.8%)*(1-SUM(R26:S26)/SUM($B$26:$C$26))</f>
        <v>0.20941922145333419</v>
      </c>
      <c r="S42" s="138"/>
      <c r="T42" s="180">
        <f>10.8%+(1-10.8%)*(1-SUM(T26:U26)/SUM($B$26:$C$26))</f>
        <v>0.23402500394728579</v>
      </c>
      <c r="U42" s="138"/>
      <c r="V42" s="180">
        <f>10.8%+(1-10.8%)*(1-SUM(V26:W26)/SUM($B$26:$C$26))</f>
        <v>0.26324114555820255</v>
      </c>
      <c r="W42" s="138"/>
      <c r="X42" s="180">
        <f>10.8%+(1-10.8%)*(1-SUM(X26:Y26)/SUM($B$26:$C$26))</f>
        <v>0.2977904758902431</v>
      </c>
      <c r="Y42" s="165"/>
      <c r="Z42" s="180">
        <f>10.8%+(1-10.8%)*(1-SUM(Z26:AA26)/SUM($B$26:$C$26))</f>
        <v>0.3382714516107389</v>
      </c>
      <c r="AA42" s="138"/>
      <c r="AB42" s="180">
        <f>10.8%+(1-10.8%)*(1-SUM(AB26:AC26)/SUM($B$26:$C$26))</f>
        <v>0.38499006174485251</v>
      </c>
      <c r="AC42" s="138"/>
      <c r="AD42" s="180">
        <f>10.8%+(1-10.8%)*(1-SUM(AD26:AE26)/SUM($B$26:$C$26))</f>
        <v>0.43780071194250025</v>
      </c>
      <c r="AE42" s="138"/>
      <c r="AF42" s="180">
        <f>10.8%+(1-10.8%)*(1-SUM(AF26:AG26)/SUM($B$26:$C$26))</f>
        <v>0.49608552293621311</v>
      </c>
      <c r="AG42" s="138"/>
      <c r="AH42" s="180">
        <f>10.8%+(1-10.8%)*(1-SUM(AH26:AI26)/SUM($B$26:$C$26))</f>
        <v>0.55906356508977639</v>
      </c>
      <c r="AI42" s="138"/>
      <c r="AJ42" s="180">
        <f>10.8%+(1-10.8%)*(1-SUM(AJ26:AK26)/SUM($B$26:$C$26))</f>
        <v>0.62660510066794084</v>
      </c>
      <c r="AK42" s="138"/>
      <c r="AL42" s="180">
        <f>10.8%+(1-10.8%)*(1-SUM(AL26:AM26)/SUM($B$26:$C$26))</f>
        <v>0.70110615162975209</v>
      </c>
      <c r="AM42" s="138"/>
      <c r="AN42" s="180">
        <f>10.8%+(1-10.8%)*(1-SUM(AN26:AO26)/SUM($B$26:$C$26))</f>
        <v>0.7944938214322651</v>
      </c>
      <c r="AO42" s="138"/>
      <c r="AP42" s="180">
        <f>10.8%+(1-10.8%)*(1-SUM(AP26:AQ26)/SUM($B$26:$C$26))</f>
        <v>0.81869062404300097</v>
      </c>
      <c r="AQ42" s="138"/>
      <c r="AR42" s="180">
        <f>10.8%+(1-10.8%)*(1-SUM(AR26:AS26)/SUM($B$26:$C$26))</f>
        <v>0.84656610093584528</v>
      </c>
      <c r="AS42" s="138"/>
      <c r="AT42" s="180">
        <f>10.8%+(1-10.8%)*(1-SUM(AT26:AU26)/SUM($B$26:$C$26))</f>
        <v>0.8800826770936141</v>
      </c>
      <c r="AU42" s="138"/>
      <c r="AV42" s="180">
        <f>10.8%+(1-10.8%)*(1-SUM(AV26:AW26)/SUM($B$26:$C$26))</f>
        <v>1</v>
      </c>
    </row>
    <row r="43" spans="1:49 16319:16321" x14ac:dyDescent="0.2">
      <c r="A43" t="s">
        <v>111</v>
      </c>
      <c r="B43" s="165">
        <f>SUM(B15:C15*B27:C27)/SUM(B15:C15*B27:C27,B13:C13*B26:C26)</f>
        <v>0.60327031657597174</v>
      </c>
      <c r="C43" s="138"/>
      <c r="D43" s="165">
        <f t="array" ref="D43">SUM(D15:E15*D27:E27)/SUM(D15:E15*D27:E27,D13:E13*D26:E26)</f>
        <v>0.60876661891924777</v>
      </c>
      <c r="E43" s="138"/>
      <c r="F43" s="165">
        <f t="array" ref="F43">SUM(F15:G15*F27:G27)/SUM(F15:G15*F27:G27,F13:G13*F26:G26)</f>
        <v>0.6091479919380981</v>
      </c>
      <c r="G43" s="138"/>
      <c r="H43" s="165">
        <f t="array" ref="H43">SUM(H15:I15*H27:I27)/SUM(H15:I15*H27:I27,H13:I13*H26:I26)</f>
        <v>0.60958965532503862</v>
      </c>
      <c r="I43" s="138"/>
      <c r="J43" s="165">
        <f t="array" ref="J43">SUM(J15:K15*J27:K27)/SUM(J15:K15*J27:K27,J13:K13*J26:K26)</f>
        <v>0.61009830937529352</v>
      </c>
      <c r="K43" s="138"/>
      <c r="L43" s="165">
        <f t="array" ref="L43">SUM(L15:M15*L27:M27)/SUM(L15:M15*L27:M27,L13:M13*L26:M26)</f>
        <v>0.61068106986769299</v>
      </c>
      <c r="M43" s="138"/>
      <c r="N43" s="165">
        <f t="array" ref="N43">SUM(N15:O15*N27:O27)/SUM(N15:O15*N27:O27,N13:O13*N26:O26)</f>
        <v>0.61134513804808688</v>
      </c>
      <c r="O43" s="138"/>
      <c r="P43" s="165">
        <f t="array" ref="P43">SUM(P15:Q15*P27:Q27)/SUM(P15:Q15*P27:Q27,P13:Q13*P26:Q26)</f>
        <v>0.61209720326657691</v>
      </c>
      <c r="Q43" s="138"/>
      <c r="R43" s="165">
        <f t="array" ref="R43">SUM(R15:S15*R27:S27)/SUM(R15:S15*R27:S27,R13:S13*R26:S26)</f>
        <v>0.61294234534386338</v>
      </c>
      <c r="S43" s="138"/>
      <c r="T43" s="165">
        <f t="array" ref="T43">SUM(T15:U15*T27:U27)/SUM(T15:U15*T27:U27,T13:U13*T26:U26)</f>
        <v>0.6138822118024192</v>
      </c>
      <c r="U43" s="138"/>
      <c r="V43" s="165">
        <f t="array" ref="V43">SUM(V15:W15*V27:W27)/SUM(V15:W15*V27:W27,V13:W13*V26:W26)</f>
        <v>0.6149121151667809</v>
      </c>
      <c r="W43" s="138"/>
      <c r="X43" s="165">
        <f t="array" ref="X43">SUM(X15:Y15*X27:Y27)/SUM(X15:Y15*X27:Y27,X13:Y13*X26:Y26)</f>
        <v>0.61601652164975884</v>
      </c>
      <c r="Y43" s="138"/>
      <c r="Z43" s="165">
        <f t="array" ref="Z43">SUM(Z15:AA15*Z27:AA27)/SUM(Z15:AA15*Z27:AA27,Z13:AA13*Z26:AA26)</f>
        <v>0.61716226402996865</v>
      </c>
      <c r="AA43" s="138"/>
      <c r="AB43" s="165">
        <f t="array" ref="AB43">SUM(AB15:AC15*AB27:AC27)/SUM(AB15:AC15*AB27:AC27,AB13:AC13*AB26:AC26)</f>
        <v>0.61828796027976995</v>
      </c>
      <c r="AC43" s="138"/>
      <c r="AD43" s="165">
        <f t="array" ref="AD43">SUM(AD15:AE15*AD27:AE27)/SUM(AD15:AE15*AD27:AE27,AD13:AE13*AD26:AE26)</f>
        <v>0.61928631842921267</v>
      </c>
      <c r="AE43" s="138"/>
      <c r="AF43" s="165">
        <f t="array" ref="AF43">SUM(AF15:AG15*AF27:AG27)/SUM(AF15:AG15*AF27:AG27,AF13:AG13*AF26:AG26)</f>
        <v>0.61996928103632998</v>
      </c>
      <c r="AG43" s="138"/>
      <c r="AH43" s="165">
        <f t="array" ref="AH43">SUM(AH15:AI15*AH27:AI27)/SUM(AH15:AI15*AH27:AI27,AH13:AI13*AH26:AI26)</f>
        <v>0.61998399370895707</v>
      </c>
      <c r="AI43" s="138"/>
      <c r="AJ43" s="165">
        <f t="array" ref="AJ43">SUM(AJ15:AK15*AJ27:AK27)/SUM(AJ15:AK15*AJ27:AK27,AJ13:AK13*AJ26:AK26)</f>
        <v>0.61857144389476382</v>
      </c>
      <c r="AK43" s="138"/>
      <c r="AL43" s="165">
        <f t="array" ref="AL43">SUM(AL15:AM15*AL27:AM27)/SUM(AL15:AM15*AL27:AM27,AL13:AM13*AL26:AM26)</f>
        <v>0.61376894769276225</v>
      </c>
      <c r="AM43" s="138"/>
      <c r="AN43" s="165">
        <f t="array" ref="AN43">SUM(AN15:AO15*AN27:AO27)/SUM(AN15:AO15*AN27:AO27,AN13:AO13*AN26:AO26)</f>
        <v>0.5981581507413829</v>
      </c>
      <c r="AO43" s="138"/>
      <c r="AP43" s="165">
        <f t="array" ref="AP43">SUM(AP15:AQ15*AP27:AQ27)/SUM(AP15:AQ15*AP27:AQ27,AP13:AQ13*AP26:AQ26)</f>
        <v>0.59116255246104554</v>
      </c>
      <c r="AQ43" s="138"/>
      <c r="AR43" s="165">
        <f t="array" ref="AR43">SUM(AR15:AS15*AR27:AS27)/SUM(AR15:AS15*AR27:AS27,AR13:AS13*AR26:AS26)</f>
        <v>0.58072338202789764</v>
      </c>
      <c r="AS43" s="138"/>
      <c r="AT43" s="165">
        <f t="array" ref="AT43">SUM(AT15:AU15*AT27:AU27)/SUM(AT15:AU15*AT27:AU27,AT13:AU13*AT26:AU26)</f>
        <v>0.56334633395994216</v>
      </c>
      <c r="AU43" s="138"/>
      <c r="AV43" s="165" t="e">
        <f t="array" ref="AV43">SUM(AV15:AW15*AV27:AW27)/SUM(AV15:AW15*AV27:AW27,AV13:AW13*AV26:AW26)</f>
        <v>#DIV/0!</v>
      </c>
    </row>
    <row r="44" spans="1:49 16319:16321" x14ac:dyDescent="0.2">
      <c r="A44" t="s">
        <v>145</v>
      </c>
      <c r="B44" s="196">
        <f>(SUM(B11:C11*B24:C24)+B34)/B32</f>
        <v>0.21620509429616297</v>
      </c>
      <c r="D44" s="196">
        <f>(SUM(D11:E11*D24:E24)+D34)/D32</f>
        <v>0.21759844907634654</v>
      </c>
      <c r="F44" s="196">
        <f>(SUM(F11:G11*F24:G24)+F34)/F32</f>
        <v>0.21902624901774864</v>
      </c>
      <c r="H44" s="196">
        <f>(SUM(H11:I11*H24:I24)+H34)/H32</f>
        <v>0.22049297325117101</v>
      </c>
      <c r="J44" s="196">
        <f>(SUM(J11:K11*J24:K24)+J34)/J32</f>
        <v>0.22200394375092877</v>
      </c>
      <c r="L44" s="196">
        <f>(SUM(L11:M11*L24:M24)+L34)/L32</f>
        <v>0.22356557793930362</v>
      </c>
      <c r="N44" s="196">
        <f>(SUM(N11:O11*N24:O24)+N34)/N32</f>
        <v>0.22518574267703681</v>
      </c>
      <c r="P44" s="196">
        <f>(SUM(P11:Q11*P24:Q24)+P34)/P32</f>
        <v>0.22687440488739491</v>
      </c>
      <c r="R44" s="196">
        <f>(SUM(R11:S11*R24:S24)+R34)/R32</f>
        <v>0.22864472666512187</v>
      </c>
      <c r="T44" s="196">
        <f>(SUM(T11:U11*T24:U24)+T34)/T32</f>
        <v>0.2305151827837367</v>
      </c>
      <c r="V44" s="196">
        <f>(SUM(V11:W11*V24:W24)+V34)/V32</f>
        <v>0.23251373604111153</v>
      </c>
      <c r="X44" s="196">
        <f>(SUM(X11:Y11*X24:Y24)+X34)/X32</f>
        <v>0.23468612605975744</v>
      </c>
      <c r="Z44" s="196">
        <f>(SUM(Z11:AA11*Z24:AA24)+Z34)/Z32</f>
        <v>0.23711277883262719</v>
      </c>
      <c r="AB44" s="196">
        <f>(SUM(AB11:AC11*AB24:AC24)+AB34)/AB32</f>
        <v>0.23994109452952167</v>
      </c>
      <c r="AD44" s="196">
        <f>(SUM(AD11:AE11*AD24:AE24)+AD34)/AD32</f>
        <v>0.24344958898122523</v>
      </c>
      <c r="AF44" s="196">
        <f>(SUM(AF11:AG11*AF24:AG24)+AF34)/AF32</f>
        <v>0.24817051526769743</v>
      </c>
      <c r="AH44" s="196">
        <f>(SUM(AH11:AI11*AH24:AI24)+AH34)/AH32</f>
        <v>0.25512184783329478</v>
      </c>
      <c r="AJ44" s="196">
        <f>(SUM(AJ11:AK11*AJ24:AK24)+AJ34)/AJ32</f>
        <v>0.26619313388488036</v>
      </c>
      <c r="AL44" s="196">
        <f>(SUM(AL11:AM11*AL24:AM24)+AL34)/AL32</f>
        <v>0.2847110356759171</v>
      </c>
      <c r="AN44" s="196">
        <f>(SUM(AN11:AO11*AN24:AO24)+AN34)/AN32</f>
        <v>0.31898802786256908</v>
      </c>
      <c r="AP44" s="196">
        <f>(SUM(AP11:AQ11*AP24:AQ24)+AP34)/AP32</f>
        <v>0.33025963344697923</v>
      </c>
      <c r="AR44" s="196">
        <f>(SUM(AR11:AS11*AR24:AS24)+AR34)/AR32</f>
        <v>0.34492499615127598</v>
      </c>
      <c r="AT44" s="196">
        <f>(SUM(AT11:AU11*AT24:AU24)+AT34)/AT32</f>
        <v>0.36581736056766051</v>
      </c>
      <c r="AV44" s="196" t="e">
        <f>(SUM(AV11:AW11*AV24:AW24)+AV34)/AV32</f>
        <v>#DIV/0!</v>
      </c>
    </row>
    <row r="45" spans="1:49 16319:16321" x14ac:dyDescent="0.2">
      <c r="A45" t="s">
        <v>84</v>
      </c>
      <c r="B45" s="196">
        <f>SUM(B11:C11*B24:C24)/B32</f>
        <v>0.20445380142857192</v>
      </c>
      <c r="D45" s="196">
        <f>SUM(D11:E11*D24:E24)/D32</f>
        <v>0.20628587344808247</v>
      </c>
      <c r="F45" s="196">
        <f>SUM(F11:G11*F24:G24)/F32</f>
        <v>0.20840990045152458</v>
      </c>
      <c r="H45" s="196">
        <f>SUM(H11:I11*H24:I24)/H32</f>
        <v>0.21089296536856028</v>
      </c>
      <c r="J45" s="196">
        <f>SUM(J11:K11*J24:K24)/J32</f>
        <v>0.21382238934333908</v>
      </c>
      <c r="L45" s="196">
        <f>SUM(L11:M11*L24:M24)/L32</f>
        <v>0.21731306849610582</v>
      </c>
      <c r="N45" s="196">
        <f>SUM(N11:O11*N24:O24)/N32</f>
        <v>0.22151772782232618</v>
      </c>
      <c r="P45" s="196">
        <f>SUM(P11:Q11*P24:Q24)/P32</f>
        <v>0.22664125313391895</v>
      </c>
      <c r="R45" s="196">
        <f>SUM(R11:S11*R24:S24)/R32</f>
        <v>0.2329605088049892</v>
      </c>
      <c r="T45" s="196">
        <f>SUM(T11:U11*T24:U24)/T32</f>
        <v>0.24085128403490705</v>
      </c>
      <c r="V45" s="196">
        <f>SUM(V11:W11*V24:W24)/V32</f>
        <v>0.25082390735708965</v>
      </c>
      <c r="X45" s="196">
        <f>SUM(X11:Y11*X24:Y24)/X32</f>
        <v>0.26356802132163432</v>
      </c>
      <c r="Z45" s="196">
        <f>SUM(Z11:AA11*Z24:AA24)/Z32</f>
        <v>0.28000541272289942</v>
      </c>
      <c r="AB45" s="196">
        <f>SUM(AB11:AC11*AB24:AC24)/AB32</f>
        <v>0.301346737918881</v>
      </c>
      <c r="AD45" s="196">
        <f>SUM(AD11:AE11*AD24:AE24)/AD32</f>
        <v>0.32915020386736721</v>
      </c>
      <c r="AF45" s="196">
        <f>SUM(AF11:AG11*AF24:AG24)/AF32</f>
        <v>0.3654027947570766</v>
      </c>
      <c r="AH45" s="196">
        <f>SUM(AH11:AI11*AH24:AI24)/AH32</f>
        <v>0.41274523860992585</v>
      </c>
      <c r="AJ45" s="196">
        <f>SUM(AJ11:AK11*AJ24:AK24)/AJ32</f>
        <v>0.475361103946495</v>
      </c>
      <c r="AL45" s="196">
        <f>SUM(AL11:AM11*AL24:AM24)/AL32</f>
        <v>0.56348054338505138</v>
      </c>
      <c r="AN45" s="196">
        <f>SUM(AN11:AO11*AN24:AO24)/AN32</f>
        <v>0.72329628609778596</v>
      </c>
      <c r="AP45" s="196">
        <f>SUM(AP11:AQ11*AP24:AQ24)/AP32</f>
        <v>0.78079479950160802</v>
      </c>
      <c r="AR45" s="196">
        <f>SUM(AR11:AS11*AR24:AS24)/AR32</f>
        <v>0.86098889389249977</v>
      </c>
      <c r="AT45" s="196">
        <f>SUM(AT11:AU11*AT24:AU24)/AT32</f>
        <v>0.98723705714168142</v>
      </c>
      <c r="AV45" s="196" t="e">
        <f>SUM(AV11:AW11*AV24:AW24)/AV32</f>
        <v>#DIV/0!</v>
      </c>
      <c r="XCQ45" s="196"/>
    </row>
    <row r="46" spans="1:49 16319:16321" x14ac:dyDescent="0.2">
      <c r="A46" t="s">
        <v>142</v>
      </c>
      <c r="B46" s="196">
        <f>B34/B32</f>
        <v>1.1751292867591055E-2</v>
      </c>
      <c r="D46" s="196">
        <f>D34/D32</f>
        <v>1.1312575628264069E-2</v>
      </c>
      <c r="F46" s="196">
        <f>F34/F32</f>
        <v>1.0616348566224072E-2</v>
      </c>
      <c r="H46" s="196">
        <f>H34/H32</f>
        <v>9.6000078826107456E-3</v>
      </c>
      <c r="J46" s="196">
        <f>J34/J32</f>
        <v>8.1815544075896952E-3</v>
      </c>
      <c r="L46" s="196">
        <f>L34/L32</f>
        <v>6.2525094431978212E-3</v>
      </c>
      <c r="N46" s="196">
        <f>N34/N32</f>
        <v>3.6680148547106393E-3</v>
      </c>
      <c r="P46" s="196">
        <f>P34/P32</f>
        <v>2.3315175347596133E-4</v>
      </c>
      <c r="R46" s="196">
        <f>R34/R32</f>
        <v>-4.3157821398673458E-3</v>
      </c>
      <c r="T46" s="196">
        <f>T34/T32</f>
        <v>-1.0336101251170366E-2</v>
      </c>
      <c r="V46" s="196">
        <f>V34/V32</f>
        <v>-1.8310171315978094E-2</v>
      </c>
      <c r="X46" s="196">
        <f>X34/X32</f>
        <v>-2.8881895261876882E-2</v>
      </c>
      <c r="Z46" s="196">
        <f>Z34/Z32</f>
        <v>-4.2892633890272258E-2</v>
      </c>
      <c r="AB46" s="196">
        <f>AB34/AB32</f>
        <v>-6.1405643389359332E-2</v>
      </c>
      <c r="AD46" s="196">
        <f>AD34/AD32</f>
        <v>-8.5700614886141946E-2</v>
      </c>
      <c r="AF46" s="196">
        <f>AF34/AF32</f>
        <v>-0.1172322794893792</v>
      </c>
      <c r="AH46" s="196">
        <f>AH34/AH32</f>
        <v>-0.15762339077663109</v>
      </c>
      <c r="AJ46" s="196">
        <f>AJ34/AJ32</f>
        <v>-0.20916797006161464</v>
      </c>
      <c r="AL46" s="196">
        <f>AL34/AL32</f>
        <v>-0.27876950770913433</v>
      </c>
      <c r="AN46" s="196">
        <f>AN34/AN32</f>
        <v>-0.40430825823521682</v>
      </c>
      <c r="AP46" s="196">
        <f>AP34/AP32</f>
        <v>-0.45053516605462879</v>
      </c>
      <c r="AR46" s="196">
        <f>AR34/AR32</f>
        <v>-0.51606389774122385</v>
      </c>
      <c r="AT46" s="196">
        <f>AT34/AT32</f>
        <v>-0.62141969657402085</v>
      </c>
      <c r="AV46" s="196" t="e">
        <f>AV34/AV32</f>
        <v>#DIV/0!</v>
      </c>
      <c r="XCS46" s="196"/>
    </row>
    <row r="48" spans="1:49 16319:16321" x14ac:dyDescent="0.2">
      <c r="A48" t="s">
        <v>162</v>
      </c>
      <c r="B48" s="194">
        <f>B24/$B$24</f>
        <v>1</v>
      </c>
      <c r="C48" s="194"/>
      <c r="D48" s="194">
        <f>D24/$B$24</f>
        <v>1</v>
      </c>
      <c r="E48" s="194"/>
      <c r="F48" s="194">
        <f>F24/$B$24</f>
        <v>1</v>
      </c>
      <c r="G48" s="194"/>
      <c r="H48" s="194">
        <f>H24/$B$24</f>
        <v>1</v>
      </c>
      <c r="I48" s="194"/>
      <c r="J48" s="194">
        <f>J24/$B$24</f>
        <v>1</v>
      </c>
      <c r="K48" s="194"/>
      <c r="L48" s="194">
        <f>L24/$B$24</f>
        <v>1</v>
      </c>
      <c r="M48" s="194"/>
      <c r="N48" s="194">
        <f>N24/$B$24</f>
        <v>1</v>
      </c>
      <c r="O48" s="194"/>
      <c r="P48" s="194">
        <f>P24/$B$24</f>
        <v>1</v>
      </c>
      <c r="Q48" s="194"/>
      <c r="R48" s="194">
        <f>R24/$B$24</f>
        <v>1</v>
      </c>
      <c r="S48" s="194"/>
      <c r="T48" s="194">
        <f>T24/$B$24</f>
        <v>1</v>
      </c>
      <c r="U48" s="194"/>
      <c r="V48" s="194">
        <f>V24/$B$24</f>
        <v>1</v>
      </c>
      <c r="W48" s="194"/>
      <c r="X48" s="194">
        <f>X24/$B$24</f>
        <v>1</v>
      </c>
      <c r="Y48" s="194"/>
      <c r="Z48" s="194">
        <f>Z24/$B$24</f>
        <v>1</v>
      </c>
      <c r="AA48" s="194"/>
      <c r="AB48" s="194">
        <f>AB24/$B$24</f>
        <v>1</v>
      </c>
      <c r="AC48" s="194"/>
      <c r="AD48" s="194">
        <f>AD24/$B$24</f>
        <v>1</v>
      </c>
      <c r="AE48" s="194"/>
      <c r="AF48" s="194">
        <f>AF24/$B$24</f>
        <v>1</v>
      </c>
      <c r="AG48" s="194"/>
      <c r="AH48" s="194">
        <f>AH24/$B$24</f>
        <v>1</v>
      </c>
      <c r="AI48" s="194"/>
      <c r="AJ48" s="194">
        <f>AJ24/$B$24</f>
        <v>1</v>
      </c>
      <c r="AK48" s="194"/>
      <c r="AL48" s="194">
        <f>AL24/$B$24</f>
        <v>1</v>
      </c>
      <c r="AM48" s="194"/>
      <c r="AN48" s="194">
        <f>AN24/$B$24</f>
        <v>1</v>
      </c>
      <c r="AO48" s="194"/>
      <c r="AP48" s="194">
        <f>AP24/$B$24</f>
        <v>1</v>
      </c>
      <c r="AQ48" s="194"/>
      <c r="AR48" s="194">
        <f>AR24/$B$24</f>
        <v>1</v>
      </c>
      <c r="AS48" s="194"/>
      <c r="AT48" s="194">
        <f>AT24/$B$24</f>
        <v>1</v>
      </c>
      <c r="AU48" s="194"/>
      <c r="AV48" s="194">
        <f>AV24/$B$24</f>
        <v>0</v>
      </c>
    </row>
    <row r="49" spans="1:48 16321:16384" x14ac:dyDescent="0.2">
      <c r="A49" t="s">
        <v>163</v>
      </c>
      <c r="B49" s="194">
        <f>B13/B35/$B$13*$B$35</f>
        <v>1</v>
      </c>
      <c r="C49" s="194"/>
      <c r="D49" s="194">
        <f>D13/D35/$B$13*$B$35</f>
        <v>0.99358487073266955</v>
      </c>
      <c r="E49" s="194"/>
      <c r="F49" s="194">
        <f>F13/F35/$B$13*$B$35</f>
        <v>0.98677945665571598</v>
      </c>
      <c r="G49" s="194"/>
      <c r="H49" s="194">
        <f>H13/H35/$B$13*$B$35</f>
        <v>0.97954996677634942</v>
      </c>
      <c r="I49" s="194"/>
      <c r="J49" s="194">
        <f>J13/J35/$B$13*$B$35</f>
        <v>0.97186169875638362</v>
      </c>
      <c r="K49" s="194"/>
      <c r="L49" s="194">
        <f>L13/L35/$B$13*$B$35</f>
        <v>0.96368068586230027</v>
      </c>
      <c r="M49" s="194"/>
      <c r="N49" s="194">
        <f>N13/N35/$B$13*$B$35</f>
        <v>0.95497657735722641</v>
      </c>
      <c r="O49" s="194"/>
      <c r="P49" s="194">
        <f>P13/P35/$B$13*$B$35</f>
        <v>0.94572700484014627</v>
      </c>
      <c r="Q49" s="194"/>
      <c r="R49" s="194">
        <f>R13/R35/$B$13*$B$35</f>
        <v>0.93592429176025449</v>
      </c>
      <c r="S49" s="194"/>
      <c r="T49" s="194">
        <f>T13/T35/$B$13*$B$35</f>
        <v>0.92558466340521606</v>
      </c>
      <c r="U49" s="194"/>
      <c r="V49" s="194">
        <f>V13/V35/$B$13*$B$35</f>
        <v>0.91475964836135415</v>
      </c>
      <c r="W49" s="194"/>
      <c r="X49" s="194">
        <f>X13/X35/$B$13*$B$35</f>
        <v>0.90354815274846356</v>
      </c>
      <c r="Y49" s="194"/>
      <c r="Z49" s="194">
        <f>Z13/Z35/$B$13*$B$35</f>
        <v>0.89210472259615703</v>
      </c>
      <c r="AA49" s="194"/>
      <c r="AB49" s="194">
        <f>AB13/AB35/$B$13*$B$35</f>
        <v>0.8806380045236033</v>
      </c>
      <c r="AC49" s="194"/>
      <c r="AD49" s="194">
        <f>AD13/AD35/$B$13*$B$35</f>
        <v>0.86939017803176755</v>
      </c>
      <c r="AE49" s="194"/>
      <c r="AF49" s="194">
        <f>AF13/AF35/$B$13*$B$35</f>
        <v>0.85859176723157449</v>
      </c>
      <c r="AG49" s="194"/>
      <c r="AH49" s="194">
        <f>AH13/AH35/$B$13*$B$35</f>
        <v>0.84839139832389276</v>
      </c>
      <c r="AI49" s="194"/>
      <c r="AJ49" s="194">
        <f>AJ13/AJ35/$B$13*$B$35</f>
        <v>0.8387701814910935</v>
      </c>
      <c r="AK49" s="194"/>
      <c r="AL49" s="194">
        <f>AL13/AL35/$B$13*$B$35</f>
        <v>0.82939993624050012</v>
      </c>
      <c r="AM49" s="194"/>
      <c r="AN49" s="194">
        <f>AN13/AN35/$B$13*$B$35</f>
        <v>0.81909320495723581</v>
      </c>
      <c r="AO49" s="194"/>
      <c r="AP49" s="194">
        <f>AP13/AP35/$B$13*$B$35</f>
        <v>0.8166395214602602</v>
      </c>
      <c r="AQ49" s="194"/>
      <c r="AR49" s="194">
        <f>AR13/AR35/$B$13*$B$35</f>
        <v>0.81390981957945396</v>
      </c>
      <c r="AS49" s="194"/>
      <c r="AT49" s="194">
        <f>AT13/AT35/$B$13*$B$35</f>
        <v>0.81075573287888458</v>
      </c>
      <c r="AU49" s="194"/>
      <c r="AV49" s="194" t="e">
        <f>AV13/AV35/$B$13*$B$35</f>
        <v>#DIV/0!</v>
      </c>
    </row>
    <row r="51" spans="1:48 16321:16384" x14ac:dyDescent="0.2">
      <c r="A51" t="s">
        <v>169</v>
      </c>
      <c r="B51" s="29">
        <f>B30-B10*B23</f>
        <v>898591.45196639095</v>
      </c>
      <c r="D51" s="29">
        <f>D30-D10*D23</f>
        <v>909937.72594593884</v>
      </c>
      <c r="F51" s="29">
        <f>F30-F10*F23</f>
        <v>920556.71277484437</v>
      </c>
      <c r="H51" s="29">
        <f>H30-H10*H23</f>
        <v>930290.34714015992</v>
      </c>
      <c r="J51" s="29">
        <f>J30-J10*J23</f>
        <v>938940.23882705765</v>
      </c>
      <c r="L51" s="29">
        <f>L30-L10*L23</f>
        <v>946258.7694800552</v>
      </c>
      <c r="N51" s="29">
        <f>N30-N10*N23</f>
        <v>951940.64008378796</v>
      </c>
      <c r="P51" s="29">
        <f>P30-P10*P23</f>
        <v>955618.49899276625</v>
      </c>
      <c r="R51" s="29">
        <f>R30-R10*R23</f>
        <v>956869.97024948662</v>
      </c>
      <c r="T51" s="29">
        <f>T30-T10*T23</f>
        <v>955251.09172281064</v>
      </c>
      <c r="V51" s="29">
        <f>V30-V10*V23</f>
        <v>950382.90215833345</v>
      </c>
      <c r="X51" s="29">
        <f>X30-X10*X23</f>
        <v>942135.34370617662</v>
      </c>
      <c r="Z51" s="29">
        <f>Z30-Z10*Z23</f>
        <v>930971.57647626451</v>
      </c>
      <c r="AB51" s="29">
        <f>AB30-AB10*AB23</f>
        <v>918544.60343128419</v>
      </c>
      <c r="AD51" s="29">
        <f>AD30-AD10*AD23</f>
        <v>908665.2113223176</v>
      </c>
      <c r="AF51" s="29">
        <f>AF30-AF10*AF23</f>
        <v>908908.25017890893</v>
      </c>
      <c r="AH51" s="29">
        <f>AH30-AH10*AH23</f>
        <v>933548.91739035957</v>
      </c>
      <c r="AJ51" s="29">
        <f>AJ30-AJ10*AJ23</f>
        <v>1009258.4046504365</v>
      </c>
      <c r="AL51" s="29">
        <f>AL30-AL10*AL23</f>
        <v>1185914.5017281931</v>
      </c>
      <c r="AN51" s="29">
        <f>AN30-AN10*AN23</f>
        <v>1586262.3191761125</v>
      </c>
      <c r="AP51" s="29">
        <f>AP30-AP10*AP23</f>
        <v>1726405.0213776389</v>
      </c>
      <c r="AQ51" s="29"/>
      <c r="AR51" s="29">
        <f>AR30-AR10*AR23</f>
        <v>1908988.7507639981</v>
      </c>
      <c r="AT51" s="29">
        <f>AT30-AT10*AT23</f>
        <v>2162505.6928976001</v>
      </c>
      <c r="AV51" s="29">
        <f>AV30-AV10*AV23</f>
        <v>0</v>
      </c>
      <c r="XFD51" s="29"/>
    </row>
    <row r="52" spans="1:48 16321:16384" x14ac:dyDescent="0.2">
      <c r="A52" t="s">
        <v>170</v>
      </c>
      <c r="B52" s="29">
        <f t="array" ref="B52">Calibration!sL*SUM(B13:C13*B26:C26)</f>
        <v>639893.22495732247</v>
      </c>
      <c r="D52" s="29">
        <f t="array" ref="D52">Calibration!sL*SUM(D13:E13*D26:E26)</f>
        <v>631546.47517678712</v>
      </c>
      <c r="F52" s="29">
        <f t="array" ref="F52">Calibration!sL*SUM(F13:G13*F26:G26)</f>
        <v>622563.10555009043</v>
      </c>
      <c r="H52" s="29">
        <f t="array" ref="H52">Calibration!sL*SUM(H13:I13*H26:I26)</f>
        <v>612839.97635302856</v>
      </c>
      <c r="J52" s="29">
        <f t="array" ref="J52">Calibration!sL*SUM(J13:K13*J26:K26)</f>
        <v>602254.5149814632</v>
      </c>
      <c r="L52" s="29">
        <f t="array" ref="L52">Calibration!sL*SUM(L13:M13*L26:M26)</f>
        <v>590661.8988930881</v>
      </c>
      <c r="N52" s="29">
        <f t="array" ref="N52">Calibration!sL*SUM(N13:O13*N26:O26)</f>
        <v>577893.20984374324</v>
      </c>
      <c r="P52" s="29">
        <f t="array" ref="P52">Calibration!sL*SUM(P13:Q13*P26:Q26)</f>
        <v>563755.97985497094</v>
      </c>
      <c r="R52" s="29">
        <f t="array" ref="R52">Calibration!sL*SUM(R13:S13*R26:S26)</f>
        <v>548040.13118545001</v>
      </c>
      <c r="T52" s="29">
        <f t="array" ref="T52">Calibration!sL*SUM(T13:U13*T26:U26)</f>
        <v>530533.94595885463</v>
      </c>
      <c r="V52" s="29">
        <f t="array" ref="V52">Calibration!sL*SUM(V13:W13*V26:W26)</f>
        <v>511057.0628993467</v>
      </c>
      <c r="X52" s="29">
        <f t="array" ref="X52">Calibration!sL*SUM(X13:Y13*X26:Y26)</f>
        <v>489519.59806496563</v>
      </c>
      <c r="Z52" s="29">
        <f t="array" ref="Z52">Calibration!sL*SUM(Z13:AA13*Z26:AA26)</f>
        <v>466014.52031573316</v>
      </c>
      <c r="AB52" s="29">
        <f t="array" ref="AB52">Calibration!sL*SUM(AB13:AC13*AB26:AC26)</f>
        <v>440945.55275616521</v>
      </c>
      <c r="AD52" s="29">
        <f t="array" ref="AD52">Calibration!sL*SUM(AD13:AE13*AD26:AE26)</f>
        <v>415175.54207614897</v>
      </c>
      <c r="AF52" s="29">
        <f t="array" ref="AF52">Calibration!sL*SUM(AF13:AG13*AF26:AG26)</f>
        <v>390174.57456680737</v>
      </c>
      <c r="AH52" s="29">
        <f t="array" ref="AH52">Calibration!sL*SUM(AH13:AI13*AH26:AI26)</f>
        <v>368167.08331562701</v>
      </c>
      <c r="AJ52" s="29">
        <f t="array" ref="AJ52">Calibration!sL*SUM(AJ13:AK13*AJ26:AK26)</f>
        <v>352310.16653045674</v>
      </c>
      <c r="AL52" s="29">
        <f t="array" ref="AL52">Calibration!sL*SUM(AL13:AM13*AL26:AM26)</f>
        <v>346633.67255832074</v>
      </c>
      <c r="AN52" s="29">
        <f t="array" ref="AN52">Calibration!sL*SUM(AN13:AO13*AN26:AO26)</f>
        <v>355532.4728538745</v>
      </c>
      <c r="AP52" s="29">
        <f t="array" ref="AP52">Calibration!sL*SUM(AP13:AQ13*AP26:AQ26)</f>
        <v>359467.49575237196</v>
      </c>
      <c r="AQ52" s="29"/>
      <c r="AR52" s="29">
        <f t="array" ref="AR52">Calibration!sL*SUM(AR13:AS13*AR26:AS26)</f>
        <v>364037.46172402182</v>
      </c>
      <c r="AT52" s="29">
        <f t="array" ref="AT52">Calibration!sL*SUM(AT13:AU13*AT26:AU26)</f>
        <v>368539.49629608064</v>
      </c>
      <c r="AV52" s="29">
        <f t="array" ref="AV52">Calibration!sL*SUM(AV13:AW13*AV26:AW26)</f>
        <v>0</v>
      </c>
    </row>
    <row r="53" spans="1:48 16321:16384" x14ac:dyDescent="0.2">
      <c r="A53" t="s">
        <v>171</v>
      </c>
      <c r="B53" s="29">
        <f t="array" ref="B53">Calibration!sK*SUM(B15:C15*B27:C27)</f>
        <v>994319.23090072128</v>
      </c>
      <c r="D53" s="29">
        <f t="array" ref="D53">Calibration!sK*SUM(D15:E15*D27:E27)</f>
        <v>982698.38662970928</v>
      </c>
      <c r="F53" s="29">
        <f t="array" ref="F53">Calibration!sK*SUM(F15:G15*F27:G27)</f>
        <v>970272.78299289756</v>
      </c>
      <c r="H53" s="29">
        <f t="array" ref="H53">Calibration!sK*SUM(H15:I15*H27:I27)</f>
        <v>956892.95903640741</v>
      </c>
      <c r="J53" s="29">
        <f t="array" ref="J53">Calibration!sK*SUM(J15:K15*J27:K27)</f>
        <v>942377.1946592977</v>
      </c>
      <c r="L53" s="29">
        <f t="array" ref="L53">Calibration!sK*SUM(L15:M15*L27:M27)</f>
        <v>926505.26966035599</v>
      </c>
      <c r="N53" s="29">
        <f t="array" ref="N53">Calibration!sK*SUM(N15:O15*N27:O27)</f>
        <v>909012.69670128787</v>
      </c>
      <c r="P53" s="29">
        <f t="array" ref="P53">Calibration!sK*SUM(P15:Q15*P27:Q27)</f>
        <v>889587.44690665358</v>
      </c>
      <c r="R53" s="29">
        <f t="array" ref="R53">Calibration!sK*SUM(R15:S15*R27:S27)</f>
        <v>867873.29822942859</v>
      </c>
      <c r="T53" s="29">
        <f t="array" ref="T53">Calibration!sK*SUM(T15:U15*T27:U27)</f>
        <v>843487.04498128418</v>
      </c>
      <c r="V53" s="29">
        <f t="array" ref="V53">Calibration!sK*SUM(V15:W15*V27:W27)</f>
        <v>816060.93542637245</v>
      </c>
      <c r="X53" s="29">
        <f t="array" ref="X53">Calibration!sK*SUM(X15:Y15*X27:Y27)</f>
        <v>785325.87228743942</v>
      </c>
      <c r="Z53" s="29">
        <f t="array" ref="Z53">Calibration!sK*SUM(Z15:AA15*Z27:AA27)</f>
        <v>751249.2876392199</v>
      </c>
      <c r="AB53" s="29">
        <f t="array" ref="AB53">Calibration!sK*SUM(AB15:AC15*AB27:AC27)</f>
        <v>714232.97679545579</v>
      </c>
      <c r="AD53" s="29">
        <f t="array" ref="AD53">Calibration!sK*SUM(AD15:AE15*AD27:AE27)</f>
        <v>675343.55974119448</v>
      </c>
      <c r="AF53" s="29">
        <f t="array" ref="AF53">Calibration!sK*SUM(AF15:AG15*AF27:AG27)</f>
        <v>636517.62450278166</v>
      </c>
      <c r="AH53" s="29">
        <f t="array" ref="AH53">Calibration!sK*SUM(AH15:AI15*AH27:AI27)</f>
        <v>600652.85379422957</v>
      </c>
      <c r="AJ53" s="29">
        <f t="array" ref="AJ53">Calibration!sK*SUM(AJ15:AK15*AJ27:AK27)</f>
        <v>571349.48320288525</v>
      </c>
      <c r="AL53" s="29">
        <f t="array" ref="AL53">Calibration!sK*SUM(AL15:AM15*AL27:AM27)</f>
        <v>550843.81012368202</v>
      </c>
      <c r="AN53" s="29">
        <f t="array" ref="AN53">Calibration!sK*SUM(AN15:AO15*AN27:AO27)</f>
        <v>529224.73575896269</v>
      </c>
      <c r="AP53" s="29">
        <f t="array" ref="AP53">Calibration!sK*SUM(AP15:AQ15*AP27:AQ27)</f>
        <v>519775.58219029027</v>
      </c>
      <c r="AQ53" s="29"/>
      <c r="AR53" s="29">
        <f t="array" ref="AR53">Calibration!sK*SUM(AR15:AS15*AR27:AS27)</f>
        <v>504213.82184324838</v>
      </c>
      <c r="AT53" s="29">
        <f t="array" ref="AT53">Calibration!sK*SUM(AT15:AU15*AT27:AU27)</f>
        <v>475469.21119584626</v>
      </c>
      <c r="AV53" s="29">
        <f t="array" ref="AV53">Calibration!sK*SUM(AV15:AW15*AV27:AW27)</f>
        <v>0</v>
      </c>
      <c r="XFD53" s="29"/>
    </row>
    <row r="55" spans="1:48 16321:16384" x14ac:dyDescent="0.2">
      <c r="A55" t="s">
        <v>172</v>
      </c>
      <c r="B55" s="196">
        <f>B30/B32</f>
        <v>0.29343319644276039</v>
      </c>
      <c r="D55" s="196">
        <f>D30/D32</f>
        <v>0.29516931929595885</v>
      </c>
      <c r="F55" s="196">
        <f>F30/F32</f>
        <v>0.29694836099024358</v>
      </c>
      <c r="H55" s="196">
        <f>H30/H32</f>
        <v>0.29877590278267574</v>
      </c>
      <c r="J55" s="196">
        <f>J30/J32</f>
        <v>0.30065857619931119</v>
      </c>
      <c r="L55" s="196">
        <f>L30/L32</f>
        <v>0.30260437242814336</v>
      </c>
      <c r="N55" s="196">
        <f>N30/N32</f>
        <v>0.30462310079078575</v>
      </c>
      <c r="P55" s="196">
        <f>P30/P32</f>
        <v>0.30672717743111849</v>
      </c>
      <c r="R55" s="196">
        <f>R30/R32</f>
        <v>0.30893300255248102</v>
      </c>
      <c r="T55" s="196">
        <f>T30/T32</f>
        <v>0.311263593400254</v>
      </c>
      <c r="V55" s="196">
        <f>V30/V32</f>
        <v>0.3137537947869396</v>
      </c>
      <c r="X55" s="196">
        <f>X30/X32</f>
        <v>0.31646067993405069</v>
      </c>
      <c r="Z55" s="196">
        <f>Z30/Z32</f>
        <v>0.31948423197775411</v>
      </c>
      <c r="AB55" s="196">
        <f>AB30/AB32</f>
        <v>0.3230083045461864</v>
      </c>
      <c r="AD55" s="196">
        <f>AD30/AD32</f>
        <v>0.32737988880151642</v>
      </c>
      <c r="AF55" s="196">
        <f>AF30/AF32</f>
        <v>0.3332621740541391</v>
      </c>
      <c r="AH55" s="196">
        <f>AH30/AH32</f>
        <v>0.34192354458818047</v>
      </c>
      <c r="AJ55" s="196">
        <f>AJ30/AJ32</f>
        <v>0.35571838622357138</v>
      </c>
      <c r="AL55" s="196">
        <f>AL30/AL32</f>
        <v>0.37879172516500853</v>
      </c>
      <c r="AN55" s="196">
        <f>AN30/AN32</f>
        <v>0.42150091868624701</v>
      </c>
      <c r="AP55" s="196">
        <f>AP30/AP32</f>
        <v>0.43554535970492414</v>
      </c>
      <c r="AR55" s="196">
        <f>AR30/AR32</f>
        <v>0.45381842831258273</v>
      </c>
      <c r="AT55" s="196">
        <f>AT30/AT32</f>
        <v>0.47985035245305435</v>
      </c>
      <c r="AV55" s="196" t="e">
        <f>AV30/AV32</f>
        <v>#DIV/0!</v>
      </c>
      <c r="XCS55" s="196"/>
      <c r="XFD55" s="196"/>
    </row>
    <row r="56" spans="1:48 16321:16384" x14ac:dyDescent="0.2">
      <c r="A56" t="s">
        <v>173</v>
      </c>
      <c r="B56" s="196">
        <f>(Model!$C$52*B5*B20+B2*C5*C20)/B32</f>
        <v>0.12330490389763608</v>
      </c>
      <c r="D56" s="196">
        <f>(Model!$C$52*D5*D20+D2*E5*E20)/D32</f>
        <v>0.1255757702709093</v>
      </c>
      <c r="F56" s="196">
        <f>(Model!$C$52*F5*F20+F2*G5*G20)/F32</f>
        <v>0.1279208593988298</v>
      </c>
      <c r="H56" s="196">
        <f>(Model!$C$52*H5*H20+H2*I5*I20)/H32</f>
        <v>0.13034936021000262</v>
      </c>
      <c r="J56" s="196">
        <f>(Model!$C$52*J5*J20+J2*K5*K20)/J32</f>
        <v>0.13287194813927644</v>
      </c>
      <c r="L56" s="196">
        <f>(Model!$C$52*L5*L20+L2*M5*M20)/L32</f>
        <v>0.13550110410837315</v>
      </c>
      <c r="N56" s="196">
        <f>(Model!$C$52*N5*N20+N2*O5*O20)/N32</f>
        <v>0.13825155331833522</v>
      </c>
      <c r="P56" s="196">
        <f>(Model!$C$52*P5*P20+P2*Q5*Q20)/P32</f>
        <v>0.14114098584394411</v>
      </c>
      <c r="R56" s="196">
        <f>(Model!$C$52*R5*R20+R2*S5*S20)/R32</f>
        <v>0.14419132825452124</v>
      </c>
      <c r="T56" s="196">
        <f>(Model!$C$52*T5*T20+T2*U5*U20)/T32</f>
        <v>0.1474312765413186</v>
      </c>
      <c r="V56" s="196">
        <f>(Model!$C$52*V5*V20+V2*W5*W20)/V32</f>
        <v>0.1509015771895644</v>
      </c>
      <c r="X56" s="196">
        <f>(Model!$C$52*X5*X20+X2*Y5*Y20)/X32</f>
        <v>0.15466609929024833</v>
      </c>
      <c r="Z56" s="196">
        <f>(Model!$C$52*Z5*Z20+Z2*AA5*AA20)/Z32</f>
        <v>0.15883469916308257</v>
      </c>
      <c r="AB56" s="196">
        <f>(Model!$C$52*AB5*AB20+AB2*AC5*AC20)/AB32</f>
        <v>0.16360950402249816</v>
      </c>
      <c r="AD56" s="196">
        <f>(Model!$C$52*AD5*AD20+AD2*AE5*AE20)/AD32</f>
        <v>0.1693757485056164</v>
      </c>
      <c r="AF56" s="196">
        <f>(Model!$C$52*AF5*AF20+AF2*AG5*AG20)/AF32</f>
        <v>0.17687713514589284</v>
      </c>
      <c r="AH56" s="196">
        <f>(Model!$C$52*AH5*AH20+AH2*AI5*AI20)/AH32</f>
        <v>0.18754164714900454</v>
      </c>
      <c r="AJ56" s="196">
        <f>(Model!$C$52*AJ5*AJ20+AJ2*AK5*AK20)/AJ32</f>
        <v>0.20399325488844586</v>
      </c>
      <c r="AL56" s="196">
        <f>(Model!$C$52*AL5*AL20+AL2*AM5*AM20)/AL32</f>
        <v>0.23067883238834919</v>
      </c>
      <c r="AN56" s="196">
        <f>(Model!$C$52*AN5*AN20+AN2*AO5*AO20)/AN32</f>
        <v>0.27814933498070055</v>
      </c>
      <c r="AP56" s="196">
        <f>(Model!$C$52*AP5*AP20+AP2*AQ5*AQ20)/AP32</f>
        <v>0.29331978852097251</v>
      </c>
      <c r="AR56" s="196">
        <f>(Model!$C$52*AR5*AR20+AR2*AS5*AS20)/AR32</f>
        <v>0.31280766105509722</v>
      </c>
      <c r="AT56" s="196">
        <f>(Model!$C$52*AT5*AT20+AT2*AU5*AU20)/AT32</f>
        <v>0.34020357115876221</v>
      </c>
      <c r="AV56" s="196" t="e">
        <f>(Model!$C$52*AV5*AV20+AV2*AW5*AW20)/AV32</f>
        <v>#DIV/0!</v>
      </c>
      <c r="XFD56" s="196"/>
    </row>
    <row r="57" spans="1:48 16321:16384" x14ac:dyDescent="0.2">
      <c r="A57" t="s">
        <v>174</v>
      </c>
      <c r="B57" s="196">
        <f t="array" ref="B57">SUM(Model!tauL*B13:C13*B26:C26)/B32</f>
        <v>0.15814435802029927</v>
      </c>
      <c r="D57" s="196">
        <f t="array" ref="D57">SUM(Model!tauL*D13:E13*D26:E26)/D32</f>
        <v>0.15762574415018696</v>
      </c>
      <c r="F57" s="196">
        <f t="array" ref="F57">SUM(Model!tauL*F13:G13*F26:G26)/F32</f>
        <v>0.15707639743179866</v>
      </c>
      <c r="H57" s="196">
        <f t="array" ref="H57">SUM(Model!tauL*H13:I13*H26:I26)/H32</f>
        <v>0.1564927972859603</v>
      </c>
      <c r="J57" s="196">
        <f t="array" ref="J57">SUM(Model!tauL*J13:K13*J26:K26)/J32</f>
        <v>0.15587100733879666</v>
      </c>
      <c r="L57" s="196">
        <f t="array" ref="L57">SUM(Model!tauL*L13:M13*L26:M26)/L32</f>
        <v>0.15520667282408004</v>
      </c>
      <c r="N57" s="196">
        <f t="array" ref="N57">SUM(Model!tauL*N13:O13*N26:O26)/N32</f>
        <v>0.15449505157658727</v>
      </c>
      <c r="P57" s="196">
        <f t="array" ref="P57">SUM(Model!tauL*P13:Q13*P26:Q26)/P32</f>
        <v>0.15373109797656828</v>
      </c>
      <c r="R57" s="196">
        <f t="array" ref="R57">SUM(Model!tauL*R13:S13*R26:S26)/R32</f>
        <v>0.15290959625475753</v>
      </c>
      <c r="T57" s="196">
        <f t="array" ref="T57">SUM(Model!tauL*T13:U13*T26:U26)/T32</f>
        <v>0.15202530683417406</v>
      </c>
      <c r="V57" s="196">
        <f t="array" ref="V57">SUM(Model!tauL*V13:W13*V26:W26)/V32</f>
        <v>0.15107297670961983</v>
      </c>
      <c r="X57" s="196">
        <f t="array" ref="X57">SUM(Model!tauL*X13:Y13*X26:Y26)/X32</f>
        <v>0.15004681707517917</v>
      </c>
      <c r="Y57" s="196"/>
      <c r="Z57" s="196">
        <f t="array" ref="Z57">SUM(Model!tauL*Z13:AA13*Z26:AA26)/Z32</f>
        <v>0.14893859353745229</v>
      </c>
      <c r="AB57" s="196">
        <f t="array" ref="AB57">SUM(Model!tauL*AB13:AC13*AB26:AC26)/AB32</f>
        <v>0.14773280786845611</v>
      </c>
      <c r="AD57" s="196">
        <f t="array" ref="AD57">SUM(Model!tauL*AD13:AE13*AD26:AE26)/AD32</f>
        <v>0.14639607006428576</v>
      </c>
      <c r="AF57" s="196">
        <f t="array" ref="AF57">SUM(Model!tauL*AF13:AG13*AF26:AG26)/AF32</f>
        <v>0.14485653821303313</v>
      </c>
      <c r="AH57" s="196">
        <f t="array" ref="AH57">SUM(Model!tauL*AH13:AI13*AH26:AI26)/AH32</f>
        <v>0.14297018420241103</v>
      </c>
      <c r="AJ57" s="196">
        <f t="array" ref="AJ57">SUM(Model!tauL*AJ13:AK13*AJ26:AK26)/AJ32</f>
        <v>0.14049419220898662</v>
      </c>
      <c r="AL57" s="196">
        <f t="array" ref="AL57">SUM(Model!tauL*AL13:AM13*AL26:AM26)/AL32</f>
        <v>0.13716865555823821</v>
      </c>
      <c r="AN57" s="196">
        <f t="array" ref="AN57">SUM(Model!tauL*AN13:AO13*AN26:AO26)/AN32</f>
        <v>0.13290107501871068</v>
      </c>
      <c r="AP57" s="196">
        <f t="array" ref="AP57">SUM(Model!tauL*AP13:AQ13*AP26:AQ26)/AP32</f>
        <v>0.13193206993901518</v>
      </c>
      <c r="AR57" s="196">
        <f t="array" ref="AR57">SUM(Model!tauL*AR13:AS13*AR26:AS26)/AR32</f>
        <v>0.13092070888744559</v>
      </c>
      <c r="AT57" s="196">
        <f t="array" ref="AT57">SUM(Model!tauL*AT13:AU13*AT26:AU26)/AT32</f>
        <v>0.12984824419616869</v>
      </c>
      <c r="AV57" s="196" t="e">
        <f t="array" ref="AV57">SUM(Model!tauL*AV13:AW13*AV26:AW26)/AV32</f>
        <v>#DIV/0!</v>
      </c>
      <c r="XFD57" s="196"/>
    </row>
    <row r="58" spans="1:48 16321:16384" x14ac:dyDescent="0.2">
      <c r="A58" t="s">
        <v>175</v>
      </c>
      <c r="B58" s="196">
        <f t="array" ref="B58">SUM(Model!tauY/(1+Model!tauY)*B3:C3*B18:C18)/B32</f>
        <v>1.1983934524824984E-2</v>
      </c>
      <c r="D58" s="196">
        <f t="array" ref="D58">SUM(Model!tauY/(1+Model!tauY)*D3:E3*D18:E18)/D32</f>
        <v>1.1967804874862643E-2</v>
      </c>
      <c r="F58" s="196">
        <f t="array" ref="F58">SUM(Model!tauY/(1+Model!tauY)*F3:G3*F18:G18)/F32</f>
        <v>1.1951104159615138E-2</v>
      </c>
      <c r="H58" s="196">
        <f t="array" ref="H58">SUM(Model!tauY/(1+Model!tauY)*H3:I3*H18:I18)/H32</f>
        <v>1.1933745286712819E-2</v>
      </c>
      <c r="J58" s="196">
        <f t="array" ref="J58">SUM(Model!tauY/(1+Model!tauY)*J3:K3*J18:K18)/J32</f>
        <v>1.1915620721238088E-2</v>
      </c>
      <c r="L58" s="196">
        <f t="array" ref="L58">SUM(Model!tauY/(1+Model!tauY)*L3:M3*L18:M18)/L32</f>
        <v>1.189659549569019E-2</v>
      </c>
      <c r="N58" s="196">
        <f t="array" ref="N58">SUM(Model!tauY/(1+Model!tauY)*N3:O3*N18:O18)/N32</f>
        <v>1.1876495895863308E-2</v>
      </c>
      <c r="P58" s="196">
        <f t="array" ref="P58">SUM(Model!tauY/(1+Model!tauY)*P3:Q3*P18:Q18)/P32</f>
        <v>1.1855093610606096E-2</v>
      </c>
      <c r="R58" s="196">
        <f t="array" ref="R58">SUM(Model!tauY/(1+Model!tauY)*R3:S3*R18:S18)/R32</f>
        <v>1.1832078043202262E-2</v>
      </c>
      <c r="T58" s="196">
        <f t="array" ref="T58">SUM(Model!tauY/(1+Model!tauY)*T3:U3*T18:U18)/T32</f>
        <v>1.1807010024761352E-2</v>
      </c>
      <c r="V58" s="196">
        <f t="array" ref="V58">SUM(Model!tauY/(1+Model!tauY)*V3:W3*V18:W18)/V32</f>
        <v>1.177924088775536E-2</v>
      </c>
      <c r="X58" s="196">
        <f t="array" ref="X58">SUM(Model!tauY/(1+Model!tauY)*X3:Y3*X18:Y18)/X32</f>
        <v>1.1747763568623166E-2</v>
      </c>
      <c r="Y58" s="196"/>
      <c r="Z58" s="196">
        <f t="array" ref="Z58">SUM(Model!tauY/(1+Model!tauY)*Z3:AA3*Z18:AA18)/Z32</f>
        <v>1.1710939277219329E-2</v>
      </c>
      <c r="AB58" s="196">
        <f t="array" ref="AB58">SUM(Model!tauY/(1+Model!tauY)*AB3:AC3*AB18:AC18)/AB32</f>
        <v>1.1665992655232094E-2</v>
      </c>
      <c r="AD58" s="196">
        <f t="array" ref="AD58">SUM(Model!tauY/(1+Model!tauY)*AD3:AE3*AD18:AE18)/AD32</f>
        <v>1.1608070231614243E-2</v>
      </c>
      <c r="AF58" s="196">
        <f t="array" ref="AF58">SUM(Model!tauY/(1+Model!tauY)*AF3:AG3*AF18:AG18)/AF32</f>
        <v>1.1528500695213184E-2</v>
      </c>
      <c r="AH58" s="196">
        <f t="array" ref="AH58">SUM(Model!tauY/(1+Model!tauY)*AH3:AI3*AH18:AI18)/AH32</f>
        <v>1.1411713236764867E-2</v>
      </c>
      <c r="AJ58" s="196">
        <f t="array" ref="AJ58">SUM(Model!tauY/(1+Model!tauY)*AJ3:AK3*AJ18:AK18)/AJ32</f>
        <v>1.1230939126138905E-2</v>
      </c>
      <c r="AL58" s="196">
        <f t="array" ref="AL58">SUM(Model!tauY/(1+Model!tauY)*AL3:AM3*AL18:AM18)/AL32</f>
        <v>1.094423721842112E-2</v>
      </c>
      <c r="AN58" s="196">
        <f t="array" ref="AN58">SUM(Model!tauY/(1+Model!tauY)*AN3:AO3*AN18:AO18)/AN32</f>
        <v>1.0450508686835811E-2</v>
      </c>
      <c r="AP58" s="196">
        <f t="array" ref="AP58">SUM(Model!tauY/(1+Model!tauY)*AP3:AQ3*AP18:AQ18)/AP32</f>
        <v>1.0293501244936486E-2</v>
      </c>
      <c r="AR58" s="196">
        <f t="array" ref="AR58">SUM(Model!tauY/(1+Model!tauY)*AR3:AS3*AR18:AS18)/AR32</f>
        <v>1.0090058370039897E-2</v>
      </c>
      <c r="AT58" s="196">
        <f t="array" ref="AT58">SUM(Model!tauY/(1+Model!tauY)*AT3:AU3*AT18:AU18)/AT32</f>
        <v>9.7985370981234412E-3</v>
      </c>
      <c r="AV58" s="196" t="e">
        <f t="array" ref="AV58">SUM(Model!tauY/(1+Model!tauY)*AV3:AW3*AV18:AW18)/AV32</f>
        <v>#DIV/0!</v>
      </c>
      <c r="XFD58" s="196"/>
    </row>
    <row r="59" spans="1:48 16321:16384" x14ac:dyDescent="0.2">
      <c r="A59" t="s">
        <v>176</v>
      </c>
      <c r="B59" s="196">
        <f>(B2*C5*C20)/B32</f>
        <v>1.7199725200015354E-2</v>
      </c>
      <c r="D59" s="196">
        <f>(D2*E5*E20)/D32</f>
        <v>1.9524054066095999E-2</v>
      </c>
      <c r="F59" s="196">
        <f>(F2*G5*G20)/F32</f>
        <v>2.1910825110554803E-2</v>
      </c>
      <c r="H59" s="196">
        <f>(H2*I5*I20)/H32</f>
        <v>2.4366082242813392E-2</v>
      </c>
      <c r="J59" s="196">
        <f>(J2*K5*K20)/J32</f>
        <v>2.6896347407434032E-2</v>
      </c>
      <c r="L59" s="196">
        <f>(L2*M5*M20)/L32</f>
        <v>2.9508568764364595E-2</v>
      </c>
      <c r="N59" s="196">
        <f>(N2*O5*O20)/N32</f>
        <v>3.2210047987997821E-2</v>
      </c>
      <c r="P59" s="196">
        <f>(P2*Q5*Q20)/P32</f>
        <v>3.5008459885129947E-2</v>
      </c>
      <c r="R59" s="196">
        <f>(R2*S5*S20)/R32</f>
        <v>3.7912196474393402E-2</v>
      </c>
      <c r="T59" s="196">
        <f>(T2*U5*U20)/T32</f>
        <v>4.0931731414707198E-2</v>
      </c>
      <c r="V59" s="196">
        <f>(V2*W5*W20)/V32</f>
        <v>4.4083565702536479E-2</v>
      </c>
      <c r="X59" s="196">
        <f>(X2*Y5*Y20)/X32</f>
        <v>4.7400100882844715E-2</v>
      </c>
      <c r="Z59" s="196">
        <f>(Z2*AA5*AA20)/Z32</f>
        <v>5.0952156021187821E-2</v>
      </c>
      <c r="AB59" s="196">
        <f>(AB2*AC5*AC20)/AB32</f>
        <v>5.4897158727681819E-2</v>
      </c>
      <c r="AD59" s="196">
        <f>(AD2*AE5*AE20)/AD32</f>
        <v>5.9576723129871702E-2</v>
      </c>
      <c r="AF59" s="196">
        <f>(AF2*AG5*AG20)/AF32</f>
        <v>6.5706901489174588E-2</v>
      </c>
      <c r="AH59" s="196">
        <f>(AH2*AI5*AI20)/AH32</f>
        <v>7.4728491399106048E-2</v>
      </c>
      <c r="AJ59" s="196">
        <f>(AJ2*AK5*AK20)/AJ32</f>
        <v>8.9331357963560842E-2</v>
      </c>
      <c r="AL59" s="196">
        <f>(AL2*AM5*AM20)/AL32</f>
        <v>0.11392317427976131</v>
      </c>
      <c r="AN59" s="196">
        <f>(AN2*AO5*AO20)/AN32</f>
        <v>0.15782493603590633</v>
      </c>
      <c r="AP59" s="196">
        <f>(AP2*AQ5*AQ20)/AP32</f>
        <v>0.17157373209946811</v>
      </c>
      <c r="AR59" s="196">
        <f>(AR2*AS5*AS20)/AR32</f>
        <v>0.18893090763016632</v>
      </c>
      <c r="AT59" s="196">
        <f>(AT2*AU5*AU20)/AT32</f>
        <v>0.21265845042679471</v>
      </c>
      <c r="AV59" s="196" t="e">
        <f>(AV2*AW5*AW20)/AV32</f>
        <v>#DIV/0!</v>
      </c>
      <c r="XFD59" s="196"/>
    </row>
    <row r="60" spans="1:48 16321:16384" x14ac:dyDescent="0.2">
      <c r="A60" t="s">
        <v>177</v>
      </c>
      <c r="B60" s="196">
        <f>Model!$C$52*B5*B20/B32</f>
        <v>0.10610517869762073</v>
      </c>
      <c r="D60" s="196">
        <f>Model!$C$52*D5*D20/D32</f>
        <v>0.10605171620481328</v>
      </c>
      <c r="F60" s="196">
        <f>Model!$C$52*F5*F20/F32</f>
        <v>0.10601003428827499</v>
      </c>
      <c r="H60" s="196">
        <f>Model!$C$52*H5*H20/H32</f>
        <v>0.10598327796718925</v>
      </c>
      <c r="J60" s="196">
        <f>Model!$C$52*J5*J20/J32</f>
        <v>0.10597560073184242</v>
      </c>
      <c r="L60" s="196">
        <f>Model!$C$52*L5*L20/L32</f>
        <v>0.10599253534400854</v>
      </c>
      <c r="N60" s="196">
        <f>Model!$C$52*N5*N20/N32</f>
        <v>0.1060415053303374</v>
      </c>
      <c r="P60" s="196">
        <f>Model!$C$52*P5*P20/P32</f>
        <v>0.10613252595881416</v>
      </c>
      <c r="R60" s="196">
        <f>Model!$C$52*R5*R20/R32</f>
        <v>0.10627913178012784</v>
      </c>
      <c r="T60" s="196">
        <f>Model!$C$52*T5*T20/T32</f>
        <v>0.10649954512661139</v>
      </c>
      <c r="V60" s="196">
        <f>Model!$C$52*V5*V20/V32</f>
        <v>0.10681801148702792</v>
      </c>
      <c r="X60" s="196">
        <f>Model!$C$52*X5*X20/X32</f>
        <v>0.10726599840740361</v>
      </c>
      <c r="Z60" s="196">
        <f>Model!$C$52*Z5*Z20/Z32</f>
        <v>0.10788254314189474</v>
      </c>
      <c r="AB60" s="196">
        <f>Model!$C$52*AB5*AB20/AB32</f>
        <v>0.10871234529481637</v>
      </c>
      <c r="AD60" s="196">
        <f>Model!$C$52*AD5*AD20/AD32</f>
        <v>0.10979902537574469</v>
      </c>
      <c r="AF60" s="196">
        <f>Model!$C$52*AF5*AF20/AF32</f>
        <v>0.11117023365671826</v>
      </c>
      <c r="AH60" s="196">
        <f>Model!$C$52*AH5*AH20/AH32</f>
        <v>0.11281315574989852</v>
      </c>
      <c r="AJ60" s="196">
        <f>Model!$C$52*AJ5*AJ20/AJ32</f>
        <v>0.114661896924885</v>
      </c>
      <c r="AL60" s="196">
        <f>Model!$C$52*AL5*AL20/AL32</f>
        <v>0.11675565810858786</v>
      </c>
      <c r="AN60" s="196">
        <f>Model!$C$52*AN5*AN20/AN32</f>
        <v>0.1203243989447942</v>
      </c>
      <c r="AP60" s="196">
        <f>Model!$C$52*AP5*AP20/AP32</f>
        <v>0.12174605642150442</v>
      </c>
      <c r="AR60" s="196">
        <f>Model!$C$52*AR5*AR20/AR32</f>
        <v>0.1238767534249309</v>
      </c>
      <c r="AT60" s="196">
        <f>Model!$C$52*AT5*AT20/AT32</f>
        <v>0.12754512073196747</v>
      </c>
      <c r="AV60" s="196" t="e">
        <f>Model!$C$52*AV5*AV20/AV32</f>
        <v>#DIV/0!</v>
      </c>
      <c r="XFD60" s="196"/>
    </row>
    <row r="62" spans="1:48 16321:16384" x14ac:dyDescent="0.2">
      <c r="A62" t="s">
        <v>178</v>
      </c>
      <c r="B62">
        <f>B13/B15</f>
        <v>1</v>
      </c>
      <c r="D62">
        <f>D13/D15</f>
        <v>0.99587243726807073</v>
      </c>
      <c r="F62">
        <f>F13/F15</f>
        <v>0.9914585841250646</v>
      </c>
      <c r="H62">
        <f>H13/H15</f>
        <v>0.98673025698851091</v>
      </c>
      <c r="J62">
        <f>J13/J15</f>
        <v>0.98165762067511042</v>
      </c>
      <c r="L62">
        <f>L13/L15</f>
        <v>0.97621022912362543</v>
      </c>
      <c r="N62">
        <f>N13/N15</f>
        <v>0.97035906219951129</v>
      </c>
      <c r="P62">
        <f>P13/P15</f>
        <v>0.9640799723116743</v>
      </c>
      <c r="R62">
        <f>R13/R15</f>
        <v>0.95735956521238097</v>
      </c>
      <c r="T62">
        <f>T13/T15</f>
        <v>0.95020455853377872</v>
      </c>
      <c r="V62">
        <f>V13/V15</f>
        <v>0.94265621892189677</v>
      </c>
      <c r="X62">
        <f>X13/X15</f>
        <v>0.93481235965222453</v>
      </c>
      <c r="Z62">
        <f>Z13/Z15</f>
        <v>0.92686068050750248</v>
      </c>
      <c r="AB62">
        <f>AB13/AB15</f>
        <v>0.91913306992253407</v>
      </c>
      <c r="AD62">
        <f>AD13/AD15</f>
        <v>0.91220349683656143</v>
      </c>
      <c r="AF62">
        <f>AF13/AF15</f>
        <v>0.90709530283951267</v>
      </c>
      <c r="AH62">
        <f>AH13/AH15</f>
        <v>0.90579100614032937</v>
      </c>
      <c r="AJ62">
        <f>AJ13/AJ15</f>
        <v>0.91265100746135264</v>
      </c>
      <c r="AL62">
        <f>AL13/AL15</f>
        <v>0.9390664784566618</v>
      </c>
      <c r="AN62">
        <f>AN13/AN15</f>
        <v>1.0309189863887687</v>
      </c>
      <c r="AP62">
        <f>AP13/AP15</f>
        <v>1.0745592328408171</v>
      </c>
      <c r="AR62">
        <f>AR13/AR15</f>
        <v>1.1426852851634499</v>
      </c>
      <c r="AT62">
        <f>AT13/AT15</f>
        <v>1.264648593557717</v>
      </c>
      <c r="AV62" t="e">
        <f>AV13/AV15</f>
        <v>#DIV/0!</v>
      </c>
    </row>
    <row r="65" spans="1:48 16384:16384" x14ac:dyDescent="0.2">
      <c r="A65" t="s">
        <v>179</v>
      </c>
      <c r="B65" s="194">
        <f>SQRT((B9:C9*$B$22:$C$22+B10:C10*$B$23:$C$23+B11:C11*$B$24:$C$24+B4:C4*($B$25:$C$25-$B$19:$C$19))/($B$9:$C$9*$B$22:$C$22+$B$10:$C$10*$B$23:$C$23+$B$11:$C$11*$B$24:$C$24+$B$4:$C$4*($B$25:$C$25-$B$19:$C$19))*(B9:C9*B22:C22+B10:C10*B23:C23+B11:C11*B24:C24+B4:C4*(B25:C25-B19:C19))/($B$9:$C$9*B22:C22+$B$10:$C$10*B23:C23+$B$11:$C$11*B24:C24+$B$4:$C$4*(B25:C25-B19:C19)))</f>
        <v>1</v>
      </c>
      <c r="C65" s="194"/>
      <c r="D65" s="194">
        <f t="array" ref="D65">SQRT((D9:E9*$B$22:$C$22+D10:E10*$B$23:$C$23+D11:E11*$B$24:$C$24+D4:E4*($B$25:$C$25-$B$19:$C$19))/($B$9:$C$9*$B$22:$C$22+$B$10:$C$10*$B$23:$C$23+$B$11:$C$11*$B$24:$C$24+$B$4:$C$4*($B$25:$C$25-$B$19:$C$19))*(D9:E9*D22:E22+D10:E10*D23:E23+D11:E11*D24:E24+D4:E4*(D25:E25-D19:E19))/($B$9:$C$9*D22:E22+$B$10:$C$10*D23:E23+$B$11:$C$11*D24:E24+$B$4:$C$4*(D25:E25-D19:E19)))</f>
        <v>0.9991290044873371</v>
      </c>
      <c r="E65" s="194"/>
      <c r="F65" s="194">
        <f t="array" ref="F65">SQRT((F9:G9*$B$22:$C$22+F10:G10*$B$23:$C$23+F11:G11*$B$24:$C$24+F4:G4*($B$25:$C$25-$B$19:$C$19))/($B$9:$C$9*$B$22:$C$22+$B$10:$C$10*$B$23:$C$23+$B$11:$C$11*$B$24:$C$24+$B$4:$C$4*($B$25:$C$25-$B$19:$C$19))*(F9:G9*F22:G22+F10:G10*F23:G23+F11:G11*F24:G24+F4:G4*(F25:G25-F19:G19))/($B$9:$C$9*F22:G22+$B$10:$C$10*F23:G23+$B$11:$C$11*F24:G24+$B$4:$C$4*(F25:G25-F19:G19)))</f>
        <v>0.99857608637210127</v>
      </c>
      <c r="G65" s="194"/>
      <c r="H65" s="194">
        <f t="array" ref="H65">SQRT((H9:I9*$B$22:$C$22+H10:I10*$B$23:$C$23+H11:I11*$B$24:$C$24+H4:I4*($B$25:$C$25-$B$19:$C$19))/($B$9:$C$9*$B$22:$C$22+$B$10:$C$10*$B$23:$C$23+$B$11:$C$11*$B$24:$C$24+$B$4:$C$4*($B$25:$C$25-$B$19:$C$19))*(H9:I9*H22:I22+H10:I10*H23:I23+H11:I11*H24:I24+H4:I4*(H25:I25-H19:I19))/($B$9:$C$9*H22:I22+$B$10:$C$10*H23:I23+$B$11:$C$11*H24:I24+$B$4:$C$4*(H25:I25-H19:I19)))</f>
        <v>0.99842008236697699</v>
      </c>
      <c r="I65" s="194"/>
      <c r="J65" s="194">
        <f t="array" ref="J65">SQRT((J9:K9*$B$22:$C$22+J10:K10*$B$23:$C$23+J11:K11*$B$24:$C$24+J4:K4*($B$25:$C$25-$B$19:$C$19))/($B$9:$C$9*$B$22:$C$22+$B$10:$C$10*$B$23:$C$23+$B$11:$C$11*$B$24:$C$24+$B$4:$C$4*($B$25:$C$25-$B$19:$C$19))*(J9:K9*J22:K22+J10:K10*J23:K23+J11:K11*J24:K24+J4:K4*(J25:K25-J19:K19))/($B$9:$C$9*J22:K22+$B$10:$C$10*J23:K23+$B$11:$C$11*J24:K24+$B$4:$C$4*(J25:K25-J19:K19)))</f>
        <v>0.99876627803202078</v>
      </c>
      <c r="K65" s="194"/>
      <c r="L65" s="194">
        <f t="array" ref="L65">SQRT((L9:M9*$B$22:$C$22+L10:M10*$B$23:$C$23+L11:M11*$B$24:$C$24+L4:M4*($B$25:$C$25-$B$19:$C$19))/($B$9:$C$9*$B$22:$C$22+$B$10:$C$10*$B$23:$C$23+$B$11:$C$11*$B$24:$C$24+$B$4:$C$4*($B$25:$C$25-$B$19:$C$19))*(L9:M9*L22:M22+L10:M10*L23:M23+L11:M11*L24:M24+L4:M4*(L25:M25-L19:M19))/($B$9:$C$9*L22:M22+$B$10:$C$10*L23:M23+$B$11:$C$11*L24:M24+$B$4:$C$4*(L25:M25-L19:M19)))</f>
        <v>0.99975720484166408</v>
      </c>
      <c r="M65" s="194"/>
      <c r="N65" s="194">
        <f t="array" ref="N65">SQRT((N9:O9*$B$22:$C$22+N10:O10*$B$23:$C$23+N11:O11*$B$24:$C$24+N4:O4*($B$25:$C$25-$B$19:$C$19))/($B$9:$C$9*$B$22:$C$22+$B$10:$C$10*$B$23:$C$23+$B$11:$C$11*$B$24:$C$24+$B$4:$C$4*($B$25:$C$25-$B$19:$C$19))*(N9:O9*N22:O22+N10:O10*N23:O23+N11:O11*N24:O24+N4:O4*(N25:O25-N19:O19))/($B$9:$C$9*N22:O22+$B$10:$C$10*N23:O23+$B$11:$C$11*N24:O24+$B$4:$C$4*(N25:O25-N19:O19)))</f>
        <v>1.0015886583864477</v>
      </c>
      <c r="O65" s="194"/>
      <c r="P65" s="194">
        <f t="array" ref="P65">SQRT((P9:Q9*$B$22:$C$22+P10:Q10*$B$23:$C$23+P11:Q11*$B$24:$C$24+P4:Q4*($B$25:$C$25-$B$19:$C$19))/($B$9:$C$9*$B$22:$C$22+$B$10:$C$10*$B$23:$C$23+$B$11:$C$11*$B$24:$C$24+$B$4:$C$4*($B$25:$C$25-$B$19:$C$19))*(P9:Q9*P22:Q22+P10:Q10*P23:Q23+P11:Q11*P24:Q24+P4:Q4*(P25:Q25-P19:Q19))/($B$9:$C$9*P22:Q22+$B$10:$C$10*P23:Q23+$B$11:$C$11*P24:Q24+$B$4:$C$4*(P25:Q25-P19:Q19)))</f>
        <v>1.0045336203749957</v>
      </c>
      <c r="Q65" s="194"/>
      <c r="R65" s="194">
        <f t="array" ref="R65">SQRT((R9:S9*$B$22:$C$22+R10:S10*$B$23:$C$23+R11:S11*$B$24:$C$24+R4:S4*($B$25:$C$25-$B$19:$C$19))/($B$9:$C$9*$B$22:$C$22+$B$10:$C$10*$B$23:$C$23+$B$11:$C$11*$B$24:$C$24+$B$4:$C$4*($B$25:$C$25-$B$19:$C$19))*(R9:S9*R22:S22+R10:S10*R23:S23+R11:S11*R24:S24+R4:S4*(R25:S25-R19:S19))/($B$9:$C$9*R22:S22+$B$10:$C$10*R23:S23+$B$11:$C$11*R24:S24+$B$4:$C$4*(R25:S25-R19:S19)))</f>
        <v>1.0089788248889981</v>
      </c>
      <c r="S65" s="194"/>
      <c r="T65" s="194">
        <f t="array" ref="T65">SQRT((T9:U9*$B$22:$C$22+T10:U10*$B$23:$C$23+T11:U11*$B$24:$C$24+T4:U4*($B$25:$C$25-$B$19:$C$19))/($B$9:$C$9*$B$22:$C$22+$B$10:$C$10*$B$23:$C$23+$B$11:$C$11*$B$24:$C$24+$B$4:$C$4*($B$25:$C$25-$B$19:$C$19))*(T9:U9*T22:U22+T10:U10*T23:U23+T11:U11*T24:U24+T4:U4*(T25:U25-T19:U19))/($B$9:$C$9*T22:U22+$B$10:$C$10*T23:U23+$B$11:$C$11*T24:U24+$B$4:$C$4*(T25:U25-T19:U19)))</f>
        <v>1.0154814288587739</v>
      </c>
      <c r="U65" s="194"/>
      <c r="V65" s="194">
        <f t="array" ref="V65">SQRT((V9:W9*$B$22:$C$22+V10:W10*$B$23:$C$23+V11:W11*$B$24:$C$24+V4:W4*($B$25:$C$25-$B$19:$C$19))/($B$9:$C$9*$B$22:$C$22+$B$10:$C$10*$B$23:$C$23+$B$11:$C$11*$B$24:$C$24+$B$4:$C$4*($B$25:$C$25-$B$19:$C$19))*(V9:W9*V22:W22+V10:W10*V23:W23+V11:W11*V24:W24+V4:W4*(V25:W25-V19:W19))/($B$9:$C$9*V22:W22+$B$10:$C$10*V23:W23+$B$11:$C$11*V24:W24+$B$4:$C$4*(V25:W25-V19:W19)))</f>
        <v>1.0248589849271224</v>
      </c>
      <c r="W65" s="194"/>
      <c r="X65" s="194">
        <f t="array" ref="X65">SQRT((X9:Y9*$B$22:$C$22+X10:Y10*$B$23:$C$23+X11:Y11*$B$24:$C$24+X4:Y4*($B$25:$C$25-$B$19:$C$19))/($B$9:$C$9*$B$22:$C$22+$B$10:$C$10*$B$23:$C$23+$B$11:$C$11*$B$24:$C$24+$B$4:$C$4*($B$25:$C$25-$B$19:$C$19))*(X9:Y9*X22:Y22+X10:Y10*X23:Y23+X11:Y11*X24:Y24+X4:Y4*(X25:Y25-X19:Y19))/($B$9:$C$9*X22:Y22+$B$10:$C$10*X23:Y23+$B$11:$C$11*X24:Y24+$B$4:$C$4*(X25:Y25-X19:Y19)))</f>
        <v>1.0383366907685985</v>
      </c>
      <c r="Y65" s="194"/>
      <c r="Z65" s="194">
        <f t="array" ref="Z65">SQRT((Z9:AA9*$B$22:$C$22+Z10:AA10*$B$23:$C$23+Z11:AA11*$B$24:$C$24+Z4:AA4*($B$25:$C$25-$B$19:$C$19))/($B$9:$C$9*$B$22:$C$22+$B$10:$C$10*$B$23:$C$23+$B$11:$C$11*$B$24:$C$24+$B$4:$C$4*($B$25:$C$25-$B$19:$C$19))*(Z9:AA9*Z22:AA22+Z10:AA10*Z23:AA23+Z11:AA11*Z24:AA24+Z4:AA4*(Z25:AA25-Z19:AA19))/($B$9:$C$9*Z22:AA22+$B$10:$C$10*Z23:AA23+$B$11:$C$11*Z24:AA24+$B$4:$C$4*(Z25:AA25-Z19:AA19)))</f>
        <v>1.0577987146456806</v>
      </c>
      <c r="AA65" s="194"/>
      <c r="AB65" s="194">
        <f t="array" ref="AB65">SQRT((AB9:AC9*$B$22:$C$22+AB10:AC10*$B$23:$C$23+AB11:AC11*$B$24:$C$24+AB4:AC4*($B$25:$C$25-$B$19:$C$19))/($B$9:$C$9*$B$22:$C$22+$B$10:$C$10*$B$23:$C$23+$B$11:$C$11*$B$24:$C$24+$B$4:$C$4*($B$25:$C$25-$B$19:$C$19))*(AB9:AC9*AB22:AC22+AB10:AC10*AB23:AC23+AB11:AC11*AB24:AC24+AB4:AC4*(AB25:AC25-AB19:AC19))/($B$9:$C$9*AB22:AC22+$B$10:$C$10*AB23:AC23+$B$11:$C$11*AB24:AC24+$B$4:$C$4*(AB25:AC25-AB19:AC19)))</f>
        <v>1.0862462059253621</v>
      </c>
      <c r="AC65" s="194"/>
      <c r="AD65" s="194">
        <f t="array" ref="AD65">SQRT((AD9:AE9*$B$22:$C$22+AD10:AE10*$B$23:$C$23+AD11:AE11*$B$24:$C$24+AD4:AE4*($B$25:$C$25-$B$19:$C$19))/($B$9:$C$9*$B$22:$C$22+$B$10:$C$10*$B$23:$C$23+$B$11:$C$11*$B$24:$C$24+$B$4:$C$4*($B$25:$C$25-$B$19:$C$19))*(AD9:AE9*AD22:AE22+AD10:AE10*AD23:AE23+AD11:AE11*AD24:AE24+AD4:AE4*(AD25:AE25-AD19:AE19))/($B$9:$C$9*AD22:AE22+$B$10:$C$10*AD23:AE23+$B$11:$C$11*AD24:AE24+$B$4:$C$4*(AD25:AE25-AD19:AE19)))</f>
        <v>1.1287026117804897</v>
      </c>
      <c r="AE65" s="194"/>
      <c r="AF65" s="194">
        <f t="array" ref="AF65">SQRT((AF9:AG9*$B$22:$C$22+AF10:AG10*$B$23:$C$23+AF11:AG11*$B$24:$C$24+AF4:AG4*($B$25:$C$25-$B$19:$C$19))/($B$9:$C$9*$B$22:$C$22+$B$10:$C$10*$B$23:$C$23+$B$11:$C$11*$B$24:$C$24+$B$4:$C$4*($B$25:$C$25-$B$19:$C$19))*(AF9:AG9*AF22:AG22+AF10:AG10*AF23:AG23+AF11:AG11*AF24:AG24+AF4:AG4*(AF25:AG25-AF19:AG19))/($B$9:$C$9*AF22:AG22+$B$10:$C$10*AF23:AG23+$B$11:$C$11*AF24:AG24+$B$4:$C$4*(AF25:AG25-AF19:AG19)))</f>
        <v>1.1942209455819734</v>
      </c>
      <c r="AG65" s="194"/>
      <c r="AH65" s="194">
        <f t="array" ref="AH65">SQRT((AH9:AI9*$B$22:$C$22+AH10:AI10*$B$23:$C$23+AH11:AI11*$B$24:$C$24+AH4:AI4*($B$25:$C$25-$B$19:$C$19))/($B$9:$C$9*$B$22:$C$22+$B$10:$C$10*$B$23:$C$23+$B$11:$C$11*$B$24:$C$24+$B$4:$C$4*($B$25:$C$25-$B$19:$C$19))*(AH9:AI9*AH22:AI22+AH10:AI10*AH23:AI23+AH11:AI11*AH24:AI24+AH4:AI4*(AH25:AI25-AH19:AI19))/($B$9:$C$9*AH22:AI22+$B$10:$C$10*AH23:AI23+$B$11:$C$11*AH24:AI24+$B$4:$C$4*(AH25:AI25-AH19:AI19)))</f>
        <v>1.3009705201161961</v>
      </c>
      <c r="AI65" s="194"/>
      <c r="AJ65" s="194">
        <f t="array" ref="AJ65">SQRT((AJ9:AK9*$B$22:$C$22+AJ10:AK10*$B$23:$C$23+AJ11:AK11*$B$24:$C$24+AJ4:AK4*($B$25:$C$25-$B$19:$C$19))/($B$9:$C$9*$B$22:$C$22+$B$10:$C$10*$B$23:$C$23+$B$11:$C$11*$B$24:$C$24+$B$4:$C$4*($B$25:$C$25-$B$19:$C$19))*(AJ9:AK9*AJ22:AK22+AJ10:AK10*AJ23:AK23+AJ11:AK11*AJ24:AK24+AJ4:AK4*(AJ25:AK25-AJ19:AK19))/($B$9:$C$9*AJ22:AK22+$B$10:$C$10*AJ23:AK23+$B$11:$C$11*AJ24:AK24+$B$4:$C$4*(AJ25:AK25-AJ19:AK19)))</f>
        <v>1.4913646087772554</v>
      </c>
      <c r="AK65" s="194"/>
      <c r="AL65" s="194">
        <f t="array" ref="AL65">SQRT((AL9:AM9*$B$22:$C$22+AL10:AM10*$B$23:$C$23+AL11:AM11*$B$24:$C$24+AL4:AM4*($B$25:$C$25-$B$19:$C$19))/($B$9:$C$9*$B$22:$C$22+$B$10:$C$10*$B$23:$C$23+$B$11:$C$11*$B$24:$C$24+$B$4:$C$4*($B$25:$C$25-$B$19:$C$19))*(AL9:AM9*AL22:AM22+AL10:AM10*AL23:AM23+AL11:AM11*AL24:AM24+AL4:AM4*(AL25:AM25-AL19:AM19))/($B$9:$C$9*AL22:AM22+$B$10:$C$10*AL23:AM23+$B$11:$C$11*AL24:AM24+$B$4:$C$4*(AL25:AM25-AL19:AM19)))</f>
        <v>1.894589258188804</v>
      </c>
      <c r="AM65" s="194"/>
      <c r="AN65" s="194">
        <f t="array" ref="AN65">SQRT((AN9:AO9*$B$22:$C$22+AN10:AO10*$B$23:$C$23+AN11:AO11*$B$24:$C$24+AN4:AO4*($B$25:$C$25-$B$19:$C$19))/($B$9:$C$9*$B$22:$C$22+$B$10:$C$10*$B$23:$C$23+$B$11:$C$11*$B$24:$C$24+$B$4:$C$4*($B$25:$C$25-$B$19:$C$19))*(AN9:AO9*AN22:AO22+AN10:AO10*AN23:AO23+AN11:AO11*AN24:AO24+AN4:AO4*(AN25:AO25-AN19:AO19))/($B$9:$C$9*AN22:AO22+$B$10:$C$10*AN23:AO23+$B$11:$C$11*AN24:AO24+$B$4:$C$4*(AN25:AO25-AN19:AO19)))</f>
        <v>3.4543781663802222</v>
      </c>
      <c r="AO65" s="194"/>
      <c r="AP65" s="194">
        <f t="array" ref="AP65">SQRT((AP9:AQ9*$B$22:$C$22+AP10:AQ10*$B$23:$C$23+AP11:AQ11*$B$24:$C$24+AP4:AQ4*($B$25:$C$25-$B$19:$C$19))/($B$9:$C$9*$B$22:$C$22+$B$10:$C$10*$B$23:$C$23+$B$11:$C$11*$B$24:$C$24+$B$4:$C$4*($B$25:$C$25-$B$19:$C$19))*(AP9:AQ9*AP22:AQ22+AP10:AQ10*AP23:AQ23+AP11:AQ11*AP24:AQ24+AP4:AQ4*(AP25:AQ25-AP19:AQ19))/($B$9:$C$9*AP22:AQ22+$B$10:$C$10*AP23:AQ23+$B$11:$C$11*AP24:AQ24+$B$4:$C$4*(AP25:AQ25-AP19:AQ19)))</f>
        <v>4.9138958695715722</v>
      </c>
      <c r="AQ65" s="194"/>
      <c r="AR65" s="194"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94"/>
      <c r="AT65" s="194"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94"/>
      <c r="AV65" s="194"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185</v>
      </c>
      <c r="B66" s="194">
        <f t="array" ref="B66">SQRT((B9:C9*$B$22:$C$22)/($B$9:$C$9*$B$22:$C$22)*(B9:C9*B22:C22)/($B$9:$C$9*B22:C22))</f>
        <v>1</v>
      </c>
      <c r="C66" s="194"/>
      <c r="D66" s="194">
        <f t="array" ref="D66">SQRT((D9:E9*$B$22:$C$22)/($B$9:$C$9*$B$22:$C$22)*(D9:E9*D22:E22)/($B$9:$C$9*D22:E22))</f>
        <v>0.99908772873235907</v>
      </c>
      <c r="E66" s="194"/>
      <c r="F66" s="194">
        <f t="array" ref="F66">SQRT((F9:G9*$B$22:$C$22)/($B$9:$C$9*$B$22:$C$22)*(F9:G9*F22:G22)/($B$9:$C$9*F22:G22))</f>
        <v>0.99850829776301531</v>
      </c>
      <c r="G66" s="194"/>
      <c r="H66" s="194">
        <f t="array" ref="H66">SQRT((H9:I9*$B$22:$C$22)/($B$9:$C$9*$B$22:$C$22)*(H9:I9*H22:I22)/($B$9:$C$9*H22:I22))</f>
        <v>0.99834479455381386</v>
      </c>
      <c r="I66" s="194"/>
      <c r="J66" s="194">
        <f t="array" ref="J66">SQRT((J9:K9*$B$22:$C$22)/($B$9:$C$9*$B$22:$C$22)*(J9:K9*J22:K22)/($B$9:$C$9*J22:K22))</f>
        <v>0.99870769955762984</v>
      </c>
      <c r="K66" s="194"/>
      <c r="L66" s="194">
        <f t="array" ref="L66">SQRT((L9:M9*$B$22:$C$22)/($B$9:$C$9*$B$22:$C$22)*(L9:M9*L22:M22)/($B$9:$C$9*L22:M22))</f>
        <v>0.99974578589694418</v>
      </c>
      <c r="M66" s="194"/>
      <c r="N66" s="194">
        <f t="array" ref="N66">SQRT((N9:O9*$B$22:$C$22)/($B$9:$C$9*$B$22:$C$22)*(N9:O9*N22:O22)/($B$9:$C$9*N22:O22))</f>
        <v>1.0016620893999071</v>
      </c>
      <c r="O66" s="194"/>
      <c r="P66" s="194">
        <f t="array" ref="P66">SQRT((P9:Q9*$B$22:$C$22)/($B$9:$C$9*$B$22:$C$22)*(P9:Q9*P22:Q22)/($B$9:$C$9*P22:Q22))</f>
        <v>1.0047373759014309</v>
      </c>
      <c r="Q66" s="194"/>
      <c r="R66" s="194">
        <f t="array" ref="R66">SQRT((R9:S9*$B$22:$C$22)/($B$9:$C$9*$B$22:$C$22)*(R9:S9*R22:S22)/($B$9:$C$9*R22:S22))</f>
        <v>1.0093653038573094</v>
      </c>
      <c r="S66" s="194"/>
      <c r="T66" s="194">
        <f t="array" ref="T66">SQRT((T9:U9*$B$22:$C$22)/($B$9:$C$9*$B$22:$C$22)*(T9:U9*T22:U22)/($B$9:$C$9*T22:U22))</f>
        <v>1.016105534786838</v>
      </c>
      <c r="U66" s="194"/>
      <c r="V66" s="194">
        <f t="array" ref="V66">SQRT((V9:W9*$B$22:$C$22)/($B$9:$C$9*$B$22:$C$22)*(V9:W9*V22:W22)/($B$9:$C$9*V22:W22))</f>
        <v>1.025765377074497</v>
      </c>
      <c r="W66" s="194"/>
      <c r="X66" s="194">
        <f t="array" ref="X66">SQRT((X9:Y9*$B$22:$C$22)/($B$9:$C$9*$B$22:$C$22)*(X9:Y9*X22:Y22)/($B$9:$C$9*X22:Y22))</f>
        <v>1.0395281746971474</v>
      </c>
      <c r="Y66" s="194"/>
      <c r="Z66" s="194">
        <f t="array" ref="Z66">SQRT((Z9:AA9*$B$22:$C$22)/($B$9:$C$9*$B$22:$C$22)*(Z9:AA9*Z22:AA22)/($B$9:$C$9*Z22:AA22))</f>
        <v>1.0591621707080243</v>
      </c>
      <c r="AA66" s="194"/>
      <c r="AB66" s="194">
        <f t="array" ref="AB66">SQRT((AB9:AC9*$B$22:$C$22)/($B$9:$C$9*$B$22:$C$22)*(AB9:AC9*AB22:AC22)/($B$9:$C$9*AB22:AC22))</f>
        <v>1.0873811078554623</v>
      </c>
      <c r="AC66" s="194"/>
      <c r="AD66" s="194">
        <f t="array" ref="AD66">SQRT((AD9:AE9*$B$22:$C$22)/($B$9:$C$9*$B$22:$C$22)*(AD9:AE9*AD22:AE22)/($B$9:$C$9*AD22:AE22))</f>
        <v>1.1285143340767501</v>
      </c>
      <c r="AE66" s="194"/>
      <c r="AF66" s="194">
        <f t="array" ref="AF66">SQRT((AF9:AG9*$B$22:$C$22)/($B$9:$C$9*$B$22:$C$22)*(AF9:AG9*AF22:AG22)/($B$9:$C$9*AF22:AG22))</f>
        <v>1.1898892868043276</v>
      </c>
      <c r="AG66" s="194"/>
      <c r="AH66" s="194">
        <f t="array" ref="AH66">SQRT((AH9:AI9*$B$22:$C$22)/($B$9:$C$9*$B$22:$C$22)*(AH9:AI9*AH22:AI22)/($B$9:$C$9*AH22:AI22))</f>
        <v>1.2849857420344568</v>
      </c>
      <c r="AI66" s="194"/>
      <c r="AJ66" s="194">
        <f t="array" ref="AJ66">SQRT((AJ9:AK9*$B$22:$C$22)/($B$9:$C$9*$B$22:$C$22)*(AJ9:AK9*AJ22:AK22)/($B$9:$C$9*AJ22:AK22))</f>
        <v>1.4411507080852359</v>
      </c>
      <c r="AK66" s="194"/>
      <c r="AL66" s="194">
        <f t="array" ref="AL66">SQRT((AL9:AM9*$B$22:$C$22)/($B$9:$C$9*$B$22:$C$22)*(AL9:AM9*AL22:AM22)/($B$9:$C$9*AL22:AM22))</f>
        <v>1.7215307169936078</v>
      </c>
      <c r="AM66" s="194"/>
      <c r="AN66" s="194">
        <f t="array" ref="AN66">SQRT((AN9:AO9*$B$22:$C$22)/($B$9:$C$9*$B$22:$C$22)*(AN9:AO9*AN22:AO22)/($B$9:$C$9*AN22:AO22))</f>
        <v>2.3393068595978153</v>
      </c>
      <c r="AO66" s="194"/>
      <c r="AP66" s="194">
        <f t="array" ref="AP66">SQRT((AP9:AQ9*$B$22:$C$22)/($B$9:$C$9*$B$22:$C$22)*(AP9:AQ9*AP22:AQ22)/($B$9:$C$9*AP22:AQ22))</f>
        <v>2.5719726458464263</v>
      </c>
      <c r="AQ66" s="194"/>
      <c r="AR66" s="194">
        <f t="array" ref="AR66">SQRT((AR9:AS9*$B$22:$C$22)/($B$9:$C$9*$B$22:$C$22)*(AR9:AS9*AR22:AS22)/($B$9:$C$9*AR22:AS22))</f>
        <v>2.8943794339954305</v>
      </c>
      <c r="AS66" s="194"/>
      <c r="AT66" s="194">
        <f t="array" ref="AT66">SQRT((AT9:AU9*$B$22:$C$22)/($B$9:$C$9*$B$22:$C$22)*(AT9:AU9*AT22:AU22)/($B$9:$C$9*AT22:AU22))</f>
        <v>3.3875802359565492</v>
      </c>
      <c r="AU66" s="194"/>
      <c r="AV66" s="194" t="e">
        <f t="array" ref="AV66">SQRT((AV9:AW9*$B$22:$C$22)/($B$9:$C$9*$B$22:$C$22)*(AV9:AW9*AV22:AW22)/($B$9:$C$9*AV22:AW22))</f>
        <v>#DIV/0!</v>
      </c>
      <c r="XFD66" s="194"/>
    </row>
    <row r="67" spans="1:48 16384:16384" x14ac:dyDescent="0.2">
      <c r="A67" t="s">
        <v>186</v>
      </c>
      <c r="B67" s="194">
        <f t="array" ref="B67">SQRT((B4:C4*$B$19:$C$19)/($B$4:$C$4*$B$19:$C$19)*(B4:C4*B19:C19)/($B$4:$C$4*B19:C19))</f>
        <v>1</v>
      </c>
      <c r="C67" s="194"/>
      <c r="D67" s="194">
        <f t="array" ref="D67">SQRT((D4:E4*$B$19:$C$19)/($B$4:$C$4*$B$19:$C$19)*(D4:E4*D19:E19)/($B$4:$C$4*D19:E19))</f>
        <v>1</v>
      </c>
      <c r="E67" s="194"/>
      <c r="F67" s="194">
        <f t="array" ref="F67">SQRT((F4:G4*$B$19:$C$19)/($B$4:$C$4*$B$19:$C$19)*(F4:G4*F19:G19)/($B$4:$C$4*F19:G19))</f>
        <v>1</v>
      </c>
      <c r="G67" s="194"/>
      <c r="H67" s="194">
        <f t="array" ref="H67">SQRT((H4:I4*$B$19:$C$19)/($B$4:$C$4*$B$19:$C$19)*(H4:I4*H19:I19)/($B$4:$C$4*H19:I19))</f>
        <v>1</v>
      </c>
      <c r="I67" s="194"/>
      <c r="J67" s="194">
        <f t="array" ref="J67">SQRT((J4:K4*$B$19:$C$19)/($B$4:$C$4*$B$19:$C$19)*(J4:K4*J19:K19)/($B$4:$C$4*J19:K19))</f>
        <v>1</v>
      </c>
      <c r="K67" s="194"/>
      <c r="L67" s="194">
        <f t="array" ref="L67">SQRT((L4:M4*$B$19:$C$19)/($B$4:$C$4*$B$19:$C$19)*(L4:M4*L19:M19)/($B$4:$C$4*L19:M19))</f>
        <v>1</v>
      </c>
      <c r="M67" s="194"/>
      <c r="N67" s="194">
        <f t="array" ref="N67">SQRT((N4:O4*$B$19:$C$19)/($B$4:$C$4*$B$19:$C$19)*(N4:O4*N19:O19)/($B$4:$C$4*N19:O19))</f>
        <v>1</v>
      </c>
      <c r="O67" s="194"/>
      <c r="P67" s="194">
        <f t="array" ref="P67">SQRT((P4:Q4*$B$19:$C$19)/($B$4:$C$4*$B$19:$C$19)*(P4:Q4*P19:Q19)/($B$4:$C$4*P19:Q19))</f>
        <v>1</v>
      </c>
      <c r="Q67" s="194"/>
      <c r="R67" s="194">
        <f t="array" ref="R67">SQRT((R4:S4*$B$19:$C$19)/($B$4:$C$4*$B$19:$C$19)*(R4:S4*R19:S19)/($B$4:$C$4*R19:S19))</f>
        <v>1</v>
      </c>
      <c r="S67" s="194"/>
      <c r="T67" s="194">
        <f t="array" ref="T67">SQRT((T4:U4*$B$19:$C$19)/($B$4:$C$4*$B$19:$C$19)*(T4:U4*T19:U19)/($B$4:$C$4*T19:U19))</f>
        <v>1</v>
      </c>
      <c r="U67" s="194"/>
      <c r="V67" s="194">
        <f t="array" ref="V67">SQRT((V4:W4*$B$19:$C$19)/($B$4:$C$4*$B$19:$C$19)*(V4:W4*V19:W19)/($B$4:$C$4*V19:W19))</f>
        <v>1</v>
      </c>
      <c r="W67" s="194"/>
      <c r="X67" s="194">
        <f t="array" ref="X67">SQRT((X4:Y4*$B$19:$C$19)/($B$4:$C$4*$B$19:$C$19)*(X4:Y4*X19:Y19)/($B$4:$C$4*X19:Y19))</f>
        <v>1</v>
      </c>
      <c r="Y67" s="194"/>
      <c r="Z67" s="194">
        <f t="array" ref="Z67">SQRT((Z4:AA4*$B$19:$C$19)/($B$4:$C$4*$B$19:$C$19)*(Z4:AA4*Z19:AA19)/($B$4:$C$4*Z19:AA19))</f>
        <v>1</v>
      </c>
      <c r="AA67" s="194"/>
      <c r="AB67" s="194">
        <f t="array" ref="AB67">SQRT((AB4:AC4*$B$19:$C$19)/($B$4:$C$4*$B$19:$C$19)*(AB4:AC4*AB19:AC19)/($B$4:$C$4*AB19:AC19))</f>
        <v>1</v>
      </c>
      <c r="AC67" s="194"/>
      <c r="AD67" s="194">
        <f t="array" ref="AD67">SQRT((AD4:AE4*$B$19:$C$19)/($B$4:$C$4*$B$19:$C$19)*(AD4:AE4*AD19:AE19)/($B$4:$C$4*AD19:AE19))</f>
        <v>1</v>
      </c>
      <c r="AE67" s="194"/>
      <c r="AF67" s="194">
        <f t="array" ref="AF67">SQRT((AF4:AG4*$B$19:$C$19)/($B$4:$C$4*$B$19:$C$19)*(AF4:AG4*AF19:AG19)/($B$4:$C$4*AF19:AG19))</f>
        <v>1</v>
      </c>
      <c r="AG67" s="194"/>
      <c r="AH67" s="194">
        <f t="array" ref="AH67">SQRT((AH4:AI4*$B$19:$C$19)/($B$4:$C$4*$B$19:$C$19)*(AH4:AI4*AH19:AI19)/($B$4:$C$4*AH19:AI19))</f>
        <v>1</v>
      </c>
      <c r="AI67" s="194"/>
      <c r="AJ67" s="194">
        <f t="array" ref="AJ67">SQRT((AJ4:AK4*$B$19:$C$19)/($B$4:$C$4*$B$19:$C$19)*(AJ4:AK4*AJ19:AK19)/($B$4:$C$4*AJ19:AK19))</f>
        <v>1</v>
      </c>
      <c r="AK67" s="194"/>
      <c r="AL67" s="194">
        <f t="array" ref="AL67">SQRT((AL4:AM4*$B$19:$C$19)/($B$4:$C$4*$B$19:$C$19)*(AL4:AM4*AL19:AM19)/($B$4:$C$4*AL19:AM19))</f>
        <v>1</v>
      </c>
      <c r="AM67" s="194"/>
      <c r="AN67" s="194">
        <f t="array" ref="AN67">SQRT((AN4:AO4*$B$19:$C$19)/($B$4:$C$4*$B$19:$C$19)*(AN4:AO4*AN19:AO19)/($B$4:$C$4*AN19:AO19))</f>
        <v>1</v>
      </c>
      <c r="AO67" s="194"/>
      <c r="AP67" s="194">
        <f t="array" ref="AP67">SQRT((AP4:AQ4*$B$19:$C$19)/($B$4:$C$4*$B$19:$C$19)*(AP4:AQ4*AP19:AQ19)/($B$4:$C$4*AP19:AQ19))</f>
        <v>1</v>
      </c>
      <c r="AQ67" s="194"/>
      <c r="AR67" s="194">
        <f t="array" ref="AR67">SQRT((AR4:AS4*$B$19:$C$19)/($B$4:$C$4*$B$19:$C$19)*(AR4:AS4*AR19:AS19)/($B$4:$C$4*AR19:AS19))</f>
        <v>1</v>
      </c>
      <c r="AS67" s="194"/>
      <c r="AT67" s="194">
        <f t="array" ref="AT67">SQRT((AT4:AU4*$B$19:$C$19)/($B$4:$C$4*$B$19:$C$19)*(AT4:AU4*AT19:AU19)/($B$4:$C$4*AT19:AU19))</f>
        <v>1</v>
      </c>
      <c r="AU67" s="194"/>
      <c r="AV67" s="194" t="e">
        <f t="array" ref="AV67">SQRT((AV4:AW4*$B$19:$C$19)/($B$4:$C$4*$B$19:$C$19)*(AV4:AW4*AV19:AW19)/($B$4:$C$4*AV19:AW19))</f>
        <v>#DIV/0!</v>
      </c>
      <c r="XFD67" s="194"/>
    </row>
    <row r="68" spans="1:48 16384:16384" x14ac:dyDescent="0.2">
      <c r="A68" t="s">
        <v>184</v>
      </c>
      <c r="B68" s="194">
        <f>B66/B67</f>
        <v>1</v>
      </c>
      <c r="C68" s="194"/>
      <c r="D68" s="194">
        <f>D66/D67</f>
        <v>0.99908772873235907</v>
      </c>
      <c r="E68" s="194"/>
      <c r="F68" s="194">
        <f>F66/F67</f>
        <v>0.99850829776301531</v>
      </c>
      <c r="G68" s="194"/>
      <c r="H68" s="194">
        <f>H66/H67</f>
        <v>0.99834479455381386</v>
      </c>
      <c r="I68" s="194"/>
      <c r="J68" s="194">
        <f>J66/J67</f>
        <v>0.99870769955762984</v>
      </c>
      <c r="K68" s="194"/>
      <c r="L68" s="194">
        <f>L66/L67</f>
        <v>0.99974578589694418</v>
      </c>
      <c r="M68" s="194"/>
      <c r="N68" s="194">
        <f>N66/N67</f>
        <v>1.0016620893999071</v>
      </c>
      <c r="O68" s="194"/>
      <c r="P68" s="194">
        <f>P66/P67</f>
        <v>1.0047373759014309</v>
      </c>
      <c r="Q68" s="194"/>
      <c r="R68" s="194">
        <f>R66/R67</f>
        <v>1.0093653038573094</v>
      </c>
      <c r="S68" s="194"/>
      <c r="T68" s="194">
        <f>T66/T67</f>
        <v>1.016105534786838</v>
      </c>
      <c r="U68" s="194"/>
      <c r="V68" s="194">
        <f>V66/V67</f>
        <v>1.025765377074497</v>
      </c>
      <c r="W68" s="194"/>
      <c r="X68" s="194">
        <f>X66/X67</f>
        <v>1.0395281746971474</v>
      </c>
      <c r="Y68" s="194"/>
      <c r="Z68" s="194">
        <f>Z66/Z67</f>
        <v>1.0591621707080243</v>
      </c>
      <c r="AA68" s="194"/>
      <c r="AB68" s="194">
        <f>AB66/AB67</f>
        <v>1.0873811078554623</v>
      </c>
      <c r="AC68" s="194"/>
      <c r="AD68" s="194">
        <f>AD66/AD67</f>
        <v>1.1285143340767501</v>
      </c>
      <c r="AE68" s="194"/>
      <c r="AF68" s="194">
        <f>AF66/AF67</f>
        <v>1.1898892868043276</v>
      </c>
      <c r="AG68" s="194"/>
      <c r="AH68" s="194">
        <f>AH66/AH67</f>
        <v>1.2849857420344568</v>
      </c>
      <c r="AI68" s="194"/>
      <c r="AJ68" s="194">
        <f>AJ66/AJ67</f>
        <v>1.4411507080852359</v>
      </c>
      <c r="AK68" s="194"/>
      <c r="AL68" s="194">
        <f>AL66/AL67</f>
        <v>1.7215307169936078</v>
      </c>
      <c r="AM68" s="194"/>
      <c r="AN68" s="194">
        <f>AN66/AN67</f>
        <v>2.3393068595978153</v>
      </c>
      <c r="AO68" s="194"/>
      <c r="AP68" s="194">
        <f>AP66/AP67</f>
        <v>2.5719726458464263</v>
      </c>
      <c r="AQ68" s="194"/>
      <c r="AR68" s="194">
        <f>AR66/AR67</f>
        <v>2.8943794339954305</v>
      </c>
      <c r="AS68" s="194"/>
      <c r="AT68" s="194">
        <f>AT66/AT67</f>
        <v>3.3875802359565492</v>
      </c>
      <c r="AU68" s="194"/>
      <c r="AV68" s="194" t="e">
        <f>AV66/AV67</f>
        <v>#DIV/0!</v>
      </c>
      <c r="XFD68" s="194"/>
    </row>
    <row r="69" spans="1:48 16384:16384" x14ac:dyDescent="0.2">
      <c r="A69" t="s">
        <v>180</v>
      </c>
      <c r="B69" s="194">
        <f>B32/B65/($B$32)</f>
        <v>1</v>
      </c>
      <c r="C69" s="194"/>
      <c r="D69" s="194">
        <f>D32/D65/($B$32)</f>
        <v>0.99107782646245213</v>
      </c>
      <c r="E69" s="194"/>
      <c r="F69" s="194">
        <f>F32/F65/($B$32)</f>
        <v>0.98095110445212874</v>
      </c>
      <c r="G69" s="194"/>
      <c r="H69" s="194">
        <f>H32/H65/($B$32)</f>
        <v>0.96939404229877391</v>
      </c>
      <c r="I69" s="194"/>
      <c r="J69" s="194">
        <f>J32/J65/($B$32)</f>
        <v>0.95612910636073856</v>
      </c>
      <c r="K69" s="194"/>
      <c r="L69" s="194">
        <f>L32/L65/($B$32)</f>
        <v>0.94081532983646021</v>
      </c>
      <c r="M69" s="194"/>
      <c r="N69" s="194">
        <f>N32/N65/($B$32)</f>
        <v>0.92303578984577417</v>
      </c>
      <c r="O69" s="194"/>
      <c r="P69" s="194">
        <f>P32/P65/($B$32)</f>
        <v>0.90228618656557502</v>
      </c>
      <c r="Q69" s="194"/>
      <c r="R69" s="194">
        <f>R32/R65/($B$32)</f>
        <v>0.87796904464606074</v>
      </c>
      <c r="S69" s="194"/>
      <c r="T69" s="194">
        <f>T32/T65/($B$32)</f>
        <v>0.84940156225898267</v>
      </c>
      <c r="U69" s="194"/>
      <c r="V69" s="194">
        <f>V32/V65/($B$32)</f>
        <v>0.81584974851690306</v>
      </c>
      <c r="W69" s="194"/>
      <c r="X69" s="194">
        <f>X32/X65/($B$32)</f>
        <v>0.77660563552997719</v>
      </c>
      <c r="Y69" s="194"/>
      <c r="Z69" s="194">
        <f>Z32/Z65/($B$32)</f>
        <v>0.73111920017518683</v>
      </c>
      <c r="AA69" s="194"/>
      <c r="AB69" s="194">
        <f>AB32/AB65/($B$32)</f>
        <v>0.67917580474924966</v>
      </c>
      <c r="AC69" s="194"/>
      <c r="AD69" s="194">
        <f>AD32/AD65/($B$32)</f>
        <v>0.62105292447541627</v>
      </c>
      <c r="AE69" s="194"/>
      <c r="AF69" s="194">
        <f>AF32/AF65/($B$32)</f>
        <v>0.55750041557012153</v>
      </c>
      <c r="AG69" s="194"/>
      <c r="AH69" s="194">
        <f>AH32/AH65/($B$32)</f>
        <v>0.48926479932381933</v>
      </c>
      <c r="AI69" s="194"/>
      <c r="AJ69" s="194">
        <f>AJ32/AJ65/($B$32)</f>
        <v>0.41562064646194796</v>
      </c>
      <c r="AK69" s="194"/>
      <c r="AL69" s="194">
        <f>AL32/AL65/($B$32)</f>
        <v>0.32969774034309912</v>
      </c>
      <c r="AM69" s="194"/>
      <c r="AN69" s="194">
        <f>AN32/AN65/($B$32)</f>
        <v>0.19142394798656021</v>
      </c>
      <c r="AO69" s="194"/>
      <c r="AP69" s="194">
        <f>AP32/AP65/($B$32)</f>
        <v>0.13705619608180702</v>
      </c>
      <c r="AQ69" s="194"/>
      <c r="AR69" s="194" t="e">
        <f>AR32/AR65/($B$32)</f>
        <v>#NUM!</v>
      </c>
      <c r="AS69" s="194"/>
      <c r="AT69" s="194" t="e">
        <f>AT32/AT65/($B$32)</f>
        <v>#NUM!</v>
      </c>
      <c r="AU69" s="194"/>
      <c r="AV69" s="194" t="e">
        <f>AV32/AV65/($B$32)</f>
        <v>#DIV/0!</v>
      </c>
    </row>
    <row r="70" spans="1:48 16384:16384" x14ac:dyDescent="0.2">
      <c r="A70" t="s">
        <v>181</v>
      </c>
      <c r="B70" s="141">
        <f>B18/$B$18</f>
        <v>1</v>
      </c>
      <c r="C70" s="141"/>
      <c r="D70" s="141">
        <f>D18/$B$18</f>
        <v>0.9909997356039546</v>
      </c>
      <c r="E70" s="141"/>
      <c r="F70" s="141">
        <f>F18/$B$18</f>
        <v>0.98075382780959608</v>
      </c>
      <c r="G70" s="141"/>
      <c r="H70" s="141">
        <f>H18/$B$18</f>
        <v>0.96902858386371304</v>
      </c>
      <c r="I70" s="141"/>
      <c r="J70" s="141">
        <f>J18/$B$18</f>
        <v>0.95553715714055343</v>
      </c>
      <c r="K70" s="141"/>
      <c r="L70" s="141">
        <f>L18/$B$18</f>
        <v>0.93992774764845399</v>
      </c>
      <c r="M70" s="141"/>
      <c r="N70" s="141">
        <f>N18/$B$18</f>
        <v>0.92177107866814756</v>
      </c>
      <c r="O70" s="141"/>
      <c r="P70" s="141">
        <f>P18/$B$18</f>
        <v>0.90054929644264115</v>
      </c>
      <c r="Q70" s="141"/>
      <c r="R70" s="141">
        <f>R18/$B$18</f>
        <v>0.87565090433676096</v>
      </c>
      <c r="S70" s="141"/>
      <c r="T70" s="141">
        <f>T18/$B$18</f>
        <v>0.84638007086225375</v>
      </c>
      <c r="U70" s="141"/>
      <c r="V70" s="141">
        <f>V18/$B$18</f>
        <v>0.81199318741485749</v>
      </c>
      <c r="W70" s="141"/>
      <c r="X70" s="141">
        <f>X18/$B$18</f>
        <v>0.77177943185280362</v>
      </c>
      <c r="Y70" s="141"/>
      <c r="Z70" s="141">
        <f>Z18/$B$18</f>
        <v>0.72519668274079396</v>
      </c>
      <c r="AA70" s="141"/>
      <c r="AB70" s="141">
        <f>AB18/$B$18</f>
        <v>0.67205342001306967</v>
      </c>
      <c r="AC70" s="141"/>
      <c r="AD70" s="141">
        <f>AD18/$B$18</f>
        <v>0.61267235608300497</v>
      </c>
      <c r="AE70" s="141"/>
      <c r="AF70" s="141">
        <f>AF18/$B$18</f>
        <v>0.54789840326723793</v>
      </c>
      <c r="AG70" s="141"/>
      <c r="AH70" s="141">
        <f>AH18/$B$18</f>
        <v>0.47875873863660878</v>
      </c>
      <c r="AI70" s="141"/>
      <c r="AJ70" s="141">
        <f>AJ18/$B$18</f>
        <v>0.40562209575443703</v>
      </c>
      <c r="AK70" s="141"/>
      <c r="AL70" s="141">
        <f>AL18/$B$18</f>
        <v>0.32630419089398993</v>
      </c>
      <c r="AM70" s="141"/>
      <c r="AN70" s="141">
        <f>AN18/$B$18</f>
        <v>0.22880551480238118</v>
      </c>
      <c r="AO70" s="141"/>
      <c r="AP70" s="141">
        <f>AP18/$B$18</f>
        <v>0.20374918477153764</v>
      </c>
      <c r="AQ70" s="141"/>
      <c r="AR70" s="141">
        <f>AR18/$B$18</f>
        <v>0.17486446332840294</v>
      </c>
      <c r="AS70" s="141"/>
      <c r="AT70" s="141">
        <f>AT18/$B$18</f>
        <v>0.13992661781243287</v>
      </c>
      <c r="AU70" s="141"/>
      <c r="AV70" s="141">
        <f>AV18/$B$18</f>
        <v>0</v>
      </c>
    </row>
    <row r="71" spans="1:48 16384:16384" x14ac:dyDescent="0.2">
      <c r="A71" t="s">
        <v>182</v>
      </c>
      <c r="B71" s="141">
        <f>C18/$C$18</f>
        <v>1</v>
      </c>
      <c r="D71" s="141">
        <f>E18/$C$18</f>
        <v>0.91548684793460533</v>
      </c>
      <c r="E71" s="141"/>
      <c r="F71" s="141">
        <f>G18/$C$18</f>
        <v>0.83259723008600661</v>
      </c>
      <c r="G71" s="141"/>
      <c r="H71" s="141">
        <f>I18/$C$18</f>
        <v>0.75155599924365601</v>
      </c>
      <c r="I71" s="141"/>
      <c r="J71" s="141">
        <f>K18/$C$18</f>
        <v>0.67262365568664895</v>
      </c>
      <c r="K71" s="141"/>
      <c r="L71" s="141">
        <f>M18/$C$18</f>
        <v>0.59610040757386995</v>
      </c>
      <c r="M71" s="141"/>
      <c r="N71" s="141">
        <f>O18/$C$18</f>
        <v>0.52232732618377975</v>
      </c>
      <c r="O71" s="141"/>
      <c r="P71" s="141">
        <f>Q18/$C$18</f>
        <v>0.45168612065072206</v>
      </c>
      <c r="Q71" s="141"/>
      <c r="R71" s="141">
        <f>S18/$C$18</f>
        <v>0.38459052682834438</v>
      </c>
      <c r="S71" s="141"/>
      <c r="T71" s="141">
        <f>U18/$C$18</f>
        <v>0.32146882726327586</v>
      </c>
      <c r="U71" s="141"/>
      <c r="V71" s="141">
        <f>W18/$C$18</f>
        <v>0.26273521366380487</v>
      </c>
      <c r="W71" s="141"/>
      <c r="X71" s="141">
        <f>Y18/$C$18</f>
        <v>0.20874971947639387</v>
      </c>
      <c r="Y71" s="141"/>
      <c r="Z71" s="141">
        <f>AA18/$C$18</f>
        <v>0.15978659067469825</v>
      </c>
      <c r="AA71" s="141"/>
      <c r="AB71" s="141">
        <f>AC18/$C$18</f>
        <v>0.11604552839537663</v>
      </c>
      <c r="AC71" s="141"/>
      <c r="AD71" s="141">
        <f>AE18/$C$18</f>
        <v>7.7784630835867147E-2</v>
      </c>
      <c r="AE71" s="141"/>
      <c r="AF71" s="141">
        <f>AG18/$C$18</f>
        <v>4.5649472819003882E-2</v>
      </c>
      <c r="AG71" s="141"/>
      <c r="AH71" s="141">
        <f>AI18/$C$18</f>
        <v>2.1120495168103017E-2</v>
      </c>
      <c r="AI71" s="141"/>
      <c r="AJ71" s="141">
        <f>AK18/$C$18</f>
        <v>6.2314219837946343E-3</v>
      </c>
      <c r="AK71" s="141"/>
      <c r="AL71" s="141">
        <f>AM18/$C$18</f>
        <v>7.6590988025304304E-4</v>
      </c>
      <c r="AM71" s="141"/>
      <c r="AN71" s="141">
        <f>AO18/$C$18</f>
        <v>1.3359408892200715E-5</v>
      </c>
      <c r="AO71" s="141"/>
      <c r="AP71" s="141">
        <f>AQ18/$C$18</f>
        <v>3.5163944829402532E-6</v>
      </c>
      <c r="AQ71" s="141"/>
      <c r="AR71" s="141">
        <f>AS18/$C$18</f>
        <v>6.3304543651151672E-7</v>
      </c>
      <c r="AS71" s="141"/>
      <c r="AT71" s="141">
        <f>AU18/$C$18</f>
        <v>5.8269968845277532E-8</v>
      </c>
      <c r="AU71" s="141"/>
      <c r="AV71" s="141">
        <f>AW18/$C$18</f>
        <v>0</v>
      </c>
      <c r="XFD71" s="141"/>
    </row>
    <row r="72" spans="1:48 16384:16384" x14ac:dyDescent="0.2">
      <c r="A72" t="s">
        <v>183</v>
      </c>
      <c r="B72" s="141">
        <f>C19/$C$19</f>
        <v>1</v>
      </c>
      <c r="D72" s="141">
        <f>E19/$C$19</f>
        <v>1.0047026006415343</v>
      </c>
      <c r="E72" s="141"/>
      <c r="F72" s="141">
        <f>G19/$C$19</f>
        <v>1.0088127994029874</v>
      </c>
      <c r="G72" s="141"/>
      <c r="H72" s="141">
        <f>I19/$C$19</f>
        <v>1.0120145214966707</v>
      </c>
      <c r="I72" s="141"/>
      <c r="J72" s="141">
        <f>K19/$C$19</f>
        <v>1.0139058144885236</v>
      </c>
      <c r="K72" s="141"/>
      <c r="L72" s="141">
        <f>M19/$C$19</f>
        <v>1.0139805094889611</v>
      </c>
      <c r="M72" s="141"/>
      <c r="N72" s="141">
        <f>O19/$C$19</f>
        <v>1.0116090305213072</v>
      </c>
      <c r="O72" s="141"/>
      <c r="P72" s="141">
        <f>Q19/$C$19</f>
        <v>1.0060236469262995</v>
      </c>
      <c r="Q72" s="141"/>
      <c r="R72" s="141">
        <f>S19/$C$19</f>
        <v>0.99631289702605796</v>
      </c>
      <c r="S72" s="141"/>
      <c r="T72" s="141">
        <f>U19/$C$19</f>
        <v>0.98143710982879129</v>
      </c>
      <c r="U72" s="141"/>
      <c r="V72" s="141">
        <f>W19/$C$19</f>
        <v>0.96027772821511626</v>
      </c>
      <c r="W72" s="141"/>
      <c r="X72" s="141">
        <f>Y19/$C$19</f>
        <v>0.93172622877489886</v>
      </c>
      <c r="Y72" s="141"/>
      <c r="Z72" s="141">
        <f>AA19/$C$19</f>
        <v>0.89479295034497131</v>
      </c>
      <c r="AA72" s="141"/>
      <c r="AB72" s="141">
        <f>AC19/$C$19</f>
        <v>0.84864305723563171</v>
      </c>
      <c r="AC72" s="141"/>
      <c r="AD72" s="141">
        <f>AE19/$C$19</f>
        <v>0.79232536346563254</v>
      </c>
      <c r="AE72" s="141"/>
      <c r="AF72" s="141">
        <f>AG19/$C$19</f>
        <v>0.72375542881675237</v>
      </c>
      <c r="AG72" s="141"/>
      <c r="AH72" s="141">
        <f>AI19/$C$19</f>
        <v>0.63751085671253083</v>
      </c>
      <c r="AI72" s="141"/>
      <c r="AJ72" s="141">
        <f>AK19/$C$19</f>
        <v>0.5228217468238695</v>
      </c>
      <c r="AK72" s="141"/>
      <c r="AL72" s="141">
        <f>AM19/$C$19</f>
        <v>0.37014050624375472</v>
      </c>
      <c r="AM72" s="141"/>
      <c r="AN72" s="141">
        <f>AO19/$C$19</f>
        <v>0.18900124168317509</v>
      </c>
      <c r="AO72" s="141"/>
      <c r="AP72" s="141">
        <f>AQ19/$C$19</f>
        <v>0.15135766012453009</v>
      </c>
      <c r="AQ72" s="141"/>
      <c r="AR72" s="141">
        <f>AS19/$C$19</f>
        <v>0.11357756101405922</v>
      </c>
      <c r="AS72" s="141"/>
      <c r="AT72" s="141">
        <f>AU19/$C$19</f>
        <v>7.5734339401436729E-2</v>
      </c>
      <c r="AU72" s="141"/>
      <c r="AV72" s="141">
        <f>AW19/$C$19</f>
        <v>0</v>
      </c>
      <c r="XFD72" s="141"/>
    </row>
    <row r="73" spans="1:48 16384:16384" x14ac:dyDescent="0.2">
      <c r="A73" t="s">
        <v>187</v>
      </c>
      <c r="B73" s="196">
        <f t="array" ref="B73">SUM(B9:C9*B22:C22)/B32</f>
        <v>0.56706723273486048</v>
      </c>
      <c r="D73" s="196">
        <f t="array" ref="D73">SUM(D9:E9*D22:E22)/D32</f>
        <v>0.56567387795467683</v>
      </c>
      <c r="E73" s="141"/>
      <c r="F73" s="196">
        <f t="array" ref="F73">SUM(F9:G9*F22:G22)/F32</f>
        <v>0.56424607801327453</v>
      </c>
      <c r="G73" s="141"/>
      <c r="H73" s="196">
        <f t="array" ref="H73">SUM(H9:I9*H22:I22)/H32</f>
        <v>0.56277935377985233</v>
      </c>
      <c r="I73" s="141"/>
      <c r="J73" s="196">
        <f t="array" ref="J73">SUM(J9:K9*J22:K22)/J32</f>
        <v>0.56126838328009443</v>
      </c>
      <c r="K73" s="141"/>
      <c r="L73" s="196">
        <f t="array" ref="L73">SUM(L9:M9*L22:M22)/L32</f>
        <v>0.55970674909171969</v>
      </c>
      <c r="M73" s="141"/>
      <c r="N73" s="196">
        <f t="array" ref="N73">SUM(N9:O9*N22:O22)/N32</f>
        <v>0.55808658435398661</v>
      </c>
      <c r="O73" s="141"/>
      <c r="P73" s="196">
        <f t="array" ref="P73">SUM(P9:Q9*P22:Q22)/P32</f>
        <v>0.5563979221436286</v>
      </c>
      <c r="Q73" s="141"/>
      <c r="R73" s="196">
        <f t="array" ref="R73">SUM(R9:S9*R22:S22)/R32</f>
        <v>0.55462760036590142</v>
      </c>
      <c r="S73" s="141"/>
      <c r="T73" s="196">
        <f t="array" ref="T73">SUM(T9:U9*T22:U22)/T32</f>
        <v>0.55275714424728672</v>
      </c>
      <c r="U73" s="141"/>
      <c r="V73" s="196">
        <f t="array" ref="V73">SUM(V9:W9*V22:W22)/V32</f>
        <v>0.55075859098991187</v>
      </c>
      <c r="W73" s="141"/>
      <c r="X73" s="196">
        <f t="array" ref="X73">SUM(X9:Y9*X22:Y22)/X32</f>
        <v>0.54858620097126598</v>
      </c>
      <c r="Y73" s="141"/>
      <c r="Z73" s="196">
        <f t="array" ref="Z73">SUM(Z9:AA9*Z22:AA22)/Z32</f>
        <v>0.54615954819839629</v>
      </c>
      <c r="AA73" s="141"/>
      <c r="AB73" s="196">
        <f t="array" ref="AB73">SUM(AB9:AC9*AB22:AC22)/AB32</f>
        <v>0.54333123250150173</v>
      </c>
      <c r="AC73" s="141"/>
      <c r="AD73" s="196">
        <f t="array" ref="AD73">SUM(AD9:AE9*AD22:AE22)/AD32</f>
        <v>0.53982273804979808</v>
      </c>
      <c r="AE73" s="141"/>
      <c r="AF73" s="196">
        <f t="array" ref="AF73">SUM(AF9:AG9*AF22:AG22)/AF32</f>
        <v>0.53510181176332594</v>
      </c>
      <c r="AG73" s="141"/>
      <c r="AH73" s="196">
        <f t="array" ref="AH73">SUM(AH9:AI9*AH22:AI22)/AH32</f>
        <v>0.52815047919772862</v>
      </c>
      <c r="AI73" s="141"/>
      <c r="AJ73" s="196">
        <f t="array" ref="AJ73">SUM(AJ9:AK9*AJ22:AK22)/AJ32</f>
        <v>0.51707919314614315</v>
      </c>
      <c r="AK73" s="141"/>
      <c r="AL73" s="196">
        <f t="array" ref="AL73">SUM(AL9:AM9*AL22:AM22)/AL32</f>
        <v>0.49856129135510635</v>
      </c>
      <c r="AM73" s="141"/>
      <c r="AN73" s="196">
        <f t="array" ref="AN73">SUM(AN9:AO9*AN22:AO22)/AN32</f>
        <v>0.46428429916845415</v>
      </c>
      <c r="AO73" s="141"/>
      <c r="AP73" s="196">
        <f t="array" ref="AP73">SUM(AP9:AQ9*AP22:AQ22)/AP32</f>
        <v>0.45301269358404411</v>
      </c>
      <c r="AQ73" s="141"/>
      <c r="AR73" s="196">
        <f t="array" ref="AR73">SUM(AR9:AS9*AR22:AS22)/AR32</f>
        <v>0.43834733087974748</v>
      </c>
      <c r="AS73" s="141"/>
      <c r="AT73" s="196">
        <f t="array" ref="AT73">SUM(AT9:AU9*AT22:AU22)/AT32</f>
        <v>0.41745496646336283</v>
      </c>
      <c r="AU73" s="141"/>
      <c r="AV73" s="196" t="e">
        <f t="array" ref="AV73">SUM(AV9:AW9*AV22:AW22)/AV32</f>
        <v>#DIV/0!</v>
      </c>
      <c r="XFD73" s="196"/>
    </row>
    <row r="74" spans="1:48 16384:16384" x14ac:dyDescent="0.2">
      <c r="A74" t="s">
        <v>188</v>
      </c>
      <c r="B74" s="196">
        <f t="array" ref="B74">SUM(B10:C10*B23:C23)/B32</f>
        <v>0.21672767296897655</v>
      </c>
      <c r="D74" s="196">
        <f t="array" ref="D74">SUM(D10:E10*D23:E23)/D32</f>
        <v>0.21672767296897655</v>
      </c>
      <c r="E74" s="141"/>
      <c r="F74" s="196">
        <f t="array" ref="F74">SUM(F10:G10*F23:G23)/F32</f>
        <v>0.21672767296897658</v>
      </c>
      <c r="G74" s="141"/>
      <c r="H74" s="196">
        <f t="array" ref="H74">SUM(H10:I10*H23:I23)/H32</f>
        <v>0.21672767296897655</v>
      </c>
      <c r="I74" s="141"/>
      <c r="J74" s="196">
        <f t="array" ref="J74">SUM(J10:K10*J23:K23)/J32</f>
        <v>0.21672767296897658</v>
      </c>
      <c r="K74" s="141"/>
      <c r="L74" s="196">
        <f t="array" ref="L74">SUM(L10:M10*L23:M23)/L32</f>
        <v>0.21672767296897655</v>
      </c>
      <c r="M74" s="141"/>
      <c r="N74" s="196">
        <f t="array" ref="N74">SUM(N10:O10*N23:O23)/N32</f>
        <v>0.21672767296897655</v>
      </c>
      <c r="O74" s="141"/>
      <c r="P74" s="196">
        <f t="array" ref="P74">SUM(P10:Q10*P23:Q23)/P32</f>
        <v>0.21672767296897655</v>
      </c>
      <c r="Q74" s="141"/>
      <c r="R74" s="196">
        <f t="array" ref="R74">SUM(R10:S10*R23:S23)/R32</f>
        <v>0.21672767296897652</v>
      </c>
      <c r="S74" s="141"/>
      <c r="T74" s="196">
        <f t="array" ref="T74">SUM(T10:U10*T23:U23)/T32</f>
        <v>0.21672767296897655</v>
      </c>
      <c r="U74" s="141"/>
      <c r="V74" s="196">
        <f t="array" ref="V74">SUM(V10:W10*V23:W23)/V32</f>
        <v>0.21672767296897655</v>
      </c>
      <c r="W74" s="141"/>
      <c r="X74" s="196">
        <f t="array" ref="X74">SUM(X10:Y10*X23:Y23)/X32</f>
        <v>0.21672767296897655</v>
      </c>
      <c r="Y74" s="141"/>
      <c r="Z74" s="196">
        <f t="array" ref="Z74">SUM(Z10:AA10*Z23:AA23)/Z32</f>
        <v>0.21672767296897655</v>
      </c>
      <c r="AA74" s="141"/>
      <c r="AB74" s="196">
        <f t="array" ref="AB74">SUM(AB10:AC10*AB23:AC23)/AB32</f>
        <v>0.21672767296897655</v>
      </c>
      <c r="AC74" s="141"/>
      <c r="AD74" s="196">
        <f t="array" ref="AD74">SUM(AD10:AE10*AD23:AE23)/AD32</f>
        <v>0.21672767296897655</v>
      </c>
      <c r="AE74" s="141"/>
      <c r="AF74" s="196">
        <f t="array" ref="AF74">SUM(AF10:AG10*AF23:AG23)/AF32</f>
        <v>0.21672767296897655</v>
      </c>
      <c r="AG74" s="141"/>
      <c r="AH74" s="196">
        <f t="array" ref="AH74">SUM(AH10:AI10*AH23:AI23)/AH32</f>
        <v>0.21672767296897655</v>
      </c>
      <c r="AI74" s="141"/>
      <c r="AJ74" s="196">
        <f t="array" ref="AJ74">SUM(AJ10:AK10*AJ23:AK23)/AJ32</f>
        <v>0.21672767296897658</v>
      </c>
      <c r="AK74" s="141"/>
      <c r="AL74" s="196">
        <f t="array" ref="AL74">SUM(AL10:AM10*AL23:AM23)/AL32</f>
        <v>0.21672767296897655</v>
      </c>
      <c r="AM74" s="141"/>
      <c r="AN74" s="196">
        <f t="array" ref="AN74">SUM(AN10:AO10*AN23:AO23)/AN32</f>
        <v>0.21672767296897655</v>
      </c>
      <c r="AO74" s="141"/>
      <c r="AP74" s="196">
        <f t="array" ref="AP74">SUM(AP10:AQ10*AP23:AQ23)/AP32</f>
        <v>0.21672767296897655</v>
      </c>
      <c r="AQ74" s="141"/>
      <c r="AR74" s="196">
        <f t="array" ref="AR74">SUM(AR10:AS10*AR23:AS23)/AR32</f>
        <v>0.21672767296897658</v>
      </c>
      <c r="AS74" s="141"/>
      <c r="AT74" s="196">
        <f t="array" ref="AT74">SUM(AT10:AU10*AT23:AU23)/AT32</f>
        <v>0.21672767296897655</v>
      </c>
      <c r="AU74" s="141"/>
      <c r="AV74" s="196" t="e">
        <f t="array" ref="AV74">SUM(AV10:AW10*AV23:AW23)/AV32</f>
        <v>#DIV/0!</v>
      </c>
      <c r="XFD74" s="196"/>
    </row>
    <row r="75" spans="1:48 16384:16384" x14ac:dyDescent="0.2">
      <c r="A75" t="s">
        <v>189</v>
      </c>
      <c r="B75" s="196">
        <f t="array" ref="B75">SUM(B11:C11*B24:C24)/B32</f>
        <v>0.20445380142857192</v>
      </c>
      <c r="D75" s="196">
        <f t="array" ref="D75">SUM(D11:E11*D24:E24)/D32</f>
        <v>0.20628587344808247</v>
      </c>
      <c r="E75" s="141"/>
      <c r="F75" s="196">
        <f t="array" ref="F75">SUM(F11:G11*F24:G24)/F32</f>
        <v>0.20840990045152458</v>
      </c>
      <c r="G75" s="141"/>
      <c r="H75" s="196">
        <f t="array" ref="H75">SUM(H11:I11*H24:I24)/H32</f>
        <v>0.21089296536856028</v>
      </c>
      <c r="I75" s="141"/>
      <c r="J75" s="196">
        <f t="array" ref="J75">SUM(J11:K11*J24:K24)/J32</f>
        <v>0.21382238934333908</v>
      </c>
      <c r="K75" s="141"/>
      <c r="L75" s="196">
        <f t="array" ref="L75">SUM(L11:M11*L24:M24)/L32</f>
        <v>0.21731306849610582</v>
      </c>
      <c r="M75" s="141"/>
      <c r="N75" s="196">
        <f t="array" ref="N75">SUM(N11:O11*N24:O24)/N32</f>
        <v>0.22151772782232618</v>
      </c>
      <c r="O75" s="141"/>
      <c r="P75" s="196">
        <f t="array" ref="P75">SUM(P11:Q11*P24:Q24)/P32</f>
        <v>0.22664125313391895</v>
      </c>
      <c r="Q75" s="141"/>
      <c r="R75" s="196">
        <f t="array" ref="R75">SUM(R11:S11*R24:S24)/R32</f>
        <v>0.2329605088049892</v>
      </c>
      <c r="S75" s="141"/>
      <c r="T75" s="196">
        <f t="array" ref="T75">SUM(T11:U11*T24:U24)/T32</f>
        <v>0.24085128403490705</v>
      </c>
      <c r="U75" s="141"/>
      <c r="V75" s="196">
        <f t="array" ref="V75">SUM(V11:W11*V24:W24)/V32</f>
        <v>0.25082390735708965</v>
      </c>
      <c r="W75" s="141"/>
      <c r="X75" s="196">
        <f t="array" ref="X75">SUM(X11:Y11*X24:Y24)/X32</f>
        <v>0.26356802132163432</v>
      </c>
      <c r="Y75" s="141"/>
      <c r="Z75" s="196">
        <f t="array" ref="Z75">SUM(Z11:AA11*Z24:AA24)/Z32</f>
        <v>0.28000541272289942</v>
      </c>
      <c r="AA75" s="141"/>
      <c r="AB75" s="196">
        <f t="array" ref="AB75">SUM(AB11:AC11*AB24:AC24)/AB32</f>
        <v>0.301346737918881</v>
      </c>
      <c r="AC75" s="141"/>
      <c r="AD75" s="196">
        <f t="array" ref="AD75">SUM(AD11:AE11*AD24:AE24)/AD32</f>
        <v>0.32915020386736721</v>
      </c>
      <c r="AE75" s="141"/>
      <c r="AF75" s="196">
        <f t="array" ref="AF75">SUM(AF11:AG11*AF24:AG24)/AF32</f>
        <v>0.3654027947570766</v>
      </c>
      <c r="AG75" s="141"/>
      <c r="AH75" s="196">
        <f t="array" ref="AH75">SUM(AH11:AI11*AH24:AI24)/AH32</f>
        <v>0.41274523860992585</v>
      </c>
      <c r="AI75" s="141"/>
      <c r="AJ75" s="196">
        <f t="array" ref="AJ75">SUM(AJ11:AK11*AJ24:AK24)/AJ32</f>
        <v>0.475361103946495</v>
      </c>
      <c r="AK75" s="141"/>
      <c r="AL75" s="196">
        <f t="array" ref="AL75">SUM(AL11:AM11*AL24:AM24)/AL32</f>
        <v>0.56348054338505138</v>
      </c>
      <c r="AM75" s="141"/>
      <c r="AN75" s="196">
        <f t="array" ref="AN75">SUM(AN11:AO11*AN24:AO24)/AN32</f>
        <v>0.72329628609778596</v>
      </c>
      <c r="AO75" s="141"/>
      <c r="AP75" s="196">
        <f t="array" ref="AP75">SUM(AP11:AQ11*AP24:AQ24)/AP32</f>
        <v>0.78079479950160802</v>
      </c>
      <c r="AQ75" s="141"/>
      <c r="AR75" s="196">
        <f t="array" ref="AR75">SUM(AR11:AS11*AR24:AS24)/AR32</f>
        <v>0.86098889389249977</v>
      </c>
      <c r="AS75" s="141"/>
      <c r="AT75" s="196">
        <f t="array" ref="AT75">SUM(AT11:AU11*AT24:AU24)/AT32</f>
        <v>0.98723705714168142</v>
      </c>
      <c r="AU75" s="141"/>
      <c r="AV75" s="196" t="e">
        <f t="array" ref="AV75">SUM(AV11:AW11*AV24:AW24)/AV32</f>
        <v>#DIV/0!</v>
      </c>
      <c r="XFD75" s="196"/>
    </row>
    <row r="76" spans="1:48 16384:16384" x14ac:dyDescent="0.2">
      <c r="A76" t="s">
        <v>190</v>
      </c>
      <c r="B76" s="196">
        <f t="array" ref="B76">SUM(B12:C12*B25:C25)/B32</f>
        <v>0.20231859885161138</v>
      </c>
      <c r="D76" s="196">
        <f t="array" ref="D76">SUM(D12:E12*D25:E25)/D32</f>
        <v>0.20222682054154212</v>
      </c>
      <c r="E76" s="141"/>
      <c r="F76" s="196">
        <f t="array" ref="F76">SUM(F12:G12*F25:G25)/F32</f>
        <v>0.20196844613577358</v>
      </c>
      <c r="G76" s="141"/>
      <c r="H76" s="196">
        <f t="array" ref="H76">SUM(H12:I12*H25:I25)/H32</f>
        <v>0.20149422323805741</v>
      </c>
      <c r="I76" s="141"/>
      <c r="J76" s="196">
        <f t="array" ref="J76">SUM(J12:K12*J25:K25)/J32</f>
        <v>0.20073943673260639</v>
      </c>
      <c r="K76" s="141"/>
      <c r="L76" s="196">
        <f t="array" ref="L76">SUM(L12:M12*L25:M25)/L32</f>
        <v>0.19961854380733149</v>
      </c>
      <c r="M76" s="141"/>
      <c r="N76" s="196">
        <f t="array" ref="N76">SUM(N12:O12*N25:O25)/N32</f>
        <v>0.19801785534363658</v>
      </c>
      <c r="O76" s="141"/>
      <c r="P76" s="196">
        <f t="array" ref="P76">SUM(P12:Q12*P25:Q25)/P32</f>
        <v>0.19578583269428784</v>
      </c>
      <c r="Q76" s="141"/>
      <c r="R76" s="196">
        <f t="array" ref="R76">SUM(R12:S12*R25:S25)/R32</f>
        <v>0.19272037743585885</v>
      </c>
      <c r="S76" s="141"/>
      <c r="T76" s="196">
        <f t="array" ref="T76">SUM(T12:U12*T25:U25)/T32</f>
        <v>0.18855312715883862</v>
      </c>
      <c r="U76" s="141"/>
      <c r="V76" s="196">
        <f t="array" ref="V76">SUM(V12:W12*V25:W25)/V32</f>
        <v>0.1829317146485821</v>
      </c>
      <c r="W76" s="141"/>
      <c r="X76" s="196">
        <f t="array" ref="X76">SUM(X12:Y12*X25:Y25)/X32</f>
        <v>0.17540338052965612</v>
      </c>
      <c r="Y76" s="141"/>
      <c r="Z76" s="196">
        <f t="array" ref="Z76">SUM(Z12:AA12*Z25:AA25)/Z32</f>
        <v>0.16540816652288293</v>
      </c>
      <c r="AA76" s="141"/>
      <c r="AB76" s="196">
        <f t="array" ref="AB76">SUM(AB12:AC12*AB25:AC25)/AB32</f>
        <v>0.15229695949220928</v>
      </c>
      <c r="AC76" s="141"/>
      <c r="AD76" s="196">
        <f t="array" ref="AD76">SUM(AD12:AE12*AD25:AE25)/AD32</f>
        <v>0.13540304541467946</v>
      </c>
      <c r="AE76" s="141"/>
      <c r="AF76" s="196">
        <f t="array" ref="AF76">SUM(AF12:AG12*AF25:AG25)/AF32</f>
        <v>0.11421191521935001</v>
      </c>
      <c r="AG76" s="141"/>
      <c r="AH76" s="196">
        <f t="array" ref="AH76">SUM(AH12:AI12*AH25:AI25)/AH32</f>
        <v>8.871900970950343E-2</v>
      </c>
      <c r="AI76" s="141"/>
      <c r="AJ76" s="196">
        <f t="array" ref="AJ76">SUM(AJ12:AK12*AJ25:AK25)/AJ32</f>
        <v>6.0179180926635809E-2</v>
      </c>
      <c r="AK76" s="141"/>
      <c r="AL76" s="196">
        <f t="array" ref="AL76">SUM(AL12:AM12*AL25:AM25)/AL32</f>
        <v>3.2198088371921563E-2</v>
      </c>
      <c r="AM76" s="141"/>
      <c r="AN76" s="196">
        <f t="array" ref="AN76">SUM(AN12:AO12*AN25:AO25)/AN32</f>
        <v>1.0259716606494622E-2</v>
      </c>
      <c r="AO76" s="141"/>
      <c r="AP76" s="196">
        <f t="array" ref="AP76">SUM(AP12:AQ12*AP25:AQ25)/AP32</f>
        <v>7.067952526421414E-3</v>
      </c>
      <c r="AQ76" s="141"/>
      <c r="AR76" s="196">
        <f t="array" ref="AR76">SUM(AR12:AS12*AR25:AS25)/AR32</f>
        <v>4.3748471527619475E-3</v>
      </c>
      <c r="AS76" s="141"/>
      <c r="AT76" s="196">
        <f t="array" ref="AT76">SUM(AT12:AU12*AT25:AU25)/AT32</f>
        <v>2.2350798959578791E-3</v>
      </c>
      <c r="AU76" s="141"/>
      <c r="AV76" s="196" t="e">
        <f t="array" ref="AV76">SUM(AV12:AW12*AV25:AW25)/AV32</f>
        <v>#DIV/0!</v>
      </c>
      <c r="XFD76" s="196"/>
    </row>
    <row r="77" spans="1:48 16384:16384" x14ac:dyDescent="0.2">
      <c r="A77" t="s">
        <v>191</v>
      </c>
      <c r="B77" s="196">
        <f t="array" ref="B77">SUM(B4:C4*B19:C19)/B32</f>
        <v>0.19056730598402033</v>
      </c>
      <c r="D77" s="196">
        <f t="array" ref="D77">SUM(D4:E4*D19:E19)/D32</f>
        <v>0.19091424491327805</v>
      </c>
      <c r="E77" s="141"/>
      <c r="F77" s="196">
        <f t="array" ref="F77">SUM(F4:G4*F19:G19)/F32</f>
        <v>0.19135209756954955</v>
      </c>
      <c r="G77" s="141"/>
      <c r="H77" s="196">
        <f t="array" ref="H77">SUM(H4:I4*H19:I19)/H32</f>
        <v>0.19189421535544668</v>
      </c>
      <c r="I77" s="141"/>
      <c r="J77" s="196">
        <f t="array" ref="J77">SUM(J4:K4*J19:K19)/J32</f>
        <v>0.19255788232501669</v>
      </c>
      <c r="K77" s="141"/>
      <c r="L77" s="196">
        <f t="array" ref="L77">SUM(L4:M4*L19:M19)/L32</f>
        <v>0.19336603436413369</v>
      </c>
      <c r="M77" s="141"/>
      <c r="N77" s="196">
        <f t="array" ref="N77">SUM(N4:O4*N19:O19)/N32</f>
        <v>0.19434984048892595</v>
      </c>
      <c r="O77" s="141"/>
      <c r="P77" s="196">
        <f t="array" ref="P77">SUM(P4:Q4*P19:Q19)/P32</f>
        <v>0.19555268094081188</v>
      </c>
      <c r="Q77" s="141"/>
      <c r="R77" s="196">
        <f t="array" ref="R77">SUM(R4:S4*R19:S19)/R32</f>
        <v>0.19703615957572621</v>
      </c>
      <c r="S77" s="141"/>
      <c r="T77" s="196">
        <f t="array" ref="T77">SUM(T4:U4*T19:U19)/T32</f>
        <v>0.19888922841000897</v>
      </c>
      <c r="U77" s="141"/>
      <c r="V77" s="196">
        <f t="array" ref="V77">SUM(V4:W4*V19:W19)/V32</f>
        <v>0.20124188596456022</v>
      </c>
      <c r="W77" s="141"/>
      <c r="X77" s="196">
        <f t="array" ref="X77">SUM(X4:Y4*X19:Y19)/X32</f>
        <v>0.20428527579153302</v>
      </c>
      <c r="Y77" s="141"/>
      <c r="Z77" s="196">
        <f t="array" ref="Z77">SUM(Z4:AA4*Z19:AA19)/Z32</f>
        <v>0.20830080041315518</v>
      </c>
      <c r="AA77" s="141"/>
      <c r="AB77" s="196">
        <f t="array" ref="AB77">SUM(AB4:AC4*AB19:AC19)/AB32</f>
        <v>0.21370260288156864</v>
      </c>
      <c r="AC77" s="141"/>
      <c r="AD77" s="196">
        <f t="array" ref="AD77">SUM(AD4:AE4*AD19:AE19)/AD32</f>
        <v>0.2211036603008214</v>
      </c>
      <c r="AE77" s="141"/>
      <c r="AF77" s="196">
        <f t="array" ref="AF77">SUM(AF4:AG4*AF19:AG19)/AF32</f>
        <v>0.23144419470872921</v>
      </c>
      <c r="AG77" s="141"/>
      <c r="AH77" s="196">
        <f t="array" ref="AH77">SUM(AH4:AI4*AH19:AI19)/AH32</f>
        <v>0.24634240048613454</v>
      </c>
      <c r="AI77" s="141"/>
      <c r="AJ77" s="196">
        <f t="array" ref="AJ77">SUM(AJ4:AK4*AJ19:AK19)/AJ32</f>
        <v>0.26934715098825046</v>
      </c>
      <c r="AK77" s="141"/>
      <c r="AL77" s="196">
        <f t="array" ref="AL77">SUM(AL4:AM4*AL19:AM19)/AL32</f>
        <v>0.3109675960810559</v>
      </c>
      <c r="AM77" s="141"/>
      <c r="AN77" s="196">
        <f t="array" ref="AN77">SUM(AN4:AO4*AN19:AO19)/AN32</f>
        <v>0.41456797484171154</v>
      </c>
      <c r="AO77" s="141"/>
      <c r="AP77" s="196">
        <f t="array" ref="AP77">SUM(AP4:AQ4*AP19:AQ19)/AP32</f>
        <v>0.45760311858105024</v>
      </c>
      <c r="AQ77" s="141"/>
      <c r="AR77" s="196">
        <f t="array" ref="AR77">SUM(AR4:AS4*AR19:AS19)/AR32</f>
        <v>0.52043874489398578</v>
      </c>
      <c r="AS77" s="141"/>
      <c r="AT77" s="196">
        <f t="array" ref="AT77">SUM(AT4:AU4*AT19:AU19)/AT32</f>
        <v>0.62365477646997891</v>
      </c>
      <c r="AU77" s="141"/>
      <c r="AV77" s="196" t="e">
        <f t="array" ref="AV77">SUM(AV4:AW4*AV19:AW19)/AV32</f>
        <v>#DIV/0!</v>
      </c>
      <c r="XFD77" s="196"/>
    </row>
    <row r="78" spans="1:48 16384:16384" x14ac:dyDescent="0.2">
      <c r="A78" t="s">
        <v>192</v>
      </c>
      <c r="B78" s="196">
        <f t="array" ref="B78">SUM(B13:C13*B26:C26)/B32</f>
        <v>0.27666372811889955</v>
      </c>
      <c r="D78" s="196">
        <f t="array" ref="D78">SUM(D13:E13*D26:E26)/D32</f>
        <v>0.27575328964728918</v>
      </c>
      <c r="E78" s="141"/>
      <c r="F78" s="196">
        <f t="array" ref="F78">SUM(F13:G13*F26:G26)/F32</f>
        <v>0.27478914374038133</v>
      </c>
      <c r="G78" s="141"/>
      <c r="H78" s="196">
        <f t="array" ref="H78">SUM(H13:I13*H26:I26)/H32</f>
        <v>0.27376513974615668</v>
      </c>
      <c r="I78" s="141"/>
      <c r="J78" s="196">
        <f t="array" ref="J78">SUM(J13:K13*J26:K26)/J32</f>
        <v>0.27267440095281309</v>
      </c>
      <c r="K78" s="141"/>
      <c r="L78" s="196">
        <f t="array" ref="L78">SUM(L13:M13*L26:M26)/L32</f>
        <v>0.27150932014587231</v>
      </c>
      <c r="M78" s="141"/>
      <c r="N78" s="196">
        <f t="array" ref="N78">SUM(N13:O13*N26:O26)/N32</f>
        <v>0.27026161377544594</v>
      </c>
      <c r="O78" s="141"/>
      <c r="P78" s="196">
        <f t="array" ref="P78">SUM(P13:Q13*P26:Q26)/P32</f>
        <v>0.26892246858446417</v>
      </c>
      <c r="Q78" s="141"/>
      <c r="R78" s="196">
        <f t="array" ref="R78">SUM(R13:S13*R26:S26)/R32</f>
        <v>0.26748277412140514</v>
      </c>
      <c r="S78" s="141"/>
      <c r="T78" s="196">
        <f t="array" ref="T78">SUM(T13:U13*T26:U26)/T32</f>
        <v>0.26593337744103512</v>
      </c>
      <c r="U78" s="141"/>
      <c r="V78" s="196">
        <f t="array" ref="V78">SUM(V13:W13*V26:W26)/V32</f>
        <v>0.26426509912745949</v>
      </c>
      <c r="W78" s="141"/>
      <c r="X78" s="196">
        <f t="array" ref="X78">SUM(X13:Y13*X26:Y26)/X32</f>
        <v>0.26246781643080641</v>
      </c>
      <c r="Y78" s="141"/>
      <c r="Z78" s="196">
        <f t="array" ref="Z78">SUM(Z13:AA13*Z26:AA26)/Z32</f>
        <v>0.26052711939980699</v>
      </c>
      <c r="AA78" s="141"/>
      <c r="AB78" s="196">
        <f t="array" ref="AB78">SUM(AB13:AC13*AB26:AC26)/AB32</f>
        <v>0.25841588179452168</v>
      </c>
      <c r="AC78" s="141"/>
      <c r="AD78" s="196">
        <f t="array" ref="AD78">SUM(AD13:AE13*AD26:AE26)/AD32</f>
        <v>0.25607567909582202</v>
      </c>
      <c r="AE78" s="141"/>
      <c r="AF78" s="196">
        <f t="array" ref="AF78">SUM(AF13:AG13*AF26:AG26)/AF32</f>
        <v>0.25338085594334125</v>
      </c>
      <c r="AG78" s="141"/>
      <c r="AH78" s="196">
        <f t="array" ref="AH78">SUM(AH13:AI13*AH26:AI26)/AH32</f>
        <v>0.25007958683674164</v>
      </c>
      <c r="AI78" s="141"/>
      <c r="AJ78" s="196">
        <f t="array" ref="AJ78">SUM(AJ13:AK13*AJ26:AK26)/AJ32</f>
        <v>0.24574740600856931</v>
      </c>
      <c r="AK78" s="141"/>
      <c r="AL78" s="196">
        <f t="array" ref="AL78">SUM(AL13:AM13*AL26:AM26)/AL32</f>
        <v>0.23992992603690227</v>
      </c>
      <c r="AM78" s="141"/>
      <c r="AN78" s="196">
        <f t="array" ref="AN78">SUM(AN13:AO13*AN26:AO26)/AN32</f>
        <v>0.23246514064651777</v>
      </c>
      <c r="AO78" s="141"/>
      <c r="AP78" s="196">
        <f t="array" ref="AP78">SUM(AP13:AQ13*AP26:AQ26)/AP32</f>
        <v>0.23077019438958235</v>
      </c>
      <c r="AQ78" s="141"/>
      <c r="AR78" s="196">
        <f t="array" ref="AR78">SUM(AR13:AS13*AR26:AS26)/AR32</f>
        <v>0.22900116217582067</v>
      </c>
      <c r="AS78" s="141"/>
      <c r="AT78" s="196">
        <f t="array" ref="AT78">SUM(AT13:AU13*AT26:AU26)/AT32</f>
        <v>0.22712525051658655</v>
      </c>
      <c r="AU78" s="141"/>
      <c r="AV78" s="196" t="e">
        <f t="array" ref="AV78">SUM(AV13:AW13*AV26:AW26)/AV32</f>
        <v>#DIV/0!</v>
      </c>
      <c r="XFD78" s="196"/>
    </row>
    <row r="79" spans="1:48 16384:16384" x14ac:dyDescent="0.2">
      <c r="A79" t="s">
        <v>193</v>
      </c>
      <c r="B79" s="196">
        <f t="array" ref="B79">SUM(B15:C15*B27:C27)/B32</f>
        <v>0.42990307543833983</v>
      </c>
      <c r="D79" s="196">
        <f t="array" ref="D79">SUM(D15:E15*D27:E27)/D32</f>
        <v>0.42907738938511308</v>
      </c>
      <c r="F79" s="196">
        <f t="array" ref="F79">SUM(F15:G15*F27:G27)/F32</f>
        <v>0.42826249235831598</v>
      </c>
      <c r="H79" s="196">
        <f t="array" ref="H79">SUM(H15:I15*H27:I27)/H32</f>
        <v>0.42745895300702469</v>
      </c>
      <c r="J79" s="196">
        <f t="array" ref="J79">SUM(J15:K15*J27:K27)/J32</f>
        <v>0.42666701640788107</v>
      </c>
      <c r="L79" s="196">
        <f t="array" ref="L79">SUM(L15:M15*L27:M27)/L32</f>
        <v>0.42588630881468725</v>
      </c>
      <c r="N79" s="196">
        <f t="array" ref="N79">SUM(N15:O15*N27:O27)/N32</f>
        <v>0.42511528802923149</v>
      </c>
      <c r="P79" s="196">
        <f t="array" ref="P79">SUM(P15:Q15*P27:Q27)/P32</f>
        <v>0.42435035865239296</v>
      </c>
      <c r="R79" s="196">
        <f t="array" ref="R79">SUM(R15:S15*R27:S27)/R32</f>
        <v>0.42358423076456669</v>
      </c>
      <c r="T79" s="196">
        <f t="array" ref="T79">SUM(T15:U15*T27:U27)/T32</f>
        <v>0.42280302779537421</v>
      </c>
      <c r="V79" s="196">
        <f t="array" ref="V79">SUM(V15:W15*V27:W27)/V32</f>
        <v>0.42198110475379802</v>
      </c>
      <c r="X79" s="196">
        <f t="array" ref="X79">SUM(X15:Y15*X27:Y27)/X32</f>
        <v>0.42107153156010579</v>
      </c>
      <c r="Z79" s="196">
        <f t="array" ref="Z79">SUM(Z15:AA15*Z27:AA27)/Z32</f>
        <v>0.41998865770791566</v>
      </c>
      <c r="AB79" s="196">
        <f t="array" ref="AB79">SUM(AB15:AC15*AB27:AC27)/AB32</f>
        <v>0.41857581588397863</v>
      </c>
      <c r="AD79" s="196">
        <f t="array" ref="AD79">SUM(AD15:AE15*AD27:AE27)/AD32</f>
        <v>0.41654443279319364</v>
      </c>
      <c r="AF79" s="196">
        <f t="array" ref="AF79">SUM(AF15:AG15*AF27:AG27)/AF32</f>
        <v>0.41335697155202961</v>
      </c>
      <c r="AH79" s="196">
        <f t="array" ref="AH79">SUM(AH15:AI15*AH27:AI27)/AH32</f>
        <v>0.407996869672338</v>
      </c>
      <c r="AJ79" s="196">
        <f t="array" ref="AJ79">SUM(AJ15:AK15*AJ27:AK27)/AJ32</f>
        <v>0.39853420866101402</v>
      </c>
      <c r="AL79" s="196">
        <f t="array" ref="AL79">SUM(AL15:AM15*AL27:AM27)/AL32</f>
        <v>0.38127834969242347</v>
      </c>
      <c r="AN79" s="196">
        <f t="array" ref="AN79">SUM(AN15:AO15*AN27:AO27)/AN32</f>
        <v>0.34603394070951099</v>
      </c>
      <c r="AP79" s="196">
        <f t="array" ref="AP79">SUM(AP15:AQ15*AP27:AQ27)/AP32</f>
        <v>0.33368444590506507</v>
      </c>
      <c r="AR79" s="196">
        <f t="array" ref="AR79">SUM(AR15:AS15*AR27:AS27)/AR32</f>
        <v>0.31718040951167525</v>
      </c>
      <c r="AT79" s="196">
        <f t="array" ref="AT79">SUM(AT15:AU15*AT27:AU27)/AT32</f>
        <v>0.29302439708937328</v>
      </c>
      <c r="AV79" s="196" t="e">
        <f t="array" ref="AV79">SUM(AV15:AW15*AV27:AW27)/AV32</f>
        <v>#DIV/0!</v>
      </c>
      <c r="XFD79" s="196"/>
    </row>
    <row r="80" spans="1:48 16384:16384" x14ac:dyDescent="0.2">
      <c r="A80" t="s">
        <v>172</v>
      </c>
      <c r="B80" s="239">
        <f>B55</f>
        <v>0.29343319644276039</v>
      </c>
      <c r="D80" s="239">
        <f>D55</f>
        <v>0.29516931929595885</v>
      </c>
      <c r="F80" s="239">
        <f>F55</f>
        <v>0.29694836099024358</v>
      </c>
      <c r="H80" s="239">
        <f>H55</f>
        <v>0.29877590278267574</v>
      </c>
      <c r="J80" s="239">
        <f>J55</f>
        <v>0.30065857619931119</v>
      </c>
      <c r="L80" s="239">
        <f>L55</f>
        <v>0.30260437242814336</v>
      </c>
      <c r="N80" s="239">
        <f>N55</f>
        <v>0.30462310079078575</v>
      </c>
      <c r="P80" s="239">
        <f>P55</f>
        <v>0.30672717743111849</v>
      </c>
      <c r="R80" s="239">
        <f>R55</f>
        <v>0.30893300255248102</v>
      </c>
      <c r="T80" s="239">
        <f>T55</f>
        <v>0.311263593400254</v>
      </c>
      <c r="V80" s="239">
        <f>V55</f>
        <v>0.3137537947869396</v>
      </c>
      <c r="X80" s="239">
        <f>X55</f>
        <v>0.31646067993405069</v>
      </c>
      <c r="Z80" s="239">
        <f>Z55</f>
        <v>0.31948423197775411</v>
      </c>
      <c r="AB80" s="239">
        <f>AB55</f>
        <v>0.3230083045461864</v>
      </c>
      <c r="AD80" s="239">
        <f>AD55</f>
        <v>0.32737988880151642</v>
      </c>
      <c r="AF80" s="239">
        <f>AF55</f>
        <v>0.3332621740541391</v>
      </c>
      <c r="AH80" s="239">
        <f>AH55</f>
        <v>0.34192354458818047</v>
      </c>
      <c r="AJ80" s="239">
        <f>AJ55</f>
        <v>0.35571838622357138</v>
      </c>
      <c r="AL80" s="239">
        <f>AL55</f>
        <v>0.37879172516500853</v>
      </c>
      <c r="AN80" s="239">
        <f>AN55</f>
        <v>0.42150091868624701</v>
      </c>
      <c r="AP80" s="239">
        <f>AP55</f>
        <v>0.43554535970492414</v>
      </c>
      <c r="AR80" s="239">
        <f>AR55</f>
        <v>0.45381842831258273</v>
      </c>
      <c r="AT80" s="239">
        <f>AT55</f>
        <v>0.47985035245305435</v>
      </c>
      <c r="AV80" s="239" t="e">
        <f>AV55</f>
        <v>#DIV/0!</v>
      </c>
      <c r="XFD80" s="239"/>
    </row>
    <row r="81" spans="1:48 16384:16384" x14ac:dyDescent="0.2">
      <c r="A81" t="s">
        <v>194</v>
      </c>
      <c r="B81" s="239">
        <f>B51/B$32</f>
        <v>7.6705523473783829E-2</v>
      </c>
      <c r="D81" s="239">
        <f>D51/D$32</f>
        <v>7.8441646326982334E-2</v>
      </c>
      <c r="F81" s="239">
        <f>F51/F$32</f>
        <v>8.0220688021267E-2</v>
      </c>
      <c r="H81" s="239">
        <f>H51/H$32</f>
        <v>8.2048229813699192E-2</v>
      </c>
      <c r="J81" s="239">
        <f>J51/J$32</f>
        <v>8.3930903230334628E-2</v>
      </c>
      <c r="L81" s="239">
        <f>L51/L$32</f>
        <v>8.587669945916683E-2</v>
      </c>
      <c r="N81" s="239">
        <f>N51/N$32</f>
        <v>8.789542782180923E-2</v>
      </c>
      <c r="P81" s="239">
        <f>P51/P$32</f>
        <v>8.9999504462141944E-2</v>
      </c>
      <c r="R81" s="239">
        <f>R51/R$32</f>
        <v>9.2205329583504497E-2</v>
      </c>
      <c r="T81" s="239">
        <f>T51/T$32</f>
        <v>9.453592043127744E-2</v>
      </c>
      <c r="V81" s="239">
        <f>V51/V$32</f>
        <v>9.7026121817963037E-2</v>
      </c>
      <c r="X81" s="239">
        <f>X51/X$32</f>
        <v>9.9733006965074145E-2</v>
      </c>
      <c r="Z81" s="239">
        <f>Z51/Z$32</f>
        <v>0.10275655900877756</v>
      </c>
      <c r="AB81" s="239">
        <f>AB51/AB$32</f>
        <v>0.10628063157720985</v>
      </c>
      <c r="AD81" s="239">
        <f>AD51/AD$32</f>
        <v>0.11065221583253987</v>
      </c>
      <c r="AF81" s="239">
        <f>AF51/AF$32</f>
        <v>0.11653450108516257</v>
      </c>
      <c r="AH81" s="239">
        <f>AH51/AH$32</f>
        <v>0.1251958716192039</v>
      </c>
      <c r="AJ81" s="239">
        <f>AJ51/AJ$32</f>
        <v>0.13899071325459483</v>
      </c>
      <c r="AL81" s="239">
        <f>AL51/AL$32</f>
        <v>0.16206405219603195</v>
      </c>
      <c r="AN81" s="239">
        <f>AN51/AN$32</f>
        <v>0.20477324571727046</v>
      </c>
      <c r="AP81" s="239">
        <f>AP51/AP$32</f>
        <v>0.21881768673594762</v>
      </c>
      <c r="AR81" s="239">
        <f>AR51/AR$32</f>
        <v>0.23709075534360616</v>
      </c>
      <c r="AT81" s="239">
        <f>AT51/AT$32</f>
        <v>0.26312267948407775</v>
      </c>
      <c r="AV81" s="239" t="e">
        <f>AV51/AV$32</f>
        <v>#DIV/0!</v>
      </c>
      <c r="XFD81" s="239"/>
    </row>
    <row r="82" spans="1:48 16384:16384" x14ac:dyDescent="0.2">
      <c r="A82" t="s">
        <v>195</v>
      </c>
      <c r="B82" s="239">
        <f>B52/B$32</f>
        <v>5.4622536949655895E-2</v>
      </c>
      <c r="D82" s="239">
        <f>D52/D$32</f>
        <v>5.4442786393288964E-2</v>
      </c>
      <c r="F82" s="239">
        <f>F52/F$32</f>
        <v>5.4252432219350041E-2</v>
      </c>
      <c r="H82" s="239">
        <f>H52/H$32</f>
        <v>5.4050260086445451E-2</v>
      </c>
      <c r="J82" s="239">
        <f>J52/J$32</f>
        <v>5.383491230505421E-2</v>
      </c>
      <c r="L82" s="239">
        <f>L52/L$32</f>
        <v>5.3604886960354509E-2</v>
      </c>
      <c r="N82" s="239">
        <f>N52/N$32</f>
        <v>5.335854860662697E-2</v>
      </c>
      <c r="P82" s="239">
        <f>P52/P$32</f>
        <v>5.3094157216498933E-2</v>
      </c>
      <c r="R82" s="239">
        <f>R52/R$32</f>
        <v>5.2809914086619412E-2</v>
      </c>
      <c r="T82" s="239">
        <f>T52/T$32</f>
        <v>5.2504012123978275E-2</v>
      </c>
      <c r="V82" s="239">
        <f>V52/V$32</f>
        <v>5.2174639009384682E-2</v>
      </c>
      <c r="X82" s="239">
        <f>X52/X$32</f>
        <v>5.1819796178434609E-2</v>
      </c>
      <c r="Z82" s="239">
        <f>Z52/Z$32</f>
        <v>5.1436638631890262E-2</v>
      </c>
      <c r="AB82" s="239">
        <f>AB52/AB$32</f>
        <v>5.1019810756084867E-2</v>
      </c>
      <c r="AD82" s="239">
        <f>AD52/AD$32</f>
        <v>5.0557777625654152E-2</v>
      </c>
      <c r="AF82" s="239">
        <f>AF52/AF$32</f>
        <v>5.0025730731686514E-2</v>
      </c>
      <c r="AH82" s="239">
        <f>AH52/AH$32</f>
        <v>4.9373951421901104E-2</v>
      </c>
      <c r="AJ82" s="239">
        <f>AJ52/AJ$32</f>
        <v>4.8518636166199287E-2</v>
      </c>
      <c r="AL82" s="239">
        <f>AL52/AL$32</f>
        <v>4.7370073913869264E-2</v>
      </c>
      <c r="AN82" s="239">
        <f>AN52/AN$32</f>
        <v>4.5896279287519486E-2</v>
      </c>
      <c r="AP82" s="239">
        <f>AP52/AP$32</f>
        <v>4.5561641042106457E-2</v>
      </c>
      <c r="AR82" s="239">
        <f>AR52/AR$32</f>
        <v>4.5212375787429482E-2</v>
      </c>
      <c r="AT82" s="239">
        <f>AT52/AT$32</f>
        <v>4.4842009008171847E-2</v>
      </c>
      <c r="AV82" s="239" t="e">
        <f>AV52/AV$32</f>
        <v>#DIV/0!</v>
      </c>
    </row>
    <row r="83" spans="1:48 16384:16384" x14ac:dyDescent="0.2">
      <c r="A83" t="s">
        <v>196</v>
      </c>
      <c r="B83" s="239">
        <f>B53/B$32</f>
        <v>8.4877033872722163E-2</v>
      </c>
      <c r="D83" s="239">
        <f>D53/D$32</f>
        <v>8.4714016236627096E-2</v>
      </c>
      <c r="F83" s="239">
        <f>F53/F$32</f>
        <v>8.4553128709884656E-2</v>
      </c>
      <c r="H83" s="239">
        <f>H53/H$32</f>
        <v>8.4394483562561448E-2</v>
      </c>
      <c r="J83" s="239">
        <f>J53/J$32</f>
        <v>8.4238129180862681E-2</v>
      </c>
      <c r="L83" s="239">
        <f>L53/L$32</f>
        <v>8.4083991774972666E-2</v>
      </c>
      <c r="N83" s="239">
        <f>N53/N$32</f>
        <v>8.3931766864143692E-2</v>
      </c>
      <c r="P83" s="239">
        <f>P53/P$32</f>
        <v>8.3780744598108581E-2</v>
      </c>
      <c r="R83" s="239">
        <f>R53/R$32</f>
        <v>8.3629485706509438E-2</v>
      </c>
      <c r="T83" s="239">
        <f>T53/T$32</f>
        <v>8.3475250497072939E-2</v>
      </c>
      <c r="V83" s="239">
        <f>V53/V$32</f>
        <v>8.3312975803481834E-2</v>
      </c>
      <c r="X83" s="239">
        <f>X53/X$32</f>
        <v>8.3133396081489813E-2</v>
      </c>
      <c r="Z83" s="239">
        <f>Z53/Z$32</f>
        <v>8.2919601098659049E-2</v>
      </c>
      <c r="AB83" s="239">
        <f>AB53/AB$32</f>
        <v>8.2640659564628779E-2</v>
      </c>
      <c r="AD83" s="239">
        <f>AD53/AD$32</f>
        <v>8.2239597601465958E-2</v>
      </c>
      <c r="AF83" s="239">
        <f>AF53/AF$32</f>
        <v>8.161028771467714E-2</v>
      </c>
      <c r="AH83" s="239">
        <f>AH53/AH$32</f>
        <v>8.05520269698803E-2</v>
      </c>
      <c r="AJ83" s="239">
        <f>AJ53/AJ$32</f>
        <v>7.868378585910131E-2</v>
      </c>
      <c r="AL83" s="239">
        <f>AL53/AL$32</f>
        <v>7.5276910658949259E-2</v>
      </c>
      <c r="AN83" s="239">
        <f>AN53/AN$32</f>
        <v>6.8318502901534198E-2</v>
      </c>
      <c r="AP83" s="239">
        <f>AP53/AP$32</f>
        <v>6.5880305668915659E-2</v>
      </c>
      <c r="AR83" s="239">
        <f>AR53/AR$32</f>
        <v>6.2621865020241335E-2</v>
      </c>
      <c r="AT83" s="239">
        <f>AT53/AT$32</f>
        <v>5.7852672144598161E-2</v>
      </c>
      <c r="AV83" s="239" t="e">
        <f>AV53/AV$32</f>
        <v>#DIV/0!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XFD83"/>
  <sheetViews>
    <sheetView showGridLines="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0" x14ac:dyDescent="0.2"/>
  <sheetData>
    <row r="1" spans="1:49" x14ac:dyDescent="0.2">
      <c r="B1" s="97">
        <v>0</v>
      </c>
      <c r="D1" s="97">
        <v>0.05</v>
      </c>
      <c r="F1" s="97">
        <v>0.1</v>
      </c>
      <c r="H1" s="97">
        <v>0.15000000000000002</v>
      </c>
      <c r="J1" s="97">
        <v>0.2</v>
      </c>
      <c r="L1" s="97">
        <v>0.25</v>
      </c>
      <c r="N1" s="97">
        <v>0.3</v>
      </c>
      <c r="P1" s="97">
        <v>0.35</v>
      </c>
      <c r="R1" s="97">
        <v>0.39999999999999997</v>
      </c>
      <c r="T1" s="97">
        <v>0.44999999999999996</v>
      </c>
      <c r="V1" s="97">
        <v>0.49999999999999994</v>
      </c>
      <c r="X1" s="97">
        <v>0.54999999999999993</v>
      </c>
      <c r="Z1" s="97">
        <v>0.6</v>
      </c>
      <c r="AB1" s="97">
        <v>0.65</v>
      </c>
      <c r="AD1" s="97">
        <v>0.70000000000000007</v>
      </c>
      <c r="AF1" s="97">
        <v>0.75000000000000011</v>
      </c>
      <c r="AH1" s="97">
        <v>0.80000000000000016</v>
      </c>
      <c r="AJ1" s="97">
        <v>0.8500000000000002</v>
      </c>
      <c r="AL1" s="97">
        <v>0.90000000000000024</v>
      </c>
      <c r="AN1" s="97">
        <v>0.95000000000000029</v>
      </c>
      <c r="AP1" s="97">
        <v>0.9600000000000003</v>
      </c>
      <c r="AR1" s="97">
        <v>0.97000000000000031</v>
      </c>
      <c r="AT1" s="97"/>
      <c r="AV1" s="97"/>
    </row>
    <row r="2" spans="1:49" x14ac:dyDescent="0.2">
      <c r="A2" s="232" t="s">
        <v>158</v>
      </c>
      <c r="B2" s="229">
        <v>0.16485636072655599</v>
      </c>
      <c r="C2" s="230"/>
      <c r="D2" s="229">
        <v>0.19947471445251766</v>
      </c>
      <c r="E2" s="230"/>
      <c r="F2" s="229">
        <v>0.23798230341394302</v>
      </c>
      <c r="G2" s="230"/>
      <c r="H2" s="229">
        <v>0.28119642748889545</v>
      </c>
      <c r="I2" s="230"/>
      <c r="J2" s="229">
        <v>0.33019361985848267</v>
      </c>
      <c r="K2" s="230"/>
      <c r="L2" s="229">
        <v>0.38642196092333503</v>
      </c>
      <c r="M2" s="230"/>
      <c r="N2" s="229">
        <v>0.45187680031292576</v>
      </c>
      <c r="O2" s="230"/>
      <c r="P2" s="229">
        <v>0.52938164264600773</v>
      </c>
      <c r="Q2" s="230"/>
      <c r="R2" s="229">
        <v>0.62305533825485448</v>
      </c>
      <c r="S2" s="230"/>
      <c r="T2" s="229">
        <v>0.73911537506110003</v>
      </c>
      <c r="U2" s="230"/>
      <c r="V2" s="229">
        <v>0.88731010507708696</v>
      </c>
      <c r="W2" s="230"/>
      <c r="X2" s="229">
        <v>1.0835623901133598</v>
      </c>
      <c r="Y2" s="230"/>
      <c r="Z2" s="229">
        <v>1.3549872166408303</v>
      </c>
      <c r="AA2" s="230"/>
      <c r="AB2" s="229">
        <v>1.7495664012528189</v>
      </c>
      <c r="AC2" s="230"/>
      <c r="AD2" s="229">
        <v>2.3549813990175967</v>
      </c>
      <c r="AE2" s="230"/>
      <c r="AF2" s="229">
        <v>3.3372046863448168</v>
      </c>
      <c r="AG2" s="230"/>
      <c r="AH2" s="229">
        <v>5.0345929077004357</v>
      </c>
      <c r="AI2" s="230"/>
      <c r="AJ2" s="229">
        <v>8.2531528930246871</v>
      </c>
      <c r="AK2" s="230"/>
      <c r="AL2" s="229">
        <v>15.470764000269677</v>
      </c>
      <c r="AM2" s="230"/>
      <c r="AN2" s="229">
        <v>38.54508713977674</v>
      </c>
      <c r="AO2" s="230"/>
      <c r="AP2" s="229">
        <v>49.649804338256054</v>
      </c>
      <c r="AQ2" s="230"/>
      <c r="AR2" s="229">
        <v>66.833863591772243</v>
      </c>
      <c r="AS2" s="230"/>
      <c r="AT2" s="229"/>
      <c r="AU2" s="230"/>
      <c r="AV2" s="229"/>
      <c r="AW2" s="230"/>
    </row>
    <row r="3" spans="1:49" x14ac:dyDescent="0.2">
      <c r="A3" t="s">
        <v>12</v>
      </c>
      <c r="B3" s="87">
        <v>1000</v>
      </c>
      <c r="C3" s="88">
        <v>1000</v>
      </c>
      <c r="D3" s="87">
        <v>998.37984980491694</v>
      </c>
      <c r="E3" s="88">
        <v>1024.9360373119932</v>
      </c>
      <c r="F3" s="87">
        <v>996.77447277363501</v>
      </c>
      <c r="G3" s="88">
        <v>1052.8550973370156</v>
      </c>
      <c r="H3" s="87">
        <v>995.19004788154552</v>
      </c>
      <c r="I3" s="88">
        <v>1084.3427275574049</v>
      </c>
      <c r="J3" s="87">
        <v>993.63574460325447</v>
      </c>
      <c r="K3" s="88">
        <v>1120.1582550433366</v>
      </c>
      <c r="L3" s="87">
        <v>992.12518013834131</v>
      </c>
      <c r="M3" s="88">
        <v>1161.3061914277212</v>
      </c>
      <c r="N3" s="87">
        <v>990.67867335219296</v>
      </c>
      <c r="O3" s="88">
        <v>1209.1458307133159</v>
      </c>
      <c r="P3" s="87">
        <v>989.32667917229503</v>
      </c>
      <c r="Q3" s="88">
        <v>1265.564538542123</v>
      </c>
      <c r="R3" s="87">
        <v>988.11524270030441</v>
      </c>
      <c r="S3" s="88">
        <v>1333.2602676501817</v>
      </c>
      <c r="T3" s="87">
        <v>987.11459336272969</v>
      </c>
      <c r="U3" s="88">
        <v>1416.2182794815451</v>
      </c>
      <c r="V3" s="87">
        <v>986.43243430790505</v>
      </c>
      <c r="W3" s="88">
        <v>1520.5447806128939</v>
      </c>
      <c r="X3" s="87">
        <v>986.23339043188946</v>
      </c>
      <c r="Y3" s="88">
        <v>1655.9732862197775</v>
      </c>
      <c r="Z3" s="87">
        <v>986.7628430685636</v>
      </c>
      <c r="AA3" s="88">
        <v>1838.6614708295031</v>
      </c>
      <c r="AB3" s="87">
        <v>988.36051607406876</v>
      </c>
      <c r="AC3" s="88">
        <v>2096.4739319005489</v>
      </c>
      <c r="AD3" s="87">
        <v>991.41887047255159</v>
      </c>
      <c r="AE3" s="88">
        <v>2479.1309874369194</v>
      </c>
      <c r="AF3" s="87">
        <v>996.22271628267549</v>
      </c>
      <c r="AG3" s="88">
        <v>3079.0873130523755</v>
      </c>
      <c r="AH3" s="87">
        <v>1002.7189356385747</v>
      </c>
      <c r="AI3" s="88">
        <v>4083.3002586378761</v>
      </c>
      <c r="AJ3" s="87">
        <v>1010.4792999786924</v>
      </c>
      <c r="AK3" s="88">
        <v>5936.4727855258125</v>
      </c>
      <c r="AL3" s="87">
        <v>1018.9752251851645</v>
      </c>
      <c r="AM3" s="88">
        <v>10002.757478334051</v>
      </c>
      <c r="AN3" s="87">
        <v>1027.9284967348315</v>
      </c>
      <c r="AO3" s="88">
        <v>22780.352209524801</v>
      </c>
      <c r="AP3" s="87">
        <v>1029.7999029448315</v>
      </c>
      <c r="AQ3" s="88">
        <v>28888.228818776755</v>
      </c>
      <c r="AR3" s="87">
        <v>1031.732685342241</v>
      </c>
      <c r="AS3" s="88">
        <v>38317.590872272594</v>
      </c>
      <c r="AT3" s="87"/>
      <c r="AU3" s="88"/>
      <c r="AV3" s="87"/>
      <c r="AW3" s="88"/>
    </row>
    <row r="4" spans="1:49" x14ac:dyDescent="0.2">
      <c r="A4" t="s">
        <v>119</v>
      </c>
      <c r="B4" s="104">
        <v>1000</v>
      </c>
      <c r="C4" s="105">
        <v>1000</v>
      </c>
      <c r="D4" s="104">
        <v>1000</v>
      </c>
      <c r="E4" s="105">
        <v>1000</v>
      </c>
      <c r="F4" s="104">
        <v>1000</v>
      </c>
      <c r="G4" s="105">
        <v>1000</v>
      </c>
      <c r="H4" s="104">
        <v>1000</v>
      </c>
      <c r="I4" s="105">
        <v>1000</v>
      </c>
      <c r="J4" s="104">
        <v>1000</v>
      </c>
      <c r="K4" s="105">
        <v>1000</v>
      </c>
      <c r="L4" s="104">
        <v>1000</v>
      </c>
      <c r="M4" s="105">
        <v>1000</v>
      </c>
      <c r="N4" s="104">
        <v>1000</v>
      </c>
      <c r="O4" s="105">
        <v>1000</v>
      </c>
      <c r="P4" s="104">
        <v>1000</v>
      </c>
      <c r="Q4" s="105">
        <v>1000</v>
      </c>
      <c r="R4" s="104">
        <v>1000</v>
      </c>
      <c r="S4" s="105">
        <v>1000</v>
      </c>
      <c r="T4" s="104">
        <v>1000</v>
      </c>
      <c r="U4" s="105">
        <v>1000</v>
      </c>
      <c r="V4" s="104">
        <v>1000</v>
      </c>
      <c r="W4" s="105">
        <v>1000</v>
      </c>
      <c r="X4" s="104">
        <v>1000</v>
      </c>
      <c r="Y4" s="105">
        <v>1000</v>
      </c>
      <c r="Z4" s="104">
        <v>1000</v>
      </c>
      <c r="AA4" s="105">
        <v>1000</v>
      </c>
      <c r="AB4" s="104">
        <v>1000</v>
      </c>
      <c r="AC4" s="105">
        <v>1000</v>
      </c>
      <c r="AD4" s="104">
        <v>1000</v>
      </c>
      <c r="AE4" s="105">
        <v>1000</v>
      </c>
      <c r="AF4" s="104">
        <v>1000</v>
      </c>
      <c r="AG4" s="105">
        <v>1000</v>
      </c>
      <c r="AH4" s="104">
        <v>1000</v>
      </c>
      <c r="AI4" s="105">
        <v>1000</v>
      </c>
      <c r="AJ4" s="104">
        <v>1000</v>
      </c>
      <c r="AK4" s="105">
        <v>1000</v>
      </c>
      <c r="AL4" s="104">
        <v>1000</v>
      </c>
      <c r="AM4" s="105">
        <v>1000</v>
      </c>
      <c r="AN4" s="104">
        <v>1000</v>
      </c>
      <c r="AO4" s="105">
        <v>1000</v>
      </c>
      <c r="AP4" s="104">
        <v>1000</v>
      </c>
      <c r="AQ4" s="105">
        <v>1000</v>
      </c>
      <c r="AR4" s="104">
        <v>1000</v>
      </c>
      <c r="AS4" s="105">
        <v>1000</v>
      </c>
      <c r="AT4" s="104"/>
      <c r="AU4" s="105"/>
      <c r="AV4" s="104"/>
      <c r="AW4" s="105"/>
    </row>
    <row r="5" spans="1:49" x14ac:dyDescent="0.2">
      <c r="A5" t="s">
        <v>131</v>
      </c>
      <c r="B5" s="41">
        <v>1000</v>
      </c>
      <c r="C5" s="42">
        <v>1000</v>
      </c>
      <c r="D5" s="41">
        <v>998.33864776571545</v>
      </c>
      <c r="E5" s="42">
        <v>1016.6486680907511</v>
      </c>
      <c r="F5" s="41">
        <v>996.69129471685358</v>
      </c>
      <c r="G5" s="42">
        <v>1034.4383539241426</v>
      </c>
      <c r="H5" s="41">
        <v>995.06431442522535</v>
      </c>
      <c r="I5" s="42">
        <v>1053.4666297809447</v>
      </c>
      <c r="J5" s="41">
        <v>993.46717156210036</v>
      </c>
      <c r="K5" s="42">
        <v>1073.8376692625559</v>
      </c>
      <c r="L5" s="41">
        <v>991.91393058446533</v>
      </c>
      <c r="M5" s="42">
        <v>1095.6598458313586</v>
      </c>
      <c r="N5" s="41">
        <v>990.42558938012121</v>
      </c>
      <c r="O5" s="42">
        <v>1119.0400203040381</v>
      </c>
      <c r="P5" s="41">
        <v>989.03363443296075</v>
      </c>
      <c r="Q5" s="42">
        <v>1144.0737945083963</v>
      </c>
      <c r="R5" s="41">
        <v>987.78568309454931</v>
      </c>
      <c r="S5" s="42">
        <v>1170.8254953356627</v>
      </c>
      <c r="T5" s="41">
        <v>986.75436546770766</v>
      </c>
      <c r="U5" s="42">
        <v>1199.2906540517738</v>
      </c>
      <c r="V5" s="41">
        <v>986.0510356436871</v>
      </c>
      <c r="W5" s="42">
        <v>1229.3285570566147</v>
      </c>
      <c r="X5" s="41">
        <v>985.84577407860854</v>
      </c>
      <c r="Y5" s="42">
        <v>1260.5442910855511</v>
      </c>
      <c r="Z5" s="41">
        <v>986.39172535271166</v>
      </c>
      <c r="AA5" s="42">
        <v>1292.1016322189382</v>
      </c>
      <c r="AB5" s="41">
        <v>988.03840365209942</v>
      </c>
      <c r="AC5" s="42">
        <v>1322.4932803295851</v>
      </c>
      <c r="AD5" s="41">
        <v>991.18731226850105</v>
      </c>
      <c r="AE5" s="42">
        <v>1349.4632540203538</v>
      </c>
      <c r="AF5" s="41">
        <v>996.12484611161187</v>
      </c>
      <c r="AG5" s="42">
        <v>1370.5322148102957</v>
      </c>
      <c r="AH5" s="41">
        <v>1002.7854784174723</v>
      </c>
      <c r="AI5" s="42">
        <v>1384.3082399611862</v>
      </c>
      <c r="AJ5" s="41">
        <v>1010.718041140123</v>
      </c>
      <c r="AK5" s="42">
        <v>1391.483155974207</v>
      </c>
      <c r="AL5" s="41">
        <v>1019.3729344077981</v>
      </c>
      <c r="AM5" s="42">
        <v>1394.2575625439633</v>
      </c>
      <c r="AN5" s="41">
        <v>1028.4611041712644</v>
      </c>
      <c r="AO5" s="42">
        <v>1394.9318154623929</v>
      </c>
      <c r="AP5" s="41">
        <v>1030.3565526121461</v>
      </c>
      <c r="AQ5" s="42">
        <v>1394.9636271901115</v>
      </c>
      <c r="AR5" s="41">
        <v>1032.3126757695647</v>
      </c>
      <c r="AS5" s="42">
        <v>1394.9811207116788</v>
      </c>
      <c r="AT5" s="41"/>
      <c r="AU5" s="42"/>
      <c r="AV5" s="41"/>
      <c r="AW5" s="42"/>
    </row>
    <row r="6" spans="1:49" x14ac:dyDescent="0.2">
      <c r="A6" t="s">
        <v>79</v>
      </c>
      <c r="B6" s="41">
        <v>999.99999999999886</v>
      </c>
      <c r="C6" s="42">
        <v>999.99999999999909</v>
      </c>
      <c r="D6" s="41">
        <v>998.18464008550325</v>
      </c>
      <c r="E6" s="42">
        <v>1026.8879116809806</v>
      </c>
      <c r="F6" s="41">
        <v>996.3851304372165</v>
      </c>
      <c r="G6" s="42">
        <v>1056.8776725287271</v>
      </c>
      <c r="H6" s="41">
        <v>994.60841546016763</v>
      </c>
      <c r="I6" s="42">
        <v>1090.571430532224</v>
      </c>
      <c r="J6" s="41">
        <v>992.86480569526805</v>
      </c>
      <c r="K6" s="42">
        <v>1128.7497664863433</v>
      </c>
      <c r="L6" s="41">
        <v>991.16961955372949</v>
      </c>
      <c r="M6" s="42">
        <v>1172.444956267733</v>
      </c>
      <c r="N6" s="41">
        <v>989.54572259072131</v>
      </c>
      <c r="O6" s="42">
        <v>1223.0533834046823</v>
      </c>
      <c r="P6" s="41">
        <v>988.02739644920041</v>
      </c>
      <c r="Q6" s="42">
        <v>1282.5132193653089</v>
      </c>
      <c r="R6" s="41">
        <v>986.66648088219347</v>
      </c>
      <c r="S6" s="42">
        <v>1353.5939881261668</v>
      </c>
      <c r="T6" s="41">
        <v>985.54204641675437</v>
      </c>
      <c r="U6" s="42">
        <v>1440.3850161711423</v>
      </c>
      <c r="V6" s="41">
        <v>984.77533688585595</v>
      </c>
      <c r="W6" s="42">
        <v>1549.149335132302</v>
      </c>
      <c r="X6" s="41">
        <v>984.55159728611807</v>
      </c>
      <c r="Y6" s="42">
        <v>1689.8663331014436</v>
      </c>
      <c r="Z6" s="41">
        <v>985.14671494383344</v>
      </c>
      <c r="AA6" s="42">
        <v>1879.0958266951873</v>
      </c>
      <c r="AB6" s="41">
        <v>986.94205218990191</v>
      </c>
      <c r="AC6" s="42">
        <v>2145.389119102887</v>
      </c>
      <c r="AD6" s="41">
        <v>990.37676596730034</v>
      </c>
      <c r="AE6" s="42">
        <v>2539.6917698593302</v>
      </c>
      <c r="AF6" s="41">
        <v>995.76648946509908</v>
      </c>
      <c r="AG6" s="42">
        <v>3156.7679043770495</v>
      </c>
      <c r="AH6" s="41">
        <v>1003.0449496391664</v>
      </c>
      <c r="AI6" s="42">
        <v>4188.3509234512148</v>
      </c>
      <c r="AJ6" s="41">
        <v>1011.725081646747</v>
      </c>
      <c r="AK6" s="42">
        <v>6090.6970888583164</v>
      </c>
      <c r="AL6" s="41">
        <v>1021.2102322671052</v>
      </c>
      <c r="AM6" s="42">
        <v>10263.582556028063</v>
      </c>
      <c r="AN6" s="41">
        <v>1031.1866785753343</v>
      </c>
      <c r="AO6" s="42">
        <v>23374.887223143625</v>
      </c>
      <c r="AP6" s="41">
        <v>1033.2695162967527</v>
      </c>
      <c r="AQ6" s="42">
        <v>29642.202469497239</v>
      </c>
      <c r="AR6" s="41">
        <v>1035.4197983782024</v>
      </c>
      <c r="AS6" s="42">
        <v>39317.691005180408</v>
      </c>
      <c r="AT6" s="41"/>
      <c r="AU6" s="42"/>
      <c r="AV6" s="41"/>
      <c r="AW6" s="42"/>
    </row>
    <row r="7" spans="1:49" x14ac:dyDescent="0.2">
      <c r="A7" t="s">
        <v>13</v>
      </c>
      <c r="B7" s="33">
        <v>1059.2664648168009</v>
      </c>
      <c r="C7" s="34">
        <v>1059.2664648168009</v>
      </c>
      <c r="D7" s="33">
        <v>1057.5066501087747</v>
      </c>
      <c r="E7" s="34">
        <v>1057.5066501087747</v>
      </c>
      <c r="F7" s="33">
        <v>1055.7616642684018</v>
      </c>
      <c r="G7" s="34">
        <v>1055.7616642684018</v>
      </c>
      <c r="H7" s="33">
        <v>1054.0382586065621</v>
      </c>
      <c r="I7" s="34">
        <v>1054.0382586065621</v>
      </c>
      <c r="J7" s="33">
        <v>1052.3464587321323</v>
      </c>
      <c r="K7" s="34">
        <v>1052.3464587321323</v>
      </c>
      <c r="L7" s="33">
        <v>1050.7011626527442</v>
      </c>
      <c r="M7" s="34">
        <v>1050.7011626527442</v>
      </c>
      <c r="N7" s="33">
        <v>1049.1246127267775</v>
      </c>
      <c r="O7" s="34">
        <v>1049.1246127267775</v>
      </c>
      <c r="P7" s="33">
        <v>1047.6501615307145</v>
      </c>
      <c r="Q7" s="34">
        <v>1047.6501615307145</v>
      </c>
      <c r="R7" s="33">
        <v>1046.328248528212</v>
      </c>
      <c r="S7" s="34">
        <v>1046.328248528212</v>
      </c>
      <c r="T7" s="33">
        <v>1045.2358083515242</v>
      </c>
      <c r="U7" s="34">
        <v>1045.2358083515242</v>
      </c>
      <c r="V7" s="33">
        <v>1044.4907946552337</v>
      </c>
      <c r="W7" s="34">
        <v>1044.4907946552337</v>
      </c>
      <c r="X7" s="33">
        <v>1044.2733679628302</v>
      </c>
      <c r="Y7" s="34">
        <v>1044.2733679628302</v>
      </c>
      <c r="Z7" s="33">
        <v>1044.8516758389117</v>
      </c>
      <c r="AA7" s="34">
        <v>1044.8516758389117</v>
      </c>
      <c r="AB7" s="33">
        <v>1046.5959469397947</v>
      </c>
      <c r="AC7" s="34">
        <v>1046.5959469397947</v>
      </c>
      <c r="AD7" s="33">
        <v>1049.9314802379215</v>
      </c>
      <c r="AE7" s="34">
        <v>1049.9314802379215</v>
      </c>
      <c r="AF7" s="33">
        <v>1055.161644256827</v>
      </c>
      <c r="AG7" s="34">
        <v>1055.161644256827</v>
      </c>
      <c r="AH7" s="33">
        <v>1062.2170286929002</v>
      </c>
      <c r="AI7" s="34">
        <v>1062.2170286929002</v>
      </c>
      <c r="AJ7" s="33">
        <v>1070.6197263650599</v>
      </c>
      <c r="AK7" s="34">
        <v>1070.6197263650599</v>
      </c>
      <c r="AL7" s="33">
        <v>1079.7875645600768</v>
      </c>
      <c r="AM7" s="34">
        <v>1079.7875645600768</v>
      </c>
      <c r="AN7" s="33">
        <v>1089.4143580170789</v>
      </c>
      <c r="AO7" s="34">
        <v>1089.4143580170789</v>
      </c>
      <c r="AP7" s="33">
        <v>1091.4221429862941</v>
      </c>
      <c r="AQ7" s="34">
        <v>1091.4221429862941</v>
      </c>
      <c r="AR7" s="33">
        <v>1093.4941986479992</v>
      </c>
      <c r="AS7" s="34">
        <v>1093.4941986479992</v>
      </c>
      <c r="AT7" s="33"/>
      <c r="AU7" s="34"/>
      <c r="AV7" s="33"/>
      <c r="AW7" s="34"/>
    </row>
    <row r="8" spans="1:49" x14ac:dyDescent="0.2">
      <c r="B8" s="35">
        <v>1164.8563607265562</v>
      </c>
      <c r="C8" s="36">
        <v>1164.8563607265562</v>
      </c>
      <c r="D8" s="35">
        <v>1219.4443708566862</v>
      </c>
      <c r="E8" s="36">
        <v>1219.4443708566862</v>
      </c>
      <c r="F8" s="35">
        <v>1280.6163761307375</v>
      </c>
      <c r="G8" s="36">
        <v>1280.6163761307375</v>
      </c>
      <c r="H8" s="35">
        <v>1349.697682554113</v>
      </c>
      <c r="I8" s="36">
        <v>1349.697682554113</v>
      </c>
      <c r="J8" s="35">
        <v>1428.4120164167555</v>
      </c>
      <c r="K8" s="36">
        <v>1428.4120164167555</v>
      </c>
      <c r="L8" s="35">
        <v>1519.046871962471</v>
      </c>
      <c r="M8" s="36">
        <v>1519.046871962471</v>
      </c>
      <c r="N8" s="35">
        <v>1624.7082441011382</v>
      </c>
      <c r="O8" s="36">
        <v>1624.7082441011382</v>
      </c>
      <c r="P8" s="35">
        <v>1749.7254591535025</v>
      </c>
      <c r="Q8" s="36">
        <v>1749.7254591535025</v>
      </c>
      <c r="R8" s="35">
        <v>1900.3145703694315</v>
      </c>
      <c r="S8" s="36">
        <v>1900.3145703694315</v>
      </c>
      <c r="T8" s="35">
        <v>2085.7048156285223</v>
      </c>
      <c r="U8" s="36">
        <v>2085.7048156285223</v>
      </c>
      <c r="V8" s="35">
        <v>2320.124208192783</v>
      </c>
      <c r="W8" s="36">
        <v>2320.124208192783</v>
      </c>
      <c r="X8" s="35">
        <v>2626.4226759779617</v>
      </c>
      <c r="Y8" s="36">
        <v>2626.4226759779617</v>
      </c>
      <c r="Z8" s="35">
        <v>3042.8828264763511</v>
      </c>
      <c r="AA8" s="36">
        <v>3042.8828264763511</v>
      </c>
      <c r="AB8" s="35">
        <v>3636.2830894768531</v>
      </c>
      <c r="AC8" s="36">
        <v>3636.2830894768531</v>
      </c>
      <c r="AD8" s="35">
        <v>4527.4241158960449</v>
      </c>
      <c r="AE8" s="36">
        <v>4527.4241158960449</v>
      </c>
      <c r="AF8" s="35">
        <v>5944.2787448617564</v>
      </c>
      <c r="AG8" s="36">
        <v>5944.2787448617564</v>
      </c>
      <c r="AH8" s="35">
        <v>8353.7366869410471</v>
      </c>
      <c r="AI8" s="36">
        <v>8353.7366869410471</v>
      </c>
      <c r="AJ8" s="35">
        <v>12875.606390297855</v>
      </c>
      <c r="AK8" s="36">
        <v>12875.606390297855</v>
      </c>
      <c r="AL8" s="35">
        <v>22964.487268252855</v>
      </c>
      <c r="AM8" s="36">
        <v>22964.487268252855</v>
      </c>
      <c r="AN8" s="35">
        <v>55162.700196507292</v>
      </c>
      <c r="AO8" s="36">
        <v>55162.700196507292</v>
      </c>
      <c r="AP8" s="35">
        <v>70654.634776163119</v>
      </c>
      <c r="AQ8" s="36">
        <v>70654.634776163119</v>
      </c>
      <c r="AR8" s="35">
        <v>94626.959055453597</v>
      </c>
      <c r="AS8" s="36">
        <v>94626.959055453597</v>
      </c>
      <c r="AT8" s="35"/>
      <c r="AU8" s="36"/>
      <c r="AV8" s="35"/>
      <c r="AW8" s="36"/>
    </row>
    <row r="9" spans="1:49" x14ac:dyDescent="0.2">
      <c r="A9" t="s">
        <v>14</v>
      </c>
      <c r="B9" s="41">
        <v>1059.2664648168009</v>
      </c>
      <c r="C9" s="42">
        <v>1164.8563607265562</v>
      </c>
      <c r="D9" s="41">
        <v>1057.5066501087747</v>
      </c>
      <c r="E9" s="42">
        <v>1219.4443708566862</v>
      </c>
      <c r="F9" s="41">
        <v>1055.7616642684018</v>
      </c>
      <c r="G9" s="42">
        <v>1280.6163761307375</v>
      </c>
      <c r="H9" s="41">
        <v>1054.0382586065621</v>
      </c>
      <c r="I9" s="42">
        <v>1349.697682554113</v>
      </c>
      <c r="J9" s="41">
        <v>1052.3464587321323</v>
      </c>
      <c r="K9" s="42">
        <v>1428.4120164167555</v>
      </c>
      <c r="L9" s="41">
        <v>1050.7011626527442</v>
      </c>
      <c r="M9" s="42">
        <v>1519.046871962471</v>
      </c>
      <c r="N9" s="41">
        <v>1049.1246127267775</v>
      </c>
      <c r="O9" s="42">
        <v>1624.7082441011382</v>
      </c>
      <c r="P9" s="41">
        <v>1047.6501615307145</v>
      </c>
      <c r="Q9" s="42">
        <v>1749.7254591535025</v>
      </c>
      <c r="R9" s="41">
        <v>1046.328248528212</v>
      </c>
      <c r="S9" s="42">
        <v>1900.3145703694315</v>
      </c>
      <c r="T9" s="41">
        <v>1045.2358083515242</v>
      </c>
      <c r="U9" s="42">
        <v>2085.7048156285223</v>
      </c>
      <c r="V9" s="41">
        <v>1044.4907946552337</v>
      </c>
      <c r="W9" s="42">
        <v>2320.124208192783</v>
      </c>
      <c r="X9" s="41">
        <v>1044.2733679628302</v>
      </c>
      <c r="Y9" s="42">
        <v>2626.4226759779617</v>
      </c>
      <c r="Z9" s="41">
        <v>1044.8516758389117</v>
      </c>
      <c r="AA9" s="42">
        <v>3042.8828264763511</v>
      </c>
      <c r="AB9" s="41">
        <v>1046.5959469397947</v>
      </c>
      <c r="AC9" s="42">
        <v>3636.2830894768531</v>
      </c>
      <c r="AD9" s="41">
        <v>1049.9314802379215</v>
      </c>
      <c r="AE9" s="42">
        <v>4527.4241158960449</v>
      </c>
      <c r="AF9" s="41">
        <v>1055.161644256827</v>
      </c>
      <c r="AG9" s="42">
        <v>5944.2787448617564</v>
      </c>
      <c r="AH9" s="41">
        <v>1062.2170286929002</v>
      </c>
      <c r="AI9" s="42">
        <v>8353.7366869410471</v>
      </c>
      <c r="AJ9" s="41">
        <v>1070.6197263650599</v>
      </c>
      <c r="AK9" s="42">
        <v>12875.606390297855</v>
      </c>
      <c r="AL9" s="41">
        <v>1079.7875645600768</v>
      </c>
      <c r="AM9" s="42">
        <v>22964.487268252855</v>
      </c>
      <c r="AN9" s="41">
        <v>1089.4143580170789</v>
      </c>
      <c r="AO9" s="42">
        <v>55162.700196507292</v>
      </c>
      <c r="AP9" s="41">
        <v>1091.4221429862941</v>
      </c>
      <c r="AQ9" s="42">
        <v>70654.634776163119</v>
      </c>
      <c r="AR9" s="41">
        <v>1093.4941986479992</v>
      </c>
      <c r="AS9" s="42">
        <v>94626.959055453597</v>
      </c>
      <c r="AT9" s="41"/>
      <c r="AU9" s="42"/>
      <c r="AV9" s="41"/>
      <c r="AW9" s="42"/>
    </row>
    <row r="10" spans="1:49" x14ac:dyDescent="0.2">
      <c r="A10" t="s">
        <v>15</v>
      </c>
      <c r="B10" s="41">
        <v>1059.2664648168009</v>
      </c>
      <c r="C10" s="42">
        <v>1164.8563607265562</v>
      </c>
      <c r="D10" s="41">
        <v>1057.5066501087747</v>
      </c>
      <c r="E10" s="42">
        <v>1219.4443708566862</v>
      </c>
      <c r="F10" s="41">
        <v>1055.7616642684018</v>
      </c>
      <c r="G10" s="42">
        <v>1280.6163761307375</v>
      </c>
      <c r="H10" s="41">
        <v>1054.0382586065621</v>
      </c>
      <c r="I10" s="42">
        <v>1349.697682554113</v>
      </c>
      <c r="J10" s="41">
        <v>1052.3464587321323</v>
      </c>
      <c r="K10" s="42">
        <v>1428.4120164167555</v>
      </c>
      <c r="L10" s="41">
        <v>1050.7011626527442</v>
      </c>
      <c r="M10" s="42">
        <v>1519.046871962471</v>
      </c>
      <c r="N10" s="41">
        <v>1049.1246127267775</v>
      </c>
      <c r="O10" s="42">
        <v>1624.7082441011382</v>
      </c>
      <c r="P10" s="41">
        <v>1047.6501615307145</v>
      </c>
      <c r="Q10" s="42">
        <v>1749.7254591535025</v>
      </c>
      <c r="R10" s="41">
        <v>1046.328248528212</v>
      </c>
      <c r="S10" s="42">
        <v>1900.3145703694315</v>
      </c>
      <c r="T10" s="41">
        <v>1045.2358083515242</v>
      </c>
      <c r="U10" s="42">
        <v>2085.7048156285223</v>
      </c>
      <c r="V10" s="41">
        <v>1044.4907946552337</v>
      </c>
      <c r="W10" s="42">
        <v>2320.124208192783</v>
      </c>
      <c r="X10" s="41">
        <v>1044.2733679628302</v>
      </c>
      <c r="Y10" s="42">
        <v>2626.4226759779617</v>
      </c>
      <c r="Z10" s="41">
        <v>1044.8516758389117</v>
      </c>
      <c r="AA10" s="42">
        <v>3042.8828264763511</v>
      </c>
      <c r="AB10" s="41">
        <v>1046.5959469397947</v>
      </c>
      <c r="AC10" s="42">
        <v>3636.2830894768531</v>
      </c>
      <c r="AD10" s="41">
        <v>1049.9314802379215</v>
      </c>
      <c r="AE10" s="42">
        <v>4527.4241158960449</v>
      </c>
      <c r="AF10" s="41">
        <v>1055.161644256827</v>
      </c>
      <c r="AG10" s="42">
        <v>5944.2787448617564</v>
      </c>
      <c r="AH10" s="41">
        <v>1062.2170286929002</v>
      </c>
      <c r="AI10" s="42">
        <v>8353.7366869410471</v>
      </c>
      <c r="AJ10" s="41">
        <v>1070.6197263650599</v>
      </c>
      <c r="AK10" s="42">
        <v>12875.606390297855</v>
      </c>
      <c r="AL10" s="41">
        <v>1079.7875645600768</v>
      </c>
      <c r="AM10" s="42">
        <v>22964.487268252855</v>
      </c>
      <c r="AN10" s="41">
        <v>1089.4143580170789</v>
      </c>
      <c r="AO10" s="42">
        <v>55162.700196507292</v>
      </c>
      <c r="AP10" s="41">
        <v>1091.4221429862941</v>
      </c>
      <c r="AQ10" s="42">
        <v>70654.634776163119</v>
      </c>
      <c r="AR10" s="41">
        <v>1093.4941986479992</v>
      </c>
      <c r="AS10" s="42">
        <v>94626.959055453597</v>
      </c>
      <c r="AT10" s="41"/>
      <c r="AU10" s="42"/>
      <c r="AV10" s="41"/>
      <c r="AW10" s="42"/>
    </row>
    <row r="11" spans="1:49" x14ac:dyDescent="0.2">
      <c r="A11" t="s">
        <v>29</v>
      </c>
      <c r="B11" s="41">
        <v>1059.2664648168009</v>
      </c>
      <c r="C11" s="42">
        <v>1164.8563607265562</v>
      </c>
      <c r="D11" s="41">
        <v>1057.5066501087747</v>
      </c>
      <c r="E11" s="42">
        <v>1219.4443708566862</v>
      </c>
      <c r="F11" s="41">
        <v>1055.7616642684018</v>
      </c>
      <c r="G11" s="42">
        <v>1280.6163761307375</v>
      </c>
      <c r="H11" s="41">
        <v>1054.0382586065621</v>
      </c>
      <c r="I11" s="42">
        <v>1349.697682554113</v>
      </c>
      <c r="J11" s="41">
        <v>1052.3464587321323</v>
      </c>
      <c r="K11" s="42">
        <v>1428.4120164167555</v>
      </c>
      <c r="L11" s="41">
        <v>1050.7011626527442</v>
      </c>
      <c r="M11" s="42">
        <v>1519.046871962471</v>
      </c>
      <c r="N11" s="41">
        <v>1049.1246127267775</v>
      </c>
      <c r="O11" s="42">
        <v>1624.7082441011382</v>
      </c>
      <c r="P11" s="41">
        <v>1047.6501615307145</v>
      </c>
      <c r="Q11" s="42">
        <v>1749.7254591535025</v>
      </c>
      <c r="R11" s="41">
        <v>1046.328248528212</v>
      </c>
      <c r="S11" s="42">
        <v>1900.3145703694315</v>
      </c>
      <c r="T11" s="41">
        <v>1045.2358083515242</v>
      </c>
      <c r="U11" s="42">
        <v>2085.7048156285223</v>
      </c>
      <c r="V11" s="41">
        <v>1044.4907946552337</v>
      </c>
      <c r="W11" s="42">
        <v>2320.124208192783</v>
      </c>
      <c r="X11" s="41">
        <v>1044.2733679628302</v>
      </c>
      <c r="Y11" s="42">
        <v>2626.4226759779617</v>
      </c>
      <c r="Z11" s="41">
        <v>1044.8516758389117</v>
      </c>
      <c r="AA11" s="42">
        <v>3042.8828264763511</v>
      </c>
      <c r="AB11" s="41">
        <v>1046.5959469397947</v>
      </c>
      <c r="AC11" s="42">
        <v>3636.2830894768531</v>
      </c>
      <c r="AD11" s="41">
        <v>1049.9314802379215</v>
      </c>
      <c r="AE11" s="42">
        <v>4527.4241158960449</v>
      </c>
      <c r="AF11" s="41">
        <v>1055.161644256827</v>
      </c>
      <c r="AG11" s="42">
        <v>5944.2787448617564</v>
      </c>
      <c r="AH11" s="41">
        <v>1062.2170286929002</v>
      </c>
      <c r="AI11" s="42">
        <v>8353.7366869410471</v>
      </c>
      <c r="AJ11" s="41">
        <v>1070.6197263650599</v>
      </c>
      <c r="AK11" s="42">
        <v>12875.606390297855</v>
      </c>
      <c r="AL11" s="41">
        <v>1079.7875645600768</v>
      </c>
      <c r="AM11" s="42">
        <v>22964.487268252855</v>
      </c>
      <c r="AN11" s="41">
        <v>1089.4143580170789</v>
      </c>
      <c r="AO11" s="42">
        <v>55162.700196507292</v>
      </c>
      <c r="AP11" s="41">
        <v>1091.4221429862941</v>
      </c>
      <c r="AQ11" s="42">
        <v>70654.634776163119</v>
      </c>
      <c r="AR11" s="41">
        <v>1093.4941986479992</v>
      </c>
      <c r="AS11" s="42">
        <v>94626.959055453597</v>
      </c>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c r="AU12" s="42"/>
      <c r="AV12" s="41"/>
      <c r="AW12" s="42"/>
    </row>
    <row r="13" spans="1:49" x14ac:dyDescent="0.2">
      <c r="A13" t="s">
        <v>17</v>
      </c>
      <c r="B13" s="100">
        <v>1000</v>
      </c>
      <c r="C13" s="101">
        <v>1000</v>
      </c>
      <c r="D13" s="100">
        <v>998.77836885290037</v>
      </c>
      <c r="E13" s="101">
        <v>998.77836885290037</v>
      </c>
      <c r="F13" s="100">
        <v>997.28836518448884</v>
      </c>
      <c r="G13" s="101">
        <v>997.28836518448884</v>
      </c>
      <c r="H13" s="100">
        <v>995.48923268976034</v>
      </c>
      <c r="I13" s="101">
        <v>995.48923268976034</v>
      </c>
      <c r="J13" s="100">
        <v>993.3306602377362</v>
      </c>
      <c r="K13" s="101">
        <v>993.3306602377362</v>
      </c>
      <c r="L13" s="100">
        <v>990.74958269051388</v>
      </c>
      <c r="M13" s="101">
        <v>990.74958269051388</v>
      </c>
      <c r="N13" s="100">
        <v>987.66558422014327</v>
      </c>
      <c r="O13" s="101">
        <v>987.66558422014327</v>
      </c>
      <c r="P13" s="100">
        <v>983.9738817234371</v>
      </c>
      <c r="Q13" s="101">
        <v>983.9738817234371</v>
      </c>
      <c r="R13" s="100">
        <v>979.53475694250926</v>
      </c>
      <c r="S13" s="101">
        <v>979.53475694250926</v>
      </c>
      <c r="T13" s="100">
        <v>974.15687847410004</v>
      </c>
      <c r="U13" s="101">
        <v>974.15687847410004</v>
      </c>
      <c r="V13" s="100">
        <v>967.56992695014901</v>
      </c>
      <c r="W13" s="101">
        <v>967.56992695014901</v>
      </c>
      <c r="X13" s="100">
        <v>959.37840369256912</v>
      </c>
      <c r="Y13" s="101">
        <v>959.37840369256912</v>
      </c>
      <c r="Z13" s="100">
        <v>948.98123512821735</v>
      </c>
      <c r="AA13" s="101">
        <v>948.98123512821735</v>
      </c>
      <c r="AB13" s="100">
        <v>935.42852835404847</v>
      </c>
      <c r="AC13" s="101">
        <v>935.42852835404847</v>
      </c>
      <c r="AD13" s="100">
        <v>917.16195696648981</v>
      </c>
      <c r="AE13" s="101">
        <v>917.16195696648981</v>
      </c>
      <c r="AF13" s="100">
        <v>891.53022420628213</v>
      </c>
      <c r="AG13" s="101">
        <v>891.53022420628213</v>
      </c>
      <c r="AH13" s="100">
        <v>853.79968196942957</v>
      </c>
      <c r="AI13" s="101">
        <v>853.79968196942957</v>
      </c>
      <c r="AJ13" s="100">
        <v>794.75746210976206</v>
      </c>
      <c r="AK13" s="101">
        <v>794.75746210976206</v>
      </c>
      <c r="AL13" s="100">
        <v>693.51525119686903</v>
      </c>
      <c r="AM13" s="101">
        <v>693.51525119686903</v>
      </c>
      <c r="AN13" s="100">
        <v>488.87343009404759</v>
      </c>
      <c r="AO13" s="101">
        <v>488.87343009404759</v>
      </c>
      <c r="AP13" s="100">
        <v>420.98264391587651</v>
      </c>
      <c r="AQ13" s="101">
        <v>420.98264391587651</v>
      </c>
      <c r="AR13" s="100">
        <v>336.95123422009101</v>
      </c>
      <c r="AS13" s="101">
        <v>336.95123422009101</v>
      </c>
      <c r="AT13" s="100"/>
      <c r="AU13" s="101"/>
      <c r="AV13" s="100"/>
      <c r="AW13" s="101"/>
    </row>
    <row r="14" spans="1:49" x14ac:dyDescent="0.2">
      <c r="A14" t="s">
        <v>36</v>
      </c>
      <c r="B14" s="41">
        <v>1571.7032514685595</v>
      </c>
      <c r="C14" s="42">
        <v>1562.3699911127492</v>
      </c>
      <c r="D14" s="41">
        <v>1569.7832098225679</v>
      </c>
      <c r="E14" s="42">
        <v>1560.461351268312</v>
      </c>
      <c r="F14" s="41">
        <v>1567.4413662122254</v>
      </c>
      <c r="G14" s="42">
        <v>1558.133414250138</v>
      </c>
      <c r="H14" s="41">
        <v>1564.6136638204378</v>
      </c>
      <c r="I14" s="42">
        <v>1555.3225036303384</v>
      </c>
      <c r="J14" s="41">
        <v>1561.221028479061</v>
      </c>
      <c r="K14" s="42">
        <v>1551.9500148076531</v>
      </c>
      <c r="L14" s="41">
        <v>1557.1643405057991</v>
      </c>
      <c r="M14" s="42">
        <v>1547.9174167031381</v>
      </c>
      <c r="N14" s="41">
        <v>1552.3172100823938</v>
      </c>
      <c r="O14" s="42">
        <v>1543.0990700403934</v>
      </c>
      <c r="P14" s="41">
        <v>1546.5149492648659</v>
      </c>
      <c r="Q14" s="42">
        <v>1537.3312648434237</v>
      </c>
      <c r="R14" s="41">
        <v>1539.5379624130071</v>
      </c>
      <c r="S14" s="42">
        <v>1530.3957094988971</v>
      </c>
      <c r="T14" s="41">
        <v>1531.0855333382056</v>
      </c>
      <c r="U14" s="42">
        <v>1521.9934735640031</v>
      </c>
      <c r="V14" s="41">
        <v>1520.7328002107458</v>
      </c>
      <c r="W14" s="42">
        <v>1511.7022181700677</v>
      </c>
      <c r="X14" s="41">
        <v>1507.8581564723272</v>
      </c>
      <c r="Y14" s="42">
        <v>1498.9040280509225</v>
      </c>
      <c r="Z14" s="41">
        <v>1491.5168928336689</v>
      </c>
      <c r="AA14" s="42">
        <v>1482.6598038934385</v>
      </c>
      <c r="AB14" s="41">
        <v>1470.2160595305077</v>
      </c>
      <c r="AC14" s="42">
        <v>1461.4854615311267</v>
      </c>
      <c r="AD14" s="41">
        <v>1441.5064298874993</v>
      </c>
      <c r="AE14" s="42">
        <v>1432.9463185546863</v>
      </c>
      <c r="AF14" s="41">
        <v>1401.2209521675077</v>
      </c>
      <c r="AG14" s="42">
        <v>1392.9000684699163</v>
      </c>
      <c r="AH14" s="41">
        <v>1341.9197362541745</v>
      </c>
      <c r="AI14" s="42">
        <v>1333.9510015306457</v>
      </c>
      <c r="AJ14" s="41">
        <v>1249.1228873268135</v>
      </c>
      <c r="AK14" s="42">
        <v>1241.7052090132199</v>
      </c>
      <c r="AL14" s="41">
        <v>1090.0001752491539</v>
      </c>
      <c r="AM14" s="42">
        <v>1083.5274168490082</v>
      </c>
      <c r="AN14" s="41">
        <v>768.36395963540213</v>
      </c>
      <c r="AO14" s="42">
        <v>763.80117663129636</v>
      </c>
      <c r="AP14" s="41">
        <v>661.65979025441391</v>
      </c>
      <c r="AQ14" s="42">
        <v>657.73064963346962</v>
      </c>
      <c r="AR14" s="41">
        <v>529.58735041006128</v>
      </c>
      <c r="AS14" s="42">
        <v>526.44249681387339</v>
      </c>
      <c r="AT14" s="41"/>
      <c r="AU14" s="42"/>
      <c r="AV14" s="41"/>
      <c r="AW14" s="42"/>
    </row>
    <row r="15" spans="1:49" x14ac:dyDescent="0.2">
      <c r="A15" t="s">
        <v>18</v>
      </c>
      <c r="B15" s="157">
        <v>1000</v>
      </c>
      <c r="C15" s="158">
        <v>1000</v>
      </c>
      <c r="D15" s="157">
        <v>992.64470413971435</v>
      </c>
      <c r="E15" s="158">
        <v>992.64470413971435</v>
      </c>
      <c r="F15" s="157">
        <v>985.12879137520815</v>
      </c>
      <c r="G15" s="158">
        <v>985.12879137520815</v>
      </c>
      <c r="H15" s="157">
        <v>977.42598711268556</v>
      </c>
      <c r="I15" s="158">
        <v>977.42598711268556</v>
      </c>
      <c r="J15" s="157">
        <v>969.50435207270425</v>
      </c>
      <c r="K15" s="158">
        <v>969.50435207270425</v>
      </c>
      <c r="L15" s="157">
        <v>961.32439540201574</v>
      </c>
      <c r="M15" s="158">
        <v>961.32439540201574</v>
      </c>
      <c r="N15" s="157">
        <v>952.83626773567141</v>
      </c>
      <c r="O15" s="158">
        <v>952.83626773567141</v>
      </c>
      <c r="P15" s="157">
        <v>943.97541315455726</v>
      </c>
      <c r="Q15" s="158">
        <v>943.97541315455726</v>
      </c>
      <c r="R15" s="157">
        <v>934.65557399795728</v>
      </c>
      <c r="S15" s="158">
        <v>934.65557399795728</v>
      </c>
      <c r="T15" s="157">
        <v>924.75703074950786</v>
      </c>
      <c r="U15" s="158">
        <v>924.75703074950786</v>
      </c>
      <c r="V15" s="157">
        <v>914.10581103473032</v>
      </c>
      <c r="W15" s="158">
        <v>914.10581103473032</v>
      </c>
      <c r="X15" s="157">
        <v>902.43508036766127</v>
      </c>
      <c r="Y15" s="158">
        <v>902.43508036766127</v>
      </c>
      <c r="Z15" s="157">
        <v>889.31028647774076</v>
      </c>
      <c r="AA15" s="158">
        <v>889.31028647774076</v>
      </c>
      <c r="AB15" s="157">
        <v>873.98073290455648</v>
      </c>
      <c r="AC15" s="158">
        <v>873.98073290455648</v>
      </c>
      <c r="AD15" s="157">
        <v>855.09030436134651</v>
      </c>
      <c r="AE15" s="158">
        <v>855.09030436134651</v>
      </c>
      <c r="AF15" s="157">
        <v>830.14582825337948</v>
      </c>
      <c r="AG15" s="158">
        <v>830.14582825337948</v>
      </c>
      <c r="AH15" s="157">
        <v>794.55193388923362</v>
      </c>
      <c r="AI15" s="158">
        <v>794.55193388923362</v>
      </c>
      <c r="AJ15" s="157">
        <v>739.46465131579259</v>
      </c>
      <c r="AK15" s="158">
        <v>739.46465131579259</v>
      </c>
      <c r="AL15" s="157">
        <v>645.23966663337603</v>
      </c>
      <c r="AM15" s="158">
        <v>645.23966663337603</v>
      </c>
      <c r="AN15" s="157">
        <v>454.84098920949532</v>
      </c>
      <c r="AO15" s="158">
        <v>454.84098920949532</v>
      </c>
      <c r="AP15" s="157">
        <v>391.67632448352487</v>
      </c>
      <c r="AQ15" s="158">
        <v>391.67632448352487</v>
      </c>
      <c r="AR15" s="157">
        <v>313.49467549719901</v>
      </c>
      <c r="AS15" s="158">
        <v>313.49467549719901</v>
      </c>
      <c r="AT15" s="157"/>
      <c r="AU15" s="158"/>
      <c r="AV15" s="157"/>
      <c r="AW15" s="158"/>
    </row>
    <row r="16" spans="1:49" s="29" customFormat="1" x14ac:dyDescent="0.2">
      <c r="A16" t="s">
        <v>63</v>
      </c>
      <c r="B16" s="41">
        <v>1000</v>
      </c>
      <c r="C16" s="42">
        <v>1000</v>
      </c>
      <c r="D16" s="41">
        <v>995.76079400573508</v>
      </c>
      <c r="E16" s="42">
        <v>994.12002951251145</v>
      </c>
      <c r="F16" s="41">
        <v>991.30344429413924</v>
      </c>
      <c r="G16" s="42">
        <v>988.05250507124367</v>
      </c>
      <c r="H16" s="41">
        <v>986.59444233827469</v>
      </c>
      <c r="I16" s="42">
        <v>981.7677127739048</v>
      </c>
      <c r="J16" s="41">
        <v>981.59266543438514</v>
      </c>
      <c r="K16" s="42">
        <v>975.22934826608491</v>
      </c>
      <c r="L16" s="41">
        <v>976.24683236158717</v>
      </c>
      <c r="M16" s="42">
        <v>968.39231760604787</v>
      </c>
      <c r="N16" s="41">
        <v>970.49180002917751</v>
      </c>
      <c r="O16" s="42">
        <v>961.19950458719291</v>
      </c>
      <c r="P16" s="41">
        <v>964.24287767677993</v>
      </c>
      <c r="Q16" s="42">
        <v>953.57678744989926</v>
      </c>
      <c r="R16" s="41">
        <v>957.38704192317061</v>
      </c>
      <c r="S16" s="42">
        <v>945.42519369706133</v>
      </c>
      <c r="T16" s="41">
        <v>949.76871221445424</v>
      </c>
      <c r="U16" s="42">
        <v>936.60796963864902</v>
      </c>
      <c r="V16" s="41">
        <v>941.16565822755229</v>
      </c>
      <c r="W16" s="42">
        <v>926.92822175321635</v>
      </c>
      <c r="X16" s="41">
        <v>931.24658521358811</v>
      </c>
      <c r="Y16" s="42">
        <v>916.08850089261512</v>
      </c>
      <c r="Z16" s="41">
        <v>919.49348867457968</v>
      </c>
      <c r="AA16" s="42">
        <v>903.614623303592</v>
      </c>
      <c r="AB16" s="41">
        <v>905.05579713463078</v>
      </c>
      <c r="AC16" s="42">
        <v>888.70846728168897</v>
      </c>
      <c r="AD16" s="41">
        <v>886.47590711352052</v>
      </c>
      <c r="AE16" s="42">
        <v>869.96573732911213</v>
      </c>
      <c r="AF16" s="41">
        <v>861.18102972415068</v>
      </c>
      <c r="AG16" s="42">
        <v>844.85549121667145</v>
      </c>
      <c r="AH16" s="41">
        <v>824.50558406341213</v>
      </c>
      <c r="AI16" s="42">
        <v>808.74911269900804</v>
      </c>
      <c r="AJ16" s="41">
        <v>767.41842114949759</v>
      </c>
      <c r="AK16" s="42">
        <v>752.71398558566307</v>
      </c>
      <c r="AL16" s="41">
        <v>669.64574166736384</v>
      </c>
      <c r="AM16" s="42">
        <v>656.80749686867898</v>
      </c>
      <c r="AN16" s="41">
        <v>472.04633320938001</v>
      </c>
      <c r="AO16" s="42">
        <v>462.99586509303288</v>
      </c>
      <c r="AP16" s="41">
        <v>406.49234388659346</v>
      </c>
      <c r="AQ16" s="42">
        <v>398.69872400443279</v>
      </c>
      <c r="AR16" s="41">
        <v>325.353306509064</v>
      </c>
      <c r="AS16" s="42">
        <v>319.11535150619443</v>
      </c>
      <c r="AT16" s="41"/>
      <c r="AU16" s="42"/>
      <c r="AV16" s="41"/>
      <c r="AW16" s="42"/>
    </row>
    <row r="17" spans="1:49" x14ac:dyDescent="0.2">
      <c r="A17" t="s">
        <v>64</v>
      </c>
      <c r="B17" s="35">
        <v>1000</v>
      </c>
      <c r="C17" s="36">
        <v>999.99999999999977</v>
      </c>
      <c r="D17" s="35">
        <v>998.4226592801042</v>
      </c>
      <c r="E17" s="36">
        <v>1030.8663957812462</v>
      </c>
      <c r="F17" s="35">
        <v>996.86089607476094</v>
      </c>
      <c r="G17" s="36">
        <v>1065.4532876430042</v>
      </c>
      <c r="H17" s="35">
        <v>995.32068927191176</v>
      </c>
      <c r="I17" s="36">
        <v>1104.499153681144</v>
      </c>
      <c r="J17" s="35">
        <v>993.81090320710985</v>
      </c>
      <c r="K17" s="36">
        <v>1148.963035678496</v>
      </c>
      <c r="L17" s="35">
        <v>992.34468935874861</v>
      </c>
      <c r="M17" s="36">
        <v>1200.1156048072398</v>
      </c>
      <c r="N17" s="35">
        <v>990.94166084114431</v>
      </c>
      <c r="O17" s="36">
        <v>1259.6791881589452</v>
      </c>
      <c r="P17" s="35">
        <v>989.63119944799064</v>
      </c>
      <c r="Q17" s="36">
        <v>1330.0497938289352</v>
      </c>
      <c r="R17" s="35">
        <v>988.45771685194995</v>
      </c>
      <c r="S17" s="36">
        <v>1414.659945787949</v>
      </c>
      <c r="T17" s="35">
        <v>987.48894665059686</v>
      </c>
      <c r="U17" s="36">
        <v>1518.5927838454027</v>
      </c>
      <c r="V17" s="35">
        <v>986.82879553522457</v>
      </c>
      <c r="W17" s="36">
        <v>1649.6603259764952</v>
      </c>
      <c r="X17" s="35">
        <v>986.63621474984541</v>
      </c>
      <c r="Y17" s="36">
        <v>1820.3615436443574</v>
      </c>
      <c r="Z17" s="35">
        <v>987.14851618386433</v>
      </c>
      <c r="AA17" s="36">
        <v>2051.5413114638582</v>
      </c>
      <c r="AB17" s="35">
        <v>988.69524949363267</v>
      </c>
      <c r="AC17" s="36">
        <v>2379.3581560653993</v>
      </c>
      <c r="AD17" s="35">
        <v>991.65948567653447</v>
      </c>
      <c r="AE17" s="36">
        <v>2868.7978758974568</v>
      </c>
      <c r="AF17" s="35">
        <v>996.32440474401869</v>
      </c>
      <c r="AG17" s="36">
        <v>3641.6837946629985</v>
      </c>
      <c r="AH17" s="35">
        <v>1002.6498048981358</v>
      </c>
      <c r="AI17" s="36">
        <v>4946.2117632588588</v>
      </c>
      <c r="AJ17" s="35">
        <v>1010.231303958112</v>
      </c>
      <c r="AK17" s="36">
        <v>7376.0380793353352</v>
      </c>
      <c r="AL17" s="35">
        <v>1018.5621440044295</v>
      </c>
      <c r="AM17" s="36">
        <v>12760.298657340842</v>
      </c>
      <c r="AN17" s="35">
        <v>1027.3753538207579</v>
      </c>
      <c r="AO17" s="36">
        <v>29852.206857128192</v>
      </c>
      <c r="AP17" s="35">
        <v>1029.2218000561877</v>
      </c>
      <c r="AQ17" s="36">
        <v>38061.80637928014</v>
      </c>
      <c r="AR17" s="35">
        <v>1031.1303514376871</v>
      </c>
      <c r="AS17" s="36">
        <v>50760.650629153221</v>
      </c>
      <c r="AT17" s="35"/>
      <c r="AU17" s="36"/>
      <c r="AV17" s="35"/>
      <c r="AW17" s="36"/>
    </row>
    <row r="18" spans="1:49" x14ac:dyDescent="0.2">
      <c r="A18" t="s">
        <v>19</v>
      </c>
      <c r="B18" s="33">
        <v>21498.981358265999</v>
      </c>
      <c r="C18" s="34">
        <v>834.03652123400332</v>
      </c>
      <c r="D18" s="33">
        <v>21508.445570014188</v>
      </c>
      <c r="E18" s="34">
        <v>758.31164851343431</v>
      </c>
      <c r="F18" s="33">
        <v>21514.861170883381</v>
      </c>
      <c r="G18" s="34">
        <v>683.65187845964556</v>
      </c>
      <c r="H18" s="33">
        <v>21517.694175807035</v>
      </c>
      <c r="I18" s="34">
        <v>610.23284276444258</v>
      </c>
      <c r="J18" s="33">
        <v>21516.266179994509</v>
      </c>
      <c r="K18" s="34">
        <v>538.2726772670909</v>
      </c>
      <c r="L18" s="33">
        <v>21509.700577950574</v>
      </c>
      <c r="M18" s="34">
        <v>468.04544889474397</v>
      </c>
      <c r="N18" s="33">
        <v>21496.843483828354</v>
      </c>
      <c r="O18" s="34">
        <v>399.89914847677159</v>
      </c>
      <c r="P18" s="33">
        <v>21476.143573910296</v>
      </c>
      <c r="Q18" s="34">
        <v>334.28128721336367</v>
      </c>
      <c r="R18" s="33">
        <v>21445.468154504182</v>
      </c>
      <c r="S18" s="34">
        <v>271.771786045596</v>
      </c>
      <c r="T18" s="33">
        <v>21401.814040932968</v>
      </c>
      <c r="U18" s="34">
        <v>213.12499944595407</v>
      </c>
      <c r="V18" s="33">
        <v>21340.844753123547</v>
      </c>
      <c r="W18" s="34">
        <v>159.31832456197969</v>
      </c>
      <c r="X18" s="33">
        <v>21256.147548139084</v>
      </c>
      <c r="Y18" s="34">
        <v>111.58931233224268</v>
      </c>
      <c r="Z18" s="33">
        <v>21138.059577758693</v>
      </c>
      <c r="AA18" s="34">
        <v>71.407163308442236</v>
      </c>
      <c r="AB18" s="33">
        <v>20971.899713397575</v>
      </c>
      <c r="AC18" s="34">
        <v>40.250332698579072</v>
      </c>
      <c r="AD18" s="33">
        <v>20735.43807599739</v>
      </c>
      <c r="AE18" s="34">
        <v>19.004804249894132</v>
      </c>
      <c r="AF18" s="33">
        <v>20394.746003739496</v>
      </c>
      <c r="AG18" s="34">
        <v>7.04806961746882</v>
      </c>
      <c r="AH18" s="33">
        <v>19893.541679667476</v>
      </c>
      <c r="AI18" s="34">
        <v>1.8919537354163021</v>
      </c>
      <c r="AJ18" s="33">
        <v>19119.006961527768</v>
      </c>
      <c r="AK18" s="34">
        <v>0.32377489739274862</v>
      </c>
      <c r="AL18" s="33">
        <v>17784.626260853616</v>
      </c>
      <c r="AM18" s="34">
        <v>2.69775537114917E-2</v>
      </c>
      <c r="AN18" s="33">
        <v>14866.332881486054</v>
      </c>
      <c r="AO18" s="34">
        <v>5.0233174372013481E-4</v>
      </c>
      <c r="AP18" s="33">
        <v>13782.9043149545</v>
      </c>
      <c r="AQ18" s="34">
        <v>1.5540879101313957E-4</v>
      </c>
      <c r="AR18" s="33">
        <v>12319.215450986452</v>
      </c>
      <c r="AS18" s="34">
        <v>3.7657195585408657E-5</v>
      </c>
      <c r="AT18" s="33"/>
      <c r="AU18" s="34"/>
      <c r="AV18" s="33"/>
      <c r="AW18" s="34"/>
    </row>
    <row r="19" spans="1:49" x14ac:dyDescent="0.2">
      <c r="A19" t="s">
        <v>3</v>
      </c>
      <c r="B19" s="41">
        <v>1782.2320505062355</v>
      </c>
      <c r="C19" s="42">
        <v>450.22976484179424</v>
      </c>
      <c r="D19" s="41">
        <v>1775.8542051062991</v>
      </c>
      <c r="E19" s="42">
        <v>456.92124157080559</v>
      </c>
      <c r="F19" s="41">
        <v>1769.2941878915092</v>
      </c>
      <c r="G19" s="42">
        <v>463.97559798021956</v>
      </c>
      <c r="H19" s="41">
        <v>1762.538314075076</v>
      </c>
      <c r="I19" s="42">
        <v>471.34219593052694</v>
      </c>
      <c r="J19" s="41">
        <v>1755.5747584781266</v>
      </c>
      <c r="K19" s="42">
        <v>478.93752633980125</v>
      </c>
      <c r="L19" s="41">
        <v>1748.3956398846885</v>
      </c>
      <c r="M19" s="42">
        <v>486.62948721833453</v>
      </c>
      <c r="N19" s="41">
        <v>1741.0005022528146</v>
      </c>
      <c r="O19" s="42">
        <v>494.21355869647994</v>
      </c>
      <c r="P19" s="41">
        <v>1733.4015139926464</v>
      </c>
      <c r="Q19" s="42">
        <v>501.37623714268943</v>
      </c>
      <c r="R19" s="41">
        <v>1725.6320502818839</v>
      </c>
      <c r="S19" s="42">
        <v>507.63805899996277</v>
      </c>
      <c r="T19" s="41">
        <v>1717.7598090313993</v>
      </c>
      <c r="U19" s="42">
        <v>512.26499299059594</v>
      </c>
      <c r="V19" s="41">
        <v>1709.9048307321125</v>
      </c>
      <c r="W19" s="42">
        <v>514.13367476785857</v>
      </c>
      <c r="X19" s="41">
        <v>1702.2582296075279</v>
      </c>
      <c r="Y19" s="42">
        <v>511.53944271387229</v>
      </c>
      <c r="Z19" s="41">
        <v>1695.0775137194576</v>
      </c>
      <c r="AA19" s="42">
        <v>501.97357488205563</v>
      </c>
      <c r="AB19" s="41">
        <v>1688.5735407882619</v>
      </c>
      <c r="AC19" s="42">
        <v>482.03232338807982</v>
      </c>
      <c r="AD19" s="41">
        <v>1682.4686977801998</v>
      </c>
      <c r="AE19" s="42">
        <v>447.91925154462814</v>
      </c>
      <c r="AF19" s="41">
        <v>1674.8727390643351</v>
      </c>
      <c r="AG19" s="42">
        <v>397.12863354245837</v>
      </c>
      <c r="AH19" s="41">
        <v>1660.2810999775131</v>
      </c>
      <c r="AI19" s="42">
        <v>330.67047273711029</v>
      </c>
      <c r="AJ19" s="41">
        <v>1626.3234418749644</v>
      </c>
      <c r="AK19" s="42">
        <v>253.18459334472257</v>
      </c>
      <c r="AL19" s="41">
        <v>1544.274464597647</v>
      </c>
      <c r="AM19" s="42">
        <v>170.13992567285695</v>
      </c>
      <c r="AN19" s="41">
        <v>1318.7837383618553</v>
      </c>
      <c r="AO19" s="42">
        <v>85.234639030769671</v>
      </c>
      <c r="AP19" s="41">
        <v>1228.1060820503017</v>
      </c>
      <c r="AQ19" s="42">
        <v>68.193931576619008</v>
      </c>
      <c r="AR19" s="41">
        <v>1102.7089468208276</v>
      </c>
      <c r="AS19" s="42">
        <v>51.148014285551078</v>
      </c>
      <c r="AT19" s="41"/>
      <c r="AU19" s="42"/>
      <c r="AV19" s="41"/>
      <c r="AW19" s="42"/>
    </row>
    <row r="20" spans="1:49" x14ac:dyDescent="0.2">
      <c r="A20" t="s">
        <v>130</v>
      </c>
      <c r="B20" s="85">
        <v>20973.127797372959</v>
      </c>
      <c r="C20" s="86">
        <v>1222.2257935314667</v>
      </c>
      <c r="D20" s="85">
        <v>20967.685513306544</v>
      </c>
      <c r="E20" s="86">
        <v>1161.1145038548932</v>
      </c>
      <c r="F20" s="85">
        <v>20959.343462418237</v>
      </c>
      <c r="G20" s="86">
        <v>1100.0032141783201</v>
      </c>
      <c r="H20" s="85">
        <v>20947.645562864738</v>
      </c>
      <c r="I20" s="86">
        <v>1038.8919245017466</v>
      </c>
      <c r="J20" s="85">
        <v>20932.024780500884</v>
      </c>
      <c r="K20" s="86">
        <v>977.78063482517348</v>
      </c>
      <c r="L20" s="85">
        <v>20911.764976076451</v>
      </c>
      <c r="M20" s="86">
        <v>916.66934514859997</v>
      </c>
      <c r="N20" s="85">
        <v>20885.945718735893</v>
      </c>
      <c r="O20" s="86">
        <v>855.55805547202669</v>
      </c>
      <c r="P20" s="85">
        <v>20853.3581963039</v>
      </c>
      <c r="Q20" s="86">
        <v>794.4467657954533</v>
      </c>
      <c r="R20" s="85">
        <v>20812.377641528834</v>
      </c>
      <c r="S20" s="86">
        <v>733.33547611888014</v>
      </c>
      <c r="T20" s="85">
        <v>20760.761441635153</v>
      </c>
      <c r="U20" s="86">
        <v>672.22418644230675</v>
      </c>
      <c r="V20" s="85">
        <v>20695.318084296778</v>
      </c>
      <c r="W20" s="86">
        <v>611.11289676573335</v>
      </c>
      <c r="X20" s="85">
        <v>20611.349991331859</v>
      </c>
      <c r="Y20" s="86">
        <v>550.00160708916007</v>
      </c>
      <c r="Z20" s="85">
        <v>20501.690625671938</v>
      </c>
      <c r="AA20" s="86">
        <v>488.89031741258674</v>
      </c>
      <c r="AB20" s="85">
        <v>20355.008254825207</v>
      </c>
      <c r="AC20" s="86">
        <v>427.77902773601335</v>
      </c>
      <c r="AD20" s="85">
        <v>20152.757464756705</v>
      </c>
      <c r="AE20" s="86">
        <v>366.6677380594399</v>
      </c>
      <c r="AF20" s="85">
        <v>19863.383250293802</v>
      </c>
      <c r="AG20" s="86">
        <v>305.55644838286662</v>
      </c>
      <c r="AH20" s="85">
        <v>19429.628881777633</v>
      </c>
      <c r="AI20" s="86">
        <v>244.44515870629314</v>
      </c>
      <c r="AJ20" s="85">
        <v>18734.661041350391</v>
      </c>
      <c r="AK20" s="86">
        <v>183.33386902971978</v>
      </c>
      <c r="AL20" s="85">
        <v>17488.688694330238</v>
      </c>
      <c r="AM20" s="86">
        <v>122.22257935314637</v>
      </c>
      <c r="AN20" s="85">
        <v>14672.25255313967</v>
      </c>
      <c r="AO20" s="86">
        <v>61.11128967657298</v>
      </c>
      <c r="AP20" s="85">
        <v>13613.185458552585</v>
      </c>
      <c r="AQ20" s="86">
        <v>48.889031741258307</v>
      </c>
      <c r="AR20" s="85">
        <v>12176.916606612978</v>
      </c>
      <c r="AS20" s="86">
        <v>36.66677380594362</v>
      </c>
      <c r="AT20" s="85"/>
      <c r="AU20" s="86"/>
      <c r="AV20" s="85"/>
      <c r="AW20" s="86"/>
    </row>
    <row r="21" spans="1:49" x14ac:dyDescent="0.2">
      <c r="A21" t="s">
        <v>78</v>
      </c>
      <c r="B21" s="85">
        <v>19190.895746866718</v>
      </c>
      <c r="C21" s="86">
        <v>771.99602868967372</v>
      </c>
      <c r="D21" s="85">
        <v>19191.836682762132</v>
      </c>
      <c r="E21" s="86">
        <v>704.57956906723484</v>
      </c>
      <c r="F21" s="85">
        <v>19190.070583517459</v>
      </c>
      <c r="G21" s="86">
        <v>637.64228712038971</v>
      </c>
      <c r="H21" s="85">
        <v>19185.15464015153</v>
      </c>
      <c r="I21" s="86">
        <v>571.34800932573603</v>
      </c>
      <c r="J21" s="85">
        <v>19176.532984697733</v>
      </c>
      <c r="K21" s="86">
        <v>505.9050751013296</v>
      </c>
      <c r="L21" s="85">
        <v>19163.496315987431</v>
      </c>
      <c r="M21" s="86">
        <v>441.58003941045484</v>
      </c>
      <c r="N21" s="85">
        <v>19145.123022825319</v>
      </c>
      <c r="O21" s="86">
        <v>378.71618504550679</v>
      </c>
      <c r="P21" s="85">
        <v>19120.189582823794</v>
      </c>
      <c r="Q21" s="86">
        <v>317.75852354228545</v>
      </c>
      <c r="R21" s="85">
        <v>19087.033947297175</v>
      </c>
      <c r="S21" s="86">
        <v>259.28737493602387</v>
      </c>
      <c r="T21" s="85">
        <v>19043.339898190705</v>
      </c>
      <c r="U21" s="86">
        <v>204.06154094508068</v>
      </c>
      <c r="V21" s="85">
        <v>18985.787213467629</v>
      </c>
      <c r="W21" s="86">
        <v>153.06777653383747</v>
      </c>
      <c r="X21" s="85">
        <v>18909.475246112008</v>
      </c>
      <c r="Y21" s="86">
        <v>107.55994577194174</v>
      </c>
      <c r="Z21" s="85">
        <v>18806.965697746709</v>
      </c>
      <c r="AA21" s="86">
        <v>69.034471848034741</v>
      </c>
      <c r="AB21" s="85">
        <v>18666.705183707276</v>
      </c>
      <c r="AC21" s="86">
        <v>39.015100514348049</v>
      </c>
      <c r="AD21" s="85">
        <v>18470.434118719764</v>
      </c>
      <c r="AE21" s="86">
        <v>18.461056255430297</v>
      </c>
      <c r="AF21" s="85">
        <v>18188.538212528325</v>
      </c>
      <c r="AG21" s="86">
        <v>6.857115351564679</v>
      </c>
      <c r="AH21" s="85">
        <v>17769.361781963511</v>
      </c>
      <c r="AI21" s="86">
        <v>1.8424852972076289</v>
      </c>
      <c r="AJ21" s="85">
        <v>17108.537468587318</v>
      </c>
      <c r="AK21" s="86">
        <v>0.31546423813367763</v>
      </c>
      <c r="AL21" s="85">
        <v>15945.023790583457</v>
      </c>
      <c r="AM21" s="86">
        <v>2.6290036085139967E-2</v>
      </c>
      <c r="AN21" s="85">
        <v>13354.57256114442</v>
      </c>
      <c r="AO21" s="86">
        <v>4.8955207161461135E-4</v>
      </c>
      <c r="AP21" s="85">
        <v>12386.244397263432</v>
      </c>
      <c r="AQ21" s="86">
        <v>1.5145538359451294E-4</v>
      </c>
      <c r="AR21" s="85">
        <v>11075.388394095529</v>
      </c>
      <c r="AS21" s="86">
        <v>3.6699286427580244E-5</v>
      </c>
      <c r="AT21" s="85"/>
      <c r="AU21" s="86"/>
      <c r="AV21" s="85"/>
      <c r="AW21" s="86"/>
    </row>
    <row r="22" spans="1:49" x14ac:dyDescent="0.2">
      <c r="A22" t="s">
        <v>28</v>
      </c>
      <c r="B22" s="41">
        <v>5896.9295697243897</v>
      </c>
      <c r="C22" s="42">
        <v>340.53228761636649</v>
      </c>
      <c r="D22" s="41">
        <v>5870.7647427404845</v>
      </c>
      <c r="E22" s="42">
        <v>329.50346973164739</v>
      </c>
      <c r="F22" s="41">
        <v>5842.7336420645634</v>
      </c>
      <c r="G22" s="42">
        <v>318.12429478704786</v>
      </c>
      <c r="H22" s="41">
        <v>5812.5257227958946</v>
      </c>
      <c r="I22" s="42">
        <v>306.35816381309627</v>
      </c>
      <c r="J22" s="41">
        <v>5779.7497474860675</v>
      </c>
      <c r="K22" s="42">
        <v>294.16082203785709</v>
      </c>
      <c r="L22" s="41">
        <v>5743.9042638145347</v>
      </c>
      <c r="M22" s="42">
        <v>281.47813318227111</v>
      </c>
      <c r="N22" s="41">
        <v>5704.3348906729652</v>
      </c>
      <c r="O22" s="42">
        <v>268.24317176459351</v>
      </c>
      <c r="P22" s="41">
        <v>5660.167885540709</v>
      </c>
      <c r="Q22" s="42">
        <v>254.37228039673667</v>
      </c>
      <c r="R22" s="41">
        <v>5610.2094153754115</v>
      </c>
      <c r="S22" s="42">
        <v>239.76025426125713</v>
      </c>
      <c r="T22" s="41">
        <v>5552.7867432509393</v>
      </c>
      <c r="U22" s="42">
        <v>224.27481261548598</v>
      </c>
      <c r="V22" s="41">
        <v>5485.4939090309836</v>
      </c>
      <c r="W22" s="42">
        <v>207.75161683628585</v>
      </c>
      <c r="X22" s="41">
        <v>5404.7841888364273</v>
      </c>
      <c r="Y22" s="42">
        <v>189.99437951610872</v>
      </c>
      <c r="Z22" s="41">
        <v>5305.3313558858536</v>
      </c>
      <c r="AA22" s="42">
        <v>170.79171874914712</v>
      </c>
      <c r="AB22" s="41">
        <v>5179.093123338881</v>
      </c>
      <c r="AC22" s="42">
        <v>149.97510815804202</v>
      </c>
      <c r="AD22" s="41">
        <v>5014.0822136118704</v>
      </c>
      <c r="AE22" s="42">
        <v>127.5469164421673</v>
      </c>
      <c r="AF22" s="41">
        <v>4792.7181765730602</v>
      </c>
      <c r="AG22" s="42">
        <v>103.84998455245388</v>
      </c>
      <c r="AH22" s="41">
        <v>4488.1305777044563</v>
      </c>
      <c r="AI22" s="42">
        <v>79.60816561300264</v>
      </c>
      <c r="AJ22" s="41">
        <v>4052.6327175514948</v>
      </c>
      <c r="AK22" s="42">
        <v>55.712214597584378</v>
      </c>
      <c r="AL22" s="41">
        <v>3383.3255185055168</v>
      </c>
      <c r="AM22" s="42">
        <v>33.037362743552222</v>
      </c>
      <c r="AN22" s="41">
        <v>2206.5083164049984</v>
      </c>
      <c r="AO22" s="42">
        <v>12.803442695418193</v>
      </c>
      <c r="AP22" s="41">
        <v>1853.1353658479641</v>
      </c>
      <c r="AQ22" s="42">
        <v>9.2792110733609245</v>
      </c>
      <c r="AR22" s="41">
        <v>1437.1154428725572</v>
      </c>
      <c r="AS22" s="42">
        <v>6.0459599004353377</v>
      </c>
      <c r="AT22" s="41"/>
      <c r="AU22" s="42"/>
      <c r="AV22" s="41"/>
      <c r="AW22" s="42"/>
    </row>
    <row r="23" spans="1:49" x14ac:dyDescent="0.2">
      <c r="A23" t="s">
        <v>7</v>
      </c>
      <c r="B23" s="119">
        <v>2396.8717103698964</v>
      </c>
      <c r="C23" s="8">
        <v>0</v>
      </c>
      <c r="D23" s="119">
        <v>2398.3957253187532</v>
      </c>
      <c r="E23" s="8">
        <v>0</v>
      </c>
      <c r="F23" s="119">
        <v>2399.6861834456504</v>
      </c>
      <c r="G23" s="8">
        <v>0</v>
      </c>
      <c r="H23" s="119">
        <v>2400.7093397355311</v>
      </c>
      <c r="I23" s="8">
        <v>0</v>
      </c>
      <c r="J23" s="119">
        <v>2401.424359121359</v>
      </c>
      <c r="K23" s="8">
        <v>0</v>
      </c>
      <c r="L23" s="119">
        <v>2401.7812520774123</v>
      </c>
      <c r="M23" s="8">
        <v>0</v>
      </c>
      <c r="N23" s="119">
        <v>2401.7180383496338</v>
      </c>
      <c r="O23" s="8">
        <v>0</v>
      </c>
      <c r="P23" s="119">
        <v>2401.1562765963308</v>
      </c>
      <c r="Q23" s="8">
        <v>0</v>
      </c>
      <c r="R23" s="119">
        <v>2399.9944920514668</v>
      </c>
      <c r="S23" s="8">
        <v>0</v>
      </c>
      <c r="T23" s="119">
        <v>2398.0974268728319</v>
      </c>
      <c r="U23" s="8">
        <v>0</v>
      </c>
      <c r="V23" s="119">
        <v>2395.2768293675708</v>
      </c>
      <c r="W23" s="8">
        <v>0</v>
      </c>
      <c r="X23" s="119">
        <v>2391.2543816100579</v>
      </c>
      <c r="Y23" s="8">
        <v>0</v>
      </c>
      <c r="Z23" s="119">
        <v>2385.5832930604906</v>
      </c>
      <c r="AA23" s="8">
        <v>0</v>
      </c>
      <c r="AB23" s="119">
        <v>2377.4709238751907</v>
      </c>
      <c r="AC23" s="8">
        <v>0</v>
      </c>
      <c r="AD23" s="119">
        <v>2365.3719740119527</v>
      </c>
      <c r="AE23" s="8">
        <v>0</v>
      </c>
      <c r="AF23" s="119">
        <v>2346.105199062169</v>
      </c>
      <c r="AG23" s="8">
        <v>0</v>
      </c>
      <c r="AH23" s="119">
        <v>2313.0356344946099</v>
      </c>
      <c r="AI23" s="8">
        <v>0</v>
      </c>
      <c r="AJ23" s="119">
        <v>2251.7770499505373</v>
      </c>
      <c r="AK23" s="8">
        <v>0</v>
      </c>
      <c r="AL23" s="119">
        <v>2125.7504137266733</v>
      </c>
      <c r="AM23" s="8">
        <v>0</v>
      </c>
      <c r="AN23" s="119">
        <v>1802.1355379140325</v>
      </c>
      <c r="AO23" s="8">
        <v>0</v>
      </c>
      <c r="AP23" s="119">
        <v>1672.9848623760718</v>
      </c>
      <c r="AQ23" s="8">
        <v>0</v>
      </c>
      <c r="AR23" s="119">
        <v>1494.3931711682242</v>
      </c>
      <c r="AS23" s="8">
        <v>0</v>
      </c>
      <c r="AT23" s="119"/>
      <c r="AU23" s="8"/>
      <c r="AV23" s="119"/>
      <c r="AW23" s="8"/>
    </row>
    <row r="24" spans="1:49" x14ac:dyDescent="0.2">
      <c r="A24" t="s">
        <v>8</v>
      </c>
      <c r="B24" s="100">
        <v>2261.1304131516072</v>
      </c>
      <c r="C24" s="8">
        <v>0</v>
      </c>
      <c r="D24" s="100">
        <v>2287.2369443969756</v>
      </c>
      <c r="E24" s="8">
        <v>0</v>
      </c>
      <c r="F24" s="100">
        <v>2313.9447745752691</v>
      </c>
      <c r="G24" s="8">
        <v>0</v>
      </c>
      <c r="H24" s="100">
        <v>2341.3808482808995</v>
      </c>
      <c r="I24" s="8">
        <v>0</v>
      </c>
      <c r="J24" s="100">
        <v>2369.7124698817893</v>
      </c>
      <c r="K24" s="8">
        <v>0</v>
      </c>
      <c r="L24" s="100">
        <v>2399.1644240411883</v>
      </c>
      <c r="M24" s="8">
        <v>0</v>
      </c>
      <c r="N24" s="100">
        <v>2430.0445752687451</v>
      </c>
      <c r="O24" s="8">
        <v>0</v>
      </c>
      <c r="P24" s="100">
        <v>2462.7837801244241</v>
      </c>
      <c r="Q24" s="8">
        <v>0</v>
      </c>
      <c r="R24" s="100">
        <v>2497.9980748056296</v>
      </c>
      <c r="S24" s="8">
        <v>0</v>
      </c>
      <c r="T24" s="100">
        <v>2536.5870644814745</v>
      </c>
      <c r="U24" s="8">
        <v>0</v>
      </c>
      <c r="V24" s="100">
        <v>2579.887745585982</v>
      </c>
      <c r="W24" s="8">
        <v>0</v>
      </c>
      <c r="X24" s="100">
        <v>2629.9065900489941</v>
      </c>
      <c r="Y24" s="8">
        <v>0</v>
      </c>
      <c r="Z24" s="100">
        <v>2689.6302570783018</v>
      </c>
      <c r="AA24" s="8">
        <v>0</v>
      </c>
      <c r="AB24" s="100">
        <v>2763.3078562390765</v>
      </c>
      <c r="AC24" s="8">
        <v>0</v>
      </c>
      <c r="AD24" s="100">
        <v>2856.3234219139299</v>
      </c>
      <c r="AE24" s="8">
        <v>0</v>
      </c>
      <c r="AF24" s="100">
        <v>2974.0557801355885</v>
      </c>
      <c r="AG24" s="8">
        <v>0</v>
      </c>
      <c r="AH24" s="100">
        <v>3119.888400258239</v>
      </c>
      <c r="AI24" s="8">
        <v>0</v>
      </c>
      <c r="AJ24" s="100">
        <v>3293.3748191935192</v>
      </c>
      <c r="AK24" s="8">
        <v>0</v>
      </c>
      <c r="AL24" s="100">
        <v>3481.4314550942177</v>
      </c>
      <c r="AM24" s="8">
        <v>0</v>
      </c>
      <c r="AN24" s="100">
        <v>3560.5443323942718</v>
      </c>
      <c r="AO24" s="8">
        <v>0</v>
      </c>
      <c r="AP24" s="100">
        <v>3501.7613454183002</v>
      </c>
      <c r="AQ24" s="8">
        <v>0</v>
      </c>
      <c r="AR24" s="100">
        <v>3359.5258693047181</v>
      </c>
      <c r="AS24" s="8">
        <v>0</v>
      </c>
      <c r="AT24" s="100"/>
      <c r="AU24" s="8"/>
      <c r="AV24" s="100"/>
      <c r="AW24" s="8"/>
    </row>
    <row r="25" spans="1:49" x14ac:dyDescent="0.2">
      <c r="A25" t="s">
        <v>0</v>
      </c>
      <c r="B25" s="41">
        <v>2308.08561139929</v>
      </c>
      <c r="C25" s="42">
        <v>62.040492544331705</v>
      </c>
      <c r="D25" s="41">
        <v>2316.6020751408964</v>
      </c>
      <c r="E25" s="42">
        <v>53.696301000464132</v>
      </c>
      <c r="F25" s="41">
        <v>2324.763423358344</v>
      </c>
      <c r="G25" s="42">
        <v>45.876256487852693</v>
      </c>
      <c r="H25" s="41">
        <v>2332.4788399845311</v>
      </c>
      <c r="I25" s="42">
        <v>38.605804259935304</v>
      </c>
      <c r="J25" s="41">
        <v>2339.6264708072526</v>
      </c>
      <c r="K25" s="42">
        <v>31.910509388844165</v>
      </c>
      <c r="L25" s="41">
        <v>2346.0402079320411</v>
      </c>
      <c r="M25" s="42">
        <v>25.815747975351798</v>
      </c>
      <c r="N25" s="41">
        <v>2351.4897883291446</v>
      </c>
      <c r="O25" s="42">
        <v>20.346198763414527</v>
      </c>
      <c r="P25" s="41">
        <v>2355.6506702244606</v>
      </c>
      <c r="Q25" s="42">
        <v>15.525072614772116</v>
      </c>
      <c r="R25" s="41">
        <v>2358.057355045139</v>
      </c>
      <c r="S25" s="42">
        <v>11.372728293412187</v>
      </c>
      <c r="T25" s="41">
        <v>2358.030790322814</v>
      </c>
      <c r="U25" s="42">
        <v>7.9043137905020826</v>
      </c>
      <c r="V25" s="41">
        <v>2354.5664405310531</v>
      </c>
      <c r="W25" s="42">
        <v>5.1257505842282232</v>
      </c>
      <c r="X25" s="41">
        <v>2346.1684062370891</v>
      </c>
      <c r="Y25" s="42">
        <v>3.0269560622420184</v>
      </c>
      <c r="Z25" s="41">
        <v>2330.6312906105168</v>
      </c>
      <c r="AA25" s="42">
        <v>1.5711888868479482</v>
      </c>
      <c r="AB25" s="41">
        <v>2304.8413021608349</v>
      </c>
      <c r="AC25" s="42">
        <v>0.68120952222256359</v>
      </c>
      <c r="AD25" s="41">
        <v>2264.8157875427364</v>
      </c>
      <c r="AE25" s="42">
        <v>0.23001418617835909</v>
      </c>
      <c r="AF25" s="41">
        <v>2206.1724173484322</v>
      </c>
      <c r="AG25" s="42">
        <v>5.5298881289401365E-2</v>
      </c>
      <c r="AH25" s="41">
        <v>2124.1623454076762</v>
      </c>
      <c r="AI25" s="42">
        <v>8.440691912604114E-3</v>
      </c>
      <c r="AJ25" s="41">
        <v>2010.2243035097119</v>
      </c>
      <c r="AK25" s="42">
        <v>6.8340221310548091E-4</v>
      </c>
      <c r="AL25" s="41">
        <v>1838.8721003009807</v>
      </c>
      <c r="AM25" s="42">
        <v>2.0056412642232286E-5</v>
      </c>
      <c r="AN25" s="41">
        <v>1510.4698877057276</v>
      </c>
      <c r="AO25" s="42">
        <v>7.2004547126012588E-8</v>
      </c>
      <c r="AP25" s="41">
        <v>1395.3047687443154</v>
      </c>
      <c r="AQ25" s="42">
        <v>1.3852364795789003E-8</v>
      </c>
      <c r="AR25" s="41">
        <v>1242.4608205811755</v>
      </c>
      <c r="AS25" s="42">
        <v>1.9078391250239221E-9</v>
      </c>
      <c r="AT25" s="41"/>
      <c r="AU25" s="42"/>
      <c r="AV25" s="41"/>
      <c r="AW25" s="42"/>
    </row>
    <row r="26" spans="1:49" x14ac:dyDescent="0.2">
      <c r="A26" t="s">
        <v>27</v>
      </c>
      <c r="B26" s="33">
        <v>3209.4420883953348</v>
      </c>
      <c r="C26" s="34">
        <v>31.623872672841795</v>
      </c>
      <c r="D26" s="33">
        <v>3212.1300586988878</v>
      </c>
      <c r="E26" s="34">
        <v>28.935902369297132</v>
      </c>
      <c r="F26" s="33">
        <v>3214.7972105707777</v>
      </c>
      <c r="G26" s="34">
        <v>26.268750497401051</v>
      </c>
      <c r="H26" s="33">
        <v>3217.4388305608709</v>
      </c>
      <c r="I26" s="34">
        <v>23.627130507305658</v>
      </c>
      <c r="J26" s="33">
        <v>3220.0487644875052</v>
      </c>
      <c r="K26" s="34">
        <v>21.017196580673183</v>
      </c>
      <c r="L26" s="33">
        <v>3222.6188937991242</v>
      </c>
      <c r="M26" s="34">
        <v>18.4470672690519</v>
      </c>
      <c r="N26" s="33">
        <v>3225.1384052284629</v>
      </c>
      <c r="O26" s="34">
        <v>15.927555839714106</v>
      </c>
      <c r="P26" s="33">
        <v>3227.5927323858064</v>
      </c>
      <c r="Q26" s="34">
        <v>13.473228682370667</v>
      </c>
      <c r="R26" s="33">
        <v>3229.9621080606848</v>
      </c>
      <c r="S26" s="34">
        <v>11.103853007491733</v>
      </c>
      <c r="T26" s="33">
        <v>3232.2195791148865</v>
      </c>
      <c r="U26" s="34">
        <v>8.8463819532898214</v>
      </c>
      <c r="V26" s="33">
        <v>3234.3284576769288</v>
      </c>
      <c r="W26" s="34">
        <v>6.7375033912468076</v>
      </c>
      <c r="X26" s="33">
        <v>3236.2396731126601</v>
      </c>
      <c r="Y26" s="34">
        <v>4.8262879555185334</v>
      </c>
      <c r="Z26" s="33">
        <v>3237.8908981023624</v>
      </c>
      <c r="AA26" s="34">
        <v>3.1750629658179612</v>
      </c>
      <c r="AB26" s="33">
        <v>3239.2126544292159</v>
      </c>
      <c r="AC26" s="34">
        <v>1.8533066389595183</v>
      </c>
      <c r="AD26" s="33">
        <v>3240.1505606455153</v>
      </c>
      <c r="AE26" s="34">
        <v>0.9154004226658049</v>
      </c>
      <c r="AF26" s="33">
        <v>3240.7057815724224</v>
      </c>
      <c r="AG26" s="34">
        <v>0.3601794957548532</v>
      </c>
      <c r="AH26" s="33">
        <v>3240.9613247576494</v>
      </c>
      <c r="AI26" s="34">
        <v>0.10463631052728059</v>
      </c>
      <c r="AJ26" s="33">
        <v>3241.045993389148</v>
      </c>
      <c r="AK26" s="34">
        <v>1.9967679028022472E-2</v>
      </c>
      <c r="AL26" s="33">
        <v>3241.0640049899462</v>
      </c>
      <c r="AM26" s="34">
        <v>1.956078229236366E-3</v>
      </c>
      <c r="AN26" s="33">
        <v>3241.0659123678402</v>
      </c>
      <c r="AO26" s="34">
        <v>4.8700338779695436E-5</v>
      </c>
      <c r="AP26" s="33">
        <v>3241.0659444797634</v>
      </c>
      <c r="AQ26" s="34">
        <v>1.6588413302456577E-5</v>
      </c>
      <c r="AR26" s="33">
        <v>3241.0659565100668</v>
      </c>
      <c r="AS26" s="34">
        <v>4.5581099203194619E-6</v>
      </c>
      <c r="AT26" s="33"/>
      <c r="AU26" s="34"/>
      <c r="AV26" s="33"/>
      <c r="AW26" s="34"/>
    </row>
    <row r="27" spans="1:49" x14ac:dyDescent="0.2">
      <c r="A27" t="s">
        <v>2</v>
      </c>
      <c r="B27" s="35">
        <v>4880.3032028967582</v>
      </c>
      <c r="C27" s="36">
        <v>155.9342317514201</v>
      </c>
      <c r="D27" s="35">
        <v>4893.4254074710489</v>
      </c>
      <c r="E27" s="36">
        <v>142.81203824381473</v>
      </c>
      <c r="F27" s="35">
        <v>4906.470210180184</v>
      </c>
      <c r="G27" s="36">
        <v>129.7672308685797</v>
      </c>
      <c r="H27" s="35">
        <v>4919.413918091881</v>
      </c>
      <c r="I27" s="36">
        <v>116.8235159774249</v>
      </c>
      <c r="J27" s="35">
        <v>4932.2255988759816</v>
      </c>
      <c r="K27" s="36">
        <v>104.01183437980482</v>
      </c>
      <c r="L27" s="35">
        <v>4944.8644423599662</v>
      </c>
      <c r="M27" s="36">
        <v>91.372993110524391</v>
      </c>
      <c r="N27" s="35">
        <v>4957.2761282380288</v>
      </c>
      <c r="O27" s="36">
        <v>78.961308174629167</v>
      </c>
      <c r="P27" s="35">
        <v>4969.3874202622374</v>
      </c>
      <c r="Q27" s="36">
        <v>66.850013634146336</v>
      </c>
      <c r="R27" s="35">
        <v>4981.0988862525219</v>
      </c>
      <c r="S27" s="36">
        <v>55.138547564296509</v>
      </c>
      <c r="T27" s="35">
        <v>4992.2749441616552</v>
      </c>
      <c r="U27" s="36">
        <v>43.962491732015984</v>
      </c>
      <c r="V27" s="35">
        <v>5002.7309948501079</v>
      </c>
      <c r="W27" s="36">
        <v>33.506443261895555</v>
      </c>
      <c r="X27" s="35">
        <v>5012.220049419484</v>
      </c>
      <c r="Y27" s="36">
        <v>24.017387620404964</v>
      </c>
      <c r="Z27" s="35">
        <v>5020.4282511050442</v>
      </c>
      <c r="AA27" s="36">
        <v>15.809184474960613</v>
      </c>
      <c r="AB27" s="35">
        <v>5027.0053453451364</v>
      </c>
      <c r="AC27" s="36">
        <v>9.2320890938134159</v>
      </c>
      <c r="AD27" s="35">
        <v>5031.675987778428</v>
      </c>
      <c r="AE27" s="36">
        <v>4.5614466348697942</v>
      </c>
      <c r="AF27" s="35">
        <v>5034.4423181382017</v>
      </c>
      <c r="AG27" s="36">
        <v>1.7951165934956974</v>
      </c>
      <c r="AH27" s="35">
        <v>5035.715887101288</v>
      </c>
      <c r="AI27" s="36">
        <v>0.52154750270310268</v>
      </c>
      <c r="AJ27" s="35">
        <v>5036.1379052431439</v>
      </c>
      <c r="AK27" s="36">
        <v>9.9529454794094821E-2</v>
      </c>
      <c r="AL27" s="35">
        <v>5036.227684442114</v>
      </c>
      <c r="AM27" s="36">
        <v>9.7501837296110287E-3</v>
      </c>
      <c r="AN27" s="35">
        <v>5036.237191896782</v>
      </c>
      <c r="AO27" s="36">
        <v>2.4274978997776531E-4</v>
      </c>
      <c r="AP27" s="35">
        <v>5036.2373519619341</v>
      </c>
      <c r="AQ27" s="36">
        <v>8.2685959875829413E-5</v>
      </c>
      <c r="AR27" s="35">
        <v>5036.2374119184633</v>
      </c>
      <c r="AS27" s="36">
        <v>2.2720177616432473E-5</v>
      </c>
      <c r="AT27" s="35"/>
      <c r="AU27" s="36"/>
      <c r="AV27" s="35"/>
      <c r="AW27" s="36"/>
    </row>
    <row r="28" spans="1:49" x14ac:dyDescent="0.2">
      <c r="A28" t="s">
        <v>35</v>
      </c>
      <c r="B28" s="41">
        <v>9924.5937686277575</v>
      </c>
      <c r="C28" s="42">
        <v>205.34242141823867</v>
      </c>
      <c r="D28" s="41">
        <v>9941.9265214679181</v>
      </c>
      <c r="E28" s="42">
        <v>188.02052588490693</v>
      </c>
      <c r="F28" s="41">
        <v>9959.1212513238606</v>
      </c>
      <c r="G28" s="42">
        <v>170.80838551759453</v>
      </c>
      <c r="H28" s="41">
        <v>9976.1475837270718</v>
      </c>
      <c r="I28" s="42">
        <v>153.73712766736728</v>
      </c>
      <c r="J28" s="41">
        <v>9992.9658945303217</v>
      </c>
      <c r="K28" s="42">
        <v>136.84736301625705</v>
      </c>
      <c r="L28" s="41">
        <v>10009.523944958553</v>
      </c>
      <c r="M28" s="42">
        <v>120.19263469373858</v>
      </c>
      <c r="N28" s="41">
        <v>10025.752237123766</v>
      </c>
      <c r="O28" s="42">
        <v>103.84420123359648</v>
      </c>
      <c r="P28" s="41">
        <v>10041.557141049203</v>
      </c>
      <c r="Q28" s="42">
        <v>87.898096970200214</v>
      </c>
      <c r="R28" s="41">
        <v>10056.811612914686</v>
      </c>
      <c r="S28" s="42">
        <v>72.484677033975672</v>
      </c>
      <c r="T28" s="41">
        <v>10071.342495452776</v>
      </c>
      <c r="U28" s="42">
        <v>57.781655367197644</v>
      </c>
      <c r="V28" s="41">
        <v>10084.91413032036</v>
      </c>
      <c r="W28" s="42">
        <v>44.030953375224279</v>
      </c>
      <c r="X28" s="41">
        <v>10097.211350678599</v>
      </c>
      <c r="Y28" s="42">
        <v>31.556203965346999</v>
      </c>
      <c r="Z28" s="41">
        <v>10107.83390243296</v>
      </c>
      <c r="AA28" s="42">
        <v>20.768597723702669</v>
      </c>
      <c r="AB28" s="41">
        <v>10116.335710797841</v>
      </c>
      <c r="AC28" s="42">
        <v>12.12686623096878</v>
      </c>
      <c r="AD28" s="41">
        <v>10122.367846442461</v>
      </c>
      <c r="AE28" s="42">
        <v>5.9912341755032203</v>
      </c>
      <c r="AF28" s="41">
        <v>10125.938482095413</v>
      </c>
      <c r="AG28" s="42">
        <v>2.3576843807322043</v>
      </c>
      <c r="AH28" s="41">
        <v>10127.581818899638</v>
      </c>
      <c r="AI28" s="42">
        <v>0.68497916030285111</v>
      </c>
      <c r="AJ28" s="41">
        <v>10128.126293421339</v>
      </c>
      <c r="AK28" s="42">
        <v>0.13071696093095833</v>
      </c>
      <c r="AL28" s="41">
        <v>10128.242119100934</v>
      </c>
      <c r="AM28" s="42">
        <v>1.2805380161296292E-2</v>
      </c>
      <c r="AN28" s="41">
        <v>10128.254384727146</v>
      </c>
      <c r="AO28" s="42">
        <v>3.1881479251778572E-4</v>
      </c>
      <c r="AP28" s="41">
        <v>10128.254591227707</v>
      </c>
      <c r="AQ28" s="42">
        <v>1.0859538318434603E-4</v>
      </c>
      <c r="AR28" s="41">
        <v>10128.25466858099</v>
      </c>
      <c r="AS28" s="42">
        <v>2.9839484159667321E-5</v>
      </c>
      <c r="AT28" s="41"/>
      <c r="AU28" s="42"/>
      <c r="AV28" s="41"/>
      <c r="AW28" s="42"/>
    </row>
    <row r="29" spans="1:49" x14ac:dyDescent="0.2">
      <c r="A29" t="s">
        <v>53</v>
      </c>
      <c r="B29" s="35">
        <v>10476.875482049762</v>
      </c>
      <c r="C29" s="36">
        <v>680.10699657273517</v>
      </c>
      <c r="D29" s="35">
        <v>10481.172991314234</v>
      </c>
      <c r="E29" s="36">
        <v>617.11050167302301</v>
      </c>
      <c r="F29" s="35">
        <v>10483.97774423416</v>
      </c>
      <c r="G29" s="36">
        <v>555.16126142692815</v>
      </c>
      <c r="H29" s="35">
        <v>10485.031144687928</v>
      </c>
      <c r="I29" s="36">
        <v>494.41104693960631</v>
      </c>
      <c r="J29" s="35">
        <v>10484.005061243355</v>
      </c>
      <c r="K29" s="36">
        <v>435.04599331805917</v>
      </c>
      <c r="L29" s="35">
        <v>10480.476047536329</v>
      </c>
      <c r="M29" s="36">
        <v>377.2971130435219</v>
      </c>
      <c r="N29" s="35">
        <v>10473.887439674869</v>
      </c>
      <c r="O29" s="36">
        <v>321.45427798109171</v>
      </c>
      <c r="P29" s="35">
        <v>10463.491780310913</v>
      </c>
      <c r="Q29" s="36">
        <v>267.88597613606549</v>
      </c>
      <c r="R29" s="35">
        <v>10448.262670176555</v>
      </c>
      <c r="S29" s="36">
        <v>217.06437413602177</v>
      </c>
      <c r="T29" s="35">
        <v>10426.756130955104</v>
      </c>
      <c r="U29" s="36">
        <v>169.59680741773812</v>
      </c>
      <c r="V29" s="35">
        <v>10396.888270072042</v>
      </c>
      <c r="W29" s="36">
        <v>126.26109359420218</v>
      </c>
      <c r="X29" s="35">
        <v>10355.577191394847</v>
      </c>
      <c r="Y29" s="36">
        <v>88.029505668367406</v>
      </c>
      <c r="Z29" s="35">
        <v>10298.173876745082</v>
      </c>
      <c r="AA29" s="36">
        <v>56.037852533917999</v>
      </c>
      <c r="AB29" s="35">
        <v>10217.596062461356</v>
      </c>
      <c r="AC29" s="36">
        <v>31.39944886534548</v>
      </c>
      <c r="AD29" s="35">
        <v>10103.069524911753</v>
      </c>
      <c r="AE29" s="36">
        <v>14.725342608359565</v>
      </c>
      <c r="AF29" s="35">
        <v>9938.0498451222193</v>
      </c>
      <c r="AG29" s="36">
        <v>5.4194383403957094</v>
      </c>
      <c r="AH29" s="35">
        <v>9694.9811112159568</v>
      </c>
      <c r="AI29" s="36">
        <v>1.4426507314864896</v>
      </c>
      <c r="AJ29" s="35">
        <v>9318.6682345873069</v>
      </c>
      <c r="AK29" s="36">
        <v>0.24469901141520065</v>
      </c>
      <c r="AL29" s="35">
        <v>8669.2576014879396</v>
      </c>
      <c r="AM29" s="36">
        <v>2.0201580821842355E-2</v>
      </c>
      <c r="AN29" s="35">
        <v>7247.3858946824657</v>
      </c>
      <c r="AO29" s="36">
        <v>3.7263804696367335E-4</v>
      </c>
      <c r="AP29" s="35">
        <v>6719.3203878788099</v>
      </c>
      <c r="AQ29" s="36">
        <v>1.1506646953709909E-4</v>
      </c>
      <c r="AR29" s="35">
        <v>6005.8500242026103</v>
      </c>
      <c r="AS29" s="36">
        <v>2.782883360722554E-5</v>
      </c>
      <c r="AT29" s="35"/>
      <c r="AU29" s="36"/>
      <c r="AV29" s="35"/>
      <c r="AW29" s="36"/>
    </row>
    <row r="30" spans="1:49" x14ac:dyDescent="0.2">
      <c r="A30" t="s">
        <v>48</v>
      </c>
      <c r="B30" s="122">
        <v>3437517.2752293102</v>
      </c>
      <c r="D30" s="122">
        <v>3466493.8062111624</v>
      </c>
      <c r="F30" s="122">
        <v>3496150.4020018862</v>
      </c>
      <c r="H30" s="122">
        <v>3526668.3694320698</v>
      </c>
      <c r="J30" s="122">
        <v>3558291.3066963614</v>
      </c>
      <c r="L30" s="122">
        <v>3591352.7635054355</v>
      </c>
      <c r="N30" s="122">
        <v>3626319.0862002824</v>
      </c>
      <c r="P30" s="122">
        <v>3663854.4475101191</v>
      </c>
      <c r="R30" s="122">
        <v>3704924.2881358927</v>
      </c>
      <c r="T30" s="122">
        <v>3750959.1738269394</v>
      </c>
      <c r="V30" s="122">
        <v>3804112.9198140311</v>
      </c>
      <c r="X30" s="122">
        <v>3867654.111978421</v>
      </c>
      <c r="Z30" s="122">
        <v>3946491.7976293415</v>
      </c>
      <c r="AB30" s="122">
        <v>4047644.6553289327</v>
      </c>
      <c r="AD30" s="122">
        <v>4179961.7720951475</v>
      </c>
      <c r="AF30" s="122">
        <v>4351942.0391339241</v>
      </c>
      <c r="AH30" s="122">
        <v>4567784.7385396045</v>
      </c>
      <c r="AJ30" s="122">
        <v>4823642.0900361566</v>
      </c>
      <c r="AL30" s="122">
        <v>5093673.0643933658</v>
      </c>
      <c r="AN30" s="122">
        <v>5183548.020192232</v>
      </c>
      <c r="AP30" s="122">
        <v>5088002.1072634235</v>
      </c>
      <c r="AR30" s="122">
        <v>4869009.57447505</v>
      </c>
      <c r="AT30" s="122"/>
      <c r="AV30" s="122"/>
    </row>
    <row r="31" spans="1:49" x14ac:dyDescent="0.2">
      <c r="A31" t="s">
        <v>47</v>
      </c>
      <c r="B31" s="83">
        <v>0.99999999999999867</v>
      </c>
      <c r="D31" s="83">
        <v>0.99385642585082579</v>
      </c>
      <c r="F31" s="83">
        <v>0.98727002692792054</v>
      </c>
      <c r="H31" s="83">
        <v>0.98016970409736848</v>
      </c>
      <c r="J31" s="83">
        <v>0.97246632462133831</v>
      </c>
      <c r="L31" s="83">
        <v>0.96404626277431216</v>
      </c>
      <c r="N31" s="83">
        <v>0.95476208421958586</v>
      </c>
      <c r="P31" s="83">
        <v>0.944418275272361</v>
      </c>
      <c r="R31" s="83">
        <v>0.93274978949975473</v>
      </c>
      <c r="T31" s="83">
        <v>0.91938873219634032</v>
      </c>
      <c r="V31" s="83">
        <v>0.90381203207405336</v>
      </c>
      <c r="X31" s="83">
        <v>0.88525989627687796</v>
      </c>
      <c r="Z31" s="83">
        <v>0.86261354928831413</v>
      </c>
      <c r="AB31" s="83">
        <v>0.8342298840282506</v>
      </c>
      <c r="AD31" s="83">
        <v>0.79775824213480095</v>
      </c>
      <c r="AF31" s="83">
        <v>0.74995510461847237</v>
      </c>
      <c r="AH31" s="83">
        <v>0.68624512371493007</v>
      </c>
      <c r="AJ31" s="83">
        <v>0.59916681337345301</v>
      </c>
      <c r="AL31" s="83">
        <v>0.47413537973819325</v>
      </c>
      <c r="AN31" s="83">
        <v>0.27885601986350522</v>
      </c>
      <c r="AP31" s="83">
        <v>0.2261944032341458</v>
      </c>
      <c r="AR31" s="83">
        <v>0.16777391499836261</v>
      </c>
      <c r="AT31" s="83"/>
      <c r="AV31" s="83"/>
    </row>
    <row r="32" spans="1:49" x14ac:dyDescent="0.2">
      <c r="A32" t="s">
        <v>66</v>
      </c>
      <c r="B32" s="89">
        <v>11714820.670945669</v>
      </c>
      <c r="D32" s="89">
        <v>11702794.545669766</v>
      </c>
      <c r="F32" s="89">
        <v>11689770.134334095</v>
      </c>
      <c r="H32" s="89">
        <v>11675664.012862667</v>
      </c>
      <c r="J32" s="89">
        <v>11660395.673588892</v>
      </c>
      <c r="L32" s="89">
        <v>11643895.3984272</v>
      </c>
      <c r="N32" s="89">
        <v>11626118.032574261</v>
      </c>
      <c r="P32" s="89">
        <v>11607063.032493899</v>
      </c>
      <c r="R32" s="89">
        <v>11586808.453874877</v>
      </c>
      <c r="T32" s="89">
        <v>11565561.832253596</v>
      </c>
      <c r="V32" s="89">
        <v>11543724.73368239</v>
      </c>
      <c r="X32" s="89">
        <v>11521940.103593787</v>
      </c>
      <c r="Z32" s="89">
        <v>11500980.319962939</v>
      </c>
      <c r="AB32" s="89">
        <v>11481004.704236196</v>
      </c>
      <c r="AD32" s="89">
        <v>11458981.974780679</v>
      </c>
      <c r="AF32" s="89">
        <v>11422261.797626032</v>
      </c>
      <c r="AH32" s="89">
        <v>11336558.018990776</v>
      </c>
      <c r="AJ32" s="89">
        <v>11123623.005901324</v>
      </c>
      <c r="AL32" s="89">
        <v>10590981.902108407</v>
      </c>
      <c r="AN32" s="89">
        <v>9058706.2704143524</v>
      </c>
      <c r="AP32" s="89">
        <v>8425009.5922891013</v>
      </c>
      <c r="AR32" s="89">
        <v>7539924.3704589307</v>
      </c>
      <c r="AT32" s="89"/>
      <c r="AV32" s="89"/>
    </row>
    <row r="33" spans="1:49 16319:16321" x14ac:dyDescent="0.2">
      <c r="A33" t="s">
        <v>56</v>
      </c>
      <c r="B33" s="120">
        <v>6643090.9398583025</v>
      </c>
      <c r="D33" s="120">
        <v>6610183.908014196</v>
      </c>
      <c r="F33" s="120">
        <v>6575929.3753724005</v>
      </c>
      <c r="H33" s="120">
        <v>6540115.394691701</v>
      </c>
      <c r="J33" s="120">
        <v>6502482.0320828054</v>
      </c>
      <c r="L33" s="120">
        <v>6462705.3658923507</v>
      </c>
      <c r="N33" s="120">
        <v>6420375.0256308913</v>
      </c>
      <c r="P33" s="120">
        <v>6374957.4546907907</v>
      </c>
      <c r="R33" s="120">
        <v>6325740.4960343856</v>
      </c>
      <c r="T33" s="120">
        <v>6271742.5968818273</v>
      </c>
      <c r="V33" s="120">
        <v>6211557.4476332758</v>
      </c>
      <c r="X33" s="120">
        <v>6143077.7346579414</v>
      </c>
      <c r="Z33" s="120">
        <v>6062983.5459642177</v>
      </c>
      <c r="AB33" s="120">
        <v>5965769.8213477861</v>
      </c>
      <c r="AD33" s="120">
        <v>5841901.7459805906</v>
      </c>
      <c r="AF33" s="120">
        <v>5674405.6474817861</v>
      </c>
      <c r="AH33" s="120">
        <v>5432394.3802963961</v>
      </c>
      <c r="AJ33" s="120">
        <v>5056157.0774133746</v>
      </c>
      <c r="AL33" s="120">
        <v>4411958.9178419877</v>
      </c>
      <c r="AN33" s="120">
        <v>3110074.3118662117</v>
      </c>
      <c r="AP33" s="120">
        <v>2678172.2416367214</v>
      </c>
      <c r="AR33" s="120">
        <v>2143588.1995180007</v>
      </c>
      <c r="AT33" s="120"/>
      <c r="AV33" s="120"/>
    </row>
    <row r="34" spans="1:49 16319:16321" x14ac:dyDescent="0.2">
      <c r="A34" t="s">
        <v>77</v>
      </c>
      <c r="B34" s="120">
        <v>137664.28859559208</v>
      </c>
      <c r="D34" s="120">
        <v>137522.92946425563</v>
      </c>
      <c r="F34" s="120">
        <v>137369.893974468</v>
      </c>
      <c r="H34" s="120">
        <v>137204.13423886336</v>
      </c>
      <c r="J34" s="120">
        <v>137024.69537816889</v>
      </c>
      <c r="L34" s="120">
        <v>136830.8288043699</v>
      </c>
      <c r="N34" s="120">
        <v>136621.92614326446</v>
      </c>
      <c r="P34" s="120">
        <v>136397.99170389702</v>
      </c>
      <c r="R34" s="120">
        <v>136159.97405670438</v>
      </c>
      <c r="T34" s="120">
        <v>135910.30209132109</v>
      </c>
      <c r="V34" s="120">
        <v>135653.68561531021</v>
      </c>
      <c r="X34" s="120">
        <v>135397.68997793098</v>
      </c>
      <c r="Z34" s="120">
        <v>135151.39089585154</v>
      </c>
      <c r="AB34" s="120">
        <v>134916.64750671573</v>
      </c>
      <c r="AD34" s="120">
        <v>134657.85240408703</v>
      </c>
      <c r="AF34" s="120">
        <v>134226.34362292825</v>
      </c>
      <c r="AH34" s="120">
        <v>133219.2133849652</v>
      </c>
      <c r="AJ34" s="120">
        <v>130716.9516922381</v>
      </c>
      <c r="AL34" s="120">
        <v>124457.73008688935</v>
      </c>
      <c r="AN34" s="120">
        <v>106451.51038510732</v>
      </c>
      <c r="AP34" s="120">
        <v>99004.755131247235</v>
      </c>
      <c r="AR34" s="120">
        <v>88603.859476704703</v>
      </c>
      <c r="AT34" s="120"/>
      <c r="AV34" s="120"/>
    </row>
    <row r="35" spans="1:49 16319:16321" x14ac:dyDescent="0.2">
      <c r="A35" t="s">
        <v>80</v>
      </c>
      <c r="B35" s="236">
        <v>1</v>
      </c>
      <c r="D35" s="236">
        <v>1.00119778420098</v>
      </c>
      <c r="F35" s="236">
        <v>1.0026575632941748</v>
      </c>
      <c r="H35" s="236">
        <v>1.0044310738077196</v>
      </c>
      <c r="J35" s="236">
        <v>1.0065861228300748</v>
      </c>
      <c r="L35" s="236">
        <v>1.0092132890360712</v>
      </c>
      <c r="N35" s="236">
        <v>1.0124361580735293</v>
      </c>
      <c r="P35" s="236">
        <v>1.0164272712024109</v>
      </c>
      <c r="R35" s="236">
        <v>1.0214337405236802</v>
      </c>
      <c r="T35" s="236">
        <v>1.0278194100692606</v>
      </c>
      <c r="V35" s="236">
        <v>1.0361359358728093</v>
      </c>
      <c r="X35" s="236">
        <v>1.0472445763488223</v>
      </c>
      <c r="Z35" s="236">
        <v>1.0625250813273657</v>
      </c>
      <c r="AB35" s="236">
        <v>1.0842262822388538</v>
      </c>
      <c r="AD35" s="236">
        <v>1.116039917472357</v>
      </c>
      <c r="AF35" s="236">
        <v>1.1641288291022258</v>
      </c>
      <c r="AH35" s="236">
        <v>1.239665962563496</v>
      </c>
      <c r="AJ35" s="236">
        <v>1.3669279921360615</v>
      </c>
      <c r="AL35" s="236">
        <v>1.6128388377843679</v>
      </c>
      <c r="AN35" s="236">
        <v>2.2399609775613549</v>
      </c>
      <c r="AP35" s="236">
        <v>2.4957930718014096</v>
      </c>
      <c r="AR35" s="236">
        <v>2.8564853913999775</v>
      </c>
      <c r="AT35" s="236"/>
      <c r="AV35" s="236"/>
    </row>
    <row r="36" spans="1:49 16319:16321" x14ac:dyDescent="0.2">
      <c r="A36" t="s">
        <v>21</v>
      </c>
      <c r="B36" s="37">
        <v>0.47796858982439155</v>
      </c>
      <c r="C36" s="38">
        <v>0.17068593284758601</v>
      </c>
      <c r="D36" s="37">
        <v>0.47798239826275424</v>
      </c>
      <c r="E36" s="38">
        <v>0.17226392564255083</v>
      </c>
      <c r="F36" s="37">
        <v>0.47799651159064815</v>
      </c>
      <c r="G36" s="38">
        <v>0.17399249269432432</v>
      </c>
      <c r="H36" s="37">
        <v>0.47801086534066795</v>
      </c>
      <c r="I36" s="38">
        <v>0.17589687601011331</v>
      </c>
      <c r="J36" s="37">
        <v>0.47802536009844182</v>
      </c>
      <c r="K36" s="38">
        <v>0.17800892638237309</v>
      </c>
      <c r="L36" s="37">
        <v>0.47803984320642884</v>
      </c>
      <c r="M36" s="38">
        <v>0.18036953831005181</v>
      </c>
      <c r="N36" s="37">
        <v>0.47805408150192885</v>
      </c>
      <c r="O36" s="38">
        <v>0.1830322512932272</v>
      </c>
      <c r="P36" s="37">
        <v>0.47806771885522042</v>
      </c>
      <c r="Q36" s="38">
        <v>0.18606871665568547</v>
      </c>
      <c r="R36" s="37">
        <v>0.47808021105144494</v>
      </c>
      <c r="S36" s="38">
        <v>0.18957715562097074</v>
      </c>
      <c r="T36" s="37">
        <v>0.47809072539476599</v>
      </c>
      <c r="U36" s="38">
        <v>0.19369576678717723</v>
      </c>
      <c r="V36" s="37">
        <v>0.47809799532162356</v>
      </c>
      <c r="W36" s="38">
        <v>0.19862443243698619</v>
      </c>
      <c r="X36" s="37">
        <v>0.47810013213042479</v>
      </c>
      <c r="Y36" s="38">
        <v>0.20466013342553729</v>
      </c>
      <c r="Z36" s="37">
        <v>0.47809446363262353</v>
      </c>
      <c r="AA36" s="38">
        <v>0.21225408383695757</v>
      </c>
      <c r="AB36" s="37">
        <v>0.47807766094118931</v>
      </c>
      <c r="AC36" s="38">
        <v>0.22209981885760244</v>
      </c>
      <c r="AD36" s="37">
        <v>0.47804675017992315</v>
      </c>
      <c r="AE36" s="38">
        <v>0.23525997076433058</v>
      </c>
      <c r="AF36" s="37">
        <v>0.4780014619413232</v>
      </c>
      <c r="AG36" s="38">
        <v>0.25335857699094677</v>
      </c>
      <c r="AH36" s="37">
        <v>0.47794638769141529</v>
      </c>
      <c r="AI36" s="38">
        <v>0.27901585202244583</v>
      </c>
      <c r="AJ36" s="37">
        <v>0.47788955653754622</v>
      </c>
      <c r="AK36" s="38">
        <v>0.31718467231207376</v>
      </c>
      <c r="AL36" s="37">
        <v>0.47783804628355914</v>
      </c>
      <c r="AM36" s="38">
        <v>0.37959724722248811</v>
      </c>
      <c r="AN36" s="37">
        <v>0.477795309004383</v>
      </c>
      <c r="AO36" s="38">
        <v>0.50475209135454124</v>
      </c>
      <c r="AP36" s="37">
        <v>0.47778781955096777</v>
      </c>
      <c r="AQ36" s="38">
        <v>0.54815630314617048</v>
      </c>
      <c r="AR36" s="37">
        <v>0.47778059600668921</v>
      </c>
      <c r="AS36" s="38">
        <v>0.60471836429751336</v>
      </c>
      <c r="AT36" s="37"/>
      <c r="AU36" s="38"/>
      <c r="AV36" s="37"/>
      <c r="AW36" s="38"/>
    </row>
    <row r="37" spans="1:49 16319:16321" x14ac:dyDescent="0.2">
      <c r="B37" s="39">
        <v>2.2053138497826009E-2</v>
      </c>
      <c r="C37" s="40">
        <v>0.48867583383045654</v>
      </c>
      <c r="D37" s="39">
        <v>2.1536234702373602E-2</v>
      </c>
      <c r="E37" s="40">
        <v>0.48581630800448472</v>
      </c>
      <c r="F37" s="39">
        <v>2.0998486350760053E-2</v>
      </c>
      <c r="G37" s="40">
        <v>0.48284725323109856</v>
      </c>
      <c r="H37" s="39">
        <v>2.0437602696397546E-2</v>
      </c>
      <c r="I37" s="40">
        <v>0.4797572998878607</v>
      </c>
      <c r="J37" s="39">
        <v>1.9850805682165195E-2</v>
      </c>
      <c r="K37" s="40">
        <v>0.4765327577302465</v>
      </c>
      <c r="L37" s="39">
        <v>1.9234682673626196E-2</v>
      </c>
      <c r="M37" s="40">
        <v>0.47315694008598791</v>
      </c>
      <c r="N37" s="39">
        <v>1.8584986626624837E-2</v>
      </c>
      <c r="O37" s="40">
        <v>0.46960926329881686</v>
      </c>
      <c r="P37" s="39">
        <v>1.7896362417675896E-2</v>
      </c>
      <c r="Q37" s="40">
        <v>0.46586404404600501</v>
      </c>
      <c r="R37" s="39">
        <v>1.7161986002471957E-2</v>
      </c>
      <c r="S37" s="40">
        <v>0.46188898312913851</v>
      </c>
      <c r="T37" s="39">
        <v>1.6373104095116803E-2</v>
      </c>
      <c r="U37" s="40">
        <v>0.45764337679365857</v>
      </c>
      <c r="V37" s="39">
        <v>1.5518500441308857E-2</v>
      </c>
      <c r="W37" s="40">
        <v>0.45307637971046899</v>
      </c>
      <c r="X37" s="39">
        <v>1.4584067449030342E-2</v>
      </c>
      <c r="Y37" s="40">
        <v>0.4481265777754424</v>
      </c>
      <c r="Z37" s="39">
        <v>1.3553030949635119E-2</v>
      </c>
      <c r="AA37" s="40">
        <v>0.44272622131586375</v>
      </c>
      <c r="AB37" s="39">
        <v>1.240812132441468E-2</v>
      </c>
      <c r="AC37" s="40">
        <v>0.43681733627715252</v>
      </c>
      <c r="AD37" s="39">
        <v>1.113752047120462E-2</v>
      </c>
      <c r="AE37" s="40">
        <v>0.4303888208227048</v>
      </c>
      <c r="AF37" s="39">
        <v>9.7437551941188302E-3</v>
      </c>
      <c r="AG37" s="40">
        <v>0.42352752770365221</v>
      </c>
      <c r="AH37" s="39">
        <v>8.2463506601721265E-3</v>
      </c>
      <c r="AI37" s="40">
        <v>0.41643330058234795</v>
      </c>
      <c r="AJ37" s="39">
        <v>6.6681871046788488E-3</v>
      </c>
      <c r="AK37" s="40">
        <v>0.40935461134914991</v>
      </c>
      <c r="AL37" s="39">
        <v>5.0141260474560649E-3</v>
      </c>
      <c r="AM37" s="40">
        <v>0.40251363176826216</v>
      </c>
      <c r="AN37" s="39">
        <v>3.2494663198340142E-3</v>
      </c>
      <c r="AO37" s="40">
        <v>0.39611937507657663</v>
      </c>
      <c r="AP37" s="39">
        <v>2.8738325674331519E-3</v>
      </c>
      <c r="AQ37" s="40">
        <v>0.39491822232505286</v>
      </c>
      <c r="AR37" s="39">
        <v>2.4856127566972564E-3</v>
      </c>
      <c r="AS37" s="40">
        <v>0.39375119623877519</v>
      </c>
      <c r="AT37" s="39"/>
      <c r="AU37" s="40"/>
      <c r="AV37" s="39"/>
      <c r="AW37" s="40"/>
    </row>
    <row r="38" spans="1:49 16319:16321" x14ac:dyDescent="0.2">
      <c r="A38" t="s">
        <v>22</v>
      </c>
      <c r="B38" s="37">
        <v>0.14928344905798796</v>
      </c>
      <c r="C38" s="38">
        <v>3.7916652170162192E-2</v>
      </c>
      <c r="D38" s="37">
        <v>0.14934273368304452</v>
      </c>
      <c r="E38" s="38">
        <v>3.8158325044883576E-2</v>
      </c>
      <c r="F38" s="37">
        <v>0.14942216847401488</v>
      </c>
      <c r="G38" s="38">
        <v>3.8424161952992628E-2</v>
      </c>
      <c r="H38" s="37">
        <v>0.14952526066563071</v>
      </c>
      <c r="I38" s="38">
        <v>3.8718221720534345E-2</v>
      </c>
      <c r="J38" s="37">
        <v>0.14965648489148442</v>
      </c>
      <c r="K38" s="38">
        <v>3.9045631458355538E-2</v>
      </c>
      <c r="L38" s="37">
        <v>0.14982165289193311</v>
      </c>
      <c r="M38" s="38">
        <v>3.9412982890044836E-2</v>
      </c>
      <c r="N38" s="37">
        <v>0.15002846383724522</v>
      </c>
      <c r="O38" s="38">
        <v>3.9828931620341443E-2</v>
      </c>
      <c r="P38" s="37">
        <v>0.15028735123128711</v>
      </c>
      <c r="Q38" s="38">
        <v>4.0305064021639449E-2</v>
      </c>
      <c r="R38" s="37">
        <v>0.15061280475624858</v>
      </c>
      <c r="S38" s="38">
        <v>4.0857269141355256E-2</v>
      </c>
      <c r="T38" s="37">
        <v>0.15102549591978348</v>
      </c>
      <c r="U38" s="38">
        <v>4.1507950621875109E-2</v>
      </c>
      <c r="V38" s="37">
        <v>0.15155578399508002</v>
      </c>
      <c r="W38" s="38">
        <v>4.2289569701228644E-2</v>
      </c>
      <c r="X38" s="37">
        <v>0.15224958642122258</v>
      </c>
      <c r="Y38" s="38">
        <v>4.3250449838322221E-2</v>
      </c>
      <c r="Z38" s="37">
        <v>0.15317824638498259</v>
      </c>
      <c r="AA38" s="38">
        <v>4.4464208052955714E-2</v>
      </c>
      <c r="AB38" s="37">
        <v>0.15445489911244878</v>
      </c>
      <c r="AC38" s="38">
        <v>4.6044504845172231E-2</v>
      </c>
      <c r="AD38" s="37">
        <v>0.15626149535737077</v>
      </c>
      <c r="AE38" s="38">
        <v>4.8166790387799141E-2</v>
      </c>
      <c r="AF38" s="37">
        <v>0.15889905081329378</v>
      </c>
      <c r="AG38" s="38">
        <v>5.1103282927589019E-2</v>
      </c>
      <c r="AH38" s="37">
        <v>0.16291525043376906</v>
      </c>
      <c r="AI38" s="38">
        <v>5.5305956254927451E-2</v>
      </c>
      <c r="AJ38" s="37">
        <v>0.16951957807803222</v>
      </c>
      <c r="AK38" s="38">
        <v>6.1671485926844669E-2</v>
      </c>
      <c r="AL38" s="37">
        <v>0.18223964661680686</v>
      </c>
      <c r="AM38" s="38">
        <v>7.250762060027445E-2</v>
      </c>
      <c r="AN38" s="37">
        <v>0.21801381270051715</v>
      </c>
      <c r="AO38" s="38">
        <v>9.6948559171343082E-2</v>
      </c>
      <c r="AP38" s="37">
        <v>0.23515116048242427</v>
      </c>
      <c r="AQ38" s="38">
        <v>0.10674050801317959</v>
      </c>
      <c r="AR38" s="37">
        <v>0.26309028926436551</v>
      </c>
      <c r="AS38" s="38">
        <v>0.12104220320871771</v>
      </c>
      <c r="AT38" s="37"/>
      <c r="AU38" s="38"/>
      <c r="AV38" s="37"/>
      <c r="AW38" s="38"/>
    </row>
    <row r="39" spans="1:49 16319:16321" x14ac:dyDescent="0.2">
      <c r="A39" t="s">
        <v>23</v>
      </c>
      <c r="B39" s="39">
        <v>0.22700160168381014</v>
      </c>
      <c r="C39" s="40">
        <v>0.18696331369363389</v>
      </c>
      <c r="D39" s="39">
        <v>0.22751181118793518</v>
      </c>
      <c r="E39" s="40">
        <v>0.18832895225040797</v>
      </c>
      <c r="F39" s="39">
        <v>0.22805028446199027</v>
      </c>
      <c r="G39" s="40">
        <v>0.18981477994467263</v>
      </c>
      <c r="H39" s="39">
        <v>0.22862179738677205</v>
      </c>
      <c r="I39" s="40">
        <v>0.19144088582351215</v>
      </c>
      <c r="J39" s="39">
        <v>0.22923241224176194</v>
      </c>
      <c r="K39" s="40">
        <v>0.19323261011109089</v>
      </c>
      <c r="L39" s="39">
        <v>0.22988997101284189</v>
      </c>
      <c r="M39" s="40">
        <v>0.19522247962520567</v>
      </c>
      <c r="N39" s="39">
        <v>0.23060483889029051</v>
      </c>
      <c r="O39" s="40">
        <v>0.19745305403973795</v>
      </c>
      <c r="P39" s="39">
        <v>0.2313910504071672</v>
      </c>
      <c r="Q39" s="40">
        <v>0.19998132169294175</v>
      </c>
      <c r="R39" s="39">
        <v>0.23226813471107852</v>
      </c>
      <c r="S39" s="40">
        <v>0.20288547375203159</v>
      </c>
      <c r="T39" s="39">
        <v>0.23326410250147314</v>
      </c>
      <c r="U39" s="40">
        <v>0.20627562156622711</v>
      </c>
      <c r="V39" s="39">
        <v>0.23442047644894115</v>
      </c>
      <c r="W39" s="40">
        <v>0.2103112956655562</v>
      </c>
      <c r="X39" s="39">
        <v>0.2358009624306682</v>
      </c>
      <c r="Y39" s="40">
        <v>0.21523017857567139</v>
      </c>
      <c r="Z39" s="39">
        <v>0.23750658061289132</v>
      </c>
      <c r="AA39" s="40">
        <v>0.22139493774137287</v>
      </c>
      <c r="AB39" s="39">
        <v>0.23970195423611107</v>
      </c>
      <c r="AC39" s="40">
        <v>0.2293667772375787</v>
      </c>
      <c r="AD39" s="39">
        <v>0.24266070334935042</v>
      </c>
      <c r="AE39" s="40">
        <v>0.24001544950904738</v>
      </c>
      <c r="AF39" s="39">
        <v>0.24684996406501494</v>
      </c>
      <c r="AG39" s="40">
        <v>0.25469620632668771</v>
      </c>
      <c r="AH39" s="39">
        <v>0.25313320112567611</v>
      </c>
      <c r="AI39" s="40">
        <v>0.27566609739975606</v>
      </c>
      <c r="AJ39" s="39">
        <v>0.26341001472394016</v>
      </c>
      <c r="AK39" s="40">
        <v>0.3074032471188235</v>
      </c>
      <c r="AL39" s="39">
        <v>0.28317871911244696</v>
      </c>
      <c r="AM39" s="40">
        <v>0.36141837891912776</v>
      </c>
      <c r="AN39" s="39">
        <v>0.33876795522106956</v>
      </c>
      <c r="AO39" s="40">
        <v>0.48324596845109802</v>
      </c>
      <c r="AP39" s="39">
        <v>0.36539739643244851</v>
      </c>
      <c r="AQ39" s="40">
        <v>0.532054585437438</v>
      </c>
      <c r="AR39" s="39">
        <v>0.40881153771161544</v>
      </c>
      <c r="AS39" s="40">
        <v>0.60334226336376595</v>
      </c>
      <c r="AT39" s="39"/>
      <c r="AU39" s="40"/>
      <c r="AV39" s="39"/>
      <c r="AW39" s="40"/>
    </row>
    <row r="40" spans="1:49 16319:16321" x14ac:dyDescent="0.2">
      <c r="B40" s="138"/>
      <c r="C40" s="138"/>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138"/>
      <c r="AB40" s="138"/>
      <c r="AC40" s="138"/>
      <c r="AD40" s="138"/>
      <c r="AE40" s="138"/>
      <c r="AF40" s="138"/>
      <c r="AG40" s="138"/>
      <c r="AH40" s="138"/>
      <c r="AI40" s="138"/>
      <c r="AJ40" s="138"/>
      <c r="AK40" s="138"/>
      <c r="AL40" s="138"/>
      <c r="AM40" s="138"/>
      <c r="AN40" s="138"/>
      <c r="AO40" s="138"/>
      <c r="AP40" s="138"/>
      <c r="AQ40" s="138"/>
      <c r="AR40" s="138"/>
      <c r="AS40" s="138"/>
      <c r="AT40" s="138"/>
      <c r="AU40" s="138"/>
    </row>
    <row r="41" spans="1:49 16319:16321" x14ac:dyDescent="0.2">
      <c r="B41" s="138"/>
      <c r="C41" s="138"/>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138"/>
      <c r="AB41" s="138"/>
      <c r="AC41" s="138"/>
      <c r="AD41" s="138"/>
      <c r="AE41" s="138"/>
      <c r="AF41" s="138"/>
      <c r="AG41" s="138"/>
      <c r="AH41" s="138"/>
      <c r="AI41" s="138"/>
      <c r="AJ41" s="138"/>
      <c r="AK41" s="138"/>
      <c r="AL41" s="138"/>
      <c r="AM41" s="138"/>
      <c r="AN41" s="138"/>
      <c r="AO41" s="138"/>
      <c r="AP41" s="138"/>
      <c r="AQ41" s="138"/>
      <c r="AR41" s="138"/>
      <c r="AS41" s="138"/>
      <c r="AT41" s="138"/>
      <c r="AU41" s="138"/>
    </row>
    <row r="42" spans="1:49 16319:16321" x14ac:dyDescent="0.2">
      <c r="A42" t="s">
        <v>110</v>
      </c>
      <c r="B42" s="180">
        <v>0.10800000000000001</v>
      </c>
      <c r="C42" s="138"/>
      <c r="D42" s="180">
        <v>0.10799999999999764</v>
      </c>
      <c r="E42" s="138"/>
      <c r="F42" s="180">
        <v>0.10799999999999942</v>
      </c>
      <c r="G42" s="138"/>
      <c r="H42" s="180">
        <v>0.10800000000000001</v>
      </c>
      <c r="I42" s="138"/>
      <c r="J42" s="180">
        <v>0.10799999999999942</v>
      </c>
      <c r="K42" s="138"/>
      <c r="L42" s="180">
        <v>0.10800000000000011</v>
      </c>
      <c r="M42" s="138"/>
      <c r="N42" s="180">
        <v>0.10799999999999982</v>
      </c>
      <c r="O42" s="138"/>
      <c r="P42" s="180">
        <v>0.10799999999999982</v>
      </c>
      <c r="Q42" s="138"/>
      <c r="R42" s="180">
        <v>0.10800000000000001</v>
      </c>
      <c r="S42" s="138"/>
      <c r="T42" s="180">
        <v>0.10800000000000001</v>
      </c>
      <c r="U42" s="138"/>
      <c r="V42" s="180">
        <v>0.1080000000000003</v>
      </c>
      <c r="W42" s="138"/>
      <c r="X42" s="180">
        <v>0.10799999999999942</v>
      </c>
      <c r="Y42" s="165"/>
      <c r="Z42" s="180">
        <v>0.10799999999999882</v>
      </c>
      <c r="AA42" s="138"/>
      <c r="AB42" s="180">
        <v>0.1080000000000003</v>
      </c>
      <c r="AC42" s="138"/>
      <c r="AD42" s="180">
        <v>0.10799999999999882</v>
      </c>
      <c r="AE42" s="138"/>
      <c r="AF42" s="180">
        <v>0.10799999999999982</v>
      </c>
      <c r="AG42" s="138"/>
      <c r="AH42" s="180">
        <v>0.10799999999999982</v>
      </c>
      <c r="AI42" s="138"/>
      <c r="AJ42" s="180">
        <v>0.10800000000000011</v>
      </c>
      <c r="AK42" s="138"/>
      <c r="AL42" s="180">
        <v>0.1080000000000003</v>
      </c>
      <c r="AM42" s="138"/>
      <c r="AN42" s="180">
        <v>0.10799999999999922</v>
      </c>
      <c r="AO42" s="138"/>
      <c r="AP42" s="180">
        <v>0.10799999999999982</v>
      </c>
      <c r="AQ42" s="138"/>
      <c r="AR42" s="180">
        <v>0.10799999999999982</v>
      </c>
      <c r="AS42" s="138"/>
      <c r="AT42" s="180">
        <v>1</v>
      </c>
      <c r="AU42" s="138"/>
      <c r="AV42" s="180">
        <v>1</v>
      </c>
    </row>
    <row r="43" spans="1:49 16319:16321" x14ac:dyDescent="0.2">
      <c r="A43" t="s">
        <v>111</v>
      </c>
      <c r="B43" s="165">
        <v>0.60327031657597174</v>
      </c>
      <c r="C43" s="138"/>
      <c r="D43" s="165">
        <v>0.60697082674916181</v>
      </c>
      <c r="E43" s="138"/>
      <c r="F43" s="165">
        <v>0.6055128963471067</v>
      </c>
      <c r="G43" s="138"/>
      <c r="H43" s="165">
        <v>0.60406822873660238</v>
      </c>
      <c r="I43" s="138"/>
      <c r="J43" s="165">
        <v>0.6026402436283701</v>
      </c>
      <c r="K43" s="138"/>
      <c r="L43" s="165">
        <v>0.60123343824249598</v>
      </c>
      <c r="M43" s="138"/>
      <c r="N43" s="165">
        <v>0.59985378249809451</v>
      </c>
      <c r="O43" s="138"/>
      <c r="P43" s="165">
        <v>0.59850931425031551</v>
      </c>
      <c r="Q43" s="138"/>
      <c r="R43" s="165">
        <v>0.59721093347280951</v>
      </c>
      <c r="S43" s="138"/>
      <c r="T43" s="165">
        <v>0.59597348322212518</v>
      </c>
      <c r="U43" s="138"/>
      <c r="V43" s="165">
        <v>0.59481715483247755</v>
      </c>
      <c r="W43" s="138"/>
      <c r="X43" s="165">
        <v>0.59376894485705989</v>
      </c>
      <c r="Y43" s="138"/>
      <c r="Z43" s="165">
        <v>0.59286313501906684</v>
      </c>
      <c r="AA43" s="138"/>
      <c r="AB43" s="165">
        <v>0.5921379371671277</v>
      </c>
      <c r="AC43" s="138"/>
      <c r="AD43" s="165">
        <v>0.59162327926306535</v>
      </c>
      <c r="AE43" s="138"/>
      <c r="AF43" s="165">
        <v>0.59131858795121439</v>
      </c>
      <c r="AG43" s="138"/>
      <c r="AH43" s="165">
        <v>0.59117834615886833</v>
      </c>
      <c r="AI43" s="138"/>
      <c r="AJ43" s="165">
        <v>0.59113187929388311</v>
      </c>
      <c r="AK43" s="138"/>
      <c r="AL43" s="165">
        <v>0.59112199431358048</v>
      </c>
      <c r="AM43" s="138"/>
      <c r="AN43" s="165">
        <v>0.59112094752266309</v>
      </c>
      <c r="AO43" s="138"/>
      <c r="AP43" s="165">
        <v>0.59112092989931542</v>
      </c>
      <c r="AQ43" s="138"/>
      <c r="AR43" s="165">
        <v>0.59112092329649268</v>
      </c>
      <c r="AS43" s="138"/>
      <c r="AT43" s="165" t="e">
        <v>#DIV/0!</v>
      </c>
      <c r="AU43" s="138"/>
      <c r="AV43" s="165" t="e">
        <v>#DIV/0!</v>
      </c>
    </row>
    <row r="44" spans="1:49 16319:16321" x14ac:dyDescent="0.2">
      <c r="A44" t="s">
        <v>145</v>
      </c>
      <c r="B44" s="196">
        <v>0.21620509429616297</v>
      </c>
      <c r="D44" s="196">
        <v>0.21843425504589434</v>
      </c>
      <c r="F44" s="196">
        <v>0.22073522837087117</v>
      </c>
      <c r="H44" s="196">
        <v>0.22312299526824864</v>
      </c>
      <c r="J44" s="196">
        <v>0.22561697689474114</v>
      </c>
      <c r="L44" s="196">
        <v>0.22824283348496316</v>
      </c>
      <c r="N44" s="196">
        <v>0.23103511357403178</v>
      </c>
      <c r="P44" s="196">
        <v>0.2340414460713752</v>
      </c>
      <c r="R44" s="196">
        <v>0.2373290225208913</v>
      </c>
      <c r="T44" s="196">
        <v>0.24099494458761883</v>
      </c>
      <c r="V44" s="196">
        <v>0.24518279432507339</v>
      </c>
      <c r="X44" s="196">
        <v>0.25010884245936998</v>
      </c>
      <c r="Z44" s="196">
        <v>0.25610130531904512</v>
      </c>
      <c r="AB44" s="196">
        <v>0.2636514423582238</v>
      </c>
      <c r="AD44" s="196">
        <v>0.27346248887632102</v>
      </c>
      <c r="AF44" s="196">
        <v>0.28648756163008177</v>
      </c>
      <c r="AH44" s="196">
        <v>0.30407975630575063</v>
      </c>
      <c r="AJ44" s="196">
        <v>0.32873003674206147</v>
      </c>
      <c r="AL44" s="196">
        <v>0.36669537896130067</v>
      </c>
      <c r="AN44" s="196">
        <v>0.43994799141108132</v>
      </c>
      <c r="AP44" s="196">
        <v>0.46538874336271646</v>
      </c>
      <c r="AR44" s="196">
        <v>0.49897395821495433</v>
      </c>
      <c r="AT44" s="196" t="e">
        <v>#DIV/0!</v>
      </c>
      <c r="AV44" s="196" t="e">
        <v>#DIV/0!</v>
      </c>
    </row>
    <row r="45" spans="1:49 16319:16321" x14ac:dyDescent="0.2">
      <c r="A45" t="s">
        <v>84</v>
      </c>
      <c r="B45" s="196">
        <v>0.20445380142857192</v>
      </c>
      <c r="D45" s="196">
        <v>0.20668296530671479</v>
      </c>
      <c r="F45" s="196">
        <v>0.20898393707977914</v>
      </c>
      <c r="H45" s="196">
        <v>0.21137170351407428</v>
      </c>
      <c r="J45" s="196">
        <v>0.21386568652570731</v>
      </c>
      <c r="L45" s="196">
        <v>0.21649154028605205</v>
      </c>
      <c r="N45" s="196">
        <v>0.2192838199986118</v>
      </c>
      <c r="P45" s="196">
        <v>0.22229015366242977</v>
      </c>
      <c r="R45" s="196">
        <v>0.22557773012672305</v>
      </c>
      <c r="T45" s="196">
        <v>0.22924365190832161</v>
      </c>
      <c r="V45" s="196">
        <v>0.23343150184843464</v>
      </c>
      <c r="X45" s="196">
        <v>0.23835754981589419</v>
      </c>
      <c r="Z45" s="196">
        <v>0.24435001220003499</v>
      </c>
      <c r="AB45" s="196">
        <v>0.25190014959401696</v>
      </c>
      <c r="AD45" s="196">
        <v>0.26171119607383242</v>
      </c>
      <c r="AF45" s="196">
        <v>0.27473626875997564</v>
      </c>
      <c r="AH45" s="196">
        <v>0.29232846343874463</v>
      </c>
      <c r="AJ45" s="196">
        <v>0.31697874387436092</v>
      </c>
      <c r="AL45" s="196">
        <v>0.35494408609372313</v>
      </c>
      <c r="AN45" s="196">
        <v>0.4281966985434919</v>
      </c>
      <c r="AP45" s="196">
        <v>0.4536374504951261</v>
      </c>
      <c r="AR45" s="196">
        <v>0.4872226653473693</v>
      </c>
      <c r="AT45" s="196" t="e">
        <v>#DIV/0!</v>
      </c>
      <c r="AV45" s="196" t="e">
        <v>#DIV/0!</v>
      </c>
      <c r="XCQ45" s="196"/>
    </row>
    <row r="46" spans="1:49 16319:16321" x14ac:dyDescent="0.2">
      <c r="A46" t="s">
        <v>142</v>
      </c>
      <c r="B46" s="196">
        <v>1.1751292867591055E-2</v>
      </c>
      <c r="D46" s="196">
        <v>1.1751289739179559E-2</v>
      </c>
      <c r="F46" s="196">
        <v>1.1751291291092033E-2</v>
      </c>
      <c r="H46" s="196">
        <v>1.1751291754174359E-2</v>
      </c>
      <c r="J46" s="196">
        <v>1.1751290369033831E-2</v>
      </c>
      <c r="L46" s="196">
        <v>1.1751293198911108E-2</v>
      </c>
      <c r="N46" s="196">
        <v>1.1751293575419994E-2</v>
      </c>
      <c r="P46" s="196">
        <v>1.1751292408945459E-2</v>
      </c>
      <c r="R46" s="196">
        <v>1.1751292394168264E-2</v>
      </c>
      <c r="T46" s="196">
        <v>1.1751292679297226E-2</v>
      </c>
      <c r="V46" s="196">
        <v>1.1751292476638723E-2</v>
      </c>
      <c r="X46" s="196">
        <v>1.1751292643475844E-2</v>
      </c>
      <c r="Z46" s="196">
        <v>1.1751293119010141E-2</v>
      </c>
      <c r="AB46" s="196">
        <v>1.1751292764206859E-2</v>
      </c>
      <c r="AD46" s="196">
        <v>1.1751292802488621E-2</v>
      </c>
      <c r="AF46" s="196">
        <v>1.1751292870106116E-2</v>
      </c>
      <c r="AH46" s="196">
        <v>1.1751292867005932E-2</v>
      </c>
      <c r="AJ46" s="196">
        <v>1.1751292867700561E-2</v>
      </c>
      <c r="AL46" s="196">
        <v>1.1751292867577543E-2</v>
      </c>
      <c r="AN46" s="196">
        <v>1.1751292867589374E-2</v>
      </c>
      <c r="AP46" s="196">
        <v>1.1751292867590354E-2</v>
      </c>
      <c r="AR46" s="196">
        <v>1.1751292867585047E-2</v>
      </c>
      <c r="AT46" s="196" t="e">
        <v>#DIV/0!</v>
      </c>
      <c r="AV46" s="196" t="e">
        <v>#DIV/0!</v>
      </c>
      <c r="XCS46" s="196"/>
    </row>
    <row r="48" spans="1:49 16319:16321" x14ac:dyDescent="0.2">
      <c r="A48" t="s">
        <v>162</v>
      </c>
      <c r="B48" s="194">
        <v>1</v>
      </c>
      <c r="C48" s="194"/>
      <c r="D48" s="194">
        <v>1.0115457874935132</v>
      </c>
      <c r="E48" s="194"/>
      <c r="F48" s="194">
        <v>1.0233575034489268</v>
      </c>
      <c r="G48" s="194"/>
      <c r="H48" s="194">
        <v>1.0354912899594491</v>
      </c>
      <c r="I48" s="194"/>
      <c r="J48" s="194">
        <v>1.0480211384971989</v>
      </c>
      <c r="K48" s="194"/>
      <c r="L48" s="194">
        <v>1.0610464615781212</v>
      </c>
      <c r="M48" s="194"/>
      <c r="N48" s="194">
        <v>1.0747034143341172</v>
      </c>
      <c r="O48" s="194"/>
      <c r="P48" s="194">
        <v>1.0891825459513185</v>
      </c>
      <c r="Q48" s="194"/>
      <c r="R48" s="194">
        <v>1.1047563025450937</v>
      </c>
      <c r="S48" s="194"/>
      <c r="T48" s="194">
        <v>1.1218225404990818</v>
      </c>
      <c r="U48" s="194"/>
      <c r="V48" s="194">
        <v>1.1409725553998828</v>
      </c>
      <c r="W48" s="194"/>
      <c r="X48" s="194">
        <v>1.1630937228354643</v>
      </c>
      <c r="Y48" s="194"/>
      <c r="Z48" s="194">
        <v>1.1895069127523004</v>
      </c>
      <c r="AA48" s="194"/>
      <c r="AB48" s="194">
        <v>1.2220913221840772</v>
      </c>
      <c r="AC48" s="194"/>
      <c r="AD48" s="194">
        <v>1.2632280762314507</v>
      </c>
      <c r="AE48" s="194"/>
      <c r="AF48" s="194">
        <v>1.3152959965676161</v>
      </c>
      <c r="AG48" s="194"/>
      <c r="AH48" s="194">
        <v>1.3797914450717941</v>
      </c>
      <c r="AI48" s="194"/>
      <c r="AJ48" s="194">
        <v>1.4565169704666217</v>
      </c>
      <c r="AK48" s="194"/>
      <c r="AL48" s="194">
        <v>1.5396862714529285</v>
      </c>
      <c r="AM48" s="194"/>
      <c r="AN48" s="194">
        <v>1.5746744688783856</v>
      </c>
      <c r="AO48" s="194"/>
      <c r="AP48" s="194">
        <v>1.5486773009865793</v>
      </c>
      <c r="AQ48" s="194"/>
      <c r="AR48" s="194">
        <v>1.485772713402296</v>
      </c>
      <c r="AS48" s="194"/>
      <c r="AT48" s="194">
        <v>0</v>
      </c>
      <c r="AU48" s="194"/>
      <c r="AV48" s="194">
        <v>0</v>
      </c>
    </row>
    <row r="49" spans="1:48 16321:16384" x14ac:dyDescent="0.2">
      <c r="A49" t="s">
        <v>163</v>
      </c>
      <c r="B49" s="194">
        <v>1</v>
      </c>
      <c r="C49" s="194"/>
      <c r="D49" s="194">
        <v>0.99758347912244882</v>
      </c>
      <c r="E49" s="194"/>
      <c r="F49" s="194">
        <v>0.99464503305391161</v>
      </c>
      <c r="G49" s="194"/>
      <c r="H49" s="194">
        <v>0.99109760604671315</v>
      </c>
      <c r="I49" s="194"/>
      <c r="J49" s="194">
        <v>0.98683126829220535</v>
      </c>
      <c r="K49" s="194"/>
      <c r="L49" s="194">
        <v>0.98170485213963787</v>
      </c>
      <c r="M49" s="194"/>
      <c r="N49" s="194">
        <v>0.97553369300784387</v>
      </c>
      <c r="O49" s="194"/>
      <c r="P49" s="194">
        <v>0.96807111497453013</v>
      </c>
      <c r="Q49" s="194"/>
      <c r="R49" s="194">
        <v>0.95898022366121405</v>
      </c>
      <c r="S49" s="194"/>
      <c r="T49" s="194">
        <v>0.94778992197516065</v>
      </c>
      <c r="U49" s="194"/>
      <c r="V49" s="194">
        <v>0.93382527663717951</v>
      </c>
      <c r="W49" s="194"/>
      <c r="X49" s="194">
        <v>0.91609775343731525</v>
      </c>
      <c r="Y49" s="194"/>
      <c r="Z49" s="194">
        <v>0.89313772616331744</v>
      </c>
      <c r="AA49" s="194"/>
      <c r="AB49" s="194">
        <v>0.86276134758737999</v>
      </c>
      <c r="AC49" s="194"/>
      <c r="AD49" s="194">
        <v>0.82180031610671034</v>
      </c>
      <c r="AE49" s="194"/>
      <c r="AF49" s="194">
        <v>0.76583467561217322</v>
      </c>
      <c r="AG49" s="194"/>
      <c r="AH49" s="194">
        <v>0.688733665159172</v>
      </c>
      <c r="AI49" s="194"/>
      <c r="AJ49" s="194">
        <v>0.58141867507432921</v>
      </c>
      <c r="AK49" s="194"/>
      <c r="AL49" s="194">
        <v>0.4299966214538728</v>
      </c>
      <c r="AM49" s="194"/>
      <c r="AN49" s="194">
        <v>0.21825086909606969</v>
      </c>
      <c r="AO49" s="194"/>
      <c r="AP49" s="194">
        <v>0.16867690221289874</v>
      </c>
      <c r="AQ49" s="194"/>
      <c r="AR49" s="194">
        <v>0.11796007612520978</v>
      </c>
      <c r="AS49" s="194"/>
      <c r="AT49" s="194" t="e">
        <v>#DIV/0!</v>
      </c>
      <c r="AU49" s="194"/>
      <c r="AV49" s="194" t="e">
        <v>#DIV/0!</v>
      </c>
    </row>
    <row r="51" spans="1:48 16321:16384" x14ac:dyDescent="0.2">
      <c r="A51" t="s">
        <v>169</v>
      </c>
      <c r="B51" s="29">
        <v>898591.45196639095</v>
      </c>
      <c r="D51" s="29">
        <v>930174.37709412258</v>
      </c>
      <c r="F51" s="29">
        <v>962653.72324541723</v>
      </c>
      <c r="H51" s="29">
        <v>996228.87755672121</v>
      </c>
      <c r="J51" s="29">
        <v>1031160.8864619187</v>
      </c>
      <c r="L51" s="29">
        <v>1067798.4095101347</v>
      </c>
      <c r="N51" s="29">
        <v>1106617.5793378069</v>
      </c>
      <c r="P51" s="29">
        <v>1148282.6864734842</v>
      </c>
      <c r="R51" s="29">
        <v>1193742.2547903256</v>
      </c>
      <c r="T51" s="29">
        <v>1244381.871343805</v>
      </c>
      <c r="V51" s="29">
        <v>1302268.3208886283</v>
      </c>
      <c r="X51" s="29">
        <v>1370530.8452386111</v>
      </c>
      <c r="Z51" s="29">
        <v>1453911.0960217784</v>
      </c>
      <c r="AB51" s="29">
        <v>1559393.2224339489</v>
      </c>
      <c r="AD51" s="29">
        <v>1696483.2741074837</v>
      </c>
      <c r="AF51" s="29">
        <v>1876421.8196919952</v>
      </c>
      <c r="AH51" s="29">
        <v>2110838.8996059429</v>
      </c>
      <c r="AJ51" s="29">
        <v>2412845.1609829906</v>
      </c>
      <c r="AL51" s="29">
        <v>2798314.2022928656</v>
      </c>
      <c r="AN51" s="29">
        <v>3220275.6900958531</v>
      </c>
      <c r="AP51" s="29">
        <v>3262069.3835853008</v>
      </c>
      <c r="AQ51" s="29"/>
      <c r="AR51" s="29">
        <v>3234899.3113034107</v>
      </c>
      <c r="AT51" s="29">
        <v>0</v>
      </c>
      <c r="AV51" s="29">
        <v>0</v>
      </c>
      <c r="XFD51" s="29"/>
    </row>
    <row r="52" spans="1:48 16321:16384" x14ac:dyDescent="0.2">
      <c r="A52" t="s">
        <v>170</v>
      </c>
      <c r="B52" s="29">
        <v>639893.22495732247</v>
      </c>
      <c r="D52" s="29">
        <v>639111.51146289811</v>
      </c>
      <c r="F52" s="29">
        <v>638158.0682103188</v>
      </c>
      <c r="H52" s="29">
        <v>637006.81551614113</v>
      </c>
      <c r="J52" s="29">
        <v>635625.55962851178</v>
      </c>
      <c r="L52" s="29">
        <v>633973.94559295417</v>
      </c>
      <c r="N52" s="29">
        <v>632000.51586598554</v>
      </c>
      <c r="P52" s="29">
        <v>629638.22044978512</v>
      </c>
      <c r="R52" s="29">
        <v>626797.65457772918</v>
      </c>
      <c r="T52" s="29">
        <v>623356.38658115023</v>
      </c>
      <c r="V52" s="29">
        <v>619141.4409278516</v>
      </c>
      <c r="X52" s="29">
        <v>613899.74069324648</v>
      </c>
      <c r="Z52" s="29">
        <v>607246.66297017876</v>
      </c>
      <c r="AB52" s="29">
        <v>598574.37772555405</v>
      </c>
      <c r="AD52" s="29">
        <v>586885.72245145694</v>
      </c>
      <c r="AF52" s="29">
        <v>570484.15031428274</v>
      </c>
      <c r="AH52" s="29">
        <v>546340.63196295453</v>
      </c>
      <c r="AJ52" s="29">
        <v>508559.91548831254</v>
      </c>
      <c r="AL52" s="29">
        <v>443775.71064545197</v>
      </c>
      <c r="AN52" s="29">
        <v>312826.79577882844</v>
      </c>
      <c r="AP52" s="29">
        <v>269383.94166639034</v>
      </c>
      <c r="AQ52" s="29"/>
      <c r="AR52" s="29">
        <v>215612.81191844415</v>
      </c>
      <c r="AT52" s="29">
        <v>0</v>
      </c>
      <c r="AV52" s="29">
        <v>0</v>
      </c>
    </row>
    <row r="53" spans="1:48 16321:16384" x14ac:dyDescent="0.2">
      <c r="A53" t="s">
        <v>171</v>
      </c>
      <c r="B53" s="29">
        <v>994319.23090072128</v>
      </c>
      <c r="D53" s="29">
        <v>987005.72094673233</v>
      </c>
      <c r="F53" s="29">
        <v>979532.50342324795</v>
      </c>
      <c r="H53" s="29">
        <v>971873.45565655513</v>
      </c>
      <c r="J53" s="29">
        <v>963996.82144131255</v>
      </c>
      <c r="L53" s="29">
        <v>955863.33363830543</v>
      </c>
      <c r="N53" s="29">
        <v>947423.42524118256</v>
      </c>
      <c r="P53" s="29">
        <v>938612.90665691649</v>
      </c>
      <c r="R53" s="29">
        <v>929346.01134130859</v>
      </c>
      <c r="T53" s="29">
        <v>919503.69981228421</v>
      </c>
      <c r="V53" s="29">
        <v>908912.98761506542</v>
      </c>
      <c r="X53" s="29">
        <v>897308.55547513557</v>
      </c>
      <c r="Z53" s="29">
        <v>884258.32024625654</v>
      </c>
      <c r="AB53" s="29">
        <v>869015.85012760444</v>
      </c>
      <c r="AD53" s="29">
        <v>850232.73374358448</v>
      </c>
      <c r="AF53" s="29">
        <v>825429.96149803104</v>
      </c>
      <c r="AH53" s="29">
        <v>790038.26780849171</v>
      </c>
      <c r="AJ53" s="29">
        <v>735263.9233818535</v>
      </c>
      <c r="AL53" s="29">
        <v>641574.20907069091</v>
      </c>
      <c r="AN53" s="29">
        <v>452257.14257276437</v>
      </c>
      <c r="AP53" s="29">
        <v>389451.30172245775</v>
      </c>
      <c r="AQ53" s="29"/>
      <c r="AR53" s="29">
        <v>311713.78463125578</v>
      </c>
      <c r="AT53" s="29">
        <v>0</v>
      </c>
      <c r="AV53" s="29">
        <v>0</v>
      </c>
      <c r="XFD53" s="29"/>
    </row>
    <row r="55" spans="1:48 16321:16384" x14ac:dyDescent="0.2">
      <c r="A55" t="s">
        <v>172</v>
      </c>
      <c r="B55" s="196">
        <v>0.29343319644276039</v>
      </c>
      <c r="D55" s="196">
        <v>0.29621077193855583</v>
      </c>
      <c r="F55" s="196">
        <v>0.29907777157510751</v>
      </c>
      <c r="H55" s="196">
        <v>0.30205291669466194</v>
      </c>
      <c r="J55" s="196">
        <v>0.30516042562397655</v>
      </c>
      <c r="L55" s="196">
        <v>0.30843224201331609</v>
      </c>
      <c r="N55" s="196">
        <v>0.31191142873657385</v>
      </c>
      <c r="P55" s="196">
        <v>0.31565732323958112</v>
      </c>
      <c r="R55" s="196">
        <v>0.31975364940954787</v>
      </c>
      <c r="T55" s="196">
        <v>0.32432139728537945</v>
      </c>
      <c r="V55" s="196">
        <v>0.32953946906879666</v>
      </c>
      <c r="X55" s="196">
        <v>0.33567733187330734</v>
      </c>
      <c r="Z55" s="196">
        <v>0.34314394841448254</v>
      </c>
      <c r="AB55" s="196">
        <v>0.35255143252710763</v>
      </c>
      <c r="AD55" s="196">
        <v>0.36477601424756151</v>
      </c>
      <c r="AF55" s="196">
        <v>0.38100527866017031</v>
      </c>
      <c r="AH55" s="196">
        <v>0.40292518513006703</v>
      </c>
      <c r="AJ55" s="196">
        <v>0.43363947946429948</v>
      </c>
      <c r="AL55" s="196">
        <v>0.48094436488266867</v>
      </c>
      <c r="AN55" s="196">
        <v>0.57221725326514339</v>
      </c>
      <c r="AP55" s="196">
        <v>0.60391647647738733</v>
      </c>
      <c r="AR55" s="196">
        <v>0.6457637152902489</v>
      </c>
      <c r="AT55" s="196" t="e">
        <v>#DIV/0!</v>
      </c>
      <c r="AV55" s="196" t="e">
        <v>#DIV/0!</v>
      </c>
      <c r="XCS55" s="196"/>
      <c r="XFD55" s="196"/>
    </row>
    <row r="56" spans="1:48 16321:16384" x14ac:dyDescent="0.2">
      <c r="A56" t="s">
        <v>173</v>
      </c>
      <c r="B56" s="196">
        <v>0.12330490389763608</v>
      </c>
      <c r="D56" s="196">
        <v>0.12613099303935066</v>
      </c>
      <c r="F56" s="196">
        <v>0.12907634301024148</v>
      </c>
      <c r="H56" s="196">
        <v>0.13216527359536093</v>
      </c>
      <c r="J56" s="196">
        <v>0.13542924893460734</v>
      </c>
      <c r="L56" s="196">
        <v>0.1389097577098132</v>
      </c>
      <c r="N56" s="196">
        <v>0.14266267837465443</v>
      </c>
      <c r="P56" s="196">
        <v>0.14676489971664533</v>
      </c>
      <c r="R56" s="196">
        <v>0.15132469006047522</v>
      </c>
      <c r="T56" s="196">
        <v>0.15649808883843147</v>
      </c>
      <c r="V56" s="196">
        <v>0.16251502309172353</v>
      </c>
      <c r="X56" s="196">
        <v>0.16972027938839274</v>
      </c>
      <c r="Z56" s="196">
        <v>0.17863414556710461</v>
      </c>
      <c r="AB56" s="196">
        <v>0.19002953906471542</v>
      </c>
      <c r="AD56" s="196">
        <v>0.20500186627329162</v>
      </c>
      <c r="AF56" s="196">
        <v>0.22501745613016921</v>
      </c>
      <c r="AH56" s="196">
        <v>0.25213790673907593</v>
      </c>
      <c r="AJ56" s="196">
        <v>0.29016324193521897</v>
      </c>
      <c r="AL56" s="196">
        <v>0.34868738378759062</v>
      </c>
      <c r="AN56" s="196">
        <v>0.4614499110994062</v>
      </c>
      <c r="AP56" s="196">
        <v>0.5005733728719316</v>
      </c>
      <c r="AR56" s="196">
        <v>0.55219627463143484</v>
      </c>
      <c r="AT56" s="196" t="e">
        <v>#DIV/0!</v>
      </c>
      <c r="AV56" s="196" t="e">
        <v>#DIV/0!</v>
      </c>
      <c r="XFD56" s="196"/>
    </row>
    <row r="57" spans="1:48 16321:16384" x14ac:dyDescent="0.2">
      <c r="A57" t="s">
        <v>174</v>
      </c>
      <c r="B57" s="196">
        <v>0.15814435802029927</v>
      </c>
      <c r="D57" s="196">
        <v>0.15811562016762851</v>
      </c>
      <c r="F57" s="196">
        <v>0.15805776800840277</v>
      </c>
      <c r="H57" s="196">
        <v>0.15796534534256018</v>
      </c>
      <c r="J57" s="196">
        <v>0.15783129002878493</v>
      </c>
      <c r="L57" s="196">
        <v>0.15764629876564532</v>
      </c>
      <c r="N57" s="196">
        <v>0.15739788095016469</v>
      </c>
      <c r="P57" s="196">
        <v>0.15706893007536371</v>
      </c>
      <c r="R57" s="196">
        <v>0.15663552395224414</v>
      </c>
      <c r="T57" s="196">
        <v>0.15606350131270108</v>
      </c>
      <c r="V57" s="196">
        <v>0.15530312418516751</v>
      </c>
      <c r="X57" s="196">
        <v>0.1542809479900836</v>
      </c>
      <c r="Y57" s="196"/>
      <c r="Z57" s="196">
        <v>0.15288833491765019</v>
      </c>
      <c r="AB57" s="196">
        <v>0.15096810147503406</v>
      </c>
      <c r="AD57" s="196">
        <v>0.14830525005355152</v>
      </c>
      <c r="AF57" s="196">
        <v>0.14462444490624682</v>
      </c>
      <c r="AH57" s="196">
        <v>0.13955103977661071</v>
      </c>
      <c r="AJ57" s="196">
        <v>0.13238745727558124</v>
      </c>
      <c r="AL57" s="196">
        <v>0.12133282736565915</v>
      </c>
      <c r="AN57" s="196">
        <v>9.9997418447453593E-2</v>
      </c>
      <c r="AP57" s="196">
        <v>9.2587491799844698E-2</v>
      </c>
      <c r="AR57" s="196">
        <v>8.2805387476764636E-2</v>
      </c>
      <c r="AT57" s="196" t="e">
        <v>#DIV/0!</v>
      </c>
      <c r="AV57" s="196" t="e">
        <v>#DIV/0!</v>
      </c>
      <c r="XFD57" s="196"/>
    </row>
    <row r="58" spans="1:48 16321:16384" x14ac:dyDescent="0.2">
      <c r="A58" t="s">
        <v>175</v>
      </c>
      <c r="B58" s="196">
        <v>1.1983934524824984E-2</v>
      </c>
      <c r="D58" s="196">
        <v>1.1964158731576649E-2</v>
      </c>
      <c r="F58" s="196">
        <v>1.1943660556463273E-2</v>
      </c>
      <c r="H58" s="196">
        <v>1.1922297756740842E-2</v>
      </c>
      <c r="J58" s="196">
        <v>1.189988666058433E-2</v>
      </c>
      <c r="L58" s="196">
        <v>1.1876185537857567E-2</v>
      </c>
      <c r="N58" s="196">
        <v>1.1850869411754714E-2</v>
      </c>
      <c r="P58" s="196">
        <v>1.1823493447572046E-2</v>
      </c>
      <c r="R58" s="196">
        <v>1.1793435396828499E-2</v>
      </c>
      <c r="T58" s="196">
        <v>1.1759807134246942E-2</v>
      </c>
      <c r="V58" s="196">
        <v>1.1721321791905654E-2</v>
      </c>
      <c r="X58" s="196">
        <v>1.1676104494831032E-2</v>
      </c>
      <c r="Y58" s="196"/>
      <c r="Z58" s="196">
        <v>1.1621467929727732E-2</v>
      </c>
      <c r="AB58" s="196">
        <v>1.1553791987358161E-2</v>
      </c>
      <c r="AD58" s="196">
        <v>1.1468897920718346E-2</v>
      </c>
      <c r="AF58" s="196">
        <v>1.1363377623754306E-2</v>
      </c>
      <c r="AH58" s="196">
        <v>1.1236238614380389E-2</v>
      </c>
      <c r="AJ58" s="196">
        <v>1.1088780253499259E-2</v>
      </c>
      <c r="AL58" s="196">
        <v>1.0924153729418821E-2</v>
      </c>
      <c r="AN58" s="196">
        <v>1.0769923718283654E-2</v>
      </c>
      <c r="AP58" s="196">
        <v>1.0755611805611125E-2</v>
      </c>
      <c r="AR58" s="196">
        <v>1.0762053182049416E-2</v>
      </c>
      <c r="AT58" s="196" t="e">
        <v>#DIV/0!</v>
      </c>
      <c r="AV58" s="196" t="e">
        <v>#DIV/0!</v>
      </c>
      <c r="XFD58" s="196"/>
    </row>
    <row r="59" spans="1:48 16321:16384" x14ac:dyDescent="0.2">
      <c r="A59" t="s">
        <v>176</v>
      </c>
      <c r="B59" s="196">
        <v>1.7199725200015354E-2</v>
      </c>
      <c r="D59" s="196">
        <v>2.0120752430717547E-2</v>
      </c>
      <c r="F59" s="196">
        <v>2.3165264378634622E-2</v>
      </c>
      <c r="H59" s="196">
        <v>2.6358419373292679E-2</v>
      </c>
      <c r="J59" s="196">
        <v>2.9732775795801688E-2</v>
      </c>
      <c r="L59" s="196">
        <v>3.3331277438342806E-2</v>
      </c>
      <c r="N59" s="196">
        <v>3.7211777917073828E-2</v>
      </c>
      <c r="P59" s="196">
        <v>4.1453897926541639E-2</v>
      </c>
      <c r="R59" s="196">
        <v>4.6169764546725403E-2</v>
      </c>
      <c r="T59" s="196">
        <v>5.15209764349824E-2</v>
      </c>
      <c r="V59" s="196">
        <v>5.7745598195033047E-2</v>
      </c>
      <c r="X59" s="196">
        <v>6.520041764015555E-2</v>
      </c>
      <c r="Z59" s="196">
        <v>7.442321871421588E-2</v>
      </c>
      <c r="AB59" s="196">
        <v>8.6211161866113217E-2</v>
      </c>
      <c r="AD59" s="196">
        <v>0.10168928823083262</v>
      </c>
      <c r="AF59" s="196">
        <v>0.12235210243705361</v>
      </c>
      <c r="AH59" s="196">
        <v>0.15027868599624661</v>
      </c>
      <c r="AJ59" s="196">
        <v>0.18927544954064679</v>
      </c>
      <c r="AL59" s="196">
        <v>0.24892584429275286</v>
      </c>
      <c r="AN59" s="196">
        <v>0.36272482744344692</v>
      </c>
      <c r="AP59" s="196">
        <v>0.40190319359283433</v>
      </c>
      <c r="AR59" s="196">
        <v>0.45338861219981097</v>
      </c>
      <c r="AT59" s="196" t="e">
        <v>#DIV/0!</v>
      </c>
      <c r="AV59" s="196" t="e">
        <v>#DIV/0!</v>
      </c>
      <c r="XFD59" s="196"/>
    </row>
    <row r="60" spans="1:48 16321:16384" x14ac:dyDescent="0.2">
      <c r="A60" t="s">
        <v>177</v>
      </c>
      <c r="B60" s="196">
        <v>0.10610517869762073</v>
      </c>
      <c r="D60" s="196">
        <v>0.10601024060863311</v>
      </c>
      <c r="F60" s="196">
        <v>0.10591107863160684</v>
      </c>
      <c r="H60" s="196">
        <v>0.10580685422206827</v>
      </c>
      <c r="J60" s="196">
        <v>0.10569647313880563</v>
      </c>
      <c r="L60" s="196">
        <v>0.1055784802714704</v>
      </c>
      <c r="N60" s="196">
        <v>0.1054509004575806</v>
      </c>
      <c r="P60" s="196">
        <v>0.10531100179010371</v>
      </c>
      <c r="R60" s="196">
        <v>0.10515492551374982</v>
      </c>
      <c r="T60" s="196">
        <v>0.10497711240344906</v>
      </c>
      <c r="V60" s="196">
        <v>0.10476942489669047</v>
      </c>
      <c r="X60" s="196">
        <v>0.10451986174823719</v>
      </c>
      <c r="Z60" s="196">
        <v>0.10421092685288873</v>
      </c>
      <c r="AB60" s="196">
        <v>0.10381837719860219</v>
      </c>
      <c r="AD60" s="196">
        <v>0.10331257804245902</v>
      </c>
      <c r="AF60" s="196">
        <v>0.10266535369311559</v>
      </c>
      <c r="AH60" s="196">
        <v>0.1018592207428293</v>
      </c>
      <c r="AJ60" s="196">
        <v>0.10088779239457221</v>
      </c>
      <c r="AL60" s="196">
        <v>9.9761539494837806E-2</v>
      </c>
      <c r="AN60" s="196">
        <v>9.8725083655959278E-2</v>
      </c>
      <c r="AP60" s="196">
        <v>9.8670179279097187E-2</v>
      </c>
      <c r="AR60" s="196">
        <v>9.8807662431623811E-2</v>
      </c>
      <c r="AT60" s="196" t="e">
        <v>#DIV/0!</v>
      </c>
      <c r="AV60" s="196" t="e">
        <v>#DIV/0!</v>
      </c>
      <c r="XFD60" s="196"/>
    </row>
    <row r="62" spans="1:48 16321:16384" x14ac:dyDescent="0.2">
      <c r="A62" t="s">
        <v>178</v>
      </c>
      <c r="B62">
        <v>1</v>
      </c>
      <c r="D62">
        <v>1.0061791139242533</v>
      </c>
      <c r="F62">
        <v>1.012343131086755</v>
      </c>
      <c r="H62">
        <v>1.0184804228813618</v>
      </c>
      <c r="J62">
        <v>1.0245757619489728</v>
      </c>
      <c r="L62">
        <v>1.0306090092264775</v>
      </c>
      <c r="N62">
        <v>1.0365533068627211</v>
      </c>
      <c r="P62">
        <v>1.0423723626817925</v>
      </c>
      <c r="R62">
        <v>1.0480168141003887</v>
      </c>
      <c r="T62">
        <v>1.053419272394776</v>
      </c>
      <c r="V62">
        <v>1.0584878853957831</v>
      </c>
      <c r="X62">
        <v>1.0630996340498073</v>
      </c>
      <c r="Z62">
        <v>1.0670980079256849</v>
      </c>
      <c r="AB62">
        <v>1.0703079520360577</v>
      </c>
      <c r="AD62">
        <v>1.0725907571265278</v>
      </c>
      <c r="AF62">
        <v>1.0739441118219615</v>
      </c>
      <c r="AH62">
        <v>1.0745674959095317</v>
      </c>
      <c r="AJ62">
        <v>1.0747741094798544</v>
      </c>
      <c r="AL62">
        <v>1.0748180669291107</v>
      </c>
      <c r="AN62">
        <v>1.074822721988403</v>
      </c>
      <c r="AP62">
        <v>1.0748228003594442</v>
      </c>
      <c r="AR62">
        <v>1.0748228297201226</v>
      </c>
      <c r="AT62" t="e">
        <v>#DIV/0!</v>
      </c>
      <c r="AV62" t="e">
        <v>#DIV/0!</v>
      </c>
    </row>
    <row r="65" spans="1:48 16384:16384" x14ac:dyDescent="0.2">
      <c r="A65" t="s">
        <v>179</v>
      </c>
      <c r="B65" s="194">
        <v>1</v>
      </c>
      <c r="C65" s="194"/>
      <c r="D65" s="194">
        <v>0.99841427945098848</v>
      </c>
      <c r="E65" s="194"/>
      <c r="F65" s="194">
        <v>0.99684390021447322</v>
      </c>
      <c r="G65" s="194"/>
      <c r="H65" s="194">
        <v>0.99529487410935058</v>
      </c>
      <c r="I65" s="194"/>
      <c r="J65" s="194">
        <v>0.99377612068673615</v>
      </c>
      <c r="K65" s="194"/>
      <c r="L65" s="194">
        <v>0.99230088249000237</v>
      </c>
      <c r="M65" s="194"/>
      <c r="N65" s="194">
        <v>0.99088891441159133</v>
      </c>
      <c r="O65" s="194"/>
      <c r="P65" s="194">
        <v>0.98956981979238179</v>
      </c>
      <c r="Q65" s="194"/>
      <c r="R65" s="194">
        <v>0.98838835115610968</v>
      </c>
      <c r="S65" s="194"/>
      <c r="T65" s="194">
        <v>0.98741276960018054</v>
      </c>
      <c r="U65" s="194"/>
      <c r="V65" s="194">
        <v>0.98674778998545443</v>
      </c>
      <c r="W65" s="194"/>
      <c r="X65" s="194">
        <v>0.98655357535471233</v>
      </c>
      <c r="Y65" s="194"/>
      <c r="Z65" s="194">
        <v>0.98706915674652518</v>
      </c>
      <c r="AA65" s="194"/>
      <c r="AB65" s="194">
        <v>0.98862623868050192</v>
      </c>
      <c r="AC65" s="194"/>
      <c r="AD65" s="194">
        <v>0.99160984842065847</v>
      </c>
      <c r="AE65" s="194"/>
      <c r="AF65" s="194">
        <v>0.99630344072933696</v>
      </c>
      <c r="AG65" s="194"/>
      <c r="AH65" s="194">
        <v>1.0026640378168989</v>
      </c>
      <c r="AI65" s="194"/>
      <c r="AJ65" s="194">
        <v>1.0102823123290281</v>
      </c>
      <c r="AK65" s="194"/>
      <c r="AL65" s="194">
        <v>1.0186471514266913</v>
      </c>
      <c r="AM65" s="194"/>
      <c r="AN65" s="194">
        <v>1.027489541421543</v>
      </c>
      <c r="AO65" s="194"/>
      <c r="AP65" s="194">
        <v>1.0293412685668257</v>
      </c>
      <c r="AQ65" s="194"/>
      <c r="AR65" s="194">
        <v>1.0312549875751587</v>
      </c>
      <c r="AS65" s="194"/>
      <c r="AT65" s="194" t="e">
        <v>#DIV/0!</v>
      </c>
      <c r="AU65" s="194"/>
      <c r="AV65" s="194" t="e">
        <v>#DIV/0!</v>
      </c>
    </row>
    <row r="66" spans="1:48 16384:16384" x14ac:dyDescent="0.2">
      <c r="A66" t="s">
        <v>185</v>
      </c>
      <c r="B66" s="194">
        <v>1</v>
      </c>
      <c r="C66" s="194"/>
      <c r="D66" s="194">
        <v>0.99833864776571535</v>
      </c>
      <c r="E66" s="194"/>
      <c r="F66" s="194">
        <v>0.99669129471685358</v>
      </c>
      <c r="G66" s="194"/>
      <c r="H66" s="194">
        <v>0.99506431442522536</v>
      </c>
      <c r="I66" s="194"/>
      <c r="J66" s="194">
        <v>0.99346717156210029</v>
      </c>
      <c r="K66" s="194"/>
      <c r="L66" s="194">
        <v>0.99191393058446531</v>
      </c>
      <c r="M66" s="194"/>
      <c r="N66" s="194">
        <v>0.99042558938012137</v>
      </c>
      <c r="O66" s="194"/>
      <c r="P66" s="194">
        <v>0.98903363443296088</v>
      </c>
      <c r="Q66" s="194"/>
      <c r="R66" s="194">
        <v>0.98778568309454928</v>
      </c>
      <c r="S66" s="194"/>
      <c r="T66" s="194">
        <v>0.98675436546770756</v>
      </c>
      <c r="U66" s="194"/>
      <c r="V66" s="194">
        <v>0.98605103564368701</v>
      </c>
      <c r="W66" s="194"/>
      <c r="X66" s="194">
        <v>0.98584577407860852</v>
      </c>
      <c r="Y66" s="194"/>
      <c r="Z66" s="194">
        <v>0.98639172535271158</v>
      </c>
      <c r="AA66" s="194"/>
      <c r="AB66" s="194">
        <v>0.98803840365209938</v>
      </c>
      <c r="AC66" s="194"/>
      <c r="AD66" s="194">
        <v>0.99118731226850099</v>
      </c>
      <c r="AE66" s="194"/>
      <c r="AF66" s="194">
        <v>0.99612484611161189</v>
      </c>
      <c r="AG66" s="194"/>
      <c r="AH66" s="194">
        <v>1.0027854784174723</v>
      </c>
      <c r="AI66" s="194"/>
      <c r="AJ66" s="194">
        <v>1.0107180411401231</v>
      </c>
      <c r="AK66" s="194"/>
      <c r="AL66" s="194">
        <v>1.019372934407798</v>
      </c>
      <c r="AM66" s="194"/>
      <c r="AN66" s="194">
        <v>1.0284611041712646</v>
      </c>
      <c r="AO66" s="194"/>
      <c r="AP66" s="194">
        <v>1.0303565526121461</v>
      </c>
      <c r="AQ66" s="194"/>
      <c r="AR66" s="194">
        <v>1.0323126757695646</v>
      </c>
      <c r="AS66" s="194"/>
      <c r="AT66" s="194" t="e">
        <v>#DIV/0!</v>
      </c>
      <c r="AU66" s="194"/>
      <c r="AV66" s="194" t="e">
        <v>#DIV/0!</v>
      </c>
      <c r="XFD66" s="194"/>
    </row>
    <row r="67" spans="1:48 16384:16384" x14ac:dyDescent="0.2">
      <c r="A67" t="s">
        <v>186</v>
      </c>
      <c r="B67" s="194">
        <v>1</v>
      </c>
      <c r="C67" s="194"/>
      <c r="D67" s="194">
        <v>1</v>
      </c>
      <c r="E67" s="194"/>
      <c r="F67" s="194">
        <v>1</v>
      </c>
      <c r="G67" s="194"/>
      <c r="H67" s="194">
        <v>1</v>
      </c>
      <c r="I67" s="194"/>
      <c r="J67" s="194">
        <v>1</v>
      </c>
      <c r="K67" s="194"/>
      <c r="L67" s="194">
        <v>1</v>
      </c>
      <c r="M67" s="194"/>
      <c r="N67" s="194">
        <v>1</v>
      </c>
      <c r="O67" s="194"/>
      <c r="P67" s="194">
        <v>1</v>
      </c>
      <c r="Q67" s="194"/>
      <c r="R67" s="194">
        <v>1</v>
      </c>
      <c r="S67" s="194"/>
      <c r="T67" s="194">
        <v>1</v>
      </c>
      <c r="U67" s="194"/>
      <c r="V67" s="194">
        <v>1</v>
      </c>
      <c r="W67" s="194"/>
      <c r="X67" s="194">
        <v>1</v>
      </c>
      <c r="Y67" s="194"/>
      <c r="Z67" s="194">
        <v>1</v>
      </c>
      <c r="AA67" s="194"/>
      <c r="AB67" s="194">
        <v>1</v>
      </c>
      <c r="AC67" s="194"/>
      <c r="AD67" s="194">
        <v>1</v>
      </c>
      <c r="AE67" s="194"/>
      <c r="AF67" s="194">
        <v>1</v>
      </c>
      <c r="AG67" s="194"/>
      <c r="AH67" s="194">
        <v>1</v>
      </c>
      <c r="AI67" s="194"/>
      <c r="AJ67" s="194">
        <v>1</v>
      </c>
      <c r="AK67" s="194"/>
      <c r="AL67" s="194">
        <v>1</v>
      </c>
      <c r="AM67" s="194"/>
      <c r="AN67" s="194">
        <v>1</v>
      </c>
      <c r="AO67" s="194"/>
      <c r="AP67" s="194">
        <v>1</v>
      </c>
      <c r="AQ67" s="194"/>
      <c r="AR67" s="194">
        <v>1</v>
      </c>
      <c r="AS67" s="194"/>
      <c r="AT67" s="194" t="e">
        <v>#DIV/0!</v>
      </c>
      <c r="AU67" s="194"/>
      <c r="AV67" s="194" t="e">
        <v>#DIV/0!</v>
      </c>
      <c r="XFD67" s="194"/>
    </row>
    <row r="68" spans="1:48 16384:16384" x14ac:dyDescent="0.2">
      <c r="A68" t="s">
        <v>184</v>
      </c>
      <c r="B68" s="194">
        <v>1</v>
      </c>
      <c r="C68" s="194"/>
      <c r="D68" s="194">
        <v>0.99833864776571535</v>
      </c>
      <c r="E68" s="194"/>
      <c r="F68" s="194">
        <v>0.99669129471685358</v>
      </c>
      <c r="G68" s="194"/>
      <c r="H68" s="194">
        <v>0.99506431442522536</v>
      </c>
      <c r="I68" s="194"/>
      <c r="J68" s="194">
        <v>0.99346717156210029</v>
      </c>
      <c r="K68" s="194"/>
      <c r="L68" s="194">
        <v>0.99191393058446531</v>
      </c>
      <c r="M68" s="194"/>
      <c r="N68" s="194">
        <v>0.99042558938012137</v>
      </c>
      <c r="O68" s="194"/>
      <c r="P68" s="194">
        <v>0.98903363443296088</v>
      </c>
      <c r="Q68" s="194"/>
      <c r="R68" s="194">
        <v>0.98778568309454928</v>
      </c>
      <c r="S68" s="194"/>
      <c r="T68" s="194">
        <v>0.98675436546770756</v>
      </c>
      <c r="U68" s="194"/>
      <c r="V68" s="194">
        <v>0.98605103564368701</v>
      </c>
      <c r="W68" s="194"/>
      <c r="X68" s="194">
        <v>0.98584577407860852</v>
      </c>
      <c r="Y68" s="194"/>
      <c r="Z68" s="194">
        <v>0.98639172535271158</v>
      </c>
      <c r="AA68" s="194"/>
      <c r="AB68" s="194">
        <v>0.98803840365209938</v>
      </c>
      <c r="AC68" s="194"/>
      <c r="AD68" s="194">
        <v>0.99118731226850099</v>
      </c>
      <c r="AE68" s="194"/>
      <c r="AF68" s="194">
        <v>0.99612484611161189</v>
      </c>
      <c r="AG68" s="194"/>
      <c r="AH68" s="194">
        <v>1.0027854784174723</v>
      </c>
      <c r="AI68" s="194"/>
      <c r="AJ68" s="194">
        <v>1.0107180411401231</v>
      </c>
      <c r="AK68" s="194"/>
      <c r="AL68" s="194">
        <v>1.019372934407798</v>
      </c>
      <c r="AM68" s="194"/>
      <c r="AN68" s="194">
        <v>1.0284611041712646</v>
      </c>
      <c r="AO68" s="194"/>
      <c r="AP68" s="194">
        <v>1.0303565526121461</v>
      </c>
      <c r="AQ68" s="194"/>
      <c r="AR68" s="194">
        <v>1.0323126757695646</v>
      </c>
      <c r="AS68" s="194"/>
      <c r="AT68" s="194" t="e">
        <v>#DIV/0!</v>
      </c>
      <c r="AU68" s="194"/>
      <c r="AV68" s="194" t="e">
        <v>#DIV/0!</v>
      </c>
      <c r="XFD68" s="194"/>
    </row>
    <row r="69" spans="1:48 16384:16384" x14ac:dyDescent="0.2">
      <c r="A69" t="s">
        <v>180</v>
      </c>
      <c r="B69" s="194">
        <v>1</v>
      </c>
      <c r="C69" s="194"/>
      <c r="D69" s="194">
        <v>1.000560035038266</v>
      </c>
      <c r="E69" s="194"/>
      <c r="F69" s="194">
        <v>1.0010209592450114</v>
      </c>
      <c r="G69" s="194"/>
      <c r="H69" s="194">
        <v>1.0013690786760512</v>
      </c>
      <c r="I69" s="194"/>
      <c r="J69" s="194">
        <v>1.0015879382505697</v>
      </c>
      <c r="K69" s="194"/>
      <c r="L69" s="194">
        <v>1.0016575593021639</v>
      </c>
      <c r="M69" s="194"/>
      <c r="N69" s="194">
        <v>1.0015534081597994</v>
      </c>
      <c r="O69" s="194"/>
      <c r="P69" s="194">
        <v>1.0012447605535957</v>
      </c>
      <c r="Q69" s="194"/>
      <c r="R69" s="194">
        <v>1.0006923145895228</v>
      </c>
      <c r="S69" s="194"/>
      <c r="T69" s="194">
        <v>0.99984424352095769</v>
      </c>
      <c r="U69" s="194"/>
      <c r="V69" s="194">
        <v>0.9986289568921819</v>
      </c>
      <c r="W69" s="194"/>
      <c r="X69" s="194">
        <v>0.99694062459050958</v>
      </c>
      <c r="Y69" s="194"/>
      <c r="Z69" s="194">
        <v>0.99460728033070056</v>
      </c>
      <c r="AA69" s="194"/>
      <c r="AB69" s="194">
        <v>0.9913160034864521</v>
      </c>
      <c r="AC69" s="194"/>
      <c r="AD69" s="194">
        <v>0.98643746850463487</v>
      </c>
      <c r="AE69" s="194"/>
      <c r="AF69" s="194">
        <v>0.97864421885451869</v>
      </c>
      <c r="AG69" s="194"/>
      <c r="AH69" s="194">
        <v>0.96513959199081678</v>
      </c>
      <c r="AI69" s="194"/>
      <c r="AJ69" s="194">
        <v>0.93987017260191197</v>
      </c>
      <c r="AK69" s="194"/>
      <c r="AL69" s="194">
        <v>0.88751725642802948</v>
      </c>
      <c r="AM69" s="194"/>
      <c r="AN69" s="194">
        <v>0.75258078038570053</v>
      </c>
      <c r="AO69" s="194"/>
      <c r="AP69" s="194">
        <v>0.6986752744571737</v>
      </c>
      <c r="AQ69" s="194"/>
      <c r="AR69" s="194">
        <v>0.62411595174977519</v>
      </c>
      <c r="AS69" s="194"/>
      <c r="AT69" s="194" t="e">
        <v>#DIV/0!</v>
      </c>
      <c r="AU69" s="194"/>
      <c r="AV69" s="194" t="e">
        <v>#DIV/0!</v>
      </c>
    </row>
    <row r="70" spans="1:48 16384:16384" x14ac:dyDescent="0.2">
      <c r="A70" t="s">
        <v>181</v>
      </c>
      <c r="B70" s="141">
        <v>1</v>
      </c>
      <c r="C70" s="141"/>
      <c r="D70" s="141">
        <v>1.0004402167521556</v>
      </c>
      <c r="E70" s="141"/>
      <c r="F70" s="141">
        <v>1.0007386309310546</v>
      </c>
      <c r="G70" s="141"/>
      <c r="H70" s="141">
        <v>1.0008704048451971</v>
      </c>
      <c r="I70" s="141"/>
      <c r="J70" s="141">
        <v>1.0008039832883462</v>
      </c>
      <c r="K70" s="141"/>
      <c r="L70" s="141">
        <v>1.0004985919800546</v>
      </c>
      <c r="M70" s="141"/>
      <c r="N70" s="141">
        <v>0.99990055926827326</v>
      </c>
      <c r="O70" s="141"/>
      <c r="P70" s="141">
        <v>0.99893772714273632</v>
      </c>
      <c r="Q70" s="141"/>
      <c r="R70" s="141">
        <v>0.99751089584803787</v>
      </c>
      <c r="S70" s="141"/>
      <c r="T70" s="141">
        <v>0.99548037575763226</v>
      </c>
      <c r="U70" s="141"/>
      <c r="V70" s="141">
        <v>0.99264446056735378</v>
      </c>
      <c r="W70" s="141"/>
      <c r="X70" s="141">
        <v>0.98870486903168786</v>
      </c>
      <c r="Y70" s="141"/>
      <c r="Z70" s="141">
        <v>0.9832121450550243</v>
      </c>
      <c r="AA70" s="141"/>
      <c r="AB70" s="141">
        <v>0.97548341309362685</v>
      </c>
      <c r="AC70" s="141"/>
      <c r="AD70" s="141">
        <v>0.96448467629490553</v>
      </c>
      <c r="AE70" s="141"/>
      <c r="AF70" s="141">
        <v>0.94863778259419984</v>
      </c>
      <c r="AG70" s="141"/>
      <c r="AH70" s="141">
        <v>0.92532484903145151</v>
      </c>
      <c r="AI70" s="141"/>
      <c r="AJ70" s="141">
        <v>0.88929827152842422</v>
      </c>
      <c r="AK70" s="141"/>
      <c r="AL70" s="141">
        <v>0.82723111223200929</v>
      </c>
      <c r="AM70" s="141"/>
      <c r="AN70" s="141">
        <v>0.69149010521701759</v>
      </c>
      <c r="AO70" s="141"/>
      <c r="AP70" s="141">
        <v>0.64109569124563215</v>
      </c>
      <c r="AQ70" s="141"/>
      <c r="AR70" s="141">
        <v>0.57301391380805677</v>
      </c>
      <c r="AS70" s="141"/>
      <c r="AT70" s="141">
        <v>0</v>
      </c>
      <c r="AU70" s="141"/>
      <c r="AV70" s="141">
        <v>0</v>
      </c>
    </row>
    <row r="71" spans="1:48 16384:16384" x14ac:dyDescent="0.2">
      <c r="A71" t="s">
        <v>182</v>
      </c>
      <c r="B71" s="141">
        <v>1</v>
      </c>
      <c r="D71" s="141">
        <v>0.90920676637933084</v>
      </c>
      <c r="E71" s="141"/>
      <c r="F71" s="141">
        <v>0.81969057835518366</v>
      </c>
      <c r="G71" s="141"/>
      <c r="H71" s="141">
        <v>0.73166201626467053</v>
      </c>
      <c r="I71" s="141"/>
      <c r="J71" s="141">
        <v>0.64538262241884392</v>
      </c>
      <c r="K71" s="141"/>
      <c r="L71" s="141">
        <v>0.56118099984667913</v>
      </c>
      <c r="M71" s="141"/>
      <c r="N71" s="141">
        <v>0.47947438546827492</v>
      </c>
      <c r="O71" s="141"/>
      <c r="P71" s="141">
        <v>0.40079933996028849</v>
      </c>
      <c r="Q71" s="141"/>
      <c r="R71" s="141">
        <v>0.32585118172462585</v>
      </c>
      <c r="S71" s="141"/>
      <c r="T71" s="141">
        <v>0.25553437292005365</v>
      </c>
      <c r="U71" s="141"/>
      <c r="V71" s="141">
        <v>0.19102080125491314</v>
      </c>
      <c r="W71" s="141"/>
      <c r="X71" s="141">
        <v>0.13379427577960268</v>
      </c>
      <c r="Y71" s="141"/>
      <c r="Z71" s="141">
        <v>8.5616350711826592E-2</v>
      </c>
      <c r="AA71" s="141"/>
      <c r="AB71" s="141">
        <v>4.8259676493574252E-2</v>
      </c>
      <c r="AC71" s="141"/>
      <c r="AD71" s="141">
        <v>2.278653723913129E-2</v>
      </c>
      <c r="AE71" s="141"/>
      <c r="AF71" s="141">
        <v>8.4505527492259088E-3</v>
      </c>
      <c r="AG71" s="141"/>
      <c r="AH71" s="141">
        <v>2.2684303231914251E-3</v>
      </c>
      <c r="AI71" s="141"/>
      <c r="AJ71" s="141">
        <v>3.8820230187726752E-4</v>
      </c>
      <c r="AK71" s="141"/>
      <c r="AL71" s="141">
        <v>3.234577026864113E-5</v>
      </c>
      <c r="AM71" s="141"/>
      <c r="AN71" s="141">
        <v>6.0228986492930442E-7</v>
      </c>
      <c r="AO71" s="141"/>
      <c r="AP71" s="141">
        <v>1.8633331641545342E-7</v>
      </c>
      <c r="AQ71" s="141"/>
      <c r="AR71" s="141">
        <v>4.5150535530138115E-8</v>
      </c>
      <c r="AS71" s="141"/>
      <c r="AT71" s="141">
        <v>0</v>
      </c>
      <c r="AU71" s="141"/>
      <c r="AV71" s="141">
        <v>0</v>
      </c>
      <c r="XFD71" s="141"/>
    </row>
    <row r="72" spans="1:48 16384:16384" x14ac:dyDescent="0.2">
      <c r="A72" t="s">
        <v>183</v>
      </c>
      <c r="B72" s="141">
        <v>1</v>
      </c>
      <c r="D72" s="141">
        <v>1.014862359736173</v>
      </c>
      <c r="E72" s="141"/>
      <c r="F72" s="141">
        <v>1.0305307072340175</v>
      </c>
      <c r="G72" s="141"/>
      <c r="H72" s="141">
        <v>1.0468925707214212</v>
      </c>
      <c r="I72" s="141"/>
      <c r="J72" s="141">
        <v>1.0637624691652596</v>
      </c>
      <c r="K72" s="141"/>
      <c r="L72" s="141">
        <v>1.0808469924002708</v>
      </c>
      <c r="M72" s="141"/>
      <c r="N72" s="141">
        <v>1.0976918837654839</v>
      </c>
      <c r="O72" s="141"/>
      <c r="P72" s="141">
        <v>1.1136008240567292</v>
      </c>
      <c r="Q72" s="141"/>
      <c r="R72" s="141">
        <v>1.1275088824443698</v>
      </c>
      <c r="S72" s="141"/>
      <c r="T72" s="141">
        <v>1.137785710748378</v>
      </c>
      <c r="U72" s="141"/>
      <c r="V72" s="141">
        <v>1.1419362177187895</v>
      </c>
      <c r="W72" s="141"/>
      <c r="X72" s="141">
        <v>1.1361741996192136</v>
      </c>
      <c r="Y72" s="141"/>
      <c r="Z72" s="141">
        <v>1.1149275638371967</v>
      </c>
      <c r="AA72" s="141"/>
      <c r="AB72" s="141">
        <v>1.0706362862470025</v>
      </c>
      <c r="AC72" s="141"/>
      <c r="AD72" s="141">
        <v>0.99486814627198628</v>
      </c>
      <c r="AE72" s="141"/>
      <c r="AF72" s="141">
        <v>0.88205770598486533</v>
      </c>
      <c r="AG72" s="141"/>
      <c r="AH72" s="141">
        <v>0.73444827188025708</v>
      </c>
      <c r="AI72" s="141"/>
      <c r="AJ72" s="141">
        <v>0.56234530258942084</v>
      </c>
      <c r="AK72" s="141"/>
      <c r="AL72" s="141">
        <v>0.3778957744667153</v>
      </c>
      <c r="AM72" s="141"/>
      <c r="AN72" s="141">
        <v>0.18931364757885383</v>
      </c>
      <c r="AO72" s="141"/>
      <c r="AP72" s="141">
        <v>0.15146473401326899</v>
      </c>
      <c r="AQ72" s="141"/>
      <c r="AR72" s="141">
        <v>0.1136042489405913</v>
      </c>
      <c r="AS72" s="141"/>
      <c r="AT72" s="141">
        <v>0</v>
      </c>
      <c r="AU72" s="141"/>
      <c r="AV72" s="141">
        <v>0</v>
      </c>
      <c r="XFD72" s="141"/>
    </row>
    <row r="73" spans="1:48 16384:16384" x14ac:dyDescent="0.2">
      <c r="A73" t="s">
        <v>187</v>
      </c>
      <c r="B73" s="196">
        <v>0.56706723273486048</v>
      </c>
      <c r="D73" s="196">
        <v>0.56483807198512914</v>
      </c>
      <c r="E73" s="141"/>
      <c r="F73" s="196">
        <v>0.56253709866015222</v>
      </c>
      <c r="G73" s="141"/>
      <c r="H73" s="196">
        <v>0.56014933176277493</v>
      </c>
      <c r="I73" s="141"/>
      <c r="J73" s="196">
        <v>0.55765535013628231</v>
      </c>
      <c r="K73" s="141"/>
      <c r="L73" s="196">
        <v>0.55502949354606035</v>
      </c>
      <c r="M73" s="141"/>
      <c r="N73" s="196">
        <v>0.55223721345699173</v>
      </c>
      <c r="O73" s="141"/>
      <c r="P73" s="196">
        <v>0.54923088095964834</v>
      </c>
      <c r="Q73" s="141"/>
      <c r="R73" s="196">
        <v>0.54594330451013218</v>
      </c>
      <c r="S73" s="141"/>
      <c r="T73" s="196">
        <v>0.54227738244340451</v>
      </c>
      <c r="U73" s="141"/>
      <c r="V73" s="196">
        <v>0.53808953270594995</v>
      </c>
      <c r="W73" s="141"/>
      <c r="X73" s="196">
        <v>0.53316348457165341</v>
      </c>
      <c r="Y73" s="141"/>
      <c r="Z73" s="196">
        <v>0.52717102171197838</v>
      </c>
      <c r="AA73" s="141"/>
      <c r="AB73" s="196">
        <v>0.51962088467279954</v>
      </c>
      <c r="AC73" s="141"/>
      <c r="AD73" s="196">
        <v>0.50980983815470249</v>
      </c>
      <c r="AE73" s="141"/>
      <c r="AF73" s="196">
        <v>0.49678476540094157</v>
      </c>
      <c r="AG73" s="141"/>
      <c r="AH73" s="196">
        <v>0.47919257072527283</v>
      </c>
      <c r="AI73" s="141"/>
      <c r="AJ73" s="196">
        <v>0.45454229028896181</v>
      </c>
      <c r="AK73" s="141"/>
      <c r="AL73" s="196">
        <v>0.41657694806972279</v>
      </c>
      <c r="AM73" s="141"/>
      <c r="AN73" s="196">
        <v>0.34332433561994224</v>
      </c>
      <c r="AO73" s="141"/>
      <c r="AP73" s="196">
        <v>0.31788358366830682</v>
      </c>
      <c r="AQ73" s="141"/>
      <c r="AR73" s="196">
        <v>0.28429836881606901</v>
      </c>
      <c r="AS73" s="141"/>
      <c r="AT73" s="196" t="e">
        <v>#DIV/0!</v>
      </c>
      <c r="AU73" s="141"/>
      <c r="AV73" s="196" t="e">
        <v>#DIV/0!</v>
      </c>
      <c r="XFD73" s="196"/>
    </row>
    <row r="74" spans="1:48 16384:16384" x14ac:dyDescent="0.2">
      <c r="A74" t="s">
        <v>188</v>
      </c>
      <c r="B74" s="196">
        <v>0.21672767296897655</v>
      </c>
      <c r="D74" s="196">
        <v>0.21672767296897658</v>
      </c>
      <c r="E74" s="141"/>
      <c r="F74" s="196">
        <v>0.21672767296897658</v>
      </c>
      <c r="G74" s="141"/>
      <c r="H74" s="196">
        <v>0.21672767296897655</v>
      </c>
      <c r="I74" s="141"/>
      <c r="J74" s="196">
        <v>0.21672767296897658</v>
      </c>
      <c r="K74" s="141"/>
      <c r="L74" s="196">
        <v>0.21672767296897652</v>
      </c>
      <c r="M74" s="141"/>
      <c r="N74" s="196">
        <v>0.21672767296897655</v>
      </c>
      <c r="O74" s="141"/>
      <c r="P74" s="196">
        <v>0.21672767296897655</v>
      </c>
      <c r="Q74" s="141"/>
      <c r="R74" s="196">
        <v>0.21672767296897655</v>
      </c>
      <c r="S74" s="141"/>
      <c r="T74" s="196">
        <v>0.21672767296897655</v>
      </c>
      <c r="U74" s="141"/>
      <c r="V74" s="196">
        <v>0.21672767296897655</v>
      </c>
      <c r="W74" s="141"/>
      <c r="X74" s="196">
        <v>0.21672767296897652</v>
      </c>
      <c r="Y74" s="141"/>
      <c r="Z74" s="196">
        <v>0.21672767296897655</v>
      </c>
      <c r="AA74" s="141"/>
      <c r="AB74" s="196">
        <v>0.21672767296897655</v>
      </c>
      <c r="AC74" s="141"/>
      <c r="AD74" s="196">
        <v>0.21672767296897652</v>
      </c>
      <c r="AE74" s="141"/>
      <c r="AF74" s="196">
        <v>0.21672767296897655</v>
      </c>
      <c r="AG74" s="141"/>
      <c r="AH74" s="196">
        <v>0.21672767296897655</v>
      </c>
      <c r="AI74" s="141"/>
      <c r="AJ74" s="196">
        <v>0.21672767296897655</v>
      </c>
      <c r="AK74" s="141"/>
      <c r="AL74" s="196">
        <v>0.21672767296897658</v>
      </c>
      <c r="AM74" s="141"/>
      <c r="AN74" s="196">
        <v>0.21672767296897655</v>
      </c>
      <c r="AO74" s="141"/>
      <c r="AP74" s="196">
        <v>0.21672767296897655</v>
      </c>
      <c r="AQ74" s="141"/>
      <c r="AR74" s="196">
        <v>0.21672767296897655</v>
      </c>
      <c r="AS74" s="141"/>
      <c r="AT74" s="196" t="e">
        <v>#DIV/0!</v>
      </c>
      <c r="AU74" s="141"/>
      <c r="AV74" s="196" t="e">
        <v>#DIV/0!</v>
      </c>
      <c r="XFD74" s="196"/>
    </row>
    <row r="75" spans="1:48 16384:16384" x14ac:dyDescent="0.2">
      <c r="A75" t="s">
        <v>189</v>
      </c>
      <c r="B75" s="196">
        <v>0.20445380142857192</v>
      </c>
      <c r="D75" s="196">
        <v>0.20668296530671479</v>
      </c>
      <c r="E75" s="141"/>
      <c r="F75" s="196">
        <v>0.20898393707977914</v>
      </c>
      <c r="G75" s="141"/>
      <c r="H75" s="196">
        <v>0.21137170351407428</v>
      </c>
      <c r="I75" s="141"/>
      <c r="J75" s="196">
        <v>0.21386568652570731</v>
      </c>
      <c r="K75" s="141"/>
      <c r="L75" s="196">
        <v>0.21649154028605205</v>
      </c>
      <c r="M75" s="141"/>
      <c r="N75" s="196">
        <v>0.2192838199986118</v>
      </c>
      <c r="O75" s="141"/>
      <c r="P75" s="196">
        <v>0.22229015366242977</v>
      </c>
      <c r="Q75" s="141"/>
      <c r="R75" s="196">
        <v>0.22557773012672305</v>
      </c>
      <c r="S75" s="141"/>
      <c r="T75" s="196">
        <v>0.22924365190832161</v>
      </c>
      <c r="U75" s="141"/>
      <c r="V75" s="196">
        <v>0.23343150184843464</v>
      </c>
      <c r="W75" s="141"/>
      <c r="X75" s="196">
        <v>0.23835754981589419</v>
      </c>
      <c r="Y75" s="141"/>
      <c r="Z75" s="196">
        <v>0.24435001220003499</v>
      </c>
      <c r="AA75" s="141"/>
      <c r="AB75" s="196">
        <v>0.25190014959401696</v>
      </c>
      <c r="AC75" s="141"/>
      <c r="AD75" s="196">
        <v>0.26171119607383242</v>
      </c>
      <c r="AE75" s="141"/>
      <c r="AF75" s="196">
        <v>0.27473626875997564</v>
      </c>
      <c r="AG75" s="141"/>
      <c r="AH75" s="196">
        <v>0.29232846343874463</v>
      </c>
      <c r="AI75" s="141"/>
      <c r="AJ75" s="196">
        <v>0.31697874387436092</v>
      </c>
      <c r="AK75" s="141"/>
      <c r="AL75" s="196">
        <v>0.35494408609372313</v>
      </c>
      <c r="AM75" s="141"/>
      <c r="AN75" s="196">
        <v>0.4281966985434919</v>
      </c>
      <c r="AO75" s="141"/>
      <c r="AP75" s="196">
        <v>0.4536374504951261</v>
      </c>
      <c r="AQ75" s="141"/>
      <c r="AR75" s="196">
        <v>0.4872226653473693</v>
      </c>
      <c r="AS75" s="141"/>
      <c r="AT75" s="196" t="e">
        <v>#DIV/0!</v>
      </c>
      <c r="AU75" s="141"/>
      <c r="AV75" s="196" t="e">
        <v>#DIV/0!</v>
      </c>
      <c r="XFD75" s="196"/>
    </row>
    <row r="76" spans="1:48 16384:16384" x14ac:dyDescent="0.2">
      <c r="A76" t="s">
        <v>190</v>
      </c>
      <c r="B76" s="196">
        <v>0.20231859885161138</v>
      </c>
      <c r="D76" s="196">
        <v>0.20254122781454892</v>
      </c>
      <c r="E76" s="141"/>
      <c r="F76" s="196">
        <v>0.20279609030834375</v>
      </c>
      <c r="G76" s="141"/>
      <c r="H76" s="196">
        <v>0.20307921173753596</v>
      </c>
      <c r="I76" s="141"/>
      <c r="J76" s="196">
        <v>0.20338391994430266</v>
      </c>
      <c r="K76" s="141"/>
      <c r="L76" s="196">
        <v>0.20369952449313239</v>
      </c>
      <c r="M76" s="141"/>
      <c r="N76" s="196">
        <v>0.20400928155443698</v>
      </c>
      <c r="O76" s="141"/>
      <c r="P76" s="196">
        <v>0.2042873150771338</v>
      </c>
      <c r="Q76" s="141"/>
      <c r="R76" s="196">
        <v>0.20449376485085183</v>
      </c>
      <c r="S76" s="141"/>
      <c r="T76" s="196">
        <v>0.20456724354845321</v>
      </c>
      <c r="U76" s="141"/>
      <c r="V76" s="196">
        <v>0.20441341469535818</v>
      </c>
      <c r="W76" s="141"/>
      <c r="X76" s="196">
        <v>0.20388887124717806</v>
      </c>
      <c r="Y76" s="141"/>
      <c r="Z76" s="196">
        <v>0.20278292933422565</v>
      </c>
      <c r="AA76" s="141"/>
      <c r="AB76" s="196">
        <v>0.20081191246549868</v>
      </c>
      <c r="AC76" s="141"/>
      <c r="AD76" s="196">
        <v>0.19766553492394923</v>
      </c>
      <c r="AE76" s="141"/>
      <c r="AF76" s="196">
        <v>0.19315156273937423</v>
      </c>
      <c r="AG76" s="141"/>
      <c r="AH76" s="196">
        <v>0.18737352047607572</v>
      </c>
      <c r="AI76" s="141"/>
      <c r="AJ76" s="196">
        <v>0.1807167490165261</v>
      </c>
      <c r="AK76" s="141"/>
      <c r="AL76" s="196">
        <v>0.17362621684693075</v>
      </c>
      <c r="AM76" s="141"/>
      <c r="AN76" s="196">
        <v>0.16674234075906758</v>
      </c>
      <c r="AO76" s="141"/>
      <c r="AP76" s="196">
        <v>0.16561462078751879</v>
      </c>
      <c r="AQ76" s="141"/>
      <c r="AR76" s="196">
        <v>0.16478425505844416</v>
      </c>
      <c r="AS76" s="141"/>
      <c r="AT76" s="196" t="e">
        <v>#DIV/0!</v>
      </c>
      <c r="AU76" s="141"/>
      <c r="AV76" s="196" t="e">
        <v>#DIV/0!</v>
      </c>
      <c r="XFD76" s="196"/>
    </row>
    <row r="77" spans="1:48 16384:16384" x14ac:dyDescent="0.2">
      <c r="A77" t="s">
        <v>191</v>
      </c>
      <c r="B77" s="196">
        <v>0.19056730598402033</v>
      </c>
      <c r="D77" s="196">
        <v>0.19078993807536931</v>
      </c>
      <c r="E77" s="141"/>
      <c r="F77" s="196">
        <v>0.19104479901725172</v>
      </c>
      <c r="G77" s="141"/>
      <c r="H77" s="196">
        <v>0.1913279199833616</v>
      </c>
      <c r="I77" s="141"/>
      <c r="J77" s="196">
        <v>0.19163262957526883</v>
      </c>
      <c r="K77" s="141"/>
      <c r="L77" s="196">
        <v>0.19194823129422126</v>
      </c>
      <c r="M77" s="141"/>
      <c r="N77" s="196">
        <v>0.19225798797901694</v>
      </c>
      <c r="O77" s="141"/>
      <c r="P77" s="196">
        <v>0.19253602266818831</v>
      </c>
      <c r="Q77" s="141"/>
      <c r="R77" s="196">
        <v>0.19274247245668358</v>
      </c>
      <c r="S77" s="141"/>
      <c r="T77" s="196">
        <v>0.19281595086915601</v>
      </c>
      <c r="U77" s="141"/>
      <c r="V77" s="196">
        <v>0.19266212221871942</v>
      </c>
      <c r="W77" s="141"/>
      <c r="X77" s="196">
        <v>0.1921375786037022</v>
      </c>
      <c r="Y77" s="141"/>
      <c r="Z77" s="196">
        <v>0.19103163621521552</v>
      </c>
      <c r="AA77" s="141"/>
      <c r="AB77" s="196">
        <v>0.18906061970129182</v>
      </c>
      <c r="AC77" s="141"/>
      <c r="AD77" s="196">
        <v>0.18591424212146063</v>
      </c>
      <c r="AE77" s="141"/>
      <c r="AF77" s="196">
        <v>0.1814002698692681</v>
      </c>
      <c r="AG77" s="141"/>
      <c r="AH77" s="196">
        <v>0.17562222760906979</v>
      </c>
      <c r="AI77" s="141"/>
      <c r="AJ77" s="196">
        <v>0.16896545614882555</v>
      </c>
      <c r="AK77" s="141"/>
      <c r="AL77" s="196">
        <v>0.16187492397935321</v>
      </c>
      <c r="AM77" s="141"/>
      <c r="AN77" s="196">
        <v>0.15499104789147822</v>
      </c>
      <c r="AO77" s="141"/>
      <c r="AP77" s="196">
        <v>0.15386332791992843</v>
      </c>
      <c r="AQ77" s="141"/>
      <c r="AR77" s="196">
        <v>0.15303296219085913</v>
      </c>
      <c r="AS77" s="141"/>
      <c r="AT77" s="196" t="e">
        <v>#DIV/0!</v>
      </c>
      <c r="AU77" s="141"/>
      <c r="AV77" s="196" t="e">
        <v>#DIV/0!</v>
      </c>
      <c r="XFD77" s="196"/>
    </row>
    <row r="78" spans="1:48 16384:16384" x14ac:dyDescent="0.2">
      <c r="A78" t="s">
        <v>192</v>
      </c>
      <c r="B78" s="196">
        <v>0.27666372811889955</v>
      </c>
      <c r="D78" s="196">
        <v>0.27660970730603179</v>
      </c>
      <c r="E78" s="141"/>
      <c r="F78" s="196">
        <v>0.2765047846642627</v>
      </c>
      <c r="G78" s="141"/>
      <c r="H78" s="196">
        <v>0.27633942387569543</v>
      </c>
      <c r="I78" s="141"/>
      <c r="J78" s="196">
        <v>0.27610128173214976</v>
      </c>
      <c r="K78" s="141"/>
      <c r="L78" s="196">
        <v>0.27577409780188011</v>
      </c>
      <c r="M78" s="141"/>
      <c r="N78" s="196">
        <v>0.27533604053954669</v>
      </c>
      <c r="O78" s="141"/>
      <c r="P78" s="196">
        <v>0.27475720995966191</v>
      </c>
      <c r="Q78" s="141"/>
      <c r="R78" s="196">
        <v>0.27399579194285001</v>
      </c>
      <c r="S78" s="141"/>
      <c r="T78" s="196">
        <v>0.27299207296249611</v>
      </c>
      <c r="U78" s="141"/>
      <c r="V78" s="196">
        <v>0.27165910722396397</v>
      </c>
      <c r="W78" s="141"/>
      <c r="X78" s="196">
        <v>0.26986849957864839</v>
      </c>
      <c r="Y78" s="141"/>
      <c r="Z78" s="196">
        <v>0.26743031405138651</v>
      </c>
      <c r="AA78" s="141"/>
      <c r="AB78" s="196">
        <v>0.26406970821480041</v>
      </c>
      <c r="AC78" s="141"/>
      <c r="AD78" s="196">
        <v>0.2594106881442812</v>
      </c>
      <c r="AE78" s="141"/>
      <c r="AF78" s="196">
        <v>0.2529716368030549</v>
      </c>
      <c r="AG78" s="141"/>
      <c r="AH78" s="196">
        <v>0.24409711326545139</v>
      </c>
      <c r="AI78" s="141"/>
      <c r="AJ78" s="196">
        <v>0.23156676169107224</v>
      </c>
      <c r="AK78" s="141"/>
      <c r="AL78" s="196">
        <v>0.2122304329203272</v>
      </c>
      <c r="AM78" s="141"/>
      <c r="AN78" s="196">
        <v>0.17491140415086961</v>
      </c>
      <c r="AO78" s="141"/>
      <c r="AP78" s="196">
        <v>0.1619502627801177</v>
      </c>
      <c r="AQ78" s="141"/>
      <c r="AR78" s="196">
        <v>0.14483980503164864</v>
      </c>
      <c r="AS78" s="141"/>
      <c r="AT78" s="196" t="e">
        <v>#DIV/0!</v>
      </c>
      <c r="AU78" s="141"/>
      <c r="AV78" s="196" t="e">
        <v>#DIV/0!</v>
      </c>
      <c r="XFD78" s="196"/>
    </row>
    <row r="79" spans="1:48 16384:16384" x14ac:dyDescent="0.2">
      <c r="A79" t="s">
        <v>193</v>
      </c>
      <c r="B79" s="196">
        <v>0.42990307543833983</v>
      </c>
      <c r="D79" s="196">
        <v>0.42717954329368013</v>
      </c>
      <c r="F79" s="196">
        <v>0.42441745614885534</v>
      </c>
      <c r="H79" s="196">
        <v>0.42160765673849904</v>
      </c>
      <c r="J79" s="196">
        <v>0.41873828695815973</v>
      </c>
      <c r="L79" s="196">
        <v>0.4157936620083883</v>
      </c>
      <c r="N79" s="196">
        <v>0.41275253432805292</v>
      </c>
      <c r="P79" s="196">
        <v>0.40958546525488465</v>
      </c>
      <c r="R79" s="196">
        <v>0.40625055710831975</v>
      </c>
      <c r="T79" s="196">
        <v>0.40268653135193638</v>
      </c>
      <c r="V79" s="196">
        <v>0.39880142797378559</v>
      </c>
      <c r="X79" s="196">
        <v>0.39445417137936101</v>
      </c>
      <c r="Z79" s="196">
        <v>0.38942573867651042</v>
      </c>
      <c r="AB79" s="196">
        <v>0.38337885903036423</v>
      </c>
      <c r="AD79" s="196">
        <v>0.37581329738594843</v>
      </c>
      <c r="AF79" s="196">
        <v>0.36602308462277999</v>
      </c>
      <c r="AH79" s="196">
        <v>0.35297770156396974</v>
      </c>
      <c r="AJ79" s="196">
        <v>0.33479375888743501</v>
      </c>
      <c r="AL79" s="196">
        <v>0.30682520218050752</v>
      </c>
      <c r="AN79" s="196">
        <v>0.2528713425834217</v>
      </c>
      <c r="AP79" s="196">
        <v>0.23413326074246862</v>
      </c>
      <c r="AR79" s="196">
        <v>0.20939647968946248</v>
      </c>
      <c r="AT79" s="196" t="e">
        <v>#DIV/0!</v>
      </c>
      <c r="AV79" s="196" t="e">
        <v>#DIV/0!</v>
      </c>
      <c r="XFD79" s="196"/>
    </row>
    <row r="80" spans="1:48 16384:16384" x14ac:dyDescent="0.2">
      <c r="A80" t="s">
        <v>172</v>
      </c>
      <c r="B80" s="239">
        <v>0.29343319644276039</v>
      </c>
      <c r="D80" s="239">
        <v>0.29621077193855583</v>
      </c>
      <c r="F80" s="239">
        <v>0.29907777157510751</v>
      </c>
      <c r="H80" s="239">
        <v>0.30205291669466194</v>
      </c>
      <c r="J80" s="239">
        <v>0.30516042562397655</v>
      </c>
      <c r="L80" s="239">
        <v>0.30843224201331609</v>
      </c>
      <c r="N80" s="239">
        <v>0.31191142873657385</v>
      </c>
      <c r="P80" s="239">
        <v>0.31565732323958112</v>
      </c>
      <c r="R80" s="239">
        <v>0.31975364940954787</v>
      </c>
      <c r="T80" s="239">
        <v>0.32432139728537945</v>
      </c>
      <c r="V80" s="239">
        <v>0.32953946906879666</v>
      </c>
      <c r="X80" s="239">
        <v>0.33567733187330734</v>
      </c>
      <c r="Z80" s="239">
        <v>0.34314394841448254</v>
      </c>
      <c r="AB80" s="239">
        <v>0.35255143252710763</v>
      </c>
      <c r="AD80" s="239">
        <v>0.36477601424756151</v>
      </c>
      <c r="AF80" s="239">
        <v>0.38100527866017031</v>
      </c>
      <c r="AH80" s="239">
        <v>0.40292518513006703</v>
      </c>
      <c r="AJ80" s="239">
        <v>0.43363947946429948</v>
      </c>
      <c r="AL80" s="239">
        <v>0.48094436488266867</v>
      </c>
      <c r="AN80" s="239">
        <v>0.57221725326514339</v>
      </c>
      <c r="AP80" s="239">
        <v>0.60391647647738733</v>
      </c>
      <c r="AR80" s="239">
        <v>0.6457637152902489</v>
      </c>
      <c r="AT80" s="239" t="e">
        <v>#DIV/0!</v>
      </c>
      <c r="AV80" s="239" t="e">
        <v>#DIV/0!</v>
      </c>
      <c r="XFD80" s="239"/>
    </row>
    <row r="81" spans="1:48 16384:16384" x14ac:dyDescent="0.2">
      <c r="A81" t="s">
        <v>194</v>
      </c>
      <c r="B81" s="239">
        <v>7.6705523473783829E-2</v>
      </c>
      <c r="D81" s="239">
        <v>7.948309896957928E-2</v>
      </c>
      <c r="F81" s="239">
        <v>8.2350098606130934E-2</v>
      </c>
      <c r="H81" s="239">
        <v>8.532524372568541E-2</v>
      </c>
      <c r="J81" s="239">
        <v>8.8432752655000002E-2</v>
      </c>
      <c r="L81" s="239">
        <v>9.1704569044339546E-2</v>
      </c>
      <c r="N81" s="239">
        <v>9.5183755767597272E-2</v>
      </c>
      <c r="P81" s="239">
        <v>9.8929650270604561E-2</v>
      </c>
      <c r="R81" s="239">
        <v>0.10302597644057132</v>
      </c>
      <c r="T81" s="239">
        <v>0.10759372431640291</v>
      </c>
      <c r="V81" s="239">
        <v>0.11281179609982013</v>
      </c>
      <c r="X81" s="239">
        <v>0.11894965890433082</v>
      </c>
      <c r="Z81" s="239">
        <v>0.12641627544550599</v>
      </c>
      <c r="AB81" s="239">
        <v>0.13582375955813109</v>
      </c>
      <c r="AD81" s="239">
        <v>0.14804834127858499</v>
      </c>
      <c r="AF81" s="239">
        <v>0.16427760569119376</v>
      </c>
      <c r="AH81" s="239">
        <v>0.18619751216109048</v>
      </c>
      <c r="AJ81" s="239">
        <v>0.21691180649532296</v>
      </c>
      <c r="AL81" s="239">
        <v>0.26421669191369213</v>
      </c>
      <c r="AN81" s="239">
        <v>0.35548958029616684</v>
      </c>
      <c r="AP81" s="239">
        <v>0.38718880350841078</v>
      </c>
      <c r="AR81" s="239">
        <v>0.42903604232127235</v>
      </c>
      <c r="AT81" s="239" t="e">
        <v>#DIV/0!</v>
      </c>
      <c r="AV81" s="239" t="e">
        <v>#DIV/0!</v>
      </c>
      <c r="XFD81" s="239"/>
    </row>
    <row r="82" spans="1:48 16384:16384" x14ac:dyDescent="0.2">
      <c r="A82" t="s">
        <v>195</v>
      </c>
      <c r="B82" s="239">
        <v>5.4622536949655895E-2</v>
      </c>
      <c r="D82" s="239">
        <v>5.461187146102469E-2</v>
      </c>
      <c r="F82" s="239">
        <v>5.4591156273978467E-2</v>
      </c>
      <c r="H82" s="239">
        <v>5.4558508605110009E-2</v>
      </c>
      <c r="J82" s="239">
        <v>5.4511491498373477E-2</v>
      </c>
      <c r="L82" s="239">
        <v>5.4446894608705283E-2</v>
      </c>
      <c r="N82" s="239">
        <v>5.4360407669631038E-2</v>
      </c>
      <c r="P82" s="239">
        <v>5.4246127438708394E-2</v>
      </c>
      <c r="R82" s="239">
        <v>5.4095798430853895E-2</v>
      </c>
      <c r="T82" s="239">
        <v>5.3897631228148189E-2</v>
      </c>
      <c r="V82" s="239">
        <v>5.3634459865567898E-2</v>
      </c>
      <c r="X82" s="239">
        <v>5.3280934909717692E-2</v>
      </c>
      <c r="Z82" s="239">
        <v>5.279955674005845E-2</v>
      </c>
      <c r="AB82" s="239">
        <v>5.2136062404424886E-2</v>
      </c>
      <c r="AD82" s="239">
        <v>5.1216218311809482E-2</v>
      </c>
      <c r="AF82" s="239">
        <v>4.9944937388219417E-2</v>
      </c>
      <c r="AH82" s="239">
        <v>4.8192813995900308E-2</v>
      </c>
      <c r="AJ82" s="239">
        <v>4.5718909677045907E-2</v>
      </c>
      <c r="AL82" s="239">
        <v>4.1901281179331167E-2</v>
      </c>
      <c r="AN82" s="239">
        <v>3.4533275110212786E-2</v>
      </c>
      <c r="AP82" s="239">
        <v>3.1974318689552715E-2</v>
      </c>
      <c r="AR82" s="239">
        <v>2.8596150481721674E-2</v>
      </c>
      <c r="AT82" s="239" t="e">
        <v>#DIV/0!</v>
      </c>
      <c r="AV82" s="239" t="e">
        <v>#DIV/0!</v>
      </c>
    </row>
    <row r="83" spans="1:48 16384:16384" x14ac:dyDescent="0.2">
      <c r="A83" t="s">
        <v>196</v>
      </c>
      <c r="B83" s="239">
        <v>8.4877033872722163E-2</v>
      </c>
      <c r="D83" s="239">
        <v>8.4339318877638611E-2</v>
      </c>
      <c r="F83" s="239">
        <v>8.3793991855002956E-2</v>
      </c>
      <c r="H83" s="239">
        <v>8.3239244858868536E-2</v>
      </c>
      <c r="J83" s="239">
        <v>8.2672736708651412E-2</v>
      </c>
      <c r="L83" s="239">
        <v>8.2091370708072389E-2</v>
      </c>
      <c r="N83" s="239">
        <v>8.1490951888383983E-2</v>
      </c>
      <c r="P83" s="239">
        <v>8.0865668087549428E-2</v>
      </c>
      <c r="R83" s="239">
        <v>8.0207247322753097E-2</v>
      </c>
      <c r="T83" s="239">
        <v>7.9503591191567316E-2</v>
      </c>
      <c r="V83" s="239">
        <v>7.8736543757235516E-2</v>
      </c>
      <c r="X83" s="239">
        <v>7.7878252048477301E-2</v>
      </c>
      <c r="Z83" s="239">
        <v>7.6885473728826093E-2</v>
      </c>
      <c r="AB83" s="239">
        <v>7.5691620421247621E-2</v>
      </c>
      <c r="AD83" s="239">
        <v>7.4197929241428762E-2</v>
      </c>
      <c r="AF83" s="239">
        <v>7.2265018620881721E-2</v>
      </c>
      <c r="AH83" s="239">
        <v>6.9689430114946299E-2</v>
      </c>
      <c r="AJ83" s="239">
        <v>6.6099320607303932E-2</v>
      </c>
      <c r="AL83" s="239">
        <v>6.0577405853461906E-2</v>
      </c>
      <c r="AN83" s="239">
        <v>4.9925136004225219E-2</v>
      </c>
      <c r="AP83" s="239">
        <v>4.622562116474014E-2</v>
      </c>
      <c r="AR83" s="239">
        <v>4.1341765423077152E-2</v>
      </c>
      <c r="AT83" s="239" t="e">
        <v>#DIV/0!</v>
      </c>
      <c r="AV83" s="239" t="e">
        <v>#DIV/0!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dimension ref="A1:XFD83"/>
  <sheetViews>
    <sheetView showGridLines="0" topLeftCell="G1" workbookViewId="0">
      <pane ySplit="1" topLeftCell="A2" activePane="bottomLeft" state="frozen"/>
      <selection pane="bottomLeft" sqref="A1:XFD1048576"/>
    </sheetView>
  </sheetViews>
  <sheetFormatPr baseColWidth="10" defaultRowHeight="10" x14ac:dyDescent="0.2"/>
  <sheetData>
    <row r="1" spans="1:49" x14ac:dyDescent="0.2">
      <c r="B1" s="97">
        <v>0</v>
      </c>
      <c r="D1" s="97">
        <v>0.05</v>
      </c>
      <c r="F1" s="97">
        <v>0.1</v>
      </c>
      <c r="H1" s="97">
        <v>0.15000000000000002</v>
      </c>
      <c r="J1" s="97">
        <v>0.2</v>
      </c>
      <c r="L1" s="97">
        <v>0.25</v>
      </c>
      <c r="N1" s="97">
        <v>0.3</v>
      </c>
      <c r="P1" s="97">
        <v>0.35</v>
      </c>
      <c r="R1" s="97">
        <v>0.39999999999999997</v>
      </c>
      <c r="T1" s="97"/>
      <c r="V1" s="97"/>
      <c r="X1" s="97"/>
      <c r="Z1" s="97"/>
      <c r="AB1" s="97"/>
      <c r="AD1" s="97"/>
      <c r="AF1" s="97"/>
      <c r="AH1" s="97"/>
      <c r="AJ1" s="97"/>
      <c r="AL1" s="97"/>
      <c r="AN1" s="97"/>
      <c r="AP1" s="97"/>
      <c r="AR1" s="97"/>
      <c r="AT1" s="97"/>
      <c r="AV1" s="97"/>
    </row>
    <row r="2" spans="1:49" x14ac:dyDescent="0.2">
      <c r="A2" s="232" t="s">
        <v>158</v>
      </c>
      <c r="B2" s="229">
        <v>0.16485636072655629</v>
      </c>
      <c r="C2" s="230"/>
      <c r="D2" s="229">
        <v>0.18858387731708789</v>
      </c>
      <c r="E2" s="230"/>
      <c r="F2" s="229">
        <v>0.21592497873285327</v>
      </c>
      <c r="G2" s="230"/>
      <c r="H2" s="229">
        <v>0.24773544124255306</v>
      </c>
      <c r="I2" s="230"/>
      <c r="J2" s="229">
        <v>0.28516709232037174</v>
      </c>
      <c r="K2" s="230"/>
      <c r="L2" s="229">
        <v>0.32980718697458505</v>
      </c>
      <c r="M2" s="230"/>
      <c r="N2" s="229">
        <v>0.38389954355423445</v>
      </c>
      <c r="O2" s="230"/>
      <c r="P2" s="229">
        <v>0.45071017352317999</v>
      </c>
      <c r="Q2" s="230"/>
      <c r="R2" s="229">
        <v>0.53515048566165246</v>
      </c>
      <c r="S2" s="230"/>
      <c r="T2" s="229"/>
      <c r="U2" s="230"/>
      <c r="V2" s="229"/>
      <c r="W2" s="230"/>
      <c r="X2" s="229"/>
      <c r="Y2" s="230"/>
      <c r="Z2" s="229"/>
      <c r="AA2" s="230"/>
      <c r="AB2" s="229"/>
      <c r="AC2" s="230"/>
      <c r="AD2" s="229"/>
      <c r="AE2" s="230"/>
      <c r="AF2" s="229"/>
      <c r="AG2" s="230"/>
      <c r="AH2" s="229"/>
      <c r="AI2" s="230"/>
      <c r="AJ2" s="229"/>
      <c r="AK2" s="230"/>
      <c r="AL2" s="229"/>
      <c r="AM2" s="230"/>
      <c r="AN2" s="229"/>
      <c r="AO2" s="230"/>
      <c r="AP2" s="229"/>
      <c r="AQ2" s="230"/>
      <c r="AR2" s="229"/>
      <c r="AS2" s="230"/>
      <c r="AT2" s="229"/>
      <c r="AU2" s="230"/>
      <c r="AV2" s="229"/>
      <c r="AW2" s="230"/>
    </row>
    <row r="3" spans="1:49" x14ac:dyDescent="0.2">
      <c r="A3" t="s">
        <v>12</v>
      </c>
      <c r="B3" s="87">
        <v>1000</v>
      </c>
      <c r="C3" s="88">
        <v>1000</v>
      </c>
      <c r="D3" s="87">
        <v>997.44017099649307</v>
      </c>
      <c r="E3" s="88">
        <v>1031.4545555506575</v>
      </c>
      <c r="F3" s="87">
        <v>994.92457641490125</v>
      </c>
      <c r="G3" s="88">
        <v>1066.6592708366277</v>
      </c>
      <c r="H3" s="87">
        <v>992.4634802174304</v>
      </c>
      <c r="I3" s="88">
        <v>1106.3905060310858</v>
      </c>
      <c r="J3" s="87">
        <v>990.07225465827798</v>
      </c>
      <c r="K3" s="88">
        <v>1151.6766637844291</v>
      </c>
      <c r="L3" s="87">
        <v>987.77391350821767</v>
      </c>
      <c r="M3" s="88">
        <v>1203.9097262362486</v>
      </c>
      <c r="N3" s="87">
        <v>985.6028395552853</v>
      </c>
      <c r="O3" s="88">
        <v>1265.0213347347353</v>
      </c>
      <c r="P3" s="87">
        <v>983.61074747660223</v>
      </c>
      <c r="Q3" s="88">
        <v>1337.7653342546391</v>
      </c>
      <c r="R3" s="87">
        <v>981.8760748888842</v>
      </c>
      <c r="S3" s="88">
        <v>1426.1854529955745</v>
      </c>
      <c r="T3" s="87"/>
      <c r="U3" s="88"/>
      <c r="V3" s="87"/>
      <c r="W3" s="88"/>
      <c r="X3" s="87"/>
      <c r="Y3" s="88"/>
      <c r="Z3" s="87"/>
      <c r="AA3" s="88"/>
      <c r="AB3" s="87"/>
      <c r="AC3" s="88"/>
      <c r="AD3" s="87"/>
      <c r="AE3" s="88"/>
      <c r="AF3" s="87"/>
      <c r="AG3" s="88"/>
      <c r="AH3" s="87"/>
      <c r="AI3" s="88"/>
      <c r="AJ3" s="87"/>
      <c r="AK3" s="88"/>
      <c r="AL3" s="87"/>
      <c r="AM3" s="88"/>
      <c r="AN3" s="87"/>
      <c r="AO3" s="88"/>
      <c r="AP3" s="87"/>
      <c r="AQ3" s="88"/>
      <c r="AR3" s="87"/>
      <c r="AS3" s="88"/>
      <c r="AT3" s="87"/>
      <c r="AU3" s="88"/>
      <c r="AV3" s="87"/>
      <c r="AW3" s="88"/>
    </row>
    <row r="4" spans="1:49" x14ac:dyDescent="0.2">
      <c r="A4" t="s">
        <v>119</v>
      </c>
      <c r="B4" s="104">
        <v>1000</v>
      </c>
      <c r="C4" s="105">
        <v>1000</v>
      </c>
      <c r="D4" s="104">
        <v>1000</v>
      </c>
      <c r="E4" s="105">
        <v>1000</v>
      </c>
      <c r="F4" s="104">
        <v>1000</v>
      </c>
      <c r="G4" s="105">
        <v>1000</v>
      </c>
      <c r="H4" s="104">
        <v>1000</v>
      </c>
      <c r="I4" s="105">
        <v>1000</v>
      </c>
      <c r="J4" s="104">
        <v>1000</v>
      </c>
      <c r="K4" s="105">
        <v>1000</v>
      </c>
      <c r="L4" s="104">
        <v>1000</v>
      </c>
      <c r="M4" s="105">
        <v>1000</v>
      </c>
      <c r="N4" s="104">
        <v>1000</v>
      </c>
      <c r="O4" s="105">
        <v>1000</v>
      </c>
      <c r="P4" s="104">
        <v>1000</v>
      </c>
      <c r="Q4" s="105">
        <v>1000</v>
      </c>
      <c r="R4" s="104">
        <v>1000</v>
      </c>
      <c r="S4" s="105">
        <v>1000</v>
      </c>
      <c r="T4" s="104"/>
      <c r="U4" s="105"/>
      <c r="V4" s="104"/>
      <c r="W4" s="105"/>
      <c r="X4" s="104"/>
      <c r="Y4" s="105"/>
      <c r="Z4" s="104"/>
      <c r="AA4" s="105"/>
      <c r="AB4" s="104"/>
      <c r="AC4" s="105"/>
      <c r="AD4" s="104"/>
      <c r="AE4" s="105"/>
      <c r="AF4" s="104"/>
      <c r="AG4" s="105"/>
      <c r="AH4" s="104"/>
      <c r="AI4" s="105"/>
      <c r="AJ4" s="104"/>
      <c r="AK4" s="105"/>
      <c r="AL4" s="104"/>
      <c r="AM4" s="105"/>
      <c r="AN4" s="104"/>
      <c r="AO4" s="105"/>
      <c r="AP4" s="104"/>
      <c r="AQ4" s="105"/>
      <c r="AR4" s="104"/>
      <c r="AS4" s="105"/>
      <c r="AT4" s="104"/>
      <c r="AU4" s="105"/>
      <c r="AV4" s="104"/>
      <c r="AW4" s="105"/>
    </row>
    <row r="5" spans="1:49" x14ac:dyDescent="0.2">
      <c r="A5" t="s">
        <v>131</v>
      </c>
      <c r="B5" s="41">
        <v>1000</v>
      </c>
      <c r="C5" s="42">
        <v>1000</v>
      </c>
      <c r="D5" s="41">
        <v>997.37453802410505</v>
      </c>
      <c r="E5" s="42">
        <v>1020.8813027946982</v>
      </c>
      <c r="F5" s="41">
        <v>994.79160283631143</v>
      </c>
      <c r="G5" s="42">
        <v>1042.9125960509411</v>
      </c>
      <c r="H5" s="41">
        <v>992.26187780113344</v>
      </c>
      <c r="I5" s="42">
        <v>1066.1627496773613</v>
      </c>
      <c r="J5" s="41">
        <v>989.80134979463548</v>
      </c>
      <c r="K5" s="42">
        <v>1090.6993564054958</v>
      </c>
      <c r="L5" s="41">
        <v>987.43394436022811</v>
      </c>
      <c r="M5" s="42">
        <v>1116.5806881476917</v>
      </c>
      <c r="N5" s="41">
        <v>985.19540562262659</v>
      </c>
      <c r="O5" s="42">
        <v>1143.8450702124471</v>
      </c>
      <c r="P5" s="41">
        <v>983.1394961972677</v>
      </c>
      <c r="Q5" s="42">
        <v>1172.4882766570881</v>
      </c>
      <c r="R5" s="41">
        <v>981.34775113842545</v>
      </c>
      <c r="S5" s="42">
        <v>1202.4212041048665</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row>
    <row r="6" spans="1:49" x14ac:dyDescent="0.2">
      <c r="A6" t="s">
        <v>79</v>
      </c>
      <c r="B6" s="41">
        <v>999.99999999999886</v>
      </c>
      <c r="C6" s="42">
        <v>999.99999999999909</v>
      </c>
      <c r="D6" s="41">
        <v>997.13141445954705</v>
      </c>
      <c r="E6" s="42">
        <v>1033.9002551258413</v>
      </c>
      <c r="F6" s="41">
        <v>994.31065814323222</v>
      </c>
      <c r="G6" s="42">
        <v>1071.6649288684478</v>
      </c>
      <c r="H6" s="41">
        <v>991.54932203493399</v>
      </c>
      <c r="I6" s="42">
        <v>1114.090917747488</v>
      </c>
      <c r="J6" s="41">
        <v>988.86476174622146</v>
      </c>
      <c r="K6" s="42">
        <v>1162.2340284704933</v>
      </c>
      <c r="L6" s="41">
        <v>986.28295973820957</v>
      </c>
      <c r="M6" s="42">
        <v>1217.5233474714332</v>
      </c>
      <c r="N6" s="41">
        <v>983.84273766581452</v>
      </c>
      <c r="O6" s="42">
        <v>1281.941760720701</v>
      </c>
      <c r="P6" s="41">
        <v>981.60249140513508</v>
      </c>
      <c r="Q6" s="42">
        <v>1358.3154547718063</v>
      </c>
      <c r="R6" s="41">
        <v>979.65079155999308</v>
      </c>
      <c r="S6" s="42">
        <v>1450.7929328910905</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1059.2664648168009</v>
      </c>
      <c r="C7" s="34">
        <v>1059.2664648168009</v>
      </c>
      <c r="D7" s="33">
        <v>1056.4854009910837</v>
      </c>
      <c r="E7" s="34">
        <v>1056.4854009910837</v>
      </c>
      <c r="F7" s="33">
        <v>1053.7493843658585</v>
      </c>
      <c r="G7" s="34">
        <v>1053.7493843658585</v>
      </c>
      <c r="H7" s="33">
        <v>1051.0697314708871</v>
      </c>
      <c r="I7" s="34">
        <v>1051.0697314708871</v>
      </c>
      <c r="J7" s="33">
        <v>1048.4633766678612</v>
      </c>
      <c r="K7" s="34">
        <v>1048.4633766678612</v>
      </c>
      <c r="L7" s="33">
        <v>1045.9556634825685</v>
      </c>
      <c r="M7" s="34">
        <v>1045.9556634825685</v>
      </c>
      <c r="N7" s="33">
        <v>1043.5844544676338</v>
      </c>
      <c r="O7" s="34">
        <v>1043.5844544676338</v>
      </c>
      <c r="P7" s="33">
        <v>1041.4066985586503</v>
      </c>
      <c r="Q7" s="34">
        <v>1041.4066985586503</v>
      </c>
      <c r="R7" s="33">
        <v>1039.5087631043175</v>
      </c>
      <c r="S7" s="34">
        <v>1039.5087631043175</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row>
    <row r="8" spans="1:49" x14ac:dyDescent="0.2">
      <c r="B8" s="35">
        <v>1164.8563607265562</v>
      </c>
      <c r="C8" s="36">
        <v>1164.8563607265562</v>
      </c>
      <c r="D8" s="35">
        <v>1213.4030571562423</v>
      </c>
      <c r="E8" s="36">
        <v>1213.4030571562423</v>
      </c>
      <c r="F8" s="35">
        <v>1268.1034761734654</v>
      </c>
      <c r="G8" s="36">
        <v>1268.1034761734654</v>
      </c>
      <c r="H8" s="35">
        <v>1330.289048905056</v>
      </c>
      <c r="I8" s="36">
        <v>1330.289048905056</v>
      </c>
      <c r="J8" s="35">
        <v>1401.7309204673518</v>
      </c>
      <c r="K8" s="36">
        <v>1401.7309204673518</v>
      </c>
      <c r="L8" s="35">
        <v>1484.8370239358285</v>
      </c>
      <c r="M8" s="36">
        <v>1484.8370239358285</v>
      </c>
      <c r="N8" s="35">
        <v>1582.9666705637669</v>
      </c>
      <c r="O8" s="36">
        <v>1582.9666705637669</v>
      </c>
      <c r="P8" s="35">
        <v>1700.9406712830987</v>
      </c>
      <c r="Q8" s="36">
        <v>1700.9406712830987</v>
      </c>
      <c r="R8" s="35">
        <v>1845.8974954514549</v>
      </c>
      <c r="S8" s="36">
        <v>1845.8974954514549</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1059.2664648168009</v>
      </c>
      <c r="C9" s="42">
        <v>1164.8563607265562</v>
      </c>
      <c r="D9" s="41">
        <v>1056.4854009910837</v>
      </c>
      <c r="E9" s="42">
        <v>1213.4030571562423</v>
      </c>
      <c r="F9" s="41">
        <v>1053.7493843658585</v>
      </c>
      <c r="G9" s="42">
        <v>1268.1034761734654</v>
      </c>
      <c r="H9" s="41">
        <v>1051.0697314708871</v>
      </c>
      <c r="I9" s="42">
        <v>1330.289048905056</v>
      </c>
      <c r="J9" s="41">
        <v>1048.4633766678612</v>
      </c>
      <c r="K9" s="42">
        <v>1401.7309204673518</v>
      </c>
      <c r="L9" s="41">
        <v>1045.9556634825685</v>
      </c>
      <c r="M9" s="42">
        <v>1484.8370239358285</v>
      </c>
      <c r="N9" s="41">
        <v>1043.5844544676338</v>
      </c>
      <c r="O9" s="42">
        <v>1582.9666705637669</v>
      </c>
      <c r="P9" s="41">
        <v>1041.4066985586503</v>
      </c>
      <c r="Q9" s="42">
        <v>1700.9406712830987</v>
      </c>
      <c r="R9" s="41">
        <v>1039.5087631043175</v>
      </c>
      <c r="S9" s="42">
        <v>1845.8974954514549</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1059.2664648168009</v>
      </c>
      <c r="C10" s="42">
        <v>1164.8563607265562</v>
      </c>
      <c r="D10" s="41">
        <v>1056.4854009910837</v>
      </c>
      <c r="E10" s="42">
        <v>1213.4030571562423</v>
      </c>
      <c r="F10" s="41">
        <v>1053.7493843658585</v>
      </c>
      <c r="G10" s="42">
        <v>1268.1034761734654</v>
      </c>
      <c r="H10" s="41">
        <v>1051.0697314708871</v>
      </c>
      <c r="I10" s="42">
        <v>1330.289048905056</v>
      </c>
      <c r="J10" s="41">
        <v>1048.4633766678612</v>
      </c>
      <c r="K10" s="42">
        <v>1401.7309204673518</v>
      </c>
      <c r="L10" s="41">
        <v>1045.9556634825685</v>
      </c>
      <c r="M10" s="42">
        <v>1484.8370239358285</v>
      </c>
      <c r="N10" s="41">
        <v>1043.5844544676338</v>
      </c>
      <c r="O10" s="42">
        <v>1582.9666705637669</v>
      </c>
      <c r="P10" s="41">
        <v>1041.4066985586503</v>
      </c>
      <c r="Q10" s="42">
        <v>1700.9406712830987</v>
      </c>
      <c r="R10" s="41">
        <v>1039.5087631043175</v>
      </c>
      <c r="S10" s="42">
        <v>1845.8974954514549</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1059.2664648168009</v>
      </c>
      <c r="C11" s="42">
        <v>1164.8563607265562</v>
      </c>
      <c r="D11" s="41">
        <v>1056.4854009910837</v>
      </c>
      <c r="E11" s="42">
        <v>1213.4030571562423</v>
      </c>
      <c r="F11" s="41">
        <v>1053.7493843658585</v>
      </c>
      <c r="G11" s="42">
        <v>1268.1034761734654</v>
      </c>
      <c r="H11" s="41">
        <v>1051.0697314708871</v>
      </c>
      <c r="I11" s="42">
        <v>1330.289048905056</v>
      </c>
      <c r="J11" s="41">
        <v>1048.4633766678612</v>
      </c>
      <c r="K11" s="42">
        <v>1401.7309204673518</v>
      </c>
      <c r="L11" s="41">
        <v>1045.9556634825685</v>
      </c>
      <c r="M11" s="42">
        <v>1484.8370239358285</v>
      </c>
      <c r="N11" s="41">
        <v>1043.5844544676338</v>
      </c>
      <c r="O11" s="42">
        <v>1582.9666705637669</v>
      </c>
      <c r="P11" s="41">
        <v>1041.4066985586503</v>
      </c>
      <c r="Q11" s="42">
        <v>1700.9406712830987</v>
      </c>
      <c r="R11" s="41">
        <v>1039.5087631043175</v>
      </c>
      <c r="S11" s="42">
        <v>1845.8974954514549</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100">
        <v>1000</v>
      </c>
      <c r="C13" s="101">
        <v>1000</v>
      </c>
      <c r="D13" s="100">
        <v>925.18482411701802</v>
      </c>
      <c r="E13" s="101">
        <v>925.18482411701802</v>
      </c>
      <c r="F13" s="100">
        <v>843.33124194844561</v>
      </c>
      <c r="G13" s="101">
        <v>843.33124194844561</v>
      </c>
      <c r="H13" s="100">
        <v>753.16440218007392</v>
      </c>
      <c r="I13" s="101">
        <v>753.16440218007392</v>
      </c>
      <c r="J13" s="100">
        <v>653.02132936256669</v>
      </c>
      <c r="K13" s="101">
        <v>653.02132936256669</v>
      </c>
      <c r="L13" s="100">
        <v>540.68518632579935</v>
      </c>
      <c r="M13" s="101">
        <v>540.68518632579935</v>
      </c>
      <c r="N13" s="100">
        <v>413.13092528491586</v>
      </c>
      <c r="O13" s="101">
        <v>413.13092528491586</v>
      </c>
      <c r="P13" s="100">
        <v>266.13061725426314</v>
      </c>
      <c r="Q13" s="101">
        <v>266.13061725426314</v>
      </c>
      <c r="R13" s="100">
        <v>93.6299523415083</v>
      </c>
      <c r="S13" s="101">
        <v>93.6299523415083</v>
      </c>
      <c r="T13" s="100"/>
      <c r="U13" s="101"/>
      <c r="V13" s="100"/>
      <c r="W13" s="101"/>
      <c r="X13" s="100"/>
      <c r="Y13" s="101"/>
      <c r="Z13" s="100"/>
      <c r="AA13" s="101"/>
      <c r="AB13" s="100"/>
      <c r="AC13" s="101"/>
      <c r="AD13" s="100"/>
      <c r="AE13" s="101"/>
      <c r="AF13" s="100"/>
      <c r="AG13" s="101"/>
      <c r="AH13" s="100"/>
      <c r="AI13" s="101"/>
      <c r="AJ13" s="100"/>
      <c r="AK13" s="101"/>
      <c r="AL13" s="100"/>
      <c r="AM13" s="101"/>
      <c r="AN13" s="100"/>
      <c r="AO13" s="101"/>
      <c r="AP13" s="100"/>
      <c r="AQ13" s="101"/>
      <c r="AR13" s="100"/>
      <c r="AS13" s="101"/>
      <c r="AT13" s="100"/>
      <c r="AU13" s="101"/>
      <c r="AV13" s="100"/>
      <c r="AW13" s="101"/>
    </row>
    <row r="14" spans="1:49" x14ac:dyDescent="0.2">
      <c r="A14" t="s">
        <v>36</v>
      </c>
      <c r="B14" s="41">
        <v>1571.7032514685595</v>
      </c>
      <c r="C14" s="42">
        <v>1562.3699911127492</v>
      </c>
      <c r="D14" s="41">
        <v>1454.1159962740846</v>
      </c>
      <c r="E14" s="42">
        <v>1445.4810054333559</v>
      </c>
      <c r="F14" s="41">
        <v>1325.4664550353905</v>
      </c>
      <c r="G14" s="42">
        <v>1317.5954249880967</v>
      </c>
      <c r="H14" s="41">
        <v>1183.750939796796</v>
      </c>
      <c r="I14" s="42">
        <v>1176.7214603405212</v>
      </c>
      <c r="J14" s="41">
        <v>1026.3557466374673</v>
      </c>
      <c r="K14" s="42">
        <v>1020.2609285526289</v>
      </c>
      <c r="L14" s="41">
        <v>849.79666536914283</v>
      </c>
      <c r="M14" s="42">
        <v>844.75030975463426</v>
      </c>
      <c r="N14" s="41">
        <v>649.31921855251687</v>
      </c>
      <c r="O14" s="42">
        <v>645.46336006579577</v>
      </c>
      <c r="P14" s="41">
        <v>418.27835645386011</v>
      </c>
      <c r="Q14" s="42">
        <v>415.79449011437356</v>
      </c>
      <c r="R14" s="41">
        <v>147.15850052999488</v>
      </c>
      <c r="S14" s="42">
        <v>146.28462780768945</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7">
        <v>1000</v>
      </c>
      <c r="C15" s="158">
        <v>1000</v>
      </c>
      <c r="D15" s="157">
        <v>1067.1555496095168</v>
      </c>
      <c r="E15" s="158">
        <v>1067.1555496095168</v>
      </c>
      <c r="F15" s="157">
        <v>1140.8712825324426</v>
      </c>
      <c r="G15" s="158">
        <v>1140.8712825324426</v>
      </c>
      <c r="H15" s="157">
        <v>1222.3621532379764</v>
      </c>
      <c r="I15" s="158">
        <v>1222.3621532379764</v>
      </c>
      <c r="J15" s="157">
        <v>1313.2203368239125</v>
      </c>
      <c r="K15" s="158">
        <v>1313.2203368239125</v>
      </c>
      <c r="L15" s="157">
        <v>1415.5780930849389</v>
      </c>
      <c r="M15" s="158">
        <v>1415.5780930849389</v>
      </c>
      <c r="N15" s="157">
        <v>1532.3571857434977</v>
      </c>
      <c r="O15" s="158">
        <v>1532.3571857434977</v>
      </c>
      <c r="P15" s="157">
        <v>1667.6567784004178</v>
      </c>
      <c r="Q15" s="158">
        <v>1667.6567784004178</v>
      </c>
      <c r="R15" s="157">
        <v>1827.3663514511968</v>
      </c>
      <c r="S15" s="158">
        <v>1827.3663514511968</v>
      </c>
      <c r="T15" s="157"/>
      <c r="U15" s="158"/>
      <c r="V15" s="157"/>
      <c r="W15" s="158"/>
      <c r="X15" s="157"/>
      <c r="Y15" s="158"/>
      <c r="Z15" s="157"/>
      <c r="AA15" s="158"/>
      <c r="AB15" s="157"/>
      <c r="AC15" s="158"/>
      <c r="AD15" s="157"/>
      <c r="AE15" s="158"/>
      <c r="AF15" s="157"/>
      <c r="AG15" s="158"/>
      <c r="AH15" s="157"/>
      <c r="AI15" s="158"/>
      <c r="AJ15" s="157"/>
      <c r="AK15" s="158"/>
      <c r="AL15" s="157"/>
      <c r="AM15" s="158"/>
      <c r="AN15" s="157"/>
      <c r="AO15" s="158"/>
      <c r="AP15" s="157"/>
      <c r="AQ15" s="158"/>
      <c r="AR15" s="157"/>
      <c r="AS15" s="158"/>
      <c r="AT15" s="157"/>
      <c r="AU15" s="158"/>
      <c r="AV15" s="157"/>
      <c r="AW15" s="158"/>
    </row>
    <row r="16" spans="1:49" s="29" customFormat="1" x14ac:dyDescent="0.2">
      <c r="A16" t="s">
        <v>63</v>
      </c>
      <c r="B16" s="41">
        <v>1000</v>
      </c>
      <c r="C16" s="42">
        <v>1000</v>
      </c>
      <c r="D16" s="41">
        <v>995.07862720381331</v>
      </c>
      <c r="E16" s="42">
        <v>1033.0342625264323</v>
      </c>
      <c r="F16" s="41">
        <v>989.97913411913009</v>
      </c>
      <c r="G16" s="42">
        <v>1069.4394462241912</v>
      </c>
      <c r="H16" s="41">
        <v>984.66941556334143</v>
      </c>
      <c r="I16" s="42">
        <v>1109.8402148190216</v>
      </c>
      <c r="J16" s="41">
        <v>979.1098275572308</v>
      </c>
      <c r="K16" s="42">
        <v>1155.0563946313484</v>
      </c>
      <c r="L16" s="41">
        <v>973.25059469731525</v>
      </c>
      <c r="M16" s="42">
        <v>1206.1872525506371</v>
      </c>
      <c r="N16" s="41">
        <v>967.02759910302859</v>
      </c>
      <c r="O16" s="42">
        <v>1264.7411658063763</v>
      </c>
      <c r="P16" s="41">
        <v>960.35611221634315</v>
      </c>
      <c r="Q16" s="42">
        <v>1332.8368441483019</v>
      </c>
      <c r="R16" s="41">
        <v>953.12082319244166</v>
      </c>
      <c r="S16" s="42">
        <v>1413.5210446913136</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64</v>
      </c>
      <c r="B17" s="35">
        <v>1000</v>
      </c>
      <c r="C17" s="36">
        <v>999.99999999999977</v>
      </c>
      <c r="D17" s="35">
        <v>997.50836310396687</v>
      </c>
      <c r="E17" s="36">
        <v>1039.0650185783716</v>
      </c>
      <c r="F17" s="35">
        <v>995.06274142917664</v>
      </c>
      <c r="G17" s="36">
        <v>1082.8304024968265</v>
      </c>
      <c r="H17" s="35">
        <v>992.6729637496004</v>
      </c>
      <c r="I17" s="36">
        <v>1132.2797296171113</v>
      </c>
      <c r="J17" s="35">
        <v>990.35376369624669</v>
      </c>
      <c r="K17" s="36">
        <v>1188.7174402495702</v>
      </c>
      <c r="L17" s="35">
        <v>988.12720811349845</v>
      </c>
      <c r="M17" s="36">
        <v>1253.9114343735532</v>
      </c>
      <c r="N17" s="35">
        <v>986.02626427166751</v>
      </c>
      <c r="O17" s="36">
        <v>1330.3191000408283</v>
      </c>
      <c r="P17" s="35">
        <v>984.10051811675203</v>
      </c>
      <c r="Q17" s="36">
        <v>1421.4507906918202</v>
      </c>
      <c r="R17" s="35">
        <v>982.42518263906391</v>
      </c>
      <c r="S17" s="36">
        <v>1532.4731686952332</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21498.981358265999</v>
      </c>
      <c r="C18" s="34">
        <v>834.03652123400332</v>
      </c>
      <c r="D18" s="33">
        <v>21519.248417509283</v>
      </c>
      <c r="E18" s="34">
        <v>749.61456481628181</v>
      </c>
      <c r="F18" s="33">
        <v>21535.670434114054</v>
      </c>
      <c r="G18" s="34">
        <v>666.98573694351637</v>
      </c>
      <c r="H18" s="33">
        <v>21547.629374560573</v>
      </c>
      <c r="I18" s="34">
        <v>586.39613053480559</v>
      </c>
      <c r="J18" s="33">
        <v>21554.329286040887</v>
      </c>
      <c r="K18" s="34">
        <v>508.1534718067619</v>
      </c>
      <c r="L18" s="33">
        <v>21554.728497818905</v>
      </c>
      <c r="M18" s="34">
        <v>432.64415671572289</v>
      </c>
      <c r="N18" s="33">
        <v>21547.433659037517</v>
      </c>
      <c r="O18" s="34">
        <v>360.36111859473164</v>
      </c>
      <c r="P18" s="33">
        <v>21530.542498929208</v>
      </c>
      <c r="Q18" s="34">
        <v>291.93659868785221</v>
      </c>
      <c r="R18" s="33">
        <v>21501.40158382733</v>
      </c>
      <c r="S18" s="34">
        <v>228.18244645781866</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1782.2320505062355</v>
      </c>
      <c r="C19" s="42">
        <v>450.22976484179424</v>
      </c>
      <c r="D19" s="41">
        <v>1772.5943091904974</v>
      </c>
      <c r="E19" s="42">
        <v>464.57829521556602</v>
      </c>
      <c r="F19" s="41">
        <v>1762.8397058455462</v>
      </c>
      <c r="G19" s="42">
        <v>479.36744702115061</v>
      </c>
      <c r="H19" s="41">
        <v>1752.968374803741</v>
      </c>
      <c r="I19" s="42">
        <v>494.47852672249678</v>
      </c>
      <c r="J19" s="41">
        <v>1742.9892295043555</v>
      </c>
      <c r="K19" s="42">
        <v>509.73488374804344</v>
      </c>
      <c r="L19" s="41">
        <v>1732.9256789496762</v>
      </c>
      <c r="M19" s="42">
        <v>524.87493159230576</v>
      </c>
      <c r="N19" s="41">
        <v>1722.8234055310031</v>
      </c>
      <c r="O19" s="42">
        <v>539.51206639707539</v>
      </c>
      <c r="P19" s="41">
        <v>1712.7635668556272</v>
      </c>
      <c r="Q19" s="42">
        <v>553.07144501582229</v>
      </c>
      <c r="R19" s="41">
        <v>1702.8835737751399</v>
      </c>
      <c r="S19" s="42">
        <v>564.69250586524447</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130</v>
      </c>
      <c r="B20" s="85">
        <v>20973.127797372959</v>
      </c>
      <c r="C20" s="86">
        <v>1222.2257935314667</v>
      </c>
      <c r="D20" s="85">
        <v>20969.677460263123</v>
      </c>
      <c r="E20" s="86">
        <v>1161.1145038548932</v>
      </c>
      <c r="F20" s="85">
        <v>20962.716270403078</v>
      </c>
      <c r="G20" s="86">
        <v>1100.0032141783201</v>
      </c>
      <c r="H20" s="85">
        <v>20951.755729037399</v>
      </c>
      <c r="I20" s="86">
        <v>1038.8919245017466</v>
      </c>
      <c r="J20" s="85">
        <v>20936.186278090619</v>
      </c>
      <c r="K20" s="86">
        <v>977.78063482517348</v>
      </c>
      <c r="L20" s="85">
        <v>20915.236791493524</v>
      </c>
      <c r="M20" s="86">
        <v>916.66934514859997</v>
      </c>
      <c r="N20" s="85">
        <v>20887.908733155764</v>
      </c>
      <c r="O20" s="86">
        <v>855.55805547202669</v>
      </c>
      <c r="P20" s="85">
        <v>20852.88186209472</v>
      </c>
      <c r="Q20" s="86">
        <v>794.44676579545342</v>
      </c>
      <c r="R20" s="85">
        <v>20808.369291591887</v>
      </c>
      <c r="S20" s="86">
        <v>733.33547611888025</v>
      </c>
      <c r="T20" s="85"/>
      <c r="U20" s="86"/>
      <c r="V20" s="85"/>
      <c r="W20" s="86"/>
      <c r="X20" s="85"/>
      <c r="Y20" s="86"/>
      <c r="Z20" s="85"/>
      <c r="AA20" s="86"/>
      <c r="AB20" s="85"/>
      <c r="AC20" s="86"/>
      <c r="AD20" s="85"/>
      <c r="AE20" s="86"/>
      <c r="AF20" s="85"/>
      <c r="AG20" s="86"/>
      <c r="AH20" s="85"/>
      <c r="AI20" s="86"/>
      <c r="AJ20" s="85"/>
      <c r="AK20" s="86"/>
      <c r="AL20" s="85"/>
      <c r="AM20" s="86"/>
      <c r="AN20" s="85"/>
      <c r="AO20" s="86"/>
      <c r="AP20" s="85"/>
      <c r="AQ20" s="86"/>
      <c r="AR20" s="85"/>
      <c r="AS20" s="86"/>
      <c r="AT20" s="85"/>
      <c r="AU20" s="86"/>
      <c r="AV20" s="85"/>
      <c r="AW20" s="86"/>
    </row>
    <row r="21" spans="1:49" x14ac:dyDescent="0.2">
      <c r="A21" t="s">
        <v>78</v>
      </c>
      <c r="B21" s="85">
        <v>19190.895746866718</v>
      </c>
      <c r="C21" s="86">
        <v>771.99602868967372</v>
      </c>
      <c r="D21" s="85">
        <v>19197.096574771647</v>
      </c>
      <c r="E21" s="86">
        <v>697.14835877723453</v>
      </c>
      <c r="F21" s="85">
        <v>19199.929375599666</v>
      </c>
      <c r="G21" s="86">
        <v>623.17974423662315</v>
      </c>
      <c r="H21" s="85">
        <v>19198.903863531366</v>
      </c>
      <c r="I21" s="86">
        <v>550.35860944190836</v>
      </c>
      <c r="J21" s="85">
        <v>19193.399281561848</v>
      </c>
      <c r="K21" s="86">
        <v>479.01693957610945</v>
      </c>
      <c r="L21" s="85">
        <v>19182.61782382313</v>
      </c>
      <c r="M21" s="86">
        <v>409.56940006818098</v>
      </c>
      <c r="N21" s="85">
        <v>19165.510492120455</v>
      </c>
      <c r="O21" s="86">
        <v>342.53806805173082</v>
      </c>
      <c r="P21" s="85">
        <v>19140.668819147206</v>
      </c>
      <c r="Q21" s="86">
        <v>278.58615636517459</v>
      </c>
      <c r="R21" s="85">
        <v>19106.158027633217</v>
      </c>
      <c r="S21" s="86">
        <v>218.56024153113552</v>
      </c>
      <c r="T21" s="85"/>
      <c r="U21" s="86"/>
      <c r="V21" s="85"/>
      <c r="W21" s="86"/>
      <c r="X21" s="85"/>
      <c r="Y21" s="86"/>
      <c r="Z21" s="85"/>
      <c r="AA21" s="86"/>
      <c r="AB21" s="85"/>
      <c r="AC21" s="86"/>
      <c r="AD21" s="85"/>
      <c r="AE21" s="86"/>
      <c r="AF21" s="85"/>
      <c r="AG21" s="86"/>
      <c r="AH21" s="85"/>
      <c r="AI21" s="86"/>
      <c r="AJ21" s="85"/>
      <c r="AK21" s="86"/>
      <c r="AL21" s="85"/>
      <c r="AM21" s="86"/>
      <c r="AN21" s="85"/>
      <c r="AO21" s="86"/>
      <c r="AP21" s="85"/>
      <c r="AQ21" s="86"/>
      <c r="AR21" s="85"/>
      <c r="AS21" s="86"/>
      <c r="AT21" s="85"/>
      <c r="AU21" s="86"/>
      <c r="AV21" s="85"/>
      <c r="AW21" s="86"/>
    </row>
    <row r="22" spans="1:49" x14ac:dyDescent="0.2">
      <c r="A22" t="s">
        <v>28</v>
      </c>
      <c r="B22" s="41">
        <v>5896.9295697243897</v>
      </c>
      <c r="C22" s="42">
        <v>340.53228761636649</v>
      </c>
      <c r="D22" s="41">
        <v>5893.8065910565665</v>
      </c>
      <c r="E22" s="42">
        <v>331.59164234496831</v>
      </c>
      <c r="F22" s="41">
        <v>5889.4372438797782</v>
      </c>
      <c r="G22" s="42">
        <v>322.19294713916702</v>
      </c>
      <c r="H22" s="41">
        <v>5883.6560602938307</v>
      </c>
      <c r="I22" s="42">
        <v>312.28507745073927</v>
      </c>
      <c r="J22" s="41">
        <v>5876.2603489293851</v>
      </c>
      <c r="K22" s="42">
        <v>301.80528628843541</v>
      </c>
      <c r="L22" s="41">
        <v>5866.9997710739344</v>
      </c>
      <c r="M22" s="42">
        <v>290.67615742167237</v>
      </c>
      <c r="N22" s="41">
        <v>5855.557966842357</v>
      </c>
      <c r="O22" s="42">
        <v>278.80106552430595</v>
      </c>
      <c r="P22" s="41">
        <v>5841.5279803677377</v>
      </c>
      <c r="Q22" s="42">
        <v>266.058922794784</v>
      </c>
      <c r="R22" s="41">
        <v>5824.3760684795297</v>
      </c>
      <c r="S22" s="42">
        <v>252.29834388469746</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9">
        <v>2396.8717103698964</v>
      </c>
      <c r="C23" s="8">
        <v>0</v>
      </c>
      <c r="D23" s="119">
        <v>2398.1107853238855</v>
      </c>
      <c r="E23" s="8">
        <v>0</v>
      </c>
      <c r="F23" s="119">
        <v>2399.0746382375282</v>
      </c>
      <c r="G23" s="8">
        <v>0</v>
      </c>
      <c r="H23" s="119">
        <v>2399.7356901199987</v>
      </c>
      <c r="I23" s="8">
        <v>0</v>
      </c>
      <c r="J23" s="119">
        <v>2400.0624649709994</v>
      </c>
      <c r="K23" s="8">
        <v>0</v>
      </c>
      <c r="L23" s="119">
        <v>2400.0195737398503</v>
      </c>
      <c r="M23" s="8">
        <v>0</v>
      </c>
      <c r="N23" s="119">
        <v>2399.5669147979511</v>
      </c>
      <c r="O23" s="8">
        <v>0</v>
      </c>
      <c r="P23" s="119">
        <v>2398.6596264540249</v>
      </c>
      <c r="Q23" s="8">
        <v>0</v>
      </c>
      <c r="R23" s="119">
        <v>2397.2483758466205</v>
      </c>
      <c r="S23" s="8">
        <v>0</v>
      </c>
      <c r="T23" s="119"/>
      <c r="U23" s="8"/>
      <c r="V23" s="119"/>
      <c r="W23" s="8"/>
      <c r="X23" s="119"/>
      <c r="Y23" s="8"/>
      <c r="Z23" s="119"/>
      <c r="AA23" s="8"/>
      <c r="AB23" s="119"/>
      <c r="AC23" s="8"/>
      <c r="AD23" s="119"/>
      <c r="AE23" s="8"/>
      <c r="AF23" s="119"/>
      <c r="AG23" s="8"/>
      <c r="AH23" s="119"/>
      <c r="AI23" s="8"/>
      <c r="AJ23" s="119"/>
      <c r="AK23" s="8"/>
      <c r="AL23" s="119"/>
      <c r="AM23" s="8"/>
      <c r="AN23" s="119"/>
      <c r="AO23" s="8"/>
      <c r="AP23" s="119"/>
      <c r="AQ23" s="8"/>
      <c r="AR23" s="119"/>
      <c r="AS23" s="8"/>
      <c r="AT23" s="119"/>
      <c r="AU23" s="8"/>
      <c r="AV23" s="119"/>
      <c r="AW23" s="8"/>
    </row>
    <row r="24" spans="1:49" x14ac:dyDescent="0.2">
      <c r="A24" t="s">
        <v>8</v>
      </c>
      <c r="B24" s="100">
        <v>2261.1304131516072</v>
      </c>
      <c r="C24" s="8">
        <v>0</v>
      </c>
      <c r="D24" s="100">
        <v>2262.2993153291932</v>
      </c>
      <c r="E24" s="8">
        <v>0</v>
      </c>
      <c r="F24" s="100">
        <v>2263.2085824385913</v>
      </c>
      <c r="G24" s="8">
        <v>0</v>
      </c>
      <c r="H24" s="100">
        <v>2263.8321968696177</v>
      </c>
      <c r="I24" s="8">
        <v>0</v>
      </c>
      <c r="J24" s="100">
        <v>2264.1404669740423</v>
      </c>
      <c r="K24" s="8">
        <v>0</v>
      </c>
      <c r="L24" s="100">
        <v>2264.1000048169913</v>
      </c>
      <c r="M24" s="8">
        <v>0</v>
      </c>
      <c r="N24" s="100">
        <v>2263.6729808736181</v>
      </c>
      <c r="O24" s="8">
        <v>0</v>
      </c>
      <c r="P24" s="100">
        <v>2262.8170754470862</v>
      </c>
      <c r="Q24" s="8">
        <v>0</v>
      </c>
      <c r="R24" s="100">
        <v>2261.4857469969743</v>
      </c>
      <c r="S24" s="8">
        <v>0</v>
      </c>
      <c r="T24" s="100"/>
      <c r="U24" s="8"/>
      <c r="V24" s="100"/>
      <c r="W24" s="8"/>
      <c r="X24" s="100"/>
      <c r="Y24" s="8"/>
      <c r="Z24" s="100"/>
      <c r="AA24" s="8"/>
      <c r="AB24" s="100"/>
      <c r="AC24" s="8"/>
      <c r="AD24" s="100"/>
      <c r="AE24" s="8"/>
      <c r="AF24" s="100"/>
      <c r="AG24" s="8"/>
      <c r="AH24" s="100"/>
      <c r="AI24" s="8"/>
      <c r="AJ24" s="100"/>
      <c r="AK24" s="8"/>
      <c r="AL24" s="100"/>
      <c r="AM24" s="8"/>
      <c r="AN24" s="100"/>
      <c r="AO24" s="8"/>
      <c r="AP24" s="100"/>
      <c r="AQ24" s="8"/>
      <c r="AR24" s="100"/>
      <c r="AS24" s="8"/>
      <c r="AT24" s="100"/>
      <c r="AU24" s="8"/>
      <c r="AV24" s="100"/>
      <c r="AW24" s="8"/>
    </row>
    <row r="25" spans="1:49" x14ac:dyDescent="0.2">
      <c r="A25" t="s">
        <v>0</v>
      </c>
      <c r="B25" s="41">
        <v>2308.08561139929</v>
      </c>
      <c r="C25" s="42">
        <v>62.040492544331705</v>
      </c>
      <c r="D25" s="41">
        <v>2322.1347599402379</v>
      </c>
      <c r="E25" s="42">
        <v>52.41166885638075</v>
      </c>
      <c r="F25" s="41">
        <v>2335.6733703936743</v>
      </c>
      <c r="G25" s="42">
        <v>43.606907744753236</v>
      </c>
      <c r="H25" s="41">
        <v>2348.5751293622902</v>
      </c>
      <c r="I25" s="42">
        <v>35.633984265003079</v>
      </c>
      <c r="J25" s="41">
        <v>2360.6671866778406</v>
      </c>
      <c r="K25" s="42">
        <v>28.498626673524882</v>
      </c>
      <c r="L25" s="41">
        <v>2371.7094405887105</v>
      </c>
      <c r="M25" s="42">
        <v>22.204099522338641</v>
      </c>
      <c r="N25" s="41">
        <v>2381.3634885702131</v>
      </c>
      <c r="O25" s="42">
        <v>16.750678192757551</v>
      </c>
      <c r="P25" s="41">
        <v>2389.1448018576452</v>
      </c>
      <c r="Q25" s="42">
        <v>12.134414810700054</v>
      </c>
      <c r="R25" s="41">
        <v>2394.3489563444969</v>
      </c>
      <c r="S25" s="42">
        <v>8.3448857721687553</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3209.4420883953348</v>
      </c>
      <c r="C26" s="34">
        <v>31.623872672841795</v>
      </c>
      <c r="D26" s="33">
        <v>3212.7059780451777</v>
      </c>
      <c r="E26" s="34">
        <v>28.359983022994047</v>
      </c>
      <c r="F26" s="33">
        <v>3215.8850850759341</v>
      </c>
      <c r="G26" s="34">
        <v>25.180875992239219</v>
      </c>
      <c r="H26" s="33">
        <v>3218.9711316086114</v>
      </c>
      <c r="I26" s="34">
        <v>22.094829459570043</v>
      </c>
      <c r="J26" s="33">
        <v>3221.9537020624448</v>
      </c>
      <c r="K26" s="34">
        <v>19.112259005734821</v>
      </c>
      <c r="L26" s="33">
        <v>3224.8196708498663</v>
      </c>
      <c r="M26" s="34">
        <v>16.246290218309102</v>
      </c>
      <c r="N26" s="33">
        <v>3227.5521456254146</v>
      </c>
      <c r="O26" s="34">
        <v>13.51381544276065</v>
      </c>
      <c r="P26" s="33">
        <v>3230.1292877200362</v>
      </c>
      <c r="Q26" s="34">
        <v>10.936673348143298</v>
      </c>
      <c r="R26" s="33">
        <v>3232.5228447145487</v>
      </c>
      <c r="S26" s="34">
        <v>8.5431163536285375</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4880.3032028967582</v>
      </c>
      <c r="C27" s="36">
        <v>155.9342317514201</v>
      </c>
      <c r="D27" s="35">
        <v>4896.1946914966311</v>
      </c>
      <c r="E27" s="36">
        <v>140.04274959916856</v>
      </c>
      <c r="F27" s="35">
        <v>4911.7180537411405</v>
      </c>
      <c r="G27" s="36">
        <v>124.51938928523036</v>
      </c>
      <c r="H27" s="35">
        <v>4926.82921121444</v>
      </c>
      <c r="I27" s="36">
        <v>109.40823431118334</v>
      </c>
      <c r="J27" s="35">
        <v>4941.4732769343909</v>
      </c>
      <c r="K27" s="36">
        <v>94.764157422861501</v>
      </c>
      <c r="L27" s="35">
        <v>4955.5814795074321</v>
      </c>
      <c r="M27" s="36">
        <v>80.655954964092388</v>
      </c>
      <c r="N27" s="35">
        <v>4969.0660222269225</v>
      </c>
      <c r="O27" s="36">
        <v>67.171412220400313</v>
      </c>
      <c r="P27" s="35">
        <v>4981.8140327339424</v>
      </c>
      <c r="Q27" s="36">
        <v>54.423403197789334</v>
      </c>
      <c r="R27" s="35">
        <v>4993.6799797849199</v>
      </c>
      <c r="S27" s="36">
        <v>42.557455179906327</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9924.5937686277575</v>
      </c>
      <c r="C28" s="42">
        <v>205.34242141823867</v>
      </c>
      <c r="D28" s="41">
        <v>9945.5944380230267</v>
      </c>
      <c r="E28" s="42">
        <v>184.35130078250648</v>
      </c>
      <c r="F28" s="41">
        <v>9966.0543298351149</v>
      </c>
      <c r="G28" s="42">
        <v>163.86041915917812</v>
      </c>
      <c r="H28" s="41">
        <v>9985.9195888818576</v>
      </c>
      <c r="I28" s="42">
        <v>143.92696602821712</v>
      </c>
      <c r="J28" s="41">
        <v>10005.122641742952</v>
      </c>
      <c r="K28" s="42">
        <v>124.62223798407913</v>
      </c>
      <c r="L28" s="41">
        <v>10023.57835072819</v>
      </c>
      <c r="M28" s="42">
        <v>106.03566324686901</v>
      </c>
      <c r="N28" s="41">
        <v>10041.177391481437</v>
      </c>
      <c r="O28" s="42">
        <v>88.28151702288126</v>
      </c>
      <c r="P28" s="41">
        <v>10057.778579521757</v>
      </c>
      <c r="Q28" s="42">
        <v>71.506859739258786</v>
      </c>
      <c r="R28" s="41">
        <v>10073.199265447753</v>
      </c>
      <c r="S28" s="42">
        <v>55.901387279968169</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10476.875482049762</v>
      </c>
      <c r="C29" s="36">
        <v>680.10699657273517</v>
      </c>
      <c r="D29" s="35">
        <v>10486.250183129298</v>
      </c>
      <c r="E29" s="36">
        <v>609.69519240489547</v>
      </c>
      <c r="F29" s="35">
        <v>10493.734726346955</v>
      </c>
      <c r="G29" s="36">
        <v>541.03027078901493</v>
      </c>
      <c r="H29" s="35">
        <v>10499.03141202191</v>
      </c>
      <c r="I29" s="36">
        <v>474.31560750543929</v>
      </c>
      <c r="J29" s="35">
        <v>10501.757513956965</v>
      </c>
      <c r="K29" s="36">
        <v>409.80310852775676</v>
      </c>
      <c r="L29" s="35">
        <v>10501.413088736301</v>
      </c>
      <c r="M29" s="36">
        <v>347.80633561981352</v>
      </c>
      <c r="N29" s="35">
        <v>10497.330613197662</v>
      </c>
      <c r="O29" s="36">
        <v>288.72195392289359</v>
      </c>
      <c r="P29" s="35">
        <v>10488.600300250397</v>
      </c>
      <c r="Q29" s="36">
        <v>233.05453589337927</v>
      </c>
      <c r="R29" s="35">
        <v>10473.955005744245</v>
      </c>
      <c r="S29" s="36">
        <v>181.44645985415684</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22">
        <v>3437517.2752293102</v>
      </c>
      <c r="D30" s="122">
        <v>3317070.1774111264</v>
      </c>
      <c r="F30" s="122">
        <v>3185525.1552128126</v>
      </c>
      <c r="H30" s="122">
        <v>3040897.8296248778</v>
      </c>
      <c r="J30" s="122">
        <v>2880606.6303088963</v>
      </c>
      <c r="L30" s="122">
        <v>2701219.8751886352</v>
      </c>
      <c r="N30" s="122">
        <v>2498066.2120469594</v>
      </c>
      <c r="P30" s="122">
        <v>2264631.8330086484</v>
      </c>
      <c r="R30" s="122">
        <v>1991607.8604708542</v>
      </c>
      <c r="T30" s="122"/>
      <c r="V30" s="122"/>
      <c r="X30" s="122"/>
      <c r="Z30" s="122"/>
      <c r="AB30" s="122"/>
      <c r="AD30" s="122"/>
      <c r="AF30" s="122"/>
      <c r="AH30" s="122"/>
      <c r="AJ30" s="122"/>
      <c r="AL30" s="122"/>
      <c r="AN30" s="122"/>
      <c r="AP30" s="122"/>
      <c r="AR30" s="122"/>
      <c r="AT30" s="122"/>
      <c r="AV30" s="122"/>
    </row>
    <row r="31" spans="1:49" x14ac:dyDescent="0.2">
      <c r="A31" t="s">
        <v>47</v>
      </c>
      <c r="B31" s="83">
        <v>0.99999999999999867</v>
      </c>
      <c r="D31" s="83">
        <v>0.9979026318616494</v>
      </c>
      <c r="F31" s="83">
        <v>0.99545397934919078</v>
      </c>
      <c r="H31" s="83">
        <v>0.99260259534027817</v>
      </c>
      <c r="J31" s="83">
        <v>0.98928423543944954</v>
      </c>
      <c r="L31" s="83">
        <v>0.98541764901559525</v>
      </c>
      <c r="N31" s="83">
        <v>0.9808977590237733</v>
      </c>
      <c r="P31" s="83">
        <v>0.97558598444017297</v>
      </c>
      <c r="R31" s="83">
        <v>0.96929573963379012</v>
      </c>
      <c r="T31" s="83"/>
      <c r="V31" s="83"/>
      <c r="X31" s="83"/>
      <c r="Z31" s="83"/>
      <c r="AB31" s="83"/>
      <c r="AD31" s="83"/>
      <c r="AF31" s="83"/>
      <c r="AH31" s="83"/>
      <c r="AJ31" s="83"/>
      <c r="AL31" s="83"/>
      <c r="AN31" s="83"/>
      <c r="AP31" s="83"/>
      <c r="AR31" s="83"/>
      <c r="AT31" s="83"/>
      <c r="AV31" s="83"/>
    </row>
    <row r="32" spans="1:49" x14ac:dyDescent="0.2">
      <c r="A32" t="s">
        <v>66</v>
      </c>
      <c r="B32" s="89">
        <v>11714820.670945669</v>
      </c>
      <c r="D32" s="89">
        <v>11690103.990627052</v>
      </c>
      <c r="F32" s="89">
        <v>11664516.065063892</v>
      </c>
      <c r="H32" s="89">
        <v>11638059.472804764</v>
      </c>
      <c r="J32" s="89">
        <v>11610781.224959172</v>
      </c>
      <c r="L32" s="89">
        <v>11582803.576641342</v>
      </c>
      <c r="N32" s="89">
        <v>11554365.418284444</v>
      </c>
      <c r="P32" s="89">
        <v>11525894.078643961</v>
      </c>
      <c r="R32" s="89">
        <v>11498119.552028161</v>
      </c>
      <c r="T32" s="89"/>
      <c r="V32" s="89"/>
      <c r="X32" s="89"/>
      <c r="Z32" s="89"/>
      <c r="AB32" s="89"/>
      <c r="AD32" s="89"/>
      <c r="AF32" s="89"/>
      <c r="AH32" s="89"/>
      <c r="AJ32" s="89"/>
      <c r="AL32" s="89"/>
      <c r="AN32" s="89"/>
      <c r="AP32" s="89"/>
      <c r="AR32" s="89"/>
      <c r="AT32" s="89"/>
      <c r="AV32" s="89"/>
    </row>
    <row r="33" spans="1:49 16319:16321" x14ac:dyDescent="0.2">
      <c r="A33" t="s">
        <v>56</v>
      </c>
      <c r="B33" s="120">
        <v>6643090.9398583025</v>
      </c>
      <c r="D33" s="120">
        <v>6629074.9322651327</v>
      </c>
      <c r="F33" s="120">
        <v>6614564.8662654283</v>
      </c>
      <c r="H33" s="120">
        <v>6599562.2140292805</v>
      </c>
      <c r="J33" s="120">
        <v>6584093.5693689687</v>
      </c>
      <c r="L33" s="120">
        <v>6568228.3587208148</v>
      </c>
      <c r="N33" s="120">
        <v>6552102.0608734312</v>
      </c>
      <c r="P33" s="120">
        <v>6535956.8113121632</v>
      </c>
      <c r="R33" s="120">
        <v>6520206.843882856</v>
      </c>
      <c r="T33" s="120"/>
      <c r="V33" s="120"/>
      <c r="X33" s="120"/>
      <c r="Z33" s="120"/>
      <c r="AB33" s="120"/>
      <c r="AD33" s="120"/>
      <c r="AF33" s="120"/>
      <c r="AH33" s="120"/>
      <c r="AJ33" s="120"/>
      <c r="AL33" s="120"/>
      <c r="AN33" s="120"/>
      <c r="AP33" s="120"/>
      <c r="AR33" s="120"/>
      <c r="AT33" s="120"/>
      <c r="AV33" s="120"/>
    </row>
    <row r="34" spans="1:49 16319:16321" x14ac:dyDescent="0.2">
      <c r="A34" t="s">
        <v>77</v>
      </c>
      <c r="B34" s="120">
        <v>137664.28859559208</v>
      </c>
      <c r="D34" s="120">
        <v>137373.82439055521</v>
      </c>
      <c r="F34" s="120">
        <v>137073.12527173077</v>
      </c>
      <c r="H34" s="120">
        <v>136762.21210105554</v>
      </c>
      <c r="J34" s="120">
        <v>136441.70009896654</v>
      </c>
      <c r="L34" s="120">
        <v>136112.92956906703</v>
      </c>
      <c r="N34" s="120">
        <v>135778.69483489229</v>
      </c>
      <c r="P34" s="120">
        <v>135444.20479689562</v>
      </c>
      <c r="R34" s="120">
        <v>135117.76247628138</v>
      </c>
      <c r="T34" s="120"/>
      <c r="V34" s="120"/>
      <c r="X34" s="120"/>
      <c r="Z34" s="120"/>
      <c r="AB34" s="120"/>
      <c r="AD34" s="120"/>
      <c r="AF34" s="120"/>
      <c r="AH34" s="120"/>
      <c r="AJ34" s="120"/>
      <c r="AL34" s="120"/>
      <c r="AN34" s="120"/>
      <c r="AP34" s="120"/>
      <c r="AR34" s="120"/>
      <c r="AT34" s="120"/>
      <c r="AV34" s="120"/>
    </row>
    <row r="35" spans="1:49 16319:16321" x14ac:dyDescent="0.2">
      <c r="A35" t="s">
        <v>80</v>
      </c>
      <c r="B35" s="236">
        <v>1</v>
      </c>
      <c r="D35" s="236">
        <v>0.99998780631408546</v>
      </c>
      <c r="F35" s="236">
        <v>1.0002560126518154</v>
      </c>
      <c r="H35" s="236">
        <v>1.000862452252772</v>
      </c>
      <c r="J35" s="236">
        <v>1.0018850611591656</v>
      </c>
      <c r="L35" s="236">
        <v>1.0034308338802689</v>
      </c>
      <c r="N35" s="236">
        <v>1.0056496930357761</v>
      </c>
      <c r="P35" s="236">
        <v>1.0087565512725378</v>
      </c>
      <c r="R35" s="236">
        <v>1.0130671203033779</v>
      </c>
      <c r="T35" s="236"/>
      <c r="V35" s="236"/>
      <c r="X35" s="236"/>
      <c r="Z35" s="236"/>
      <c r="AB35" s="236"/>
      <c r="AD35" s="236"/>
      <c r="AF35" s="236"/>
      <c r="AH35" s="236"/>
      <c r="AJ35" s="236"/>
      <c r="AL35" s="236"/>
      <c r="AN35" s="236"/>
      <c r="AP35" s="236"/>
      <c r="AR35" s="236"/>
      <c r="AT35" s="236"/>
      <c r="AV35" s="236"/>
    </row>
    <row r="36" spans="1:49 16319:16321" x14ac:dyDescent="0.2">
      <c r="A36" t="s">
        <v>21</v>
      </c>
      <c r="B36" s="37">
        <v>0.47796858982439155</v>
      </c>
      <c r="C36" s="38">
        <v>0.17068593284758601</v>
      </c>
      <c r="D36" s="37">
        <v>0.47799060678665389</v>
      </c>
      <c r="E36" s="38">
        <v>0.17270498222305961</v>
      </c>
      <c r="F36" s="37">
        <v>0.47801331193115476</v>
      </c>
      <c r="G36" s="38">
        <v>0.17490430088884337</v>
      </c>
      <c r="H36" s="37">
        <v>0.47803656554979984</v>
      </c>
      <c r="I36" s="38">
        <v>0.17731540745221303</v>
      </c>
      <c r="J36" s="37">
        <v>0.47806015879980107</v>
      </c>
      <c r="K36" s="38">
        <v>0.17997890875689107</v>
      </c>
      <c r="L36" s="37">
        <v>0.47808377762733495</v>
      </c>
      <c r="M36" s="38">
        <v>0.18294805024682645</v>
      </c>
      <c r="N36" s="37">
        <v>0.47810694817495519</v>
      </c>
      <c r="O36" s="38">
        <v>0.18629411866633921</v>
      </c>
      <c r="P36" s="37">
        <v>0.47812895279462148</v>
      </c>
      <c r="Q36" s="38">
        <v>0.19011457442261126</v>
      </c>
      <c r="R36" s="37">
        <v>0.47814870052556119</v>
      </c>
      <c r="S36" s="38">
        <v>0.19454555140333873</v>
      </c>
      <c r="T36" s="37"/>
      <c r="U36" s="38"/>
      <c r="V36" s="37"/>
      <c r="W36" s="38"/>
      <c r="X36" s="37"/>
      <c r="Y36" s="38"/>
      <c r="Z36" s="37"/>
      <c r="AA36" s="38"/>
      <c r="AB36" s="37"/>
      <c r="AC36" s="38"/>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2.2053138497826009E-2</v>
      </c>
      <c r="C37" s="40">
        <v>0.48867583383045654</v>
      </c>
      <c r="D37" s="39">
        <v>2.1579508046148391E-2</v>
      </c>
      <c r="E37" s="40">
        <v>0.48711437519388495</v>
      </c>
      <c r="F37" s="39">
        <v>2.1082022104832655E-2</v>
      </c>
      <c r="G37" s="40">
        <v>0.48545975993907087</v>
      </c>
      <c r="H37" s="39">
        <v>2.0557605158023736E-2</v>
      </c>
      <c r="I37" s="40">
        <v>0.48369882326469271</v>
      </c>
      <c r="J37" s="39">
        <v>2.0002441909776347E-2</v>
      </c>
      <c r="K37" s="40">
        <v>0.48181534630293332</v>
      </c>
      <c r="L37" s="39">
        <v>1.9411760031029787E-2</v>
      </c>
      <c r="M37" s="40">
        <v>0.47978917704898871</v>
      </c>
      <c r="N37" s="39">
        <v>1.8779515038268971E-2</v>
      </c>
      <c r="O37" s="40">
        <v>0.47759489697645818</v>
      </c>
      <c r="P37" s="39">
        <v>1.8097992492018534E-2</v>
      </c>
      <c r="Q37" s="40">
        <v>0.47520003517109061</v>
      </c>
      <c r="R37" s="39">
        <v>1.7357316379522206E-2</v>
      </c>
      <c r="S37" s="40">
        <v>0.47256262894315421</v>
      </c>
      <c r="T37" s="39"/>
      <c r="U37" s="40"/>
      <c r="V37" s="39"/>
      <c r="W37" s="40"/>
      <c r="X37" s="39"/>
      <c r="Y37" s="40"/>
      <c r="Z37" s="39"/>
      <c r="AA37" s="40"/>
      <c r="AB37" s="39"/>
      <c r="AC37" s="40"/>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0.14928344905798796</v>
      </c>
      <c r="C38" s="38">
        <v>3.7916652170162192E-2</v>
      </c>
      <c r="D38" s="37">
        <v>0.14929452533440424</v>
      </c>
      <c r="E38" s="38">
        <v>3.7832753463034184E-2</v>
      </c>
      <c r="F38" s="37">
        <v>0.14932830138325948</v>
      </c>
      <c r="G38" s="38">
        <v>3.775324508081896E-2</v>
      </c>
      <c r="H38" s="37">
        <v>0.14938864390386131</v>
      </c>
      <c r="I38" s="38">
        <v>3.7679016468643974E-2</v>
      </c>
      <c r="J38" s="37">
        <v>0.14948058273142653</v>
      </c>
      <c r="K38" s="38">
        <v>3.7611194385389804E-2</v>
      </c>
      <c r="L38" s="37">
        <v>0.14961077664124517</v>
      </c>
      <c r="M38" s="38">
        <v>3.7551160615776069E-2</v>
      </c>
      <c r="N38" s="37">
        <v>0.14978823913314154</v>
      </c>
      <c r="O38" s="38">
        <v>3.7500758948299642E-2</v>
      </c>
      <c r="P38" s="37">
        <v>0.15002544816883653</v>
      </c>
      <c r="Q38" s="38">
        <v>3.7462494929719765E-2</v>
      </c>
      <c r="R38" s="37">
        <v>0.15034009909130527</v>
      </c>
      <c r="S38" s="38">
        <v>3.7439849060465748E-2</v>
      </c>
      <c r="T38" s="37"/>
      <c r="U38" s="38"/>
      <c r="V38" s="37"/>
      <c r="W38" s="38"/>
      <c r="X38" s="37"/>
      <c r="Y38" s="38"/>
      <c r="Z38" s="37"/>
      <c r="AA38" s="38"/>
      <c r="AB38" s="37"/>
      <c r="AC38" s="38"/>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0.22700160168381014</v>
      </c>
      <c r="C39" s="40">
        <v>0.18696331369363389</v>
      </c>
      <c r="D39" s="39">
        <v>0.2275262870013996</v>
      </c>
      <c r="E39" s="40">
        <v>0.18681967530005333</v>
      </c>
      <c r="F39" s="39">
        <v>0.22807360786691019</v>
      </c>
      <c r="G39" s="40">
        <v>0.18668973321055482</v>
      </c>
      <c r="H39" s="39">
        <v>0.22864831789946796</v>
      </c>
      <c r="I39" s="40">
        <v>0.18657734697430681</v>
      </c>
      <c r="J39" s="39">
        <v>0.22925664776470731</v>
      </c>
      <c r="K39" s="40">
        <v>0.18648727732966852</v>
      </c>
      <c r="L39" s="39">
        <v>0.22990693109444088</v>
      </c>
      <c r="M39" s="40">
        <v>0.18642561955849765</v>
      </c>
      <c r="N39" s="39">
        <v>0.23061057297386203</v>
      </c>
      <c r="O39" s="40">
        <v>0.18640027670671777</v>
      </c>
      <c r="P39" s="39">
        <v>0.23138358139288437</v>
      </c>
      <c r="Q39" s="40">
        <v>0.18642199519485581</v>
      </c>
      <c r="R39" s="39">
        <v>0.23224904480371211</v>
      </c>
      <c r="S39" s="40">
        <v>0.18650626216234129</v>
      </c>
      <c r="T39" s="39"/>
      <c r="U39" s="40"/>
      <c r="V39" s="39"/>
      <c r="W39" s="40"/>
      <c r="X39" s="39"/>
      <c r="Y39" s="40"/>
      <c r="Z39" s="39"/>
      <c r="AA39" s="40"/>
      <c r="AB39" s="39"/>
      <c r="AC39" s="40"/>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8"/>
      <c r="C40" s="138"/>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138"/>
      <c r="AB40" s="138"/>
      <c r="AC40" s="138"/>
      <c r="AD40" s="138"/>
      <c r="AE40" s="138"/>
      <c r="AF40" s="138"/>
      <c r="AG40" s="138"/>
      <c r="AH40" s="138"/>
      <c r="AI40" s="138"/>
      <c r="AJ40" s="138"/>
      <c r="AK40" s="138"/>
      <c r="AL40" s="138"/>
      <c r="AM40" s="138"/>
      <c r="AN40" s="138"/>
      <c r="AO40" s="138"/>
      <c r="AP40" s="138"/>
      <c r="AQ40" s="138"/>
      <c r="AR40" s="138"/>
      <c r="AS40" s="138"/>
      <c r="AT40" s="138"/>
      <c r="AU40" s="138"/>
    </row>
    <row r="41" spans="1:49 16319:16321" x14ac:dyDescent="0.2">
      <c r="B41" s="138"/>
      <c r="C41" s="138"/>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138"/>
      <c r="AB41" s="138"/>
      <c r="AC41" s="138"/>
      <c r="AD41" s="138"/>
      <c r="AE41" s="138"/>
      <c r="AF41" s="138"/>
      <c r="AG41" s="138"/>
      <c r="AH41" s="138"/>
      <c r="AI41" s="138"/>
      <c r="AJ41" s="138"/>
      <c r="AK41" s="138"/>
      <c r="AL41" s="138"/>
      <c r="AM41" s="138"/>
      <c r="AN41" s="138"/>
      <c r="AO41" s="138"/>
      <c r="AP41" s="138"/>
      <c r="AQ41" s="138"/>
      <c r="AR41" s="138"/>
      <c r="AS41" s="138"/>
      <c r="AT41" s="138"/>
      <c r="AU41" s="138"/>
    </row>
    <row r="42" spans="1:49 16319:16321" x14ac:dyDescent="0.2">
      <c r="A42" t="s">
        <v>110</v>
      </c>
      <c r="B42" s="180">
        <v>0.10800000000000001</v>
      </c>
      <c r="C42" s="138"/>
      <c r="D42" s="180">
        <v>0.1080000000000013</v>
      </c>
      <c r="E42" s="138"/>
      <c r="F42" s="180">
        <v>0.1080000000000009</v>
      </c>
      <c r="G42" s="138"/>
      <c r="H42" s="180">
        <v>0.10799999999999862</v>
      </c>
      <c r="I42" s="138"/>
      <c r="J42" s="180">
        <v>0.10799999999999922</v>
      </c>
      <c r="K42" s="138"/>
      <c r="L42" s="180">
        <v>0.1080000000000003</v>
      </c>
      <c r="M42" s="138"/>
      <c r="N42" s="180">
        <v>0.10800000000000042</v>
      </c>
      <c r="O42" s="138"/>
      <c r="P42" s="180">
        <v>0.10799999999999922</v>
      </c>
      <c r="Q42" s="138"/>
      <c r="R42" s="180">
        <v>0.10799999999999982</v>
      </c>
      <c r="S42" s="138"/>
      <c r="T42" s="180">
        <v>1</v>
      </c>
      <c r="U42" s="138"/>
      <c r="V42" s="180">
        <v>1</v>
      </c>
      <c r="W42" s="138"/>
      <c r="X42" s="180">
        <v>1</v>
      </c>
      <c r="Y42" s="165"/>
      <c r="Z42" s="180">
        <v>1</v>
      </c>
      <c r="AA42" s="138"/>
      <c r="AB42" s="180">
        <v>1</v>
      </c>
      <c r="AC42" s="138"/>
      <c r="AD42" s="180">
        <v>1</v>
      </c>
      <c r="AE42" s="138"/>
      <c r="AF42" s="180">
        <v>1</v>
      </c>
      <c r="AG42" s="138"/>
      <c r="AH42" s="180">
        <v>1</v>
      </c>
      <c r="AI42" s="138"/>
      <c r="AJ42" s="180">
        <v>1</v>
      </c>
      <c r="AK42" s="138"/>
      <c r="AL42" s="180">
        <v>1</v>
      </c>
      <c r="AM42" s="138"/>
      <c r="AN42" s="180">
        <v>1</v>
      </c>
      <c r="AO42" s="138"/>
      <c r="AP42" s="180">
        <v>1</v>
      </c>
      <c r="AQ42" s="138"/>
      <c r="AR42" s="180">
        <v>1</v>
      </c>
      <c r="AS42" s="138"/>
      <c r="AT42" s="180">
        <v>1</v>
      </c>
      <c r="AU42" s="138"/>
      <c r="AV42" s="180">
        <v>1</v>
      </c>
    </row>
    <row r="43" spans="1:49 16319:16321" x14ac:dyDescent="0.2">
      <c r="A43" t="s">
        <v>111</v>
      </c>
      <c r="B43" s="165">
        <v>0.60327031657597174</v>
      </c>
      <c r="C43" s="138"/>
      <c r="D43" s="165">
        <v>0.64187591719797221</v>
      </c>
      <c r="E43" s="138"/>
      <c r="F43" s="165">
        <v>0.67763944677046317</v>
      </c>
      <c r="G43" s="138"/>
      <c r="H43" s="165">
        <v>0.71606262237342067</v>
      </c>
      <c r="I43" s="138"/>
      <c r="J43" s="165">
        <v>0.75756668176632858</v>
      </c>
      <c r="K43" s="138"/>
      <c r="L43" s="165">
        <v>0.80269325775983669</v>
      </c>
      <c r="M43" s="138"/>
      <c r="N43" s="165">
        <v>0.85214881380802809</v>
      </c>
      <c r="O43" s="138"/>
      <c r="P43" s="165">
        <v>0.9068650850001061</v>
      </c>
      <c r="Q43" s="138"/>
      <c r="R43" s="165">
        <v>0.96807863265225236</v>
      </c>
      <c r="S43" s="138"/>
      <c r="T43" s="165" t="e">
        <v>#DIV/0!</v>
      </c>
      <c r="U43" s="138"/>
      <c r="V43" s="165" t="e">
        <v>#DIV/0!</v>
      </c>
      <c r="W43" s="138"/>
      <c r="X43" s="165" t="e">
        <v>#DIV/0!</v>
      </c>
      <c r="Y43" s="138"/>
      <c r="Z43" s="165" t="e">
        <v>#DIV/0!</v>
      </c>
      <c r="AA43" s="138"/>
      <c r="AB43" s="165" t="e">
        <v>#DIV/0!</v>
      </c>
      <c r="AC43" s="138"/>
      <c r="AD43" s="165" t="e">
        <v>#DIV/0!</v>
      </c>
      <c r="AE43" s="138"/>
      <c r="AF43" s="165" t="e">
        <v>#DIV/0!</v>
      </c>
      <c r="AG43" s="138"/>
      <c r="AH43" s="165" t="e">
        <v>#DIV/0!</v>
      </c>
      <c r="AI43" s="138"/>
      <c r="AJ43" s="165" t="e">
        <v>#DIV/0!</v>
      </c>
      <c r="AK43" s="138"/>
      <c r="AL43" s="165" t="e">
        <v>#DIV/0!</v>
      </c>
      <c r="AM43" s="138"/>
      <c r="AN43" s="165" t="e">
        <v>#DIV/0!</v>
      </c>
      <c r="AO43" s="138"/>
      <c r="AP43" s="165" t="e">
        <v>#DIV/0!</v>
      </c>
      <c r="AQ43" s="138"/>
      <c r="AR43" s="165" t="e">
        <v>#DIV/0!</v>
      </c>
      <c r="AS43" s="138"/>
      <c r="AT43" s="165" t="e">
        <v>#DIV/0!</v>
      </c>
      <c r="AU43" s="138"/>
      <c r="AV43" s="165" t="e">
        <v>#DIV/0!</v>
      </c>
    </row>
    <row r="44" spans="1:49 16319:16321" x14ac:dyDescent="0.2">
      <c r="A44" t="s">
        <v>145</v>
      </c>
      <c r="B44" s="196">
        <v>0.21620509429616297</v>
      </c>
      <c r="D44" s="196">
        <v>0.21620509327671089</v>
      </c>
      <c r="F44" s="196">
        <v>0.21620509257656112</v>
      </c>
      <c r="H44" s="196">
        <v>0.21620509134187715</v>
      </c>
      <c r="J44" s="196">
        <v>0.21620509513663205</v>
      </c>
      <c r="L44" s="196">
        <v>0.21620509540095895</v>
      </c>
      <c r="N44" s="196">
        <v>0.21620509108356739</v>
      </c>
      <c r="P44" s="196">
        <v>0.21620509851792502</v>
      </c>
      <c r="R44" s="196">
        <v>0.21620509361260304</v>
      </c>
      <c r="T44" s="196" t="e">
        <v>#DIV/0!</v>
      </c>
      <c r="V44" s="196" t="e">
        <v>#DIV/0!</v>
      </c>
      <c r="X44" s="196" t="e">
        <v>#DIV/0!</v>
      </c>
      <c r="Z44" s="196" t="e">
        <v>#DIV/0!</v>
      </c>
      <c r="AB44" s="196" t="e">
        <v>#DIV/0!</v>
      </c>
      <c r="AD44" s="196" t="e">
        <v>#DIV/0!</v>
      </c>
      <c r="AF44" s="196" t="e">
        <v>#DIV/0!</v>
      </c>
      <c r="AH44" s="196" t="e">
        <v>#DIV/0!</v>
      </c>
      <c r="AJ44" s="196" t="e">
        <v>#DIV/0!</v>
      </c>
      <c r="AL44" s="196" t="e">
        <v>#DIV/0!</v>
      </c>
      <c r="AN44" s="196" t="e">
        <v>#DIV/0!</v>
      </c>
      <c r="AP44" s="196" t="e">
        <v>#DIV/0!</v>
      </c>
      <c r="AR44" s="196" t="e">
        <v>#DIV/0!</v>
      </c>
      <c r="AT44" s="196" t="e">
        <v>#DIV/0!</v>
      </c>
      <c r="AV44" s="196" t="e">
        <v>#DIV/0!</v>
      </c>
    </row>
    <row r="45" spans="1:49 16319:16321" x14ac:dyDescent="0.2">
      <c r="A45" t="s">
        <v>84</v>
      </c>
      <c r="B45" s="196">
        <v>0.20445380142857192</v>
      </c>
      <c r="D45" s="196">
        <v>0.2044538013719768</v>
      </c>
      <c r="F45" s="196">
        <v>0.20445380135220637</v>
      </c>
      <c r="H45" s="196">
        <v>0.20445380132478844</v>
      </c>
      <c r="J45" s="196">
        <v>0.20445380145058237</v>
      </c>
      <c r="L45" s="196">
        <v>0.20445380145313086</v>
      </c>
      <c r="N45" s="196">
        <v>0.20445380142641092</v>
      </c>
      <c r="P45" s="196">
        <v>0.20445380149291964</v>
      </c>
      <c r="R45" s="196">
        <v>0.20445380142392094</v>
      </c>
      <c r="T45" s="196" t="e">
        <v>#DIV/0!</v>
      </c>
      <c r="V45" s="196" t="e">
        <v>#DIV/0!</v>
      </c>
      <c r="X45" s="196" t="e">
        <v>#DIV/0!</v>
      </c>
      <c r="Z45" s="196" t="e">
        <v>#DIV/0!</v>
      </c>
      <c r="AB45" s="196" t="e">
        <v>#DIV/0!</v>
      </c>
      <c r="AD45" s="196" t="e">
        <v>#DIV/0!</v>
      </c>
      <c r="AF45" s="196" t="e">
        <v>#DIV/0!</v>
      </c>
      <c r="AH45" s="196" t="e">
        <v>#DIV/0!</v>
      </c>
      <c r="AJ45" s="196" t="e">
        <v>#DIV/0!</v>
      </c>
      <c r="AL45" s="196" t="e">
        <v>#DIV/0!</v>
      </c>
      <c r="AN45" s="196" t="e">
        <v>#DIV/0!</v>
      </c>
      <c r="AP45" s="196" t="e">
        <v>#DIV/0!</v>
      </c>
      <c r="AR45" s="196" t="e">
        <v>#DIV/0!</v>
      </c>
      <c r="AT45" s="196" t="e">
        <v>#DIV/0!</v>
      </c>
      <c r="AV45" s="196" t="e">
        <v>#DIV/0!</v>
      </c>
      <c r="XCQ45" s="196"/>
    </row>
    <row r="46" spans="1:49 16319:16321" x14ac:dyDescent="0.2">
      <c r="A46" t="s">
        <v>142</v>
      </c>
      <c r="B46" s="196">
        <v>1.1751292867591055E-2</v>
      </c>
      <c r="D46" s="196">
        <v>1.1751291904734076E-2</v>
      </c>
      <c r="F46" s="196">
        <v>1.1751291224354789E-2</v>
      </c>
      <c r="H46" s="196">
        <v>1.1751290017088729E-2</v>
      </c>
      <c r="J46" s="196">
        <v>1.1751293686049651E-2</v>
      </c>
      <c r="L46" s="196">
        <v>1.1751293947828097E-2</v>
      </c>
      <c r="N46" s="196">
        <v>1.1751289657156463E-2</v>
      </c>
      <c r="P46" s="196">
        <v>1.1751297025005355E-2</v>
      </c>
      <c r="R46" s="196">
        <v>1.1751292188682094E-2</v>
      </c>
      <c r="T46" s="196" t="e">
        <v>#DIV/0!</v>
      </c>
      <c r="V46" s="196" t="e">
        <v>#DIV/0!</v>
      </c>
      <c r="X46" s="196" t="e">
        <v>#DIV/0!</v>
      </c>
      <c r="Z46" s="196" t="e">
        <v>#DIV/0!</v>
      </c>
      <c r="AB46" s="196" t="e">
        <v>#DIV/0!</v>
      </c>
      <c r="AD46" s="196" t="e">
        <v>#DIV/0!</v>
      </c>
      <c r="AF46" s="196" t="e">
        <v>#DIV/0!</v>
      </c>
      <c r="AH46" s="196" t="e">
        <v>#DIV/0!</v>
      </c>
      <c r="AJ46" s="196" t="e">
        <v>#DIV/0!</v>
      </c>
      <c r="AL46" s="196" t="e">
        <v>#DIV/0!</v>
      </c>
      <c r="AN46" s="196" t="e">
        <v>#DIV/0!</v>
      </c>
      <c r="AP46" s="196" t="e">
        <v>#DIV/0!</v>
      </c>
      <c r="AR46" s="196" t="e">
        <v>#DIV/0!</v>
      </c>
      <c r="AT46" s="196" t="e">
        <v>#DIV/0!</v>
      </c>
      <c r="AV46" s="196" t="e">
        <v>#DIV/0!</v>
      </c>
      <c r="XCS46" s="196"/>
    </row>
    <row r="48" spans="1:49 16319:16321" x14ac:dyDescent="0.2">
      <c r="A48" t="s">
        <v>162</v>
      </c>
      <c r="B48" s="194">
        <v>1</v>
      </c>
      <c r="C48" s="194"/>
      <c r="D48" s="194">
        <v>1.0005169547810189</v>
      </c>
      <c r="E48" s="194"/>
      <c r="F48" s="194">
        <v>1.0009190842221647</v>
      </c>
      <c r="G48" s="194"/>
      <c r="H48" s="194">
        <v>1.0011948818618759</v>
      </c>
      <c r="I48" s="194"/>
      <c r="J48" s="194">
        <v>1.0013312163707708</v>
      </c>
      <c r="K48" s="194"/>
      <c r="L48" s="194">
        <v>1.0013133217120569</v>
      </c>
      <c r="M48" s="194"/>
      <c r="N48" s="194">
        <v>1.0011244675261641</v>
      </c>
      <c r="O48" s="194"/>
      <c r="P48" s="194">
        <v>1.0007459376450243</v>
      </c>
      <c r="Q48" s="194"/>
      <c r="R48" s="194">
        <v>1.0001571487620973</v>
      </c>
      <c r="S48" s="194"/>
      <c r="T48" s="194">
        <v>0</v>
      </c>
      <c r="U48" s="194"/>
      <c r="V48" s="194">
        <v>0</v>
      </c>
      <c r="W48" s="194"/>
      <c r="X48" s="194">
        <v>0</v>
      </c>
      <c r="Y48" s="194"/>
      <c r="Z48" s="194">
        <v>0</v>
      </c>
      <c r="AA48" s="194"/>
      <c r="AB48" s="194">
        <v>0</v>
      </c>
      <c r="AC48" s="194"/>
      <c r="AD48" s="194">
        <v>0</v>
      </c>
      <c r="AE48" s="194"/>
      <c r="AF48" s="194">
        <v>0</v>
      </c>
      <c r="AG48" s="194"/>
      <c r="AH48" s="194">
        <v>0</v>
      </c>
      <c r="AI48" s="194"/>
      <c r="AJ48" s="194">
        <v>0</v>
      </c>
      <c r="AK48" s="194"/>
      <c r="AL48" s="194">
        <v>0</v>
      </c>
      <c r="AM48" s="194"/>
      <c r="AN48" s="194">
        <v>0</v>
      </c>
      <c r="AO48" s="194"/>
      <c r="AP48" s="194">
        <v>0</v>
      </c>
      <c r="AQ48" s="194"/>
      <c r="AR48" s="194">
        <v>0</v>
      </c>
      <c r="AS48" s="194"/>
      <c r="AT48" s="194">
        <v>0</v>
      </c>
      <c r="AU48" s="194"/>
      <c r="AV48" s="194">
        <v>0</v>
      </c>
    </row>
    <row r="49" spans="1:48 16321:16384" x14ac:dyDescent="0.2">
      <c r="A49" t="s">
        <v>163</v>
      </c>
      <c r="B49" s="194">
        <v>1</v>
      </c>
      <c r="C49" s="194"/>
      <c r="D49" s="194">
        <v>0.92519610566773991</v>
      </c>
      <c r="E49" s="194"/>
      <c r="F49" s="194">
        <v>0.84311539374070765</v>
      </c>
      <c r="G49" s="194"/>
      <c r="H49" s="194">
        <v>0.75251539358363206</v>
      </c>
      <c r="I49" s="194"/>
      <c r="J49" s="194">
        <v>0.65179266033474037</v>
      </c>
      <c r="K49" s="194"/>
      <c r="L49" s="194">
        <v>0.53883652771060342</v>
      </c>
      <c r="M49" s="194"/>
      <c r="N49" s="194">
        <v>0.41080997502996169</v>
      </c>
      <c r="O49" s="194"/>
      <c r="P49" s="194">
        <v>0.26382045987066116</v>
      </c>
      <c r="Q49" s="194"/>
      <c r="R49" s="194">
        <v>9.2422259557164807E-2</v>
      </c>
      <c r="S49" s="194"/>
      <c r="T49" s="194" t="e">
        <v>#DIV/0!</v>
      </c>
      <c r="U49" s="194"/>
      <c r="V49" s="194" t="e">
        <v>#DIV/0!</v>
      </c>
      <c r="W49" s="194"/>
      <c r="X49" s="194" t="e">
        <v>#DIV/0!</v>
      </c>
      <c r="Y49" s="194"/>
      <c r="Z49" s="194" t="e">
        <v>#DIV/0!</v>
      </c>
      <c r="AA49" s="194"/>
      <c r="AB49" s="194" t="e">
        <v>#DIV/0!</v>
      </c>
      <c r="AC49" s="194"/>
      <c r="AD49" s="194" t="e">
        <v>#DIV/0!</v>
      </c>
      <c r="AE49" s="194"/>
      <c r="AF49" s="194" t="e">
        <v>#DIV/0!</v>
      </c>
      <c r="AG49" s="194"/>
      <c r="AH49" s="194" t="e">
        <v>#DIV/0!</v>
      </c>
      <c r="AI49" s="194"/>
      <c r="AJ49" s="194" t="e">
        <v>#DIV/0!</v>
      </c>
      <c r="AK49" s="194"/>
      <c r="AL49" s="194" t="e">
        <v>#DIV/0!</v>
      </c>
      <c r="AM49" s="194"/>
      <c r="AN49" s="194" t="e">
        <v>#DIV/0!</v>
      </c>
      <c r="AO49" s="194"/>
      <c r="AP49" s="194" t="e">
        <v>#DIV/0!</v>
      </c>
      <c r="AQ49" s="194"/>
      <c r="AR49" s="194" t="e">
        <v>#DIV/0!</v>
      </c>
      <c r="AS49" s="194"/>
      <c r="AT49" s="194" t="e">
        <v>#DIV/0!</v>
      </c>
      <c r="AU49" s="194"/>
      <c r="AV49" s="194" t="e">
        <v>#DIV/0!</v>
      </c>
    </row>
    <row r="51" spans="1:48 16321:16384" x14ac:dyDescent="0.2">
      <c r="A51" t="s">
        <v>169</v>
      </c>
      <c r="B51" s="29">
        <v>898591.45196639095</v>
      </c>
      <c r="D51" s="29">
        <v>783501.14275717875</v>
      </c>
      <c r="F51" s="29">
        <v>657501.73212227225</v>
      </c>
      <c r="H51" s="29">
        <v>518608.282209347</v>
      </c>
      <c r="J51" s="29">
        <v>364229.03407161171</v>
      </c>
      <c r="L51" s="29">
        <v>190905.80956641864</v>
      </c>
      <c r="N51" s="29">
        <v>-6084.5176910436712</v>
      </c>
      <c r="P51" s="29">
        <v>-233348.3695427631</v>
      </c>
      <c r="R51" s="29">
        <v>-500352.83355930028</v>
      </c>
      <c r="T51" s="29">
        <v>0</v>
      </c>
      <c r="V51" s="29">
        <v>0</v>
      </c>
      <c r="X51" s="29">
        <v>0</v>
      </c>
      <c r="Z51" s="29">
        <v>0</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170</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171</v>
      </c>
      <c r="B53" s="29">
        <v>1634212.4558580429</v>
      </c>
      <c r="D53" s="29">
        <v>1743958.8937426037</v>
      </c>
      <c r="F53" s="29">
        <v>1864426.0635468832</v>
      </c>
      <c r="H53" s="29">
        <v>1997599.4607054451</v>
      </c>
      <c r="J53" s="29">
        <v>2146081.0315997605</v>
      </c>
      <c r="L53" s="29">
        <v>2313355.3518780386</v>
      </c>
      <c r="N53" s="29">
        <v>2504197.199665728</v>
      </c>
      <c r="P53" s="29">
        <v>2725305.4800526402</v>
      </c>
      <c r="R53" s="29">
        <v>2986304.8531451724</v>
      </c>
      <c r="T53" s="29">
        <v>0</v>
      </c>
      <c r="V53" s="29">
        <v>0</v>
      </c>
      <c r="X53" s="29">
        <v>0</v>
      </c>
      <c r="Z53" s="29">
        <v>0</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172</v>
      </c>
      <c r="B55" s="196">
        <v>0.29343319644276039</v>
      </c>
      <c r="D55" s="196">
        <v>0.2837502711755775</v>
      </c>
      <c r="F55" s="196">
        <v>0.27309535495893406</v>
      </c>
      <c r="H55" s="196">
        <v>0.26128907802290374</v>
      </c>
      <c r="J55" s="196">
        <v>0.24809757194602775</v>
      </c>
      <c r="L55" s="196">
        <v>0.23320950384033934</v>
      </c>
      <c r="N55" s="196">
        <v>0.2162010739329607</v>
      </c>
      <c r="P55" s="196">
        <v>0.19648209653468252</v>
      </c>
      <c r="R55" s="196">
        <v>0.17321161529578577</v>
      </c>
      <c r="T55" s="196" t="e">
        <v>#DIV/0!</v>
      </c>
      <c r="V55" s="196" t="e">
        <v>#DIV/0!</v>
      </c>
      <c r="X55" s="196" t="e">
        <v>#DIV/0!</v>
      </c>
      <c r="Z55" s="196" t="e">
        <v>#DIV/0!</v>
      </c>
      <c r="AB55" s="196" t="e">
        <v>#DIV/0!</v>
      </c>
      <c r="AD55" s="196" t="e">
        <v>#DIV/0!</v>
      </c>
      <c r="AF55" s="196" t="e">
        <v>#DIV/0!</v>
      </c>
      <c r="AH55" s="196" t="e">
        <v>#DIV/0!</v>
      </c>
      <c r="AJ55" s="196" t="e">
        <v>#DIV/0!</v>
      </c>
      <c r="AL55" s="196" t="e">
        <v>#DIV/0!</v>
      </c>
      <c r="AN55" s="196" t="e">
        <v>#DIV/0!</v>
      </c>
      <c r="AP55" s="196" t="e">
        <v>#DIV/0!</v>
      </c>
      <c r="AR55" s="196" t="e">
        <v>#DIV/0!</v>
      </c>
      <c r="AT55" s="196" t="e">
        <v>#DIV/0!</v>
      </c>
      <c r="AV55" s="196" t="e">
        <v>#DIV/0!</v>
      </c>
      <c r="XCS55" s="196"/>
      <c r="XFD55" s="196"/>
    </row>
    <row r="56" spans="1:48 16321:16384" x14ac:dyDescent="0.2">
      <c r="A56" t="s">
        <v>173</v>
      </c>
      <c r="B56" s="196">
        <v>0.12330490389763608</v>
      </c>
      <c r="D56" s="196">
        <v>0.12515504851669432</v>
      </c>
      <c r="F56" s="196">
        <v>0.12719138366299662</v>
      </c>
      <c r="H56" s="196">
        <v>0.129448252767071</v>
      </c>
      <c r="J56" s="196">
        <v>0.13197042753104388</v>
      </c>
      <c r="L56" s="196">
        <v>0.13481752468045927</v>
      </c>
      <c r="N56" s="196">
        <v>0.13807068480611473</v>
      </c>
      <c r="P56" s="196">
        <v>0.14184291230763416</v>
      </c>
      <c r="R56" s="196">
        <v>0.14629520942388605</v>
      </c>
      <c r="T56" s="196" t="e">
        <v>#DIV/0!</v>
      </c>
      <c r="V56" s="196" t="e">
        <v>#DIV/0!</v>
      </c>
      <c r="X56" s="196" t="e">
        <v>#DIV/0!</v>
      </c>
      <c r="Z56" s="196" t="e">
        <v>#DIV/0!</v>
      </c>
      <c r="AB56" s="196" t="e">
        <v>#DIV/0!</v>
      </c>
      <c r="AD56" s="196" t="e">
        <v>#DIV/0!</v>
      </c>
      <c r="AF56" s="196" t="e">
        <v>#DIV/0!</v>
      </c>
      <c r="AH56" s="196" t="e">
        <v>#DIV/0!</v>
      </c>
      <c r="AJ56" s="196" t="e">
        <v>#DIV/0!</v>
      </c>
      <c r="AL56" s="196" t="e">
        <v>#DIV/0!</v>
      </c>
      <c r="AN56" s="196" t="e">
        <v>#DIV/0!</v>
      </c>
      <c r="AP56" s="196" t="e">
        <v>#DIV/0!</v>
      </c>
      <c r="AR56" s="196" t="e">
        <v>#DIV/0!</v>
      </c>
      <c r="AT56" s="196" t="e">
        <v>#DIV/0!</v>
      </c>
      <c r="AV56" s="196" t="e">
        <v>#DIV/0!</v>
      </c>
      <c r="XFD56" s="196"/>
    </row>
    <row r="57" spans="1:48 16321:16384" x14ac:dyDescent="0.2">
      <c r="A57" t="s">
        <v>174</v>
      </c>
      <c r="B57" s="196">
        <v>0.15814435802029927</v>
      </c>
      <c r="D57" s="196">
        <v>0.14662452370028661</v>
      </c>
      <c r="F57" s="196">
        <v>0.13394759110637286</v>
      </c>
      <c r="H57" s="196">
        <v>0.11990006224617573</v>
      </c>
      <c r="J57" s="196">
        <v>0.10420358137333939</v>
      </c>
      <c r="L57" s="196">
        <v>8.6487584954405616E-2</v>
      </c>
      <c r="N57" s="196">
        <v>6.6247665072211109E-2</v>
      </c>
      <c r="P57" s="196">
        <v>4.2781383376768851E-2</v>
      </c>
      <c r="R57" s="196">
        <v>1.5087866246107692E-2</v>
      </c>
      <c r="T57" s="196" t="e">
        <v>#DIV/0!</v>
      </c>
      <c r="V57" s="196" t="e">
        <v>#DIV/0!</v>
      </c>
      <c r="X57" s="196" t="e">
        <v>#DIV/0!</v>
      </c>
      <c r="Y57" s="196"/>
      <c r="Z57" s="196" t="e">
        <v>#DIV/0!</v>
      </c>
      <c r="AB57" s="196" t="e">
        <v>#DIV/0!</v>
      </c>
      <c r="AD57" s="196" t="e">
        <v>#DIV/0!</v>
      </c>
      <c r="AF57" s="196" t="e">
        <v>#DIV/0!</v>
      </c>
      <c r="AH57" s="196" t="e">
        <v>#DIV/0!</v>
      </c>
      <c r="AJ57" s="196" t="e">
        <v>#DIV/0!</v>
      </c>
      <c r="AL57" s="196" t="e">
        <v>#DIV/0!</v>
      </c>
      <c r="AN57" s="196" t="e">
        <v>#DIV/0!</v>
      </c>
      <c r="AP57" s="196" t="e">
        <v>#DIV/0!</v>
      </c>
      <c r="AR57" s="196" t="e">
        <v>#DIV/0!</v>
      </c>
      <c r="AT57" s="196" t="e">
        <v>#DIV/0!</v>
      </c>
      <c r="AV57" s="196" t="e">
        <v>#DIV/0!</v>
      </c>
      <c r="XFD57" s="196"/>
    </row>
    <row r="58" spans="1:48 16321:16384" x14ac:dyDescent="0.2">
      <c r="A58" t="s">
        <v>175</v>
      </c>
      <c r="B58" s="196">
        <v>1.1983934524824984E-2</v>
      </c>
      <c r="D58" s="196">
        <v>1.1970698958596539E-2</v>
      </c>
      <c r="F58" s="196">
        <v>1.195638018956458E-2</v>
      </c>
      <c r="H58" s="196">
        <v>1.194076300965698E-2</v>
      </c>
      <c r="J58" s="196">
        <v>1.19235630416445E-2</v>
      </c>
      <c r="L58" s="196">
        <v>1.1904394205474443E-2</v>
      </c>
      <c r="N58" s="196">
        <v>1.1882724054634858E-2</v>
      </c>
      <c r="P58" s="196">
        <v>1.1857800850279498E-2</v>
      </c>
      <c r="R58" s="196">
        <v>1.1828539625791995E-2</v>
      </c>
      <c r="T58" s="196" t="e">
        <v>#DIV/0!</v>
      </c>
      <c r="V58" s="196" t="e">
        <v>#DIV/0!</v>
      </c>
      <c r="X58" s="196" t="e">
        <v>#DIV/0!</v>
      </c>
      <c r="Y58" s="196"/>
      <c r="Z58" s="196" t="e">
        <v>#DIV/0!</v>
      </c>
      <c r="AB58" s="196" t="e">
        <v>#DIV/0!</v>
      </c>
      <c r="AD58" s="196" t="e">
        <v>#DIV/0!</v>
      </c>
      <c r="AF58" s="196" t="e">
        <v>#DIV/0!</v>
      </c>
      <c r="AH58" s="196" t="e">
        <v>#DIV/0!</v>
      </c>
      <c r="AJ58" s="196" t="e">
        <v>#DIV/0!</v>
      </c>
      <c r="AL58" s="196" t="e">
        <v>#DIV/0!</v>
      </c>
      <c r="AN58" s="196" t="e">
        <v>#DIV/0!</v>
      </c>
      <c r="AP58" s="196" t="e">
        <v>#DIV/0!</v>
      </c>
      <c r="AR58" s="196" t="e">
        <v>#DIV/0!</v>
      </c>
      <c r="AT58" s="196" t="e">
        <v>#DIV/0!</v>
      </c>
      <c r="AV58" s="196" t="e">
        <v>#DIV/0!</v>
      </c>
      <c r="XFD58" s="196"/>
    </row>
    <row r="59" spans="1:48 16321:16384" x14ac:dyDescent="0.2">
      <c r="A59" t="s">
        <v>176</v>
      </c>
      <c r="B59" s="196">
        <v>1.7199725200015354E-2</v>
      </c>
      <c r="D59" s="196">
        <v>1.9122139672667487E-2</v>
      </c>
      <c r="F59" s="196">
        <v>2.123625965764098E-2</v>
      </c>
      <c r="H59" s="196">
        <v>2.3577700385307803E-2</v>
      </c>
      <c r="J59" s="196">
        <v>2.6192952417819552E-2</v>
      </c>
      <c r="L59" s="196">
        <v>2.9144005761653331E-2</v>
      </c>
      <c r="N59" s="196">
        <v>3.2515331557526714E-2</v>
      </c>
      <c r="P59" s="196">
        <v>3.6424705356730987E-2</v>
      </c>
      <c r="R59" s="196">
        <v>4.1040101414028668E-2</v>
      </c>
      <c r="T59" s="196" t="e">
        <v>#DIV/0!</v>
      </c>
      <c r="V59" s="196" t="e">
        <v>#DIV/0!</v>
      </c>
      <c r="X59" s="196" t="e">
        <v>#DIV/0!</v>
      </c>
      <c r="Z59" s="196" t="e">
        <v>#DIV/0!</v>
      </c>
      <c r="AB59" s="196" t="e">
        <v>#DIV/0!</v>
      </c>
      <c r="AD59" s="196" t="e">
        <v>#DIV/0!</v>
      </c>
      <c r="AF59" s="196" t="e">
        <v>#DIV/0!</v>
      </c>
      <c r="AH59" s="196" t="e">
        <v>#DIV/0!</v>
      </c>
      <c r="AJ59" s="196" t="e">
        <v>#DIV/0!</v>
      </c>
      <c r="AL59" s="196" t="e">
        <v>#DIV/0!</v>
      </c>
      <c r="AN59" s="196" t="e">
        <v>#DIV/0!</v>
      </c>
      <c r="AP59" s="196" t="e">
        <v>#DIV/0!</v>
      </c>
      <c r="AR59" s="196" t="e">
        <v>#DIV/0!</v>
      </c>
      <c r="AT59" s="196" t="e">
        <v>#DIV/0!</v>
      </c>
      <c r="AV59" s="196" t="e">
        <v>#DIV/0!</v>
      </c>
      <c r="XFD59" s="196"/>
    </row>
    <row r="60" spans="1:48 16321:16384" x14ac:dyDescent="0.2">
      <c r="A60" t="s">
        <v>177</v>
      </c>
      <c r="B60" s="196">
        <v>0.10610517869762073</v>
      </c>
      <c r="D60" s="196">
        <v>0.10603290884402684</v>
      </c>
      <c r="F60" s="196">
        <v>0.10595512400535564</v>
      </c>
      <c r="H60" s="196">
        <v>0.10587055238176321</v>
      </c>
      <c r="J60" s="196">
        <v>0.10577747511322433</v>
      </c>
      <c r="L60" s="196">
        <v>0.10567351891880593</v>
      </c>
      <c r="N60" s="196">
        <v>0.10555535324858803</v>
      </c>
      <c r="P60" s="196">
        <v>0.10541820695090318</v>
      </c>
      <c r="R60" s="196">
        <v>0.10525510800985739</v>
      </c>
      <c r="T60" s="196" t="e">
        <v>#DIV/0!</v>
      </c>
      <c r="V60" s="196" t="e">
        <v>#DIV/0!</v>
      </c>
      <c r="X60" s="196" t="e">
        <v>#DIV/0!</v>
      </c>
      <c r="Z60" s="196" t="e">
        <v>#DIV/0!</v>
      </c>
      <c r="AB60" s="196" t="e">
        <v>#DIV/0!</v>
      </c>
      <c r="AD60" s="196" t="e">
        <v>#DIV/0!</v>
      </c>
      <c r="AF60" s="196" t="e">
        <v>#DIV/0!</v>
      </c>
      <c r="AH60" s="196" t="e">
        <v>#DIV/0!</v>
      </c>
      <c r="AJ60" s="196" t="e">
        <v>#DIV/0!</v>
      </c>
      <c r="AL60" s="196" t="e">
        <v>#DIV/0!</v>
      </c>
      <c r="AN60" s="196" t="e">
        <v>#DIV/0!</v>
      </c>
      <c r="AP60" s="196" t="e">
        <v>#DIV/0!</v>
      </c>
      <c r="AR60" s="196" t="e">
        <v>#DIV/0!</v>
      </c>
      <c r="AT60" s="196" t="e">
        <v>#DIV/0!</v>
      </c>
      <c r="AV60" s="196" t="e">
        <v>#DIV/0!</v>
      </c>
      <c r="XFD60" s="196"/>
    </row>
    <row r="62" spans="1:48 16321:16384" x14ac:dyDescent="0.2">
      <c r="A62" t="s">
        <v>178</v>
      </c>
      <c r="B62">
        <v>1</v>
      </c>
      <c r="D62">
        <v>0.86696341920871112</v>
      </c>
      <c r="F62">
        <v>0.73919928992906703</v>
      </c>
      <c r="H62">
        <v>0.61615487700185989</v>
      </c>
      <c r="J62">
        <v>0.4972671463053418</v>
      </c>
      <c r="L62">
        <v>0.38195362655513815</v>
      </c>
      <c r="N62">
        <v>0.26960484743931634</v>
      </c>
      <c r="P62">
        <v>0.15958356701522849</v>
      </c>
      <c r="R62">
        <v>5.1237647156604581E-2</v>
      </c>
      <c r="T62" t="e">
        <v>#DIV/0!</v>
      </c>
      <c r="V62" t="e">
        <v>#DIV/0!</v>
      </c>
      <c r="X62" t="e">
        <v>#DIV/0!</v>
      </c>
      <c r="Z62" t="e">
        <v>#DIV/0!</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179</v>
      </c>
      <c r="B65" s="194">
        <v>1</v>
      </c>
      <c r="C65" s="194"/>
      <c r="D65" s="194">
        <v>0.99749501059681089</v>
      </c>
      <c r="E65" s="194"/>
      <c r="F65" s="194">
        <v>0.99503554472510136</v>
      </c>
      <c r="G65" s="194"/>
      <c r="H65" s="194">
        <v>0.99263150106271447</v>
      </c>
      <c r="I65" s="194"/>
      <c r="J65" s="194">
        <v>0.99029772882362077</v>
      </c>
      <c r="K65" s="194"/>
      <c r="L65" s="194">
        <v>0.98805647737134294</v>
      </c>
      <c r="M65" s="194"/>
      <c r="N65" s="194">
        <v>0.98594100128536533</v>
      </c>
      <c r="O65" s="194"/>
      <c r="P65" s="194">
        <v>0.98400133058731121</v>
      </c>
      <c r="Q65" s="194"/>
      <c r="R65" s="194">
        <v>0.98231336675030978</v>
      </c>
      <c r="S65" s="194"/>
      <c r="T65" s="194" t="e">
        <v>#DIV/0!</v>
      </c>
      <c r="U65" s="194"/>
      <c r="V65" s="194" t="e">
        <v>#DIV/0!</v>
      </c>
      <c r="W65" s="194"/>
      <c r="X65" s="194" t="e">
        <v>#DIV/0!</v>
      </c>
      <c r="Y65" s="194"/>
      <c r="Z65" s="194" t="e">
        <v>#DIV/0!</v>
      </c>
      <c r="AA65" s="194"/>
      <c r="AB65" s="194" t="e">
        <v>#DIV/0!</v>
      </c>
      <c r="AC65" s="194"/>
      <c r="AD65" s="194" t="e">
        <v>#DIV/0!</v>
      </c>
      <c r="AE65" s="194"/>
      <c r="AF65" s="194" t="e">
        <v>#DIV/0!</v>
      </c>
      <c r="AG65" s="194"/>
      <c r="AH65" s="194" t="e">
        <v>#DIV/0!</v>
      </c>
      <c r="AI65" s="194"/>
      <c r="AJ65" s="194" t="e">
        <v>#DIV/0!</v>
      </c>
      <c r="AK65" s="194"/>
      <c r="AL65" s="194" t="e">
        <v>#DIV/0!</v>
      </c>
      <c r="AM65" s="194"/>
      <c r="AN65" s="194" t="e">
        <v>#DIV/0!</v>
      </c>
      <c r="AO65" s="194"/>
      <c r="AP65" s="194" t="e">
        <v>#DIV/0!</v>
      </c>
      <c r="AQ65" s="194"/>
      <c r="AR65" s="194" t="e">
        <v>#DIV/0!</v>
      </c>
      <c r="AS65" s="194"/>
      <c r="AT65" s="194" t="e">
        <v>#DIV/0!</v>
      </c>
      <c r="AU65" s="194"/>
      <c r="AV65" s="194" t="e">
        <v>#DIV/0!</v>
      </c>
    </row>
    <row r="66" spans="1:48 16384:16384" x14ac:dyDescent="0.2">
      <c r="A66" t="s">
        <v>185</v>
      </c>
      <c r="B66" s="194">
        <v>1</v>
      </c>
      <c r="C66" s="194"/>
      <c r="D66" s="194">
        <v>0.99737453802410503</v>
      </c>
      <c r="E66" s="194"/>
      <c r="F66" s="194">
        <v>0.99479160283631141</v>
      </c>
      <c r="G66" s="194"/>
      <c r="H66" s="194">
        <v>0.9922618778011334</v>
      </c>
      <c r="I66" s="194"/>
      <c r="J66" s="194">
        <v>0.98980134979463541</v>
      </c>
      <c r="K66" s="194"/>
      <c r="L66" s="194">
        <v>0.98743394436022813</v>
      </c>
      <c r="M66" s="194"/>
      <c r="N66" s="194">
        <v>0.98519540562262653</v>
      </c>
      <c r="O66" s="194"/>
      <c r="P66" s="194">
        <v>0.98313949619726759</v>
      </c>
      <c r="Q66" s="194"/>
      <c r="R66" s="194">
        <v>0.98134775113842532</v>
      </c>
      <c r="S66" s="194"/>
      <c r="T66" s="194" t="e">
        <v>#DIV/0!</v>
      </c>
      <c r="U66" s="194"/>
      <c r="V66" s="194" t="e">
        <v>#DIV/0!</v>
      </c>
      <c r="W66" s="194"/>
      <c r="X66" s="194" t="e">
        <v>#DIV/0!</v>
      </c>
      <c r="Y66" s="194"/>
      <c r="Z66" s="194" t="e">
        <v>#DIV/0!</v>
      </c>
      <c r="AA66" s="194"/>
      <c r="AB66" s="194" t="e">
        <v>#DIV/0!</v>
      </c>
      <c r="AC66" s="194"/>
      <c r="AD66" s="194" t="e">
        <v>#DIV/0!</v>
      </c>
      <c r="AE66" s="194"/>
      <c r="AF66" s="194" t="e">
        <v>#DIV/0!</v>
      </c>
      <c r="AG66" s="194"/>
      <c r="AH66" s="194" t="e">
        <v>#DIV/0!</v>
      </c>
      <c r="AI66" s="194"/>
      <c r="AJ66" s="194" t="e">
        <v>#DIV/0!</v>
      </c>
      <c r="AK66" s="194"/>
      <c r="AL66" s="194" t="e">
        <v>#DIV/0!</v>
      </c>
      <c r="AM66" s="194"/>
      <c r="AN66" s="194" t="e">
        <v>#DIV/0!</v>
      </c>
      <c r="AO66" s="194"/>
      <c r="AP66" s="194" t="e">
        <v>#DIV/0!</v>
      </c>
      <c r="AQ66" s="194"/>
      <c r="AR66" s="194" t="e">
        <v>#DIV/0!</v>
      </c>
      <c r="AS66" s="194"/>
      <c r="AT66" s="194" t="e">
        <v>#DIV/0!</v>
      </c>
      <c r="AU66" s="194"/>
      <c r="AV66" s="194" t="e">
        <v>#DIV/0!</v>
      </c>
      <c r="XFD66" s="194"/>
    </row>
    <row r="67" spans="1:48 16384:16384" x14ac:dyDescent="0.2">
      <c r="A67" t="s">
        <v>186</v>
      </c>
      <c r="B67" s="194">
        <v>1</v>
      </c>
      <c r="C67" s="194"/>
      <c r="D67" s="194">
        <v>1</v>
      </c>
      <c r="E67" s="194"/>
      <c r="F67" s="194">
        <v>1</v>
      </c>
      <c r="G67" s="194"/>
      <c r="H67" s="194">
        <v>1</v>
      </c>
      <c r="I67" s="194"/>
      <c r="J67" s="194">
        <v>1</v>
      </c>
      <c r="K67" s="194"/>
      <c r="L67" s="194">
        <v>1</v>
      </c>
      <c r="M67" s="194"/>
      <c r="N67" s="194">
        <v>1</v>
      </c>
      <c r="O67" s="194"/>
      <c r="P67" s="194">
        <v>1</v>
      </c>
      <c r="Q67" s="194"/>
      <c r="R67" s="194">
        <v>1</v>
      </c>
      <c r="S67" s="194"/>
      <c r="T67" s="194" t="e">
        <v>#DIV/0!</v>
      </c>
      <c r="U67" s="194"/>
      <c r="V67" s="194" t="e">
        <v>#DIV/0!</v>
      </c>
      <c r="W67" s="194"/>
      <c r="X67" s="194" t="e">
        <v>#DIV/0!</v>
      </c>
      <c r="Y67" s="194"/>
      <c r="Z67" s="194" t="e">
        <v>#DIV/0!</v>
      </c>
      <c r="AA67" s="194"/>
      <c r="AB67" s="194" t="e">
        <v>#DIV/0!</v>
      </c>
      <c r="AC67" s="194"/>
      <c r="AD67" s="194" t="e">
        <v>#DIV/0!</v>
      </c>
      <c r="AE67" s="194"/>
      <c r="AF67" s="194" t="e">
        <v>#DIV/0!</v>
      </c>
      <c r="AG67" s="194"/>
      <c r="AH67" s="194" t="e">
        <v>#DIV/0!</v>
      </c>
      <c r="AI67" s="194"/>
      <c r="AJ67" s="194" t="e">
        <v>#DIV/0!</v>
      </c>
      <c r="AK67" s="194"/>
      <c r="AL67" s="194" t="e">
        <v>#DIV/0!</v>
      </c>
      <c r="AM67" s="194"/>
      <c r="AN67" s="194" t="e">
        <v>#DIV/0!</v>
      </c>
      <c r="AO67" s="194"/>
      <c r="AP67" s="194" t="e">
        <v>#DIV/0!</v>
      </c>
      <c r="AQ67" s="194"/>
      <c r="AR67" s="194" t="e">
        <v>#DIV/0!</v>
      </c>
      <c r="AS67" s="194"/>
      <c r="AT67" s="194" t="e">
        <v>#DIV/0!</v>
      </c>
      <c r="AU67" s="194"/>
      <c r="AV67" s="194" t="e">
        <v>#DIV/0!</v>
      </c>
      <c r="XFD67" s="194"/>
    </row>
    <row r="68" spans="1:48 16384:16384" x14ac:dyDescent="0.2">
      <c r="A68" t="s">
        <v>184</v>
      </c>
      <c r="B68" s="194">
        <v>1</v>
      </c>
      <c r="C68" s="194"/>
      <c r="D68" s="194">
        <v>0.99737453802410503</v>
      </c>
      <c r="E68" s="194"/>
      <c r="F68" s="194">
        <v>0.99479160283631141</v>
      </c>
      <c r="G68" s="194"/>
      <c r="H68" s="194">
        <v>0.9922618778011334</v>
      </c>
      <c r="I68" s="194"/>
      <c r="J68" s="194">
        <v>0.98980134979463541</v>
      </c>
      <c r="K68" s="194"/>
      <c r="L68" s="194">
        <v>0.98743394436022813</v>
      </c>
      <c r="M68" s="194"/>
      <c r="N68" s="194">
        <v>0.98519540562262653</v>
      </c>
      <c r="O68" s="194"/>
      <c r="P68" s="194">
        <v>0.98313949619726759</v>
      </c>
      <c r="Q68" s="194"/>
      <c r="R68" s="194">
        <v>0.98134775113842532</v>
      </c>
      <c r="S68" s="194"/>
      <c r="T68" s="194" t="e">
        <v>#DIV/0!</v>
      </c>
      <c r="U68" s="194"/>
      <c r="V68" s="194" t="e">
        <v>#DIV/0!</v>
      </c>
      <c r="W68" s="194"/>
      <c r="X68" s="194" t="e">
        <v>#DIV/0!</v>
      </c>
      <c r="Y68" s="194"/>
      <c r="Z68" s="194" t="e">
        <v>#DIV/0!</v>
      </c>
      <c r="AA68" s="194"/>
      <c r="AB68" s="194" t="e">
        <v>#DIV/0!</v>
      </c>
      <c r="AC68" s="194"/>
      <c r="AD68" s="194" t="e">
        <v>#DIV/0!</v>
      </c>
      <c r="AE68" s="194"/>
      <c r="AF68" s="194" t="e">
        <v>#DIV/0!</v>
      </c>
      <c r="AG68" s="194"/>
      <c r="AH68" s="194" t="e">
        <v>#DIV/0!</v>
      </c>
      <c r="AI68" s="194"/>
      <c r="AJ68" s="194" t="e">
        <v>#DIV/0!</v>
      </c>
      <c r="AK68" s="194"/>
      <c r="AL68" s="194" t="e">
        <v>#DIV/0!</v>
      </c>
      <c r="AM68" s="194"/>
      <c r="AN68" s="194" t="e">
        <v>#DIV/0!</v>
      </c>
      <c r="AO68" s="194"/>
      <c r="AP68" s="194" t="e">
        <v>#DIV/0!</v>
      </c>
      <c r="AQ68" s="194"/>
      <c r="AR68" s="194" t="e">
        <v>#DIV/0!</v>
      </c>
      <c r="AS68" s="194"/>
      <c r="AT68" s="194" t="e">
        <v>#DIV/0!</v>
      </c>
      <c r="AU68" s="194"/>
      <c r="AV68" s="194" t="e">
        <v>#DIV/0!</v>
      </c>
      <c r="XFD68" s="194"/>
    </row>
    <row r="69" spans="1:48 16384:16384" x14ac:dyDescent="0.2">
      <c r="A69" t="s">
        <v>180</v>
      </c>
      <c r="B69" s="194">
        <v>1</v>
      </c>
      <c r="C69" s="194"/>
      <c r="D69" s="194">
        <v>1.0003961175095835</v>
      </c>
      <c r="E69" s="194"/>
      <c r="F69" s="194">
        <v>1.0006737003046557</v>
      </c>
      <c r="G69" s="194"/>
      <c r="H69" s="194">
        <v>1.0008220703874982</v>
      </c>
      <c r="I69" s="194"/>
      <c r="J69" s="194">
        <v>1.0008293067842828</v>
      </c>
      <c r="K69" s="194"/>
      <c r="L69" s="194">
        <v>1.0006824359982571</v>
      </c>
      <c r="M69" s="194"/>
      <c r="N69" s="194">
        <v>1.0003673897198335</v>
      </c>
      <c r="O69" s="194"/>
      <c r="P69" s="194">
        <v>0.9998694372302348</v>
      </c>
      <c r="Q69" s="194"/>
      <c r="R69" s="194">
        <v>0.99917399270666263</v>
      </c>
      <c r="S69" s="194"/>
      <c r="T69" s="194" t="e">
        <v>#DIV/0!</v>
      </c>
      <c r="U69" s="194"/>
      <c r="V69" s="194" t="e">
        <v>#DIV/0!</v>
      </c>
      <c r="W69" s="194"/>
      <c r="X69" s="194" t="e">
        <v>#DIV/0!</v>
      </c>
      <c r="Y69" s="194"/>
      <c r="Z69" s="194" t="e">
        <v>#DIV/0!</v>
      </c>
      <c r="AA69" s="194"/>
      <c r="AB69" s="194" t="e">
        <v>#DIV/0!</v>
      </c>
      <c r="AC69" s="194"/>
      <c r="AD69" s="194" t="e">
        <v>#DIV/0!</v>
      </c>
      <c r="AE69" s="194"/>
      <c r="AF69" s="194" t="e">
        <v>#DIV/0!</v>
      </c>
      <c r="AG69" s="194"/>
      <c r="AH69" s="194" t="e">
        <v>#DIV/0!</v>
      </c>
      <c r="AI69" s="194"/>
      <c r="AJ69" s="194" t="e">
        <v>#DIV/0!</v>
      </c>
      <c r="AK69" s="194"/>
      <c r="AL69" s="194" t="e">
        <v>#DIV/0!</v>
      </c>
      <c r="AM69" s="194"/>
      <c r="AN69" s="194" t="e">
        <v>#DIV/0!</v>
      </c>
      <c r="AO69" s="194"/>
      <c r="AP69" s="194" t="e">
        <v>#DIV/0!</v>
      </c>
      <c r="AQ69" s="194"/>
      <c r="AR69" s="194" t="e">
        <v>#DIV/0!</v>
      </c>
      <c r="AS69" s="194"/>
      <c r="AT69" s="194" t="e">
        <v>#DIV/0!</v>
      </c>
      <c r="AU69" s="194"/>
      <c r="AV69" s="194" t="e">
        <v>#DIV/0!</v>
      </c>
    </row>
    <row r="70" spans="1:48 16384:16384" x14ac:dyDescent="0.2">
      <c r="A70" t="s">
        <v>181</v>
      </c>
      <c r="B70" s="141">
        <v>1</v>
      </c>
      <c r="C70" s="141"/>
      <c r="D70" s="141">
        <v>1.0009426985821117</v>
      </c>
      <c r="E70" s="141"/>
      <c r="F70" s="141">
        <v>1.0017065494981672</v>
      </c>
      <c r="G70" s="141"/>
      <c r="H70" s="141">
        <v>1.0022628056410621</v>
      </c>
      <c r="I70" s="141"/>
      <c r="J70" s="141">
        <v>1.0025744441958693</v>
      </c>
      <c r="K70" s="141"/>
      <c r="L70" s="141">
        <v>1.0025930130653131</v>
      </c>
      <c r="M70" s="141"/>
      <c r="N70" s="141">
        <v>1.0022537021621674</v>
      </c>
      <c r="O70" s="141"/>
      <c r="P70" s="141">
        <v>1.0014680295841587</v>
      </c>
      <c r="Q70" s="141"/>
      <c r="R70" s="141">
        <v>1.0001125739643659</v>
      </c>
      <c r="S70" s="141"/>
      <c r="T70" s="141">
        <v>0</v>
      </c>
      <c r="U70" s="141"/>
      <c r="V70" s="141">
        <v>0</v>
      </c>
      <c r="W70" s="141"/>
      <c r="X70" s="141">
        <v>0</v>
      </c>
      <c r="Y70" s="141"/>
      <c r="Z70" s="141">
        <v>0</v>
      </c>
      <c r="AA70" s="141"/>
      <c r="AB70" s="141">
        <v>0</v>
      </c>
      <c r="AC70" s="141"/>
      <c r="AD70" s="141">
        <v>0</v>
      </c>
      <c r="AE70" s="141"/>
      <c r="AF70" s="141">
        <v>0</v>
      </c>
      <c r="AG70" s="141"/>
      <c r="AH70" s="141">
        <v>0</v>
      </c>
      <c r="AI70" s="141"/>
      <c r="AJ70" s="141">
        <v>0</v>
      </c>
      <c r="AK70" s="141"/>
      <c r="AL70" s="141">
        <v>0</v>
      </c>
      <c r="AM70" s="141"/>
      <c r="AN70" s="141">
        <v>0</v>
      </c>
      <c r="AO70" s="141"/>
      <c r="AP70" s="141">
        <v>0</v>
      </c>
      <c r="AQ70" s="141"/>
      <c r="AR70" s="141">
        <v>0</v>
      </c>
      <c r="AS70" s="141"/>
      <c r="AT70" s="141">
        <v>0</v>
      </c>
      <c r="AU70" s="141"/>
      <c r="AV70" s="141">
        <v>0</v>
      </c>
    </row>
    <row r="71" spans="1:48 16384:16384" x14ac:dyDescent="0.2">
      <c r="A71" t="s">
        <v>182</v>
      </c>
      <c r="B71" s="141">
        <v>1</v>
      </c>
      <c r="D71" s="141">
        <v>0.89877906510279126</v>
      </c>
      <c r="E71" s="141"/>
      <c r="F71" s="141">
        <v>0.79970807028530833</v>
      </c>
      <c r="G71" s="141"/>
      <c r="H71" s="141">
        <v>0.70308207806919532</v>
      </c>
      <c r="I71" s="141"/>
      <c r="J71" s="141">
        <v>0.60927004857643485</v>
      </c>
      <c r="K71" s="141"/>
      <c r="L71" s="141">
        <v>0.51873526602360509</v>
      </c>
      <c r="M71" s="141"/>
      <c r="N71" s="141">
        <v>0.43206875169154146</v>
      </c>
      <c r="O71" s="141"/>
      <c r="P71" s="141">
        <v>0.35002855541135752</v>
      </c>
      <c r="Q71" s="141"/>
      <c r="R71" s="141">
        <v>0.27358807516031802</v>
      </c>
      <c r="S71" s="141"/>
      <c r="T71" s="141">
        <v>0</v>
      </c>
      <c r="U71" s="141"/>
      <c r="V71" s="141">
        <v>0</v>
      </c>
      <c r="W71" s="141"/>
      <c r="X71" s="141">
        <v>0</v>
      </c>
      <c r="Y71" s="141"/>
      <c r="Z71" s="141">
        <v>0</v>
      </c>
      <c r="AA71" s="141"/>
      <c r="AB71" s="141">
        <v>0</v>
      </c>
      <c r="AC71" s="141"/>
      <c r="AD71" s="141">
        <v>0</v>
      </c>
      <c r="AE71" s="141"/>
      <c r="AF71" s="141">
        <v>0</v>
      </c>
      <c r="AG71" s="141"/>
      <c r="AH71" s="141">
        <v>0</v>
      </c>
      <c r="AI71" s="141"/>
      <c r="AJ71" s="141">
        <v>0</v>
      </c>
      <c r="AK71" s="141"/>
      <c r="AL71" s="141">
        <v>0</v>
      </c>
      <c r="AM71" s="141"/>
      <c r="AN71" s="141">
        <v>0</v>
      </c>
      <c r="AO71" s="141"/>
      <c r="AP71" s="141">
        <v>0</v>
      </c>
      <c r="AQ71" s="141"/>
      <c r="AR71" s="141">
        <v>0</v>
      </c>
      <c r="AS71" s="141"/>
      <c r="AT71" s="141">
        <v>0</v>
      </c>
      <c r="AU71" s="141"/>
      <c r="AV71" s="141">
        <v>0</v>
      </c>
      <c r="XFD71" s="141"/>
    </row>
    <row r="72" spans="1:48 16384:16384" x14ac:dyDescent="0.2">
      <c r="A72" t="s">
        <v>183</v>
      </c>
      <c r="B72" s="141">
        <v>1</v>
      </c>
      <c r="D72" s="141">
        <v>1.0318693509275507</v>
      </c>
      <c r="E72" s="141"/>
      <c r="F72" s="141">
        <v>1.0647173609003728</v>
      </c>
      <c r="G72" s="141"/>
      <c r="H72" s="141">
        <v>1.0982804011108662</v>
      </c>
      <c r="I72" s="141"/>
      <c r="J72" s="141">
        <v>1.1321661150660678</v>
      </c>
      <c r="K72" s="141"/>
      <c r="L72" s="141">
        <v>1.1657934960758114</v>
      </c>
      <c r="M72" s="141"/>
      <c r="N72" s="141">
        <v>1.1983038628879945</v>
      </c>
      <c r="O72" s="141"/>
      <c r="P72" s="141">
        <v>1.2284204381959631</v>
      </c>
      <c r="Q72" s="141"/>
      <c r="R72" s="141">
        <v>1.2542318388560365</v>
      </c>
      <c r="S72" s="141"/>
      <c r="T72" s="141">
        <v>0</v>
      </c>
      <c r="U72" s="141"/>
      <c r="V72" s="141">
        <v>0</v>
      </c>
      <c r="W72" s="141"/>
      <c r="X72" s="141">
        <v>0</v>
      </c>
      <c r="Y72" s="141"/>
      <c r="Z72" s="141">
        <v>0</v>
      </c>
      <c r="AA72" s="141"/>
      <c r="AB72" s="141">
        <v>0</v>
      </c>
      <c r="AC72" s="141"/>
      <c r="AD72" s="141">
        <v>0</v>
      </c>
      <c r="AE72" s="141"/>
      <c r="AF72" s="141">
        <v>0</v>
      </c>
      <c r="AG72" s="141"/>
      <c r="AH72" s="141">
        <v>0</v>
      </c>
      <c r="AI72" s="141"/>
      <c r="AJ72" s="141">
        <v>0</v>
      </c>
      <c r="AK72" s="141"/>
      <c r="AL72" s="141">
        <v>0</v>
      </c>
      <c r="AM72" s="141"/>
      <c r="AN72" s="141">
        <v>0</v>
      </c>
      <c r="AO72" s="141"/>
      <c r="AP72" s="141">
        <v>0</v>
      </c>
      <c r="AQ72" s="141"/>
      <c r="AR72" s="141">
        <v>0</v>
      </c>
      <c r="AS72" s="141"/>
      <c r="AT72" s="141">
        <v>0</v>
      </c>
      <c r="AU72" s="141"/>
      <c r="AV72" s="141">
        <v>0</v>
      </c>
      <c r="XFD72" s="141"/>
    </row>
    <row r="73" spans="1:48 16384:16384" x14ac:dyDescent="0.2">
      <c r="A73" t="s">
        <v>187</v>
      </c>
      <c r="B73" s="196">
        <v>0.56706723273486048</v>
      </c>
      <c r="D73" s="196">
        <v>0.56706723375431256</v>
      </c>
      <c r="E73" s="141"/>
      <c r="F73" s="196">
        <v>0.56706723445446217</v>
      </c>
      <c r="G73" s="141"/>
      <c r="H73" s="196">
        <v>0.56706723568914619</v>
      </c>
      <c r="I73" s="141"/>
      <c r="J73" s="196">
        <v>0.56706723189439134</v>
      </c>
      <c r="K73" s="141"/>
      <c r="L73" s="196">
        <v>0.56706723163006434</v>
      </c>
      <c r="M73" s="141"/>
      <c r="N73" s="196">
        <v>0.56706723594745589</v>
      </c>
      <c r="O73" s="141"/>
      <c r="P73" s="196">
        <v>0.56706722851309843</v>
      </c>
      <c r="Q73" s="141"/>
      <c r="R73" s="196">
        <v>0.56706723341842047</v>
      </c>
      <c r="S73" s="141"/>
      <c r="T73" s="196" t="e">
        <v>#DIV/0!</v>
      </c>
      <c r="U73" s="141"/>
      <c r="V73" s="196" t="e">
        <v>#DIV/0!</v>
      </c>
      <c r="W73" s="141"/>
      <c r="X73" s="196" t="e">
        <v>#DIV/0!</v>
      </c>
      <c r="Y73" s="141"/>
      <c r="Z73" s="196" t="e">
        <v>#DIV/0!</v>
      </c>
      <c r="AA73" s="141"/>
      <c r="AB73" s="196" t="e">
        <v>#DIV/0!</v>
      </c>
      <c r="AC73" s="141"/>
      <c r="AD73" s="196" t="e">
        <v>#DIV/0!</v>
      </c>
      <c r="AE73" s="141"/>
      <c r="AF73" s="196" t="e">
        <v>#DIV/0!</v>
      </c>
      <c r="AG73" s="141"/>
      <c r="AH73" s="196" t="e">
        <v>#DIV/0!</v>
      </c>
      <c r="AI73" s="141"/>
      <c r="AJ73" s="196" t="e">
        <v>#DIV/0!</v>
      </c>
      <c r="AK73" s="141"/>
      <c r="AL73" s="196" t="e">
        <v>#DIV/0!</v>
      </c>
      <c r="AM73" s="141"/>
      <c r="AN73" s="196" t="e">
        <v>#DIV/0!</v>
      </c>
      <c r="AO73" s="141"/>
      <c r="AP73" s="196" t="e">
        <v>#DIV/0!</v>
      </c>
      <c r="AQ73" s="141"/>
      <c r="AR73" s="196" t="e">
        <v>#DIV/0!</v>
      </c>
      <c r="AS73" s="141"/>
      <c r="AT73" s="196" t="e">
        <v>#DIV/0!</v>
      </c>
      <c r="AU73" s="141"/>
      <c r="AV73" s="196" t="e">
        <v>#DIV/0!</v>
      </c>
      <c r="XFD73" s="196"/>
    </row>
    <row r="74" spans="1:48 16384:16384" x14ac:dyDescent="0.2">
      <c r="A74" t="s">
        <v>188</v>
      </c>
      <c r="B74" s="196">
        <v>0.21672767296897655</v>
      </c>
      <c r="D74" s="196">
        <v>0.21672767296897658</v>
      </c>
      <c r="E74" s="141"/>
      <c r="F74" s="196">
        <v>0.21672767296897655</v>
      </c>
      <c r="G74" s="141"/>
      <c r="H74" s="196">
        <v>0.21672767296897658</v>
      </c>
      <c r="I74" s="141"/>
      <c r="J74" s="196">
        <v>0.21672767296897658</v>
      </c>
      <c r="K74" s="141"/>
      <c r="L74" s="196">
        <v>0.21672767296897655</v>
      </c>
      <c r="M74" s="141"/>
      <c r="N74" s="196">
        <v>0.21672767296897658</v>
      </c>
      <c r="O74" s="141"/>
      <c r="P74" s="196">
        <v>0.21672767296897655</v>
      </c>
      <c r="Q74" s="141"/>
      <c r="R74" s="196">
        <v>0.21672767296897658</v>
      </c>
      <c r="S74" s="141"/>
      <c r="T74" s="196" t="e">
        <v>#DIV/0!</v>
      </c>
      <c r="U74" s="141"/>
      <c r="V74" s="196" t="e">
        <v>#DIV/0!</v>
      </c>
      <c r="W74" s="141"/>
      <c r="X74" s="196" t="e">
        <v>#DIV/0!</v>
      </c>
      <c r="Y74" s="141"/>
      <c r="Z74" s="196" t="e">
        <v>#DIV/0!</v>
      </c>
      <c r="AA74" s="141"/>
      <c r="AB74" s="196" t="e">
        <v>#DIV/0!</v>
      </c>
      <c r="AC74" s="141"/>
      <c r="AD74" s="196" t="e">
        <v>#DIV/0!</v>
      </c>
      <c r="AE74" s="141"/>
      <c r="AF74" s="196" t="e">
        <v>#DIV/0!</v>
      </c>
      <c r="AG74" s="141"/>
      <c r="AH74" s="196" t="e">
        <v>#DIV/0!</v>
      </c>
      <c r="AI74" s="141"/>
      <c r="AJ74" s="196" t="e">
        <v>#DIV/0!</v>
      </c>
      <c r="AK74" s="141"/>
      <c r="AL74" s="196" t="e">
        <v>#DIV/0!</v>
      </c>
      <c r="AM74" s="141"/>
      <c r="AN74" s="196" t="e">
        <v>#DIV/0!</v>
      </c>
      <c r="AO74" s="141"/>
      <c r="AP74" s="196" t="e">
        <v>#DIV/0!</v>
      </c>
      <c r="AQ74" s="141"/>
      <c r="AR74" s="196" t="e">
        <v>#DIV/0!</v>
      </c>
      <c r="AS74" s="141"/>
      <c r="AT74" s="196" t="e">
        <v>#DIV/0!</v>
      </c>
      <c r="AU74" s="141"/>
      <c r="AV74" s="196" t="e">
        <v>#DIV/0!</v>
      </c>
      <c r="XFD74" s="196"/>
    </row>
    <row r="75" spans="1:48 16384:16384" x14ac:dyDescent="0.2">
      <c r="A75" t="s">
        <v>189</v>
      </c>
      <c r="B75" s="196">
        <v>0.20445380142857192</v>
      </c>
      <c r="D75" s="196">
        <v>0.2044538013719768</v>
      </c>
      <c r="E75" s="141"/>
      <c r="F75" s="196">
        <v>0.20445380135220637</v>
      </c>
      <c r="G75" s="141"/>
      <c r="H75" s="196">
        <v>0.20445380132478844</v>
      </c>
      <c r="I75" s="141"/>
      <c r="J75" s="196">
        <v>0.20445380145058237</v>
      </c>
      <c r="K75" s="141"/>
      <c r="L75" s="196">
        <v>0.20445380145313086</v>
      </c>
      <c r="M75" s="141"/>
      <c r="N75" s="196">
        <v>0.20445380142641092</v>
      </c>
      <c r="O75" s="141"/>
      <c r="P75" s="196">
        <v>0.20445380149291964</v>
      </c>
      <c r="Q75" s="141"/>
      <c r="R75" s="196">
        <v>0.20445380142392094</v>
      </c>
      <c r="S75" s="141"/>
      <c r="T75" s="196" t="e">
        <v>#DIV/0!</v>
      </c>
      <c r="U75" s="141"/>
      <c r="V75" s="196" t="e">
        <v>#DIV/0!</v>
      </c>
      <c r="W75" s="141"/>
      <c r="X75" s="196" t="e">
        <v>#DIV/0!</v>
      </c>
      <c r="Y75" s="141"/>
      <c r="Z75" s="196" t="e">
        <v>#DIV/0!</v>
      </c>
      <c r="AA75" s="141"/>
      <c r="AB75" s="196" t="e">
        <v>#DIV/0!</v>
      </c>
      <c r="AC75" s="141"/>
      <c r="AD75" s="196" t="e">
        <v>#DIV/0!</v>
      </c>
      <c r="AE75" s="141"/>
      <c r="AF75" s="196" t="e">
        <v>#DIV/0!</v>
      </c>
      <c r="AG75" s="141"/>
      <c r="AH75" s="196" t="e">
        <v>#DIV/0!</v>
      </c>
      <c r="AI75" s="141"/>
      <c r="AJ75" s="196" t="e">
        <v>#DIV/0!</v>
      </c>
      <c r="AK75" s="141"/>
      <c r="AL75" s="196" t="e">
        <v>#DIV/0!</v>
      </c>
      <c r="AM75" s="141"/>
      <c r="AN75" s="196" t="e">
        <v>#DIV/0!</v>
      </c>
      <c r="AO75" s="141"/>
      <c r="AP75" s="196" t="e">
        <v>#DIV/0!</v>
      </c>
      <c r="AQ75" s="141"/>
      <c r="AR75" s="196" t="e">
        <v>#DIV/0!</v>
      </c>
      <c r="AS75" s="141"/>
      <c r="AT75" s="196" t="e">
        <v>#DIV/0!</v>
      </c>
      <c r="AU75" s="141"/>
      <c r="AV75" s="196" t="e">
        <v>#DIV/0!</v>
      </c>
      <c r="XFD75" s="196"/>
    </row>
    <row r="76" spans="1:48 16384:16384" x14ac:dyDescent="0.2">
      <c r="A76" t="s">
        <v>190</v>
      </c>
      <c r="B76" s="196">
        <v>0.20231859885161138</v>
      </c>
      <c r="D76" s="196">
        <v>0.20312449151012635</v>
      </c>
      <c r="E76" s="141"/>
      <c r="F76" s="196">
        <v>0.2039759099191909</v>
      </c>
      <c r="G76" s="141"/>
      <c r="H76" s="196">
        <v>0.20486311478288918</v>
      </c>
      <c r="I76" s="141"/>
      <c r="J76" s="196">
        <v>0.205771322967957</v>
      </c>
      <c r="K76" s="141"/>
      <c r="L76" s="196">
        <v>0.20667824713342939</v>
      </c>
      <c r="M76" s="141"/>
      <c r="N76" s="196">
        <v>0.20755048675957796</v>
      </c>
      <c r="O76" s="141"/>
      <c r="P76" s="196">
        <v>0.20833778275974399</v>
      </c>
      <c r="Q76" s="141"/>
      <c r="R76" s="196">
        <v>0.20896406853700289</v>
      </c>
      <c r="S76" s="141"/>
      <c r="T76" s="196" t="e">
        <v>#DIV/0!</v>
      </c>
      <c r="U76" s="141"/>
      <c r="V76" s="196" t="e">
        <v>#DIV/0!</v>
      </c>
      <c r="W76" s="141"/>
      <c r="X76" s="196" t="e">
        <v>#DIV/0!</v>
      </c>
      <c r="Y76" s="141"/>
      <c r="Z76" s="196" t="e">
        <v>#DIV/0!</v>
      </c>
      <c r="AA76" s="141"/>
      <c r="AB76" s="196" t="e">
        <v>#DIV/0!</v>
      </c>
      <c r="AC76" s="141"/>
      <c r="AD76" s="196" t="e">
        <v>#DIV/0!</v>
      </c>
      <c r="AE76" s="141"/>
      <c r="AF76" s="196" t="e">
        <v>#DIV/0!</v>
      </c>
      <c r="AG76" s="141"/>
      <c r="AH76" s="196" t="e">
        <v>#DIV/0!</v>
      </c>
      <c r="AI76" s="141"/>
      <c r="AJ76" s="196" t="e">
        <v>#DIV/0!</v>
      </c>
      <c r="AK76" s="141"/>
      <c r="AL76" s="196" t="e">
        <v>#DIV/0!</v>
      </c>
      <c r="AM76" s="141"/>
      <c r="AN76" s="196" t="e">
        <v>#DIV/0!</v>
      </c>
      <c r="AO76" s="141"/>
      <c r="AP76" s="196" t="e">
        <v>#DIV/0!</v>
      </c>
      <c r="AQ76" s="141"/>
      <c r="AR76" s="196" t="e">
        <v>#DIV/0!</v>
      </c>
      <c r="AS76" s="141"/>
      <c r="AT76" s="196" t="e">
        <v>#DIV/0!</v>
      </c>
      <c r="AU76" s="141"/>
      <c r="AV76" s="196" t="e">
        <v>#DIV/0!</v>
      </c>
      <c r="XFD76" s="196"/>
    </row>
    <row r="77" spans="1:48 16384:16384" x14ac:dyDescent="0.2">
      <c r="A77" t="s">
        <v>191</v>
      </c>
      <c r="B77" s="196">
        <v>0.19056730598402033</v>
      </c>
      <c r="D77" s="196">
        <v>0.19137319960539226</v>
      </c>
      <c r="E77" s="141"/>
      <c r="F77" s="196">
        <v>0.19222461869483612</v>
      </c>
      <c r="G77" s="141"/>
      <c r="H77" s="196">
        <v>0.19311182476580047</v>
      </c>
      <c r="I77" s="141"/>
      <c r="J77" s="196">
        <v>0.19402002928190737</v>
      </c>
      <c r="K77" s="141"/>
      <c r="L77" s="196">
        <v>0.1949269531856013</v>
      </c>
      <c r="M77" s="141"/>
      <c r="N77" s="196">
        <v>0.1957991971024215</v>
      </c>
      <c r="O77" s="141"/>
      <c r="P77" s="196">
        <v>0.19658648573473864</v>
      </c>
      <c r="Q77" s="141"/>
      <c r="R77" s="196">
        <v>0.19721277634832082</v>
      </c>
      <c r="S77" s="141"/>
      <c r="T77" s="196" t="e">
        <v>#DIV/0!</v>
      </c>
      <c r="U77" s="141"/>
      <c r="V77" s="196" t="e">
        <v>#DIV/0!</v>
      </c>
      <c r="W77" s="141"/>
      <c r="X77" s="196" t="e">
        <v>#DIV/0!</v>
      </c>
      <c r="Y77" s="141"/>
      <c r="Z77" s="196" t="e">
        <v>#DIV/0!</v>
      </c>
      <c r="AA77" s="141"/>
      <c r="AB77" s="196" t="e">
        <v>#DIV/0!</v>
      </c>
      <c r="AC77" s="141"/>
      <c r="AD77" s="196" t="e">
        <v>#DIV/0!</v>
      </c>
      <c r="AE77" s="141"/>
      <c r="AF77" s="196" t="e">
        <v>#DIV/0!</v>
      </c>
      <c r="AG77" s="141"/>
      <c r="AH77" s="196" t="e">
        <v>#DIV/0!</v>
      </c>
      <c r="AI77" s="141"/>
      <c r="AJ77" s="196" t="e">
        <v>#DIV/0!</v>
      </c>
      <c r="AK77" s="141"/>
      <c r="AL77" s="196" t="e">
        <v>#DIV/0!</v>
      </c>
      <c r="AM77" s="141"/>
      <c r="AN77" s="196" t="e">
        <v>#DIV/0!</v>
      </c>
      <c r="AO77" s="141"/>
      <c r="AP77" s="196" t="e">
        <v>#DIV/0!</v>
      </c>
      <c r="AQ77" s="141"/>
      <c r="AR77" s="196" t="e">
        <v>#DIV/0!</v>
      </c>
      <c r="AS77" s="141"/>
      <c r="AT77" s="196" t="e">
        <v>#DIV/0!</v>
      </c>
      <c r="AU77" s="141"/>
      <c r="AV77" s="196" t="e">
        <v>#DIV/0!</v>
      </c>
      <c r="XFD77" s="196"/>
    </row>
    <row r="78" spans="1:48 16384:16384" x14ac:dyDescent="0.2">
      <c r="A78" t="s">
        <v>192</v>
      </c>
      <c r="B78" s="196">
        <v>0.27666372811889955</v>
      </c>
      <c r="D78" s="196">
        <v>0.25650627603883852</v>
      </c>
      <c r="E78" s="141"/>
      <c r="F78" s="196">
        <v>0.23432538194798089</v>
      </c>
      <c r="G78" s="141"/>
      <c r="H78" s="196">
        <v>0.20974763986197528</v>
      </c>
      <c r="I78" s="141"/>
      <c r="J78" s="196">
        <v>0.18228620119883016</v>
      </c>
      <c r="K78" s="141"/>
      <c r="L78" s="196">
        <v>0.15129293538123639</v>
      </c>
      <c r="M78" s="141"/>
      <c r="N78" s="196">
        <v>0.1158856008904337</v>
      </c>
      <c r="O78" s="141"/>
      <c r="P78" s="196">
        <v>7.483557274563607E-2</v>
      </c>
      <c r="Q78" s="141"/>
      <c r="R78" s="196">
        <v>2.6392215709478389E-2</v>
      </c>
      <c r="S78" s="141"/>
      <c r="T78" s="196" t="e">
        <v>#DIV/0!</v>
      </c>
      <c r="U78" s="141"/>
      <c r="V78" s="196" t="e">
        <v>#DIV/0!</v>
      </c>
      <c r="W78" s="141"/>
      <c r="X78" s="196" t="e">
        <v>#DIV/0!</v>
      </c>
      <c r="Y78" s="141"/>
      <c r="Z78" s="196" t="e">
        <v>#DIV/0!</v>
      </c>
      <c r="AA78" s="141"/>
      <c r="AB78" s="196" t="e">
        <v>#DIV/0!</v>
      </c>
      <c r="AC78" s="141"/>
      <c r="AD78" s="196" t="e">
        <v>#DIV/0!</v>
      </c>
      <c r="AE78" s="141"/>
      <c r="AF78" s="196" t="e">
        <v>#DIV/0!</v>
      </c>
      <c r="AG78" s="141"/>
      <c r="AH78" s="196" t="e">
        <v>#DIV/0!</v>
      </c>
      <c r="AI78" s="141"/>
      <c r="AJ78" s="196" t="e">
        <v>#DIV/0!</v>
      </c>
      <c r="AK78" s="141"/>
      <c r="AL78" s="196" t="e">
        <v>#DIV/0!</v>
      </c>
      <c r="AM78" s="141"/>
      <c r="AN78" s="196" t="e">
        <v>#DIV/0!</v>
      </c>
      <c r="AO78" s="141"/>
      <c r="AP78" s="196" t="e">
        <v>#DIV/0!</v>
      </c>
      <c r="AQ78" s="141"/>
      <c r="AR78" s="196" t="e">
        <v>#DIV/0!</v>
      </c>
      <c r="AS78" s="141"/>
      <c r="AT78" s="196" t="e">
        <v>#DIV/0!</v>
      </c>
      <c r="AU78" s="141"/>
      <c r="AV78" s="196" t="e">
        <v>#DIV/0!</v>
      </c>
      <c r="XFD78" s="196"/>
    </row>
    <row r="79" spans="1:48 16384:16384" x14ac:dyDescent="0.2">
      <c r="A79" t="s">
        <v>193</v>
      </c>
      <c r="B79" s="196">
        <v>0.42990307543833983</v>
      </c>
      <c r="D79" s="196">
        <v>0.45974344956432944</v>
      </c>
      <c r="F79" s="196">
        <v>0.492579258214767</v>
      </c>
      <c r="H79" s="196">
        <v>0.52896327454896652</v>
      </c>
      <c r="J79" s="196">
        <v>0.56961622923827704</v>
      </c>
      <c r="L79" s="196">
        <v>0.61549756383587328</v>
      </c>
      <c r="N79" s="196">
        <v>0.66791332473987097</v>
      </c>
      <c r="P79" s="196">
        <v>0.72868234258956632</v>
      </c>
      <c r="R79" s="196">
        <v>0.80039616781948286</v>
      </c>
      <c r="T79" s="196" t="e">
        <v>#DIV/0!</v>
      </c>
      <c r="V79" s="196" t="e">
        <v>#DIV/0!</v>
      </c>
      <c r="X79" s="196" t="e">
        <v>#DIV/0!</v>
      </c>
      <c r="Z79" s="196" t="e">
        <v>#DIV/0!</v>
      </c>
      <c r="AB79" s="196" t="e">
        <v>#DIV/0!</v>
      </c>
      <c r="AD79" s="196" t="e">
        <v>#DIV/0!</v>
      </c>
      <c r="AF79" s="196" t="e">
        <v>#DIV/0!</v>
      </c>
      <c r="AH79" s="196" t="e">
        <v>#DIV/0!</v>
      </c>
      <c r="AJ79" s="196" t="e">
        <v>#DIV/0!</v>
      </c>
      <c r="AL79" s="196" t="e">
        <v>#DIV/0!</v>
      </c>
      <c r="AN79" s="196" t="e">
        <v>#DIV/0!</v>
      </c>
      <c r="AP79" s="196" t="e">
        <v>#DIV/0!</v>
      </c>
      <c r="AR79" s="196" t="e">
        <v>#DIV/0!</v>
      </c>
      <c r="AT79" s="196" t="e">
        <v>#DIV/0!</v>
      </c>
      <c r="AV79" s="196" t="e">
        <v>#DIV/0!</v>
      </c>
      <c r="XFD79" s="196"/>
    </row>
    <row r="80" spans="1:48 16384:16384" x14ac:dyDescent="0.2">
      <c r="A80" t="s">
        <v>172</v>
      </c>
      <c r="B80" s="239">
        <v>0.29343319644276039</v>
      </c>
      <c r="D80" s="239">
        <v>0.2837502711755775</v>
      </c>
      <c r="F80" s="239">
        <v>0.27309535495893406</v>
      </c>
      <c r="H80" s="239">
        <v>0.26128907802290374</v>
      </c>
      <c r="J80" s="239">
        <v>0.24809757194602775</v>
      </c>
      <c r="L80" s="239">
        <v>0.23320950384033934</v>
      </c>
      <c r="N80" s="239">
        <v>0.2162010739329607</v>
      </c>
      <c r="P80" s="239">
        <v>0.19648209653468252</v>
      </c>
      <c r="R80" s="239">
        <v>0.17321161529578577</v>
      </c>
      <c r="T80" s="239" t="e">
        <v>#DIV/0!</v>
      </c>
      <c r="V80" s="239" t="e">
        <v>#DIV/0!</v>
      </c>
      <c r="X80" s="239" t="e">
        <v>#DIV/0!</v>
      </c>
      <c r="Z80" s="239" t="e">
        <v>#DIV/0!</v>
      </c>
      <c r="AB80" s="239" t="e">
        <v>#DIV/0!</v>
      </c>
      <c r="AD80" s="239" t="e">
        <v>#DIV/0!</v>
      </c>
      <c r="AF80" s="239" t="e">
        <v>#DIV/0!</v>
      </c>
      <c r="AH80" s="239" t="e">
        <v>#DIV/0!</v>
      </c>
      <c r="AJ80" s="239" t="e">
        <v>#DIV/0!</v>
      </c>
      <c r="AL80" s="239" t="e">
        <v>#DIV/0!</v>
      </c>
      <c r="AN80" s="239" t="e">
        <v>#DIV/0!</v>
      </c>
      <c r="AP80" s="239" t="e">
        <v>#DIV/0!</v>
      </c>
      <c r="AR80" s="239" t="e">
        <v>#DIV/0!</v>
      </c>
      <c r="AT80" s="239" t="e">
        <v>#DIV/0!</v>
      </c>
      <c r="AV80" s="239" t="e">
        <v>#DIV/0!</v>
      </c>
      <c r="XFD80" s="239"/>
    </row>
    <row r="81" spans="1:48 16384:16384" x14ac:dyDescent="0.2">
      <c r="A81" t="s">
        <v>194</v>
      </c>
      <c r="B81" s="239">
        <v>7.6705523473783829E-2</v>
      </c>
      <c r="D81" s="239">
        <v>6.7022598206600906E-2</v>
      </c>
      <c r="F81" s="239">
        <v>5.6367681989957535E-2</v>
      </c>
      <c r="H81" s="239">
        <v>4.4561405053927153E-2</v>
      </c>
      <c r="J81" s="239">
        <v>3.1369898977051176E-2</v>
      </c>
      <c r="L81" s="239">
        <v>1.6481830871362794E-2</v>
      </c>
      <c r="N81" s="239">
        <v>-5.2659903601586812E-4</v>
      </c>
      <c r="P81" s="239">
        <v>-2.0245576434294015E-2</v>
      </c>
      <c r="R81" s="239">
        <v>-4.3516057673190806E-2</v>
      </c>
      <c r="T81" s="239" t="e">
        <v>#DIV/0!</v>
      </c>
      <c r="V81" s="239" t="e">
        <v>#DIV/0!</v>
      </c>
      <c r="X81" s="239" t="e">
        <v>#DIV/0!</v>
      </c>
      <c r="Z81" s="239" t="e">
        <v>#DIV/0!</v>
      </c>
      <c r="AB81" s="239" t="e">
        <v>#DIV/0!</v>
      </c>
      <c r="AD81" s="239" t="e">
        <v>#DIV/0!</v>
      </c>
      <c r="AF81" s="239" t="e">
        <v>#DIV/0!</v>
      </c>
      <c r="AH81" s="239" t="e">
        <v>#DIV/0!</v>
      </c>
      <c r="AJ81" s="239" t="e">
        <v>#DIV/0!</v>
      </c>
      <c r="AL81" s="239" t="e">
        <v>#DIV/0!</v>
      </c>
      <c r="AN81" s="239" t="e">
        <v>#DIV/0!</v>
      </c>
      <c r="AP81" s="239" t="e">
        <v>#DIV/0!</v>
      </c>
      <c r="AR81" s="239" t="e">
        <v>#DIV/0!</v>
      </c>
      <c r="AT81" s="239" t="e">
        <v>#DIV/0!</v>
      </c>
      <c r="AV81" s="239" t="e">
        <v>#DIV/0!</v>
      </c>
      <c r="XFD81" s="239"/>
    </row>
    <row r="82" spans="1:48 16384:16384" x14ac:dyDescent="0.2">
      <c r="A82" t="s">
        <v>195</v>
      </c>
      <c r="B82" s="239">
        <v>0</v>
      </c>
      <c r="D82" s="239">
        <v>0</v>
      </c>
      <c r="F82" s="239">
        <v>0</v>
      </c>
      <c r="H82" s="239">
        <v>0</v>
      </c>
      <c r="J82" s="239">
        <v>0</v>
      </c>
      <c r="L82" s="239">
        <v>0</v>
      </c>
      <c r="N82" s="239">
        <v>0</v>
      </c>
      <c r="P82" s="239">
        <v>0</v>
      </c>
      <c r="R82" s="239">
        <v>0</v>
      </c>
      <c r="T82" s="239" t="e">
        <v>#DIV/0!</v>
      </c>
      <c r="V82" s="239" t="e">
        <v>#DIV/0!</v>
      </c>
      <c r="X82" s="239" t="e">
        <v>#DIV/0!</v>
      </c>
      <c r="Z82" s="239" t="e">
        <v>#DIV/0!</v>
      </c>
      <c r="AB82" s="239" t="e">
        <v>#DIV/0!</v>
      </c>
      <c r="AD82" s="239" t="e">
        <v>#DIV/0!</v>
      </c>
      <c r="AF82" s="239" t="e">
        <v>#DIV/0!</v>
      </c>
      <c r="AH82" s="239" t="e">
        <v>#DIV/0!</v>
      </c>
      <c r="AJ82" s="239" t="e">
        <v>#DIV/0!</v>
      </c>
      <c r="AL82" s="239" t="e">
        <v>#DIV/0!</v>
      </c>
      <c r="AN82" s="239" t="e">
        <v>#DIV/0!</v>
      </c>
      <c r="AP82" s="239" t="e">
        <v>#DIV/0!</v>
      </c>
      <c r="AR82" s="239" t="e">
        <v>#DIV/0!</v>
      </c>
      <c r="AT82" s="239" t="e">
        <v>#DIV/0!</v>
      </c>
      <c r="AV82" s="239" t="e">
        <v>#DIV/0!</v>
      </c>
    </row>
    <row r="83" spans="1:48 16384:16384" x14ac:dyDescent="0.2">
      <c r="A83" t="s">
        <v>196</v>
      </c>
      <c r="B83" s="239">
        <v>0.13949957082237799</v>
      </c>
      <c r="D83" s="239">
        <v>0.14918249616435264</v>
      </c>
      <c r="F83" s="239">
        <v>0.15983741229788181</v>
      </c>
      <c r="H83" s="239">
        <v>0.17164368899929888</v>
      </c>
      <c r="J83" s="239">
        <v>0.18483519670376933</v>
      </c>
      <c r="L83" s="239">
        <v>0.19972326531922774</v>
      </c>
      <c r="N83" s="239">
        <v>0.2167316948192507</v>
      </c>
      <c r="P83" s="239">
        <v>0.23645067891976296</v>
      </c>
      <c r="R83" s="239">
        <v>0.25972115176158661</v>
      </c>
      <c r="T83" s="239" t="e">
        <v>#DIV/0!</v>
      </c>
      <c r="V83" s="239" t="e">
        <v>#DIV/0!</v>
      </c>
      <c r="X83" s="239" t="e">
        <v>#DIV/0!</v>
      </c>
      <c r="Z83" s="239" t="e">
        <v>#DIV/0!</v>
      </c>
      <c r="AB83" s="239" t="e">
        <v>#DIV/0!</v>
      </c>
      <c r="AD83" s="239" t="e">
        <v>#DIV/0!</v>
      </c>
      <c r="AF83" s="239" t="e">
        <v>#DIV/0!</v>
      </c>
      <c r="AH83" s="239" t="e">
        <v>#DIV/0!</v>
      </c>
      <c r="AJ83" s="239" t="e">
        <v>#DIV/0!</v>
      </c>
      <c r="AL83" s="239" t="e">
        <v>#DIV/0!</v>
      </c>
      <c r="AN83" s="239" t="e">
        <v>#DIV/0!</v>
      </c>
      <c r="AP83" s="239" t="e">
        <v>#DIV/0!</v>
      </c>
      <c r="AR83" s="239" t="e">
        <v>#DIV/0!</v>
      </c>
      <c r="AT83" s="239" t="e">
        <v>#DIV/0!</v>
      </c>
      <c r="AV83" s="239" t="e">
        <v>#DIV/0!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XFD83"/>
  <sheetViews>
    <sheetView showGridLines="0" topLeftCell="AE1" workbookViewId="0">
      <pane ySplit="1" topLeftCell="A2" activePane="bottomLeft" state="frozen"/>
      <selection pane="bottomLeft" sqref="A1:XFD1048576"/>
    </sheetView>
  </sheetViews>
  <sheetFormatPr baseColWidth="10" defaultRowHeight="10" x14ac:dyDescent="0.2"/>
  <sheetData>
    <row r="1" spans="1:49" x14ac:dyDescent="0.2">
      <c r="B1" s="97">
        <v>0</v>
      </c>
      <c r="D1" s="97">
        <v>0.05</v>
      </c>
      <c r="F1" s="97">
        <v>0.1</v>
      </c>
      <c r="H1" s="97">
        <v>0.15000000000000002</v>
      </c>
      <c r="J1" s="97">
        <v>0.2</v>
      </c>
      <c r="L1" s="97">
        <v>0.25</v>
      </c>
      <c r="N1" s="97">
        <v>0.3</v>
      </c>
      <c r="P1" s="97">
        <v>0.35</v>
      </c>
      <c r="R1" s="97">
        <v>0.39999999999999997</v>
      </c>
      <c r="T1" s="97">
        <v>0.44999999999999996</v>
      </c>
      <c r="V1" s="97">
        <v>0.49999999999999994</v>
      </c>
      <c r="X1" s="97">
        <v>0.54999999999999993</v>
      </c>
      <c r="Z1" s="97">
        <v>0.6</v>
      </c>
      <c r="AB1" s="97">
        <v>0.65</v>
      </c>
      <c r="AD1" s="97">
        <v>0.70000000000000007</v>
      </c>
      <c r="AF1" s="97">
        <v>0.75000000000000011</v>
      </c>
      <c r="AH1" s="97">
        <v>0.80000000000000016</v>
      </c>
      <c r="AJ1" s="97">
        <v>0.8500000000000002</v>
      </c>
      <c r="AL1" s="97">
        <v>0.90000000000000024</v>
      </c>
      <c r="AN1" s="97">
        <v>0.95000000000000029</v>
      </c>
      <c r="AP1" s="97">
        <v>0.9600000000000003</v>
      </c>
      <c r="AR1" s="97"/>
      <c r="AT1" s="97"/>
      <c r="AV1" s="97"/>
    </row>
    <row r="2" spans="1:49" x14ac:dyDescent="0.2">
      <c r="A2" s="232" t="s">
        <v>158</v>
      </c>
      <c r="B2" s="229">
        <v>0.16485636072655629</v>
      </c>
      <c r="C2" s="230"/>
      <c r="D2" s="229">
        <v>0.20064449009850194</v>
      </c>
      <c r="E2" s="230"/>
      <c r="F2" s="229">
        <v>0.24049517089853606</v>
      </c>
      <c r="G2" s="230"/>
      <c r="H2" s="229">
        <v>0.28527719732684886</v>
      </c>
      <c r="I2" s="230"/>
      <c r="J2" s="229">
        <v>0.33614085846853647</v>
      </c>
      <c r="K2" s="230"/>
      <c r="L2" s="229">
        <v>0.39464255397185399</v>
      </c>
      <c r="M2" s="230"/>
      <c r="N2" s="229">
        <v>0.46294122128101384</v>
      </c>
      <c r="O2" s="230"/>
      <c r="P2" s="229">
        <v>0.54411581245815688</v>
      </c>
      <c r="Q2" s="230"/>
      <c r="R2" s="229">
        <v>0.64269874756666723</v>
      </c>
      <c r="S2" s="230"/>
      <c r="T2" s="229">
        <v>0.7656042843423343</v>
      </c>
      <c r="U2" s="230"/>
      <c r="V2" s="229">
        <v>0.92380451502926986</v>
      </c>
      <c r="W2" s="230"/>
      <c r="X2" s="229">
        <v>1.1354610776044354</v>
      </c>
      <c r="Y2" s="230"/>
      <c r="Z2" s="229">
        <v>1.4319218804585099</v>
      </c>
      <c r="AA2" s="230"/>
      <c r="AB2" s="229">
        <v>1.8692984615078601</v>
      </c>
      <c r="AC2" s="230"/>
      <c r="AD2" s="229">
        <v>2.5508114605551819</v>
      </c>
      <c r="AE2" s="230"/>
      <c r="AF2" s="229">
        <v>3.672356841973639</v>
      </c>
      <c r="AG2" s="230"/>
      <c r="AH2" s="229">
        <v>5.6359155910682661</v>
      </c>
      <c r="AI2" s="230"/>
      <c r="AJ2" s="229">
        <v>9.4130322300996276</v>
      </c>
      <c r="AK2" s="230"/>
      <c r="AL2" s="229">
        <v>18.030391294465645</v>
      </c>
      <c r="AM2" s="230"/>
      <c r="AN2" s="229">
        <v>45.888806144508571</v>
      </c>
      <c r="AO2" s="230"/>
      <c r="AP2" s="229">
        <v>59.172653574677717</v>
      </c>
      <c r="AQ2" s="230"/>
      <c r="AR2" s="229"/>
      <c r="AS2" s="230"/>
      <c r="AT2" s="229"/>
      <c r="AU2" s="230"/>
      <c r="AV2" s="229"/>
      <c r="AW2" s="230"/>
    </row>
    <row r="3" spans="1:49" x14ac:dyDescent="0.2">
      <c r="A3" t="s">
        <v>12</v>
      </c>
      <c r="B3" s="87">
        <v>1000</v>
      </c>
      <c r="C3" s="88">
        <v>1000</v>
      </c>
      <c r="D3" s="87">
        <v>998.25726095087509</v>
      </c>
      <c r="E3" s="88">
        <v>1025.7439122603769</v>
      </c>
      <c r="F3" s="87">
        <v>996.52717312273217</v>
      </c>
      <c r="G3" s="88">
        <v>1054.6001470075455</v>
      </c>
      <c r="H3" s="87">
        <v>994.81577190220139</v>
      </c>
      <c r="I3" s="88">
        <v>1087.1888907091441</v>
      </c>
      <c r="J3" s="87">
        <v>993.13220087558011</v>
      </c>
      <c r="K3" s="88">
        <v>1124.3183191195403</v>
      </c>
      <c r="L3" s="87">
        <v>991.49028065807329</v>
      </c>
      <c r="M3" s="88">
        <v>1167.0635091759598</v>
      </c>
      <c r="N3" s="87">
        <v>989.9109523517858</v>
      </c>
      <c r="O3" s="88">
        <v>1216.8885472602951</v>
      </c>
      <c r="P3" s="87">
        <v>988.42602802383703</v>
      </c>
      <c r="Q3" s="88">
        <v>1275.8416832291184</v>
      </c>
      <c r="R3" s="87">
        <v>987.08420198952581</v>
      </c>
      <c r="S3" s="88">
        <v>1346.876867113383</v>
      </c>
      <c r="T3" s="87">
        <v>985.96062524270189</v>
      </c>
      <c r="U3" s="88">
        <v>1434.402777151294</v>
      </c>
      <c r="V3" s="87">
        <v>985.17182775073491</v>
      </c>
      <c r="W3" s="88">
        <v>1545.2548083606671</v>
      </c>
      <c r="X3" s="87">
        <v>984.89753753562343</v>
      </c>
      <c r="Y3" s="88">
        <v>1690.472636942711</v>
      </c>
      <c r="Z3" s="87">
        <v>985.40655943637285</v>
      </c>
      <c r="AA3" s="88">
        <v>1888.627702878947</v>
      </c>
      <c r="AB3" s="87">
        <v>987.06665493062894</v>
      </c>
      <c r="AC3" s="88">
        <v>2172.1155978227926</v>
      </c>
      <c r="AD3" s="87">
        <v>990.28119694858867</v>
      </c>
      <c r="AE3" s="88">
        <v>2599.1507121738309</v>
      </c>
      <c r="AF3" s="87">
        <v>995.28752628354346</v>
      </c>
      <c r="AG3" s="88">
        <v>3278.4105427401214</v>
      </c>
      <c r="AH3" s="87">
        <v>1001.920567016855</v>
      </c>
      <c r="AI3" s="88">
        <v>4431.5152281027813</v>
      </c>
      <c r="AJ3" s="87">
        <v>1009.6464167056098</v>
      </c>
      <c r="AK3" s="88">
        <v>6593.7384537427833</v>
      </c>
      <c r="AL3" s="87">
        <v>1017.8642739169271</v>
      </c>
      <c r="AM3" s="88">
        <v>11428.74933385787</v>
      </c>
      <c r="AN3" s="87">
        <v>1026.0611996078096</v>
      </c>
      <c r="AO3" s="88">
        <v>26817.960724779892</v>
      </c>
      <c r="AP3" s="87">
        <v>1027.6397810617518</v>
      </c>
      <c r="AQ3" s="88">
        <v>34112.630682371608</v>
      </c>
      <c r="AR3" s="87"/>
      <c r="AS3" s="88"/>
      <c r="AT3" s="87"/>
      <c r="AU3" s="88"/>
      <c r="AV3" s="87"/>
      <c r="AW3" s="88"/>
    </row>
    <row r="4" spans="1:49" x14ac:dyDescent="0.2">
      <c r="A4" t="s">
        <v>119</v>
      </c>
      <c r="B4" s="104">
        <v>1000</v>
      </c>
      <c r="C4" s="105">
        <v>1000</v>
      </c>
      <c r="D4" s="104">
        <v>1000</v>
      </c>
      <c r="E4" s="105">
        <v>1000</v>
      </c>
      <c r="F4" s="104">
        <v>1000</v>
      </c>
      <c r="G4" s="105">
        <v>1000</v>
      </c>
      <c r="H4" s="104">
        <v>1000</v>
      </c>
      <c r="I4" s="105">
        <v>1000</v>
      </c>
      <c r="J4" s="104">
        <v>1000</v>
      </c>
      <c r="K4" s="105">
        <v>1000</v>
      </c>
      <c r="L4" s="104">
        <v>1000</v>
      </c>
      <c r="M4" s="105">
        <v>1000</v>
      </c>
      <c r="N4" s="104">
        <v>1000</v>
      </c>
      <c r="O4" s="105">
        <v>1000</v>
      </c>
      <c r="P4" s="104">
        <v>1000</v>
      </c>
      <c r="Q4" s="105">
        <v>1000</v>
      </c>
      <c r="R4" s="104">
        <v>1000</v>
      </c>
      <c r="S4" s="105">
        <v>1000</v>
      </c>
      <c r="T4" s="104">
        <v>1000</v>
      </c>
      <c r="U4" s="105">
        <v>1000</v>
      </c>
      <c r="V4" s="104">
        <v>1000</v>
      </c>
      <c r="W4" s="105">
        <v>1000</v>
      </c>
      <c r="X4" s="104">
        <v>1000</v>
      </c>
      <c r="Y4" s="105">
        <v>1000</v>
      </c>
      <c r="Z4" s="104">
        <v>1000</v>
      </c>
      <c r="AA4" s="105">
        <v>1000</v>
      </c>
      <c r="AB4" s="104">
        <v>1000</v>
      </c>
      <c r="AC4" s="105">
        <v>1000</v>
      </c>
      <c r="AD4" s="104">
        <v>1000</v>
      </c>
      <c r="AE4" s="105">
        <v>1000</v>
      </c>
      <c r="AF4" s="104">
        <v>1000</v>
      </c>
      <c r="AG4" s="105">
        <v>1000</v>
      </c>
      <c r="AH4" s="104">
        <v>1000</v>
      </c>
      <c r="AI4" s="105">
        <v>1000</v>
      </c>
      <c r="AJ4" s="104">
        <v>1000</v>
      </c>
      <c r="AK4" s="105">
        <v>1000</v>
      </c>
      <c r="AL4" s="104">
        <v>1000</v>
      </c>
      <c r="AM4" s="105">
        <v>1000</v>
      </c>
      <c r="AN4" s="104">
        <v>1000</v>
      </c>
      <c r="AO4" s="105">
        <v>1000</v>
      </c>
      <c r="AP4" s="104">
        <v>1000</v>
      </c>
      <c r="AQ4" s="105">
        <v>1000</v>
      </c>
      <c r="AR4" s="104"/>
      <c r="AS4" s="105"/>
      <c r="AT4" s="104"/>
      <c r="AU4" s="105"/>
      <c r="AV4" s="104"/>
      <c r="AW4" s="105"/>
    </row>
    <row r="5" spans="1:49" x14ac:dyDescent="0.2">
      <c r="A5" t="s">
        <v>131</v>
      </c>
      <c r="B5" s="41">
        <v>1000</v>
      </c>
      <c r="C5" s="42">
        <v>1000</v>
      </c>
      <c r="D5" s="41">
        <v>998.21289372969522</v>
      </c>
      <c r="E5" s="42">
        <v>1017.1758589387958</v>
      </c>
      <c r="F5" s="41">
        <v>996.43742676247132</v>
      </c>
      <c r="G5" s="42">
        <v>1035.5212000646052</v>
      </c>
      <c r="H5" s="41">
        <v>994.67982186301879</v>
      </c>
      <c r="I5" s="42">
        <v>1055.1341592201541</v>
      </c>
      <c r="J5" s="41">
        <v>992.94951611606757</v>
      </c>
      <c r="K5" s="42">
        <v>1076.1191597339875</v>
      </c>
      <c r="L5" s="41">
        <v>991.26078600266987</v>
      </c>
      <c r="M5" s="42">
        <v>1098.5839907028715</v>
      </c>
      <c r="N5" s="41">
        <v>989.63527909028357</v>
      </c>
      <c r="O5" s="42">
        <v>1122.6331892245832</v>
      </c>
      <c r="P5" s="41">
        <v>988.10590005930214</v>
      </c>
      <c r="Q5" s="42">
        <v>1148.3568253883</v>
      </c>
      <c r="R5" s="41">
        <v>986.72303544856641</v>
      </c>
      <c r="S5" s="42">
        <v>1175.8077196608926</v>
      </c>
      <c r="T5" s="41">
        <v>985.56445866779109</v>
      </c>
      <c r="U5" s="42">
        <v>1204.9584972530658</v>
      </c>
      <c r="V5" s="100">
        <v>984.75074192845591</v>
      </c>
      <c r="W5" s="101">
        <v>1235.6242011607796</v>
      </c>
      <c r="X5" s="41">
        <v>984.46771911770691</v>
      </c>
      <c r="Y5" s="42">
        <v>1267.3276795197012</v>
      </c>
      <c r="Z5" s="41">
        <v>984.99291915893957</v>
      </c>
      <c r="AA5" s="42">
        <v>1299.0886678793061</v>
      </c>
      <c r="AB5" s="41">
        <v>986.70494625767287</v>
      </c>
      <c r="AC5" s="42">
        <v>1329.1879726075363</v>
      </c>
      <c r="AD5" s="41">
        <v>990.01645116868349</v>
      </c>
      <c r="AE5" s="42">
        <v>1355.1712726216281</v>
      </c>
      <c r="AF5" s="41">
        <v>995.16444339053703</v>
      </c>
      <c r="AG5" s="42">
        <v>1374.6155632739694</v>
      </c>
      <c r="AH5" s="41">
        <v>1001.9679077479977</v>
      </c>
      <c r="AI5" s="42">
        <v>1386.6086353137598</v>
      </c>
      <c r="AJ5" s="41">
        <v>1009.8679224294723</v>
      </c>
      <c r="AK5" s="42">
        <v>1392.428691088719</v>
      </c>
      <c r="AL5" s="41">
        <v>1018.2429258873876</v>
      </c>
      <c r="AM5" s="42">
        <v>1394.5001781864396</v>
      </c>
      <c r="AN5" s="41">
        <v>1026.5683954466335</v>
      </c>
      <c r="AO5" s="42">
        <v>1394.9559769122156</v>
      </c>
      <c r="AP5" s="41">
        <v>1028.1685524653021</v>
      </c>
      <c r="AQ5" s="42">
        <v>1394.9756473528373</v>
      </c>
      <c r="AR5" s="41"/>
      <c r="AS5" s="42"/>
      <c r="AT5" s="41"/>
      <c r="AU5" s="42"/>
      <c r="AV5" s="41"/>
      <c r="AW5" s="42"/>
    </row>
    <row r="6" spans="1:49" x14ac:dyDescent="0.2">
      <c r="A6" t="s">
        <v>79</v>
      </c>
      <c r="B6" s="41">
        <v>999.99999999999886</v>
      </c>
      <c r="C6" s="42">
        <v>999.99999999999909</v>
      </c>
      <c r="D6" s="41">
        <v>998.04725173140491</v>
      </c>
      <c r="E6" s="42">
        <v>1027.7573448613655</v>
      </c>
      <c r="F6" s="41">
        <v>996.10786318112116</v>
      </c>
      <c r="G6" s="42">
        <v>1058.748426474343</v>
      </c>
      <c r="H6" s="41">
        <v>994.18861553371505</v>
      </c>
      <c r="I6" s="42">
        <v>1093.6108058685634</v>
      </c>
      <c r="J6" s="41">
        <v>992.29978927145999</v>
      </c>
      <c r="K6" s="42">
        <v>1133.1750772876032</v>
      </c>
      <c r="L6" s="41">
        <v>990.4569323709178</v>
      </c>
      <c r="M6" s="42">
        <v>1178.5458313774038</v>
      </c>
      <c r="N6" s="41">
        <v>988.68361439198054</v>
      </c>
      <c r="O6" s="42">
        <v>1231.2268975157672</v>
      </c>
      <c r="P6" s="41">
        <v>987.01565375134589</v>
      </c>
      <c r="Q6" s="42">
        <v>1293.3214474553808</v>
      </c>
      <c r="R6" s="41">
        <v>985.50789100927909</v>
      </c>
      <c r="S6" s="42">
        <v>1367.8615566122107</v>
      </c>
      <c r="T6" s="41">
        <v>984.24497115300824</v>
      </c>
      <c r="U6" s="42">
        <v>1459.3707389515619</v>
      </c>
      <c r="V6" s="41">
        <v>983.35813217943178</v>
      </c>
      <c r="W6" s="42">
        <v>1574.8595576004043</v>
      </c>
      <c r="X6" s="41">
        <v>983.04970773387095</v>
      </c>
      <c r="Y6" s="42">
        <v>1725.6460029927571</v>
      </c>
      <c r="Z6" s="41">
        <v>983.62205795853276</v>
      </c>
      <c r="AA6" s="42">
        <v>1930.7629653545739</v>
      </c>
      <c r="AB6" s="41">
        <v>985.48817059059604</v>
      </c>
      <c r="AC6" s="42">
        <v>2223.4037855654965</v>
      </c>
      <c r="AD6" s="41">
        <v>989.09939932585587</v>
      </c>
      <c r="AE6" s="42">
        <v>2663.2190013561253</v>
      </c>
      <c r="AF6" s="41">
        <v>994.71774402032611</v>
      </c>
      <c r="AG6" s="42">
        <v>3361.6106296943403</v>
      </c>
      <c r="AH6" s="41">
        <v>1002.1510577502072</v>
      </c>
      <c r="AI6" s="42">
        <v>4545.8851330845582</v>
      </c>
      <c r="AJ6" s="41">
        <v>1010.7942348479902</v>
      </c>
      <c r="AK6" s="42">
        <v>6765.2546654025255</v>
      </c>
      <c r="AL6" s="41">
        <v>1019.9709559846498</v>
      </c>
      <c r="AM6" s="42">
        <v>11726.853353258575</v>
      </c>
      <c r="AN6" s="41">
        <v>1029.1075849210472</v>
      </c>
      <c r="AO6" s="42">
        <v>27517.893958336343</v>
      </c>
      <c r="AP6" s="41">
        <v>1030.8652698915516</v>
      </c>
      <c r="AQ6" s="42">
        <v>35002.973708944875</v>
      </c>
      <c r="AR6" s="41"/>
      <c r="AS6" s="42"/>
      <c r="AT6" s="41"/>
      <c r="AU6" s="42"/>
      <c r="AV6" s="41"/>
      <c r="AW6" s="42"/>
    </row>
    <row r="7" spans="1:49" x14ac:dyDescent="0.2">
      <c r="A7" t="s">
        <v>13</v>
      </c>
      <c r="B7" s="33">
        <v>1059.2664648168009</v>
      </c>
      <c r="C7" s="34">
        <v>1059.2664648168009</v>
      </c>
      <c r="D7" s="33">
        <v>1057.3734430756033</v>
      </c>
      <c r="E7" s="34">
        <v>1057.3734430756033</v>
      </c>
      <c r="F7" s="33">
        <v>1055.4927504578329</v>
      </c>
      <c r="G7" s="34">
        <v>1055.4927504578329</v>
      </c>
      <c r="H7" s="33">
        <v>1053.6309785294452</v>
      </c>
      <c r="I7" s="34">
        <v>1053.6309785294452</v>
      </c>
      <c r="J7" s="33">
        <v>1051.7981236778198</v>
      </c>
      <c r="K7" s="34">
        <v>1051.7981236778198</v>
      </c>
      <c r="L7" s="33">
        <v>1050.0093085005715</v>
      </c>
      <c r="M7" s="34">
        <v>1050.0093085005715</v>
      </c>
      <c r="N7" s="33">
        <v>1048.2874635399528</v>
      </c>
      <c r="O7" s="34">
        <v>1048.2874635399528</v>
      </c>
      <c r="P7" s="33">
        <v>1046.6674436204401</v>
      </c>
      <c r="Q7" s="34">
        <v>1046.6674436204401</v>
      </c>
      <c r="R7" s="33">
        <v>1045.2026215129058</v>
      </c>
      <c r="S7" s="34">
        <v>1045.2026215129058</v>
      </c>
      <c r="T7" s="33">
        <v>1043.9753799821151</v>
      </c>
      <c r="U7" s="34">
        <v>1043.9753799821151</v>
      </c>
      <c r="V7" s="33">
        <v>1043.1134371282774</v>
      </c>
      <c r="W7" s="34">
        <v>1043.1134371282774</v>
      </c>
      <c r="X7" s="33">
        <v>1042.8136405560726</v>
      </c>
      <c r="Y7" s="34">
        <v>1042.8136405560726</v>
      </c>
      <c r="Z7" s="33">
        <v>1043.3699673470708</v>
      </c>
      <c r="AA7" s="34">
        <v>1043.3699673470708</v>
      </c>
      <c r="AB7" s="33">
        <v>1045.1834602396166</v>
      </c>
      <c r="AC7" s="34">
        <v>1045.1834602396166</v>
      </c>
      <c r="AD7" s="33">
        <v>1048.6912263399263</v>
      </c>
      <c r="AE7" s="34">
        <v>1048.6912263399263</v>
      </c>
      <c r="AF7" s="33">
        <v>1054.1443218616735</v>
      </c>
      <c r="AG7" s="34">
        <v>1054.1443218616735</v>
      </c>
      <c r="AH7" s="33">
        <v>1061.3510035001079</v>
      </c>
      <c r="AI7" s="34">
        <v>1061.3510035001079</v>
      </c>
      <c r="AJ7" s="33">
        <v>1069.7192241237544</v>
      </c>
      <c r="AK7" s="34">
        <v>1069.7192241237544</v>
      </c>
      <c r="AL7" s="33">
        <v>1078.5905844294489</v>
      </c>
      <c r="AM7" s="34">
        <v>1078.5905844294489</v>
      </c>
      <c r="AN7" s="33">
        <v>1087.4094751374112</v>
      </c>
      <c r="AO7" s="34">
        <v>1087.4094751374112</v>
      </c>
      <c r="AP7" s="33">
        <v>1089.1044678057281</v>
      </c>
      <c r="AQ7" s="34">
        <v>1089.1044678057281</v>
      </c>
      <c r="AR7" s="33"/>
      <c r="AS7" s="34"/>
      <c r="AT7" s="33"/>
      <c r="AU7" s="34"/>
      <c r="AV7" s="33"/>
      <c r="AW7" s="34"/>
    </row>
    <row r="8" spans="1:49" x14ac:dyDescent="0.2">
      <c r="B8" s="35">
        <v>1164.8563607265562</v>
      </c>
      <c r="C8" s="36">
        <v>1164.8563607265562</v>
      </c>
      <c r="D8" s="35">
        <v>1221.2665904960761</v>
      </c>
      <c r="E8" s="36">
        <v>1221.2665904960761</v>
      </c>
      <c r="F8" s="35">
        <v>1284.5590480431997</v>
      </c>
      <c r="G8" s="36">
        <v>1284.5590480431997</v>
      </c>
      <c r="H8" s="35">
        <v>1356.1398749663008</v>
      </c>
      <c r="I8" s="36">
        <v>1356.1398749663008</v>
      </c>
      <c r="J8" s="35">
        <v>1437.8467779014104</v>
      </c>
      <c r="K8" s="36">
        <v>1437.8467779014104</v>
      </c>
      <c r="L8" s="35">
        <v>1532.1319825464441</v>
      </c>
      <c r="M8" s="36">
        <v>1532.1319825464441</v>
      </c>
      <c r="N8" s="35">
        <v>1642.3463688948113</v>
      </c>
      <c r="O8" s="36">
        <v>1642.3463688948113</v>
      </c>
      <c r="P8" s="35">
        <v>1773.1959324263246</v>
      </c>
      <c r="Q8" s="36">
        <v>1773.1959324263246</v>
      </c>
      <c r="R8" s="35">
        <v>1931.4978684661673</v>
      </c>
      <c r="S8" s="36">
        <v>1931.4978684661673</v>
      </c>
      <c r="T8" s="35">
        <v>2127.4798852047138</v>
      </c>
      <c r="U8" s="36">
        <v>2127.4798852047138</v>
      </c>
      <c r="V8" s="35">
        <v>2377.099417072543</v>
      </c>
      <c r="W8" s="36">
        <v>2377.099417072543</v>
      </c>
      <c r="X8" s="35">
        <v>2706.3289321850693</v>
      </c>
      <c r="Y8" s="36">
        <v>2706.3289321850693</v>
      </c>
      <c r="Z8" s="35">
        <v>3159.2821560713824</v>
      </c>
      <c r="AA8" s="36">
        <v>3159.2821560713824</v>
      </c>
      <c r="AB8" s="35">
        <v>3813.8370048575553</v>
      </c>
      <c r="AC8" s="36">
        <v>3813.8370048575553</v>
      </c>
      <c r="AD8" s="35">
        <v>4811.9576858400278</v>
      </c>
      <c r="AE8" s="36">
        <v>4811.9576858400278</v>
      </c>
      <c r="AF8" s="35">
        <v>6422.6944321465789</v>
      </c>
      <c r="AG8" s="36">
        <v>6422.6944321465789</v>
      </c>
      <c r="AH8" s="35">
        <v>9201.41786178847</v>
      </c>
      <c r="AI8" s="36">
        <v>9201.41786178847</v>
      </c>
      <c r="AJ8" s="35">
        <v>14499.40483842227</v>
      </c>
      <c r="AK8" s="36">
        <v>14499.40483842227</v>
      </c>
      <c r="AL8" s="35">
        <v>26537.884051090012</v>
      </c>
      <c r="AM8" s="36">
        <v>26537.884051090012</v>
      </c>
      <c r="AN8" s="35">
        <v>65407.82038156045</v>
      </c>
      <c r="AO8" s="36">
        <v>65407.82038156045</v>
      </c>
      <c r="AP8" s="35">
        <v>83939.386373274072</v>
      </c>
      <c r="AQ8" s="36">
        <v>83939.386373274072</v>
      </c>
      <c r="AR8" s="35"/>
      <c r="AS8" s="36"/>
      <c r="AT8" s="35"/>
      <c r="AU8" s="36"/>
      <c r="AV8" s="35"/>
      <c r="AW8" s="36"/>
    </row>
    <row r="9" spans="1:49" x14ac:dyDescent="0.2">
      <c r="A9" t="s">
        <v>14</v>
      </c>
      <c r="B9" s="41">
        <v>1059.2664648168009</v>
      </c>
      <c r="C9" s="42">
        <v>1164.8563607265562</v>
      </c>
      <c r="D9" s="41">
        <v>1057.3734430756033</v>
      </c>
      <c r="E9" s="42">
        <v>1221.2665904960761</v>
      </c>
      <c r="F9" s="41">
        <v>1055.4927504578329</v>
      </c>
      <c r="G9" s="42">
        <v>1284.5590480431997</v>
      </c>
      <c r="H9" s="41">
        <v>1053.6309785294452</v>
      </c>
      <c r="I9" s="42">
        <v>1356.1398749663008</v>
      </c>
      <c r="J9" s="41">
        <v>1051.7981236778198</v>
      </c>
      <c r="K9" s="42">
        <v>1437.8467779014104</v>
      </c>
      <c r="L9" s="41">
        <v>1050.0093085005715</v>
      </c>
      <c r="M9" s="42">
        <v>1532.1319825464441</v>
      </c>
      <c r="N9" s="41">
        <v>1048.2874635399528</v>
      </c>
      <c r="O9" s="42">
        <v>1642.3463688948113</v>
      </c>
      <c r="P9" s="41">
        <v>1046.6674436204401</v>
      </c>
      <c r="Q9" s="42">
        <v>1773.1959324263246</v>
      </c>
      <c r="R9" s="41">
        <v>1045.2026215129058</v>
      </c>
      <c r="S9" s="42">
        <v>1931.4978684661673</v>
      </c>
      <c r="T9" s="41">
        <v>1043.9753799821151</v>
      </c>
      <c r="U9" s="42">
        <v>2127.4798852047138</v>
      </c>
      <c r="V9" s="41">
        <v>1043.1134371282774</v>
      </c>
      <c r="W9" s="42">
        <v>2377.099417072543</v>
      </c>
      <c r="X9" s="41">
        <v>1042.8136405560726</v>
      </c>
      <c r="Y9" s="42">
        <v>2706.3289321850693</v>
      </c>
      <c r="Z9" s="41">
        <v>1043.3699673470708</v>
      </c>
      <c r="AA9" s="42">
        <v>3159.2821560713824</v>
      </c>
      <c r="AB9" s="41">
        <v>1045.1834602396166</v>
      </c>
      <c r="AC9" s="42">
        <v>3813.8370048575553</v>
      </c>
      <c r="AD9" s="41">
        <v>1048.6912263399263</v>
      </c>
      <c r="AE9" s="42">
        <v>4811.9576858400278</v>
      </c>
      <c r="AF9" s="41">
        <v>1054.1443218616735</v>
      </c>
      <c r="AG9" s="42">
        <v>6422.6944321465789</v>
      </c>
      <c r="AH9" s="41">
        <v>1061.3510035001079</v>
      </c>
      <c r="AI9" s="42">
        <v>9201.41786178847</v>
      </c>
      <c r="AJ9" s="41">
        <v>1069.7192241237544</v>
      </c>
      <c r="AK9" s="42">
        <v>14499.40483842227</v>
      </c>
      <c r="AL9" s="41">
        <v>1078.5905844294489</v>
      </c>
      <c r="AM9" s="42">
        <v>26537.884051090012</v>
      </c>
      <c r="AN9" s="41">
        <v>1087.4094751374112</v>
      </c>
      <c r="AO9" s="42">
        <v>65407.82038156045</v>
      </c>
      <c r="AP9" s="41">
        <v>1089.1044678057281</v>
      </c>
      <c r="AQ9" s="42">
        <v>83939.386373274072</v>
      </c>
      <c r="AR9" s="41"/>
      <c r="AS9" s="42"/>
      <c r="AT9" s="41"/>
      <c r="AU9" s="42"/>
      <c r="AV9" s="41"/>
      <c r="AW9" s="42"/>
    </row>
    <row r="10" spans="1:49" x14ac:dyDescent="0.2">
      <c r="A10" t="s">
        <v>15</v>
      </c>
      <c r="B10" s="41">
        <v>1059.2664648168009</v>
      </c>
      <c r="C10" s="42">
        <v>1164.8563607265562</v>
      </c>
      <c r="D10" s="41">
        <v>1057.3734430756033</v>
      </c>
      <c r="E10" s="42">
        <v>1221.2665904960761</v>
      </c>
      <c r="F10" s="41">
        <v>1055.4927504578329</v>
      </c>
      <c r="G10" s="42">
        <v>1284.5590480431997</v>
      </c>
      <c r="H10" s="41">
        <v>1053.6309785294452</v>
      </c>
      <c r="I10" s="42">
        <v>1356.1398749663008</v>
      </c>
      <c r="J10" s="41">
        <v>1051.7981236778198</v>
      </c>
      <c r="K10" s="42">
        <v>1437.8467779014104</v>
      </c>
      <c r="L10" s="41">
        <v>1050.0093085005715</v>
      </c>
      <c r="M10" s="42">
        <v>1532.1319825464441</v>
      </c>
      <c r="N10" s="41">
        <v>1048.2874635399528</v>
      </c>
      <c r="O10" s="42">
        <v>1642.3463688948113</v>
      </c>
      <c r="P10" s="41">
        <v>1046.6674436204401</v>
      </c>
      <c r="Q10" s="42">
        <v>1773.1959324263246</v>
      </c>
      <c r="R10" s="41">
        <v>1045.2026215129058</v>
      </c>
      <c r="S10" s="42">
        <v>1931.4978684661673</v>
      </c>
      <c r="T10" s="41">
        <v>1043.9753799821151</v>
      </c>
      <c r="U10" s="42">
        <v>2127.4798852047138</v>
      </c>
      <c r="V10" s="41">
        <v>1043.1134371282774</v>
      </c>
      <c r="W10" s="42">
        <v>2377.099417072543</v>
      </c>
      <c r="X10" s="41">
        <v>1042.8136405560726</v>
      </c>
      <c r="Y10" s="42">
        <v>2706.3289321850693</v>
      </c>
      <c r="Z10" s="41">
        <v>1043.3699673470708</v>
      </c>
      <c r="AA10" s="42">
        <v>3159.2821560713824</v>
      </c>
      <c r="AB10" s="41">
        <v>1045.1834602396166</v>
      </c>
      <c r="AC10" s="42">
        <v>3813.8370048575553</v>
      </c>
      <c r="AD10" s="41">
        <v>1048.6912263399263</v>
      </c>
      <c r="AE10" s="42">
        <v>4811.9576858400278</v>
      </c>
      <c r="AF10" s="41">
        <v>1054.1443218616735</v>
      </c>
      <c r="AG10" s="42">
        <v>6422.6944321465789</v>
      </c>
      <c r="AH10" s="41">
        <v>1061.3510035001079</v>
      </c>
      <c r="AI10" s="42">
        <v>9201.41786178847</v>
      </c>
      <c r="AJ10" s="41">
        <v>1069.7192241237544</v>
      </c>
      <c r="AK10" s="42">
        <v>14499.40483842227</v>
      </c>
      <c r="AL10" s="41">
        <v>1078.5905844294489</v>
      </c>
      <c r="AM10" s="42">
        <v>26537.884051090012</v>
      </c>
      <c r="AN10" s="41">
        <v>1087.4094751374112</v>
      </c>
      <c r="AO10" s="42">
        <v>65407.82038156045</v>
      </c>
      <c r="AP10" s="41">
        <v>1089.1044678057281</v>
      </c>
      <c r="AQ10" s="42">
        <v>83939.386373274072</v>
      </c>
      <c r="AR10" s="41"/>
      <c r="AS10" s="42"/>
      <c r="AT10" s="41"/>
      <c r="AU10" s="42"/>
      <c r="AV10" s="41"/>
      <c r="AW10" s="42"/>
    </row>
    <row r="11" spans="1:49" x14ac:dyDescent="0.2">
      <c r="A11" t="s">
        <v>29</v>
      </c>
      <c r="B11" s="41">
        <v>1059.2664648168009</v>
      </c>
      <c r="C11" s="42">
        <v>1164.8563607265562</v>
      </c>
      <c r="D11" s="41">
        <v>1057.3734430756033</v>
      </c>
      <c r="E11" s="42">
        <v>1221.2665904960761</v>
      </c>
      <c r="F11" s="41">
        <v>1055.4927504578329</v>
      </c>
      <c r="G11" s="42">
        <v>1284.5590480431997</v>
      </c>
      <c r="H11" s="41">
        <v>1053.6309785294452</v>
      </c>
      <c r="I11" s="42">
        <v>1356.1398749663008</v>
      </c>
      <c r="J11" s="41">
        <v>1051.7981236778198</v>
      </c>
      <c r="K11" s="42">
        <v>1437.8467779014104</v>
      </c>
      <c r="L11" s="41">
        <v>1050.0093085005715</v>
      </c>
      <c r="M11" s="42">
        <v>1532.1319825464441</v>
      </c>
      <c r="N11" s="41">
        <v>1048.2874635399528</v>
      </c>
      <c r="O11" s="42">
        <v>1642.3463688948113</v>
      </c>
      <c r="P11" s="41">
        <v>1046.6674436204401</v>
      </c>
      <c r="Q11" s="42">
        <v>1773.1959324263246</v>
      </c>
      <c r="R11" s="41">
        <v>1045.2026215129058</v>
      </c>
      <c r="S11" s="42">
        <v>1931.4978684661673</v>
      </c>
      <c r="T11" s="41">
        <v>1043.9753799821151</v>
      </c>
      <c r="U11" s="42">
        <v>2127.4798852047138</v>
      </c>
      <c r="V11" s="41">
        <v>1043.1134371282774</v>
      </c>
      <c r="W11" s="42">
        <v>2377.099417072543</v>
      </c>
      <c r="X11" s="41">
        <v>1042.8136405560726</v>
      </c>
      <c r="Y11" s="42">
        <v>2706.3289321850693</v>
      </c>
      <c r="Z11" s="41">
        <v>1043.3699673470708</v>
      </c>
      <c r="AA11" s="42">
        <v>3159.2821560713824</v>
      </c>
      <c r="AB11" s="41">
        <v>1045.1834602396166</v>
      </c>
      <c r="AC11" s="42">
        <v>3813.8370048575553</v>
      </c>
      <c r="AD11" s="41">
        <v>1048.6912263399263</v>
      </c>
      <c r="AE11" s="42">
        <v>4811.9576858400278</v>
      </c>
      <c r="AF11" s="41">
        <v>1054.1443218616735</v>
      </c>
      <c r="AG11" s="42">
        <v>6422.6944321465789</v>
      </c>
      <c r="AH11" s="41">
        <v>1061.3510035001079</v>
      </c>
      <c r="AI11" s="42">
        <v>9201.41786178847</v>
      </c>
      <c r="AJ11" s="41">
        <v>1069.7192241237544</v>
      </c>
      <c r="AK11" s="42">
        <v>14499.40483842227</v>
      </c>
      <c r="AL11" s="41">
        <v>1078.5905844294489</v>
      </c>
      <c r="AM11" s="42">
        <v>26537.884051090012</v>
      </c>
      <c r="AN11" s="41">
        <v>1087.4094751374112</v>
      </c>
      <c r="AO11" s="42">
        <v>65407.82038156045</v>
      </c>
      <c r="AP11" s="41">
        <v>1089.1044678057281</v>
      </c>
      <c r="AQ11" s="42">
        <v>83939.386373274072</v>
      </c>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c r="AS12" s="42"/>
      <c r="AT12" s="41"/>
      <c r="AU12" s="42"/>
      <c r="AV12" s="41"/>
      <c r="AW12" s="42"/>
    </row>
    <row r="13" spans="1:49" x14ac:dyDescent="0.2">
      <c r="A13" t="s">
        <v>17</v>
      </c>
      <c r="B13" s="100">
        <v>1000</v>
      </c>
      <c r="C13" s="101">
        <v>1000</v>
      </c>
      <c r="D13" s="100">
        <v>998.60613019881134</v>
      </c>
      <c r="E13" s="101">
        <v>998.60613019881134</v>
      </c>
      <c r="F13" s="100">
        <v>996.93127069961736</v>
      </c>
      <c r="G13" s="101">
        <v>996.93127069961736</v>
      </c>
      <c r="H13" s="100">
        <v>994.93218592054961</v>
      </c>
      <c r="I13" s="101">
        <v>994.93218592054961</v>
      </c>
      <c r="J13" s="100">
        <v>992.55523312203218</v>
      </c>
      <c r="K13" s="101">
        <v>992.55523312203218</v>
      </c>
      <c r="L13" s="100">
        <v>989.73284834480137</v>
      </c>
      <c r="M13" s="101">
        <v>989.73284834480137</v>
      </c>
      <c r="N13" s="100">
        <v>986.37843661305408</v>
      </c>
      <c r="O13" s="101">
        <v>986.37843661305408</v>
      </c>
      <c r="P13" s="100">
        <v>982.37846226672525</v>
      </c>
      <c r="Q13" s="101">
        <v>982.37846226672525</v>
      </c>
      <c r="R13" s="100">
        <v>977.5804151579789</v>
      </c>
      <c r="S13" s="101">
        <v>977.5804151579789</v>
      </c>
      <c r="T13" s="100">
        <v>971.77366474096266</v>
      </c>
      <c r="U13" s="101">
        <v>971.77366474096266</v>
      </c>
      <c r="V13" s="100">
        <v>964.65778697217161</v>
      </c>
      <c r="W13" s="101">
        <v>964.65778697217161</v>
      </c>
      <c r="X13" s="100">
        <v>955.78879142569645</v>
      </c>
      <c r="Y13" s="101">
        <v>955.78879142569645</v>
      </c>
      <c r="Z13" s="100">
        <v>944.48581341094268</v>
      </c>
      <c r="AA13" s="101">
        <v>944.48581341094268</v>
      </c>
      <c r="AB13" s="100">
        <v>929.66678414983403</v>
      </c>
      <c r="AC13" s="101">
        <v>929.66678414983403</v>
      </c>
      <c r="AD13" s="100">
        <v>909.55898178542827</v>
      </c>
      <c r="AE13" s="101">
        <v>909.55898178542827</v>
      </c>
      <c r="AF13" s="100">
        <v>881.17412360457456</v>
      </c>
      <c r="AG13" s="101">
        <v>881.17412360457456</v>
      </c>
      <c r="AH13" s="100">
        <v>839.2399453678704</v>
      </c>
      <c r="AI13" s="101">
        <v>839.2399453678704</v>
      </c>
      <c r="AJ13" s="100">
        <v>773.5894722465664</v>
      </c>
      <c r="AK13" s="101">
        <v>773.5894722465664</v>
      </c>
      <c r="AL13" s="100">
        <v>661.52011967086537</v>
      </c>
      <c r="AM13" s="101">
        <v>661.52011967086537</v>
      </c>
      <c r="AN13" s="100">
        <v>440.3247677410867</v>
      </c>
      <c r="AO13" s="101">
        <v>440.3247677410867</v>
      </c>
      <c r="AP13" s="100">
        <v>369.6928010627542</v>
      </c>
      <c r="AQ13" s="101">
        <v>369.6928010627542</v>
      </c>
      <c r="AR13" s="100"/>
      <c r="AS13" s="101"/>
      <c r="AT13" s="100"/>
      <c r="AU13" s="101"/>
      <c r="AV13" s="100"/>
      <c r="AW13" s="101"/>
    </row>
    <row r="14" spans="1:49" x14ac:dyDescent="0.2">
      <c r="A14" t="s">
        <v>36</v>
      </c>
      <c r="B14" s="41">
        <v>1571.7032514685595</v>
      </c>
      <c r="C14" s="42">
        <v>1562.3699911127492</v>
      </c>
      <c r="D14" s="41">
        <v>1569.5125017699077</v>
      </c>
      <c r="E14" s="42">
        <v>1560.1922507638537</v>
      </c>
      <c r="F14" s="41">
        <v>1566.8801196492714</v>
      </c>
      <c r="G14" s="42">
        <v>1557.5755005429828</v>
      </c>
      <c r="H14" s="41">
        <v>1563.7381516020494</v>
      </c>
      <c r="I14" s="42">
        <v>1554.4521904744772</v>
      </c>
      <c r="J14" s="41">
        <v>1560.0022871600322</v>
      </c>
      <c r="K14" s="42">
        <v>1550.7385107517821</v>
      </c>
      <c r="L14" s="41">
        <v>1555.5663358287632</v>
      </c>
      <c r="M14" s="42">
        <v>1546.3289014724633</v>
      </c>
      <c r="N14" s="41">
        <v>1550.2941960032117</v>
      </c>
      <c r="O14" s="42">
        <v>1541.0880692449446</v>
      </c>
      <c r="P14" s="41">
        <v>1544.0074233172957</v>
      </c>
      <c r="Q14" s="42">
        <v>1534.8386293610197</v>
      </c>
      <c r="R14" s="41">
        <v>1536.4663170757799</v>
      </c>
      <c r="S14" s="42">
        <v>1527.342304542369</v>
      </c>
      <c r="T14" s="41">
        <v>1527.3398285648889</v>
      </c>
      <c r="U14" s="42">
        <v>1518.2700119449414</v>
      </c>
      <c r="V14" s="41">
        <v>1516.1557803386272</v>
      </c>
      <c r="W14" s="42">
        <v>1507.152378058556</v>
      </c>
      <c r="X14" s="41">
        <v>1502.216351200972</v>
      </c>
      <c r="Y14" s="42">
        <v>1493.2957255654305</v>
      </c>
      <c r="Z14" s="41">
        <v>1484.4514239039058</v>
      </c>
      <c r="AA14" s="42">
        <v>1475.636291904972</v>
      </c>
      <c r="AB14" s="41">
        <v>1461.1603074306138</v>
      </c>
      <c r="AC14" s="42">
        <v>1452.4834852899942</v>
      </c>
      <c r="AD14" s="41">
        <v>1429.5568090745901</v>
      </c>
      <c r="AE14" s="42">
        <v>1421.0676582886208</v>
      </c>
      <c r="AF14" s="41">
        <v>1384.9442351792682</v>
      </c>
      <c r="AG14" s="42">
        <v>1376.7200076648637</v>
      </c>
      <c r="AH14" s="41">
        <v>1319.0361508969781</v>
      </c>
      <c r="AI14" s="42">
        <v>1311.2033059858638</v>
      </c>
      <c r="AJ14" s="41">
        <v>1215.8530888317755</v>
      </c>
      <c r="AK14" s="42">
        <v>1208.6329768787841</v>
      </c>
      <c r="AL14" s="41">
        <v>1039.7133229985698</v>
      </c>
      <c r="AM14" s="42">
        <v>1033.5391834910747</v>
      </c>
      <c r="AN14" s="41">
        <v>692.05986916080428</v>
      </c>
      <c r="AO14" s="42">
        <v>687.95020346236493</v>
      </c>
      <c r="AP14" s="41">
        <v>581.04737747485012</v>
      </c>
      <c r="AQ14" s="42">
        <v>577.59693831086258</v>
      </c>
      <c r="AR14" s="41"/>
      <c r="AS14" s="42"/>
      <c r="AT14" s="41"/>
      <c r="AU14" s="42"/>
      <c r="AV14" s="41"/>
      <c r="AW14" s="42"/>
    </row>
    <row r="15" spans="1:49" x14ac:dyDescent="0.2">
      <c r="A15" t="s">
        <v>18</v>
      </c>
      <c r="B15" s="157">
        <v>1000</v>
      </c>
      <c r="C15" s="158">
        <v>1000</v>
      </c>
      <c r="D15" s="157">
        <v>992.39445836156074</v>
      </c>
      <c r="E15" s="158">
        <v>992.39445836156074</v>
      </c>
      <c r="F15" s="157">
        <v>984.6199995931662</v>
      </c>
      <c r="G15" s="158">
        <v>984.6199995931662</v>
      </c>
      <c r="H15" s="157">
        <v>976.64845695275039</v>
      </c>
      <c r="I15" s="158">
        <v>976.64845695275039</v>
      </c>
      <c r="J15" s="157">
        <v>968.4454871670257</v>
      </c>
      <c r="K15" s="158">
        <v>968.4454871670257</v>
      </c>
      <c r="L15" s="157">
        <v>959.96843587975673</v>
      </c>
      <c r="M15" s="158">
        <v>959.96843587975673</v>
      </c>
      <c r="N15" s="157">
        <v>951.16315205278431</v>
      </c>
      <c r="O15" s="158">
        <v>951.16315205278431</v>
      </c>
      <c r="P15" s="157">
        <v>941.95901255682111</v>
      </c>
      <c r="Q15" s="158">
        <v>941.95901255682111</v>
      </c>
      <c r="R15" s="157">
        <v>932.26085388449883</v>
      </c>
      <c r="S15" s="158">
        <v>932.26085388449883</v>
      </c>
      <c r="T15" s="157">
        <v>921.93529686828219</v>
      </c>
      <c r="U15" s="158">
        <v>921.93529686828219</v>
      </c>
      <c r="V15" s="157">
        <v>910.78640100372922</v>
      </c>
      <c r="W15" s="158">
        <v>910.78640100372922</v>
      </c>
      <c r="X15" s="157">
        <v>898.51020566274929</v>
      </c>
      <c r="Y15" s="158">
        <v>898.51020566274929</v>
      </c>
      <c r="Z15" s="157">
        <v>884.60658310538759</v>
      </c>
      <c r="AA15" s="158">
        <v>884.60658310538759</v>
      </c>
      <c r="AB15" s="157">
        <v>868.20601212845781</v>
      </c>
      <c r="AC15" s="158">
        <v>868.20601212845781</v>
      </c>
      <c r="AD15" s="157">
        <v>847.74105065032836</v>
      </c>
      <c r="AE15" s="158">
        <v>847.74105065032836</v>
      </c>
      <c r="AF15" s="157">
        <v>820.36925374820214</v>
      </c>
      <c r="AG15" s="158">
        <v>820.36925374820214</v>
      </c>
      <c r="AH15" s="157">
        <v>780.9548542319028</v>
      </c>
      <c r="AI15" s="158">
        <v>780.9548542319028</v>
      </c>
      <c r="AJ15" s="157">
        <v>719.75892854317294</v>
      </c>
      <c r="AK15" s="158">
        <v>719.75892854317294</v>
      </c>
      <c r="AL15" s="157">
        <v>615.47066028647646</v>
      </c>
      <c r="AM15" s="158">
        <v>615.47066028647646</v>
      </c>
      <c r="AN15" s="157">
        <v>409.67197393437675</v>
      </c>
      <c r="AO15" s="158">
        <v>409.67197393437675</v>
      </c>
      <c r="AP15" s="157">
        <v>343.95697106891703</v>
      </c>
      <c r="AQ15" s="158">
        <v>343.95697106891703</v>
      </c>
      <c r="AR15" s="157"/>
      <c r="AS15" s="158"/>
      <c r="AT15" s="157"/>
      <c r="AU15" s="158"/>
      <c r="AV15" s="157"/>
      <c r="AW15" s="158"/>
    </row>
    <row r="16" spans="1:49" s="29" customFormat="1" x14ac:dyDescent="0.2">
      <c r="A16" t="s">
        <v>63</v>
      </c>
      <c r="B16" s="41">
        <v>1000</v>
      </c>
      <c r="C16" s="42">
        <v>1000</v>
      </c>
      <c r="D16" s="41">
        <v>995.55016000199942</v>
      </c>
      <c r="E16" s="42">
        <v>993.88854005618396</v>
      </c>
      <c r="F16" s="41">
        <v>990.87161163208236</v>
      </c>
      <c r="G16" s="42">
        <v>987.5801614712401</v>
      </c>
      <c r="H16" s="41">
        <v>985.92866226193314</v>
      </c>
      <c r="I16" s="42">
        <v>981.04311925472587</v>
      </c>
      <c r="J16" s="41">
        <v>980.67732128987325</v>
      </c>
      <c r="K16" s="42">
        <v>974.23848459262854</v>
      </c>
      <c r="L16" s="41">
        <v>975.06247531352528</v>
      </c>
      <c r="M16" s="42">
        <v>967.11768238043817</v>
      </c>
      <c r="N16" s="41">
        <v>969.01373919941943</v>
      </c>
      <c r="O16" s="42">
        <v>959.61884805546845</v>
      </c>
      <c r="P16" s="41">
        <v>962.43900958220161</v>
      </c>
      <c r="Q16" s="42">
        <v>951.66115364229188</v>
      </c>
      <c r="R16" s="41">
        <v>955.21440980048317</v>
      </c>
      <c r="S16" s="42">
        <v>943.13579592528674</v>
      </c>
      <c r="T16" s="41">
        <v>947.16787293663651</v>
      </c>
      <c r="U16" s="42">
        <v>933.8910191910611</v>
      </c>
      <c r="V16" s="41">
        <v>938.05112116846215</v>
      </c>
      <c r="W16" s="42">
        <v>923.70602468784193</v>
      </c>
      <c r="X16" s="41">
        <v>927.4900331378833</v>
      </c>
      <c r="Y16" s="42">
        <v>912.24353048397745</v>
      </c>
      <c r="Z16" s="41">
        <v>914.89389494795103</v>
      </c>
      <c r="AA16" s="42">
        <v>898.96039054657319</v>
      </c>
      <c r="AB16" s="41">
        <v>899.28660067006342</v>
      </c>
      <c r="AC16" s="42">
        <v>882.93647405279603</v>
      </c>
      <c r="AD16" s="41">
        <v>878.99765037813404</v>
      </c>
      <c r="AE16" s="42">
        <v>862.5554167060551</v>
      </c>
      <c r="AF16" s="41">
        <v>851.11108312221586</v>
      </c>
      <c r="AG16" s="42">
        <v>834.93990701472217</v>
      </c>
      <c r="AH16" s="41">
        <v>810.42168438634656</v>
      </c>
      <c r="AI16" s="42">
        <v>794.92130821253284</v>
      </c>
      <c r="AJ16" s="41">
        <v>746.97340707887088</v>
      </c>
      <c r="AK16" s="42">
        <v>732.65786171713523</v>
      </c>
      <c r="AL16" s="41">
        <v>638.75129848784991</v>
      </c>
      <c r="AM16" s="42">
        <v>626.50506371730933</v>
      </c>
      <c r="AN16" s="41">
        <v>425.16871311550432</v>
      </c>
      <c r="AO16" s="42">
        <v>417.01701653996821</v>
      </c>
      <c r="AP16" s="41">
        <v>356.96790398213523</v>
      </c>
      <c r="AQ16" s="42">
        <v>350.12380755825785</v>
      </c>
      <c r="AR16" s="41"/>
      <c r="AS16" s="42"/>
      <c r="AT16" s="41"/>
      <c r="AU16" s="42"/>
      <c r="AV16" s="41"/>
      <c r="AW16" s="42"/>
    </row>
    <row r="17" spans="1:49" x14ac:dyDescent="0.2">
      <c r="A17" t="s">
        <v>64</v>
      </c>
      <c r="B17" s="35">
        <v>1000</v>
      </c>
      <c r="C17" s="36">
        <v>999.99999999999977</v>
      </c>
      <c r="D17" s="35">
        <v>998.30335734515268</v>
      </c>
      <c r="E17" s="36">
        <v>1031.8836075448082</v>
      </c>
      <c r="F17" s="35">
        <v>996.62042048859223</v>
      </c>
      <c r="G17" s="36">
        <v>1067.6519335751796</v>
      </c>
      <c r="H17" s="35">
        <v>994.95702969976151</v>
      </c>
      <c r="I17" s="36">
        <v>1108.087724757464</v>
      </c>
      <c r="J17" s="35">
        <v>993.32202440775859</v>
      </c>
      <c r="K17" s="36">
        <v>1154.2124904246805</v>
      </c>
      <c r="L17" s="35">
        <v>991.72875149393337</v>
      </c>
      <c r="M17" s="36">
        <v>1207.3871990241344</v>
      </c>
      <c r="N17" s="35">
        <v>990.19741777535569</v>
      </c>
      <c r="O17" s="36">
        <v>1269.4683617482376</v>
      </c>
      <c r="P17" s="35">
        <v>988.7586986519334</v>
      </c>
      <c r="Q17" s="36">
        <v>1343.0582158010527</v>
      </c>
      <c r="R17" s="35">
        <v>987.45953039057042</v>
      </c>
      <c r="S17" s="36">
        <v>1431.9179676097817</v>
      </c>
      <c r="T17" s="35">
        <v>986.37233789495713</v>
      </c>
      <c r="U17" s="36">
        <v>1541.6755832795027</v>
      </c>
      <c r="V17" s="35">
        <v>985.60944431126177</v>
      </c>
      <c r="W17" s="36">
        <v>1681.0841034318607</v>
      </c>
      <c r="X17" s="35">
        <v>985.34423306396081</v>
      </c>
      <c r="Y17" s="36">
        <v>1864.3351254685319</v>
      </c>
      <c r="Z17" s="35">
        <v>985.83643570362199</v>
      </c>
      <c r="AA17" s="36">
        <v>2115.4184312971661</v>
      </c>
      <c r="AB17" s="35">
        <v>987.44254682378551</v>
      </c>
      <c r="AC17" s="36">
        <v>2476.4401028018665</v>
      </c>
      <c r="AD17" s="35">
        <v>990.55630448341446</v>
      </c>
      <c r="AE17" s="36">
        <v>3023.6406122042486</v>
      </c>
      <c r="AF17" s="35">
        <v>995.41541354207209</v>
      </c>
      <c r="AG17" s="36">
        <v>3900.5458812170091</v>
      </c>
      <c r="AH17" s="35">
        <v>1001.8713845658781</v>
      </c>
      <c r="AI17" s="36">
        <v>5401.9960533354833</v>
      </c>
      <c r="AJ17" s="35">
        <v>1009.4163214837764</v>
      </c>
      <c r="AK17" s="36">
        <v>8243.7918052878595</v>
      </c>
      <c r="AL17" s="35">
        <v>1017.4709814665079</v>
      </c>
      <c r="AM17" s="36">
        <v>14659.958549711582</v>
      </c>
      <c r="AN17" s="35">
        <v>1025.5344391219041</v>
      </c>
      <c r="AO17" s="36">
        <v>35279.876357377543</v>
      </c>
      <c r="AP17" s="35">
        <v>1027.0906206799332</v>
      </c>
      <c r="AQ17" s="36">
        <v>45097.491905682582</v>
      </c>
      <c r="AR17" s="35"/>
      <c r="AS17" s="36"/>
      <c r="AT17" s="35"/>
      <c r="AU17" s="36"/>
      <c r="AV17" s="35"/>
      <c r="AW17" s="36"/>
    </row>
    <row r="18" spans="1:49" x14ac:dyDescent="0.2">
      <c r="A18" t="s">
        <v>19</v>
      </c>
      <c r="B18" s="33">
        <v>21498.981358265999</v>
      </c>
      <c r="C18" s="34">
        <v>834.03652123400332</v>
      </c>
      <c r="D18" s="33">
        <v>21507.990275442731</v>
      </c>
      <c r="E18" s="34">
        <v>757.22896132497272</v>
      </c>
      <c r="F18" s="33">
        <v>21513.836925975309</v>
      </c>
      <c r="G18" s="34">
        <v>681.52621588590318</v>
      </c>
      <c r="H18" s="33">
        <v>21515.959360811954</v>
      </c>
      <c r="I18" s="34">
        <v>607.11083941720312</v>
      </c>
      <c r="J18" s="33">
        <v>21513.639718135397</v>
      </c>
      <c r="K18" s="34">
        <v>534.21122764722463</v>
      </c>
      <c r="L18" s="33">
        <v>21505.945300607102</v>
      </c>
      <c r="M18" s="34">
        <v>463.11572048976291</v>
      </c>
      <c r="N18" s="33">
        <v>21491.641085061023</v>
      </c>
      <c r="O18" s="34">
        <v>394.1918752733356</v>
      </c>
      <c r="P18" s="33">
        <v>21469.055259483375</v>
      </c>
      <c r="Q18" s="34">
        <v>327.91443881703054</v>
      </c>
      <c r="R18" s="33">
        <v>21435.871422287928</v>
      </c>
      <c r="S18" s="34">
        <v>264.90152947199294</v>
      </c>
      <c r="T18" s="33">
        <v>21388.798891897022</v>
      </c>
      <c r="U18" s="34">
        <v>205.96080780132655</v>
      </c>
      <c r="V18" s="87">
        <v>21323.040433397167</v>
      </c>
      <c r="W18" s="88">
        <v>152.14227839491571</v>
      </c>
      <c r="X18" s="33">
        <v>21231.433069487619</v>
      </c>
      <c r="Y18" s="34">
        <v>104.77540210782614</v>
      </c>
      <c r="Z18" s="33">
        <v>21103.098653425324</v>
      </c>
      <c r="AA18" s="34">
        <v>65.421300486240725</v>
      </c>
      <c r="AB18" s="33">
        <v>20921.463030613504</v>
      </c>
      <c r="AC18" s="34">
        <v>35.583976459359192</v>
      </c>
      <c r="AD18" s="33">
        <v>20661.571376434236</v>
      </c>
      <c r="AE18" s="34">
        <v>15.97734722244641</v>
      </c>
      <c r="AF18" s="33">
        <v>20285.709248725641</v>
      </c>
      <c r="AG18" s="34">
        <v>5.5448833846277932</v>
      </c>
      <c r="AH18" s="33">
        <v>19731.174447524503</v>
      </c>
      <c r="AI18" s="34">
        <v>1.3722222112872076</v>
      </c>
      <c r="AJ18" s="33">
        <v>18870.531433113112</v>
      </c>
      <c r="AK18" s="34">
        <v>0.2132685389537152</v>
      </c>
      <c r="AL18" s="33">
        <v>17379.081554516273</v>
      </c>
      <c r="AM18" s="34">
        <v>1.5840458849157673E-2</v>
      </c>
      <c r="AN18" s="33">
        <v>14121.770978828543</v>
      </c>
      <c r="AO18" s="34">
        <v>2.615515867131936E-4</v>
      </c>
      <c r="AP18" s="33">
        <v>12929.670488762962</v>
      </c>
      <c r="AQ18" s="34">
        <v>7.9930458991296172E-5</v>
      </c>
      <c r="AR18" s="33"/>
      <c r="AS18" s="34"/>
      <c r="AT18" s="33"/>
      <c r="AU18" s="34"/>
      <c r="AV18" s="33"/>
      <c r="AW18" s="34"/>
    </row>
    <row r="19" spans="1:49" x14ac:dyDescent="0.2">
      <c r="A19" t="s">
        <v>3</v>
      </c>
      <c r="B19" s="41">
        <v>1782.2320505062355</v>
      </c>
      <c r="C19" s="42">
        <v>450.22976484179424</v>
      </c>
      <c r="D19" s="41">
        <v>1775.2750709923403</v>
      </c>
      <c r="E19" s="42">
        <v>457.86982338008937</v>
      </c>
      <c r="F19" s="41">
        <v>1768.1187163412949</v>
      </c>
      <c r="G19" s="42">
        <v>465.92142928139918</v>
      </c>
      <c r="H19" s="41">
        <v>1760.7467706987052</v>
      </c>
      <c r="I19" s="42">
        <v>474.33362302968789</v>
      </c>
      <c r="J19" s="41">
        <v>1753.1445551766335</v>
      </c>
      <c r="K19" s="42">
        <v>483.02073639258896</v>
      </c>
      <c r="L19" s="41">
        <v>1745.3011096492683</v>
      </c>
      <c r="M19" s="42">
        <v>491.84527156087694</v>
      </c>
      <c r="N19" s="41">
        <v>1737.2128503913523</v>
      </c>
      <c r="O19" s="42">
        <v>500.59174948794163</v>
      </c>
      <c r="P19" s="41">
        <v>1728.889019487845</v>
      </c>
      <c r="Q19" s="42">
        <v>508.92644957830845</v>
      </c>
      <c r="R19" s="41">
        <v>1720.3607734865691</v>
      </c>
      <c r="S19" s="42">
        <v>516.33398513476664</v>
      </c>
      <c r="T19" s="41">
        <v>1711.6952217040071</v>
      </c>
      <c r="U19" s="42">
        <v>522.01768860871027</v>
      </c>
      <c r="V19" s="41">
        <v>1703.0146469182675</v>
      </c>
      <c r="W19" s="42">
        <v>524.74687255884521</v>
      </c>
      <c r="X19" s="41">
        <v>1694.5152657530575</v>
      </c>
      <c r="Y19" s="42">
        <v>522.63962864991606</v>
      </c>
      <c r="Z19" s="41">
        <v>1686.4549139109511</v>
      </c>
      <c r="AA19" s="42">
        <v>512.91970864578605</v>
      </c>
      <c r="AB19" s="41">
        <v>1679.0016317217733</v>
      </c>
      <c r="AC19" s="42">
        <v>491.86724289048323</v>
      </c>
      <c r="AD19" s="41">
        <v>1671.6771295285669</v>
      </c>
      <c r="AE19" s="42">
        <v>455.5459770648684</v>
      </c>
      <c r="AF19" s="41">
        <v>1662.0301612170981</v>
      </c>
      <c r="AG19" s="42">
        <v>401.88262247778431</v>
      </c>
      <c r="AH19" s="41">
        <v>1643.4839833172593</v>
      </c>
      <c r="AI19" s="42">
        <v>332.87394220689458</v>
      </c>
      <c r="AJ19" s="41">
        <v>1601.9276797373072</v>
      </c>
      <c r="AK19" s="42">
        <v>253.87346730106418</v>
      </c>
      <c r="AL19" s="41">
        <v>1505.0282988815079</v>
      </c>
      <c r="AM19" s="42">
        <v>170.25838106545601</v>
      </c>
      <c r="AN19" s="41">
        <v>1247.188554408586</v>
      </c>
      <c r="AO19" s="42">
        <v>85.240544537595625</v>
      </c>
      <c r="AP19" s="41">
        <v>1146.1979861529919</v>
      </c>
      <c r="AQ19" s="42">
        <v>68.196282068517107</v>
      </c>
      <c r="AR19" s="41"/>
      <c r="AS19" s="42"/>
      <c r="AT19" s="41"/>
      <c r="AU19" s="42"/>
      <c r="AV19" s="41"/>
      <c r="AW19" s="42"/>
    </row>
    <row r="20" spans="1:49" x14ac:dyDescent="0.2">
      <c r="A20" t="s">
        <v>130</v>
      </c>
      <c r="B20" s="85">
        <v>20973.127797372959</v>
      </c>
      <c r="C20" s="86">
        <v>1222.2257935314667</v>
      </c>
      <c r="D20" s="85">
        <v>20966.129202101522</v>
      </c>
      <c r="E20" s="86">
        <v>1161.1145038548934</v>
      </c>
      <c r="F20" s="85">
        <v>20956.092756589795</v>
      </c>
      <c r="G20" s="86">
        <v>1100.0032141783201</v>
      </c>
      <c r="H20" s="85">
        <v>20942.534445878264</v>
      </c>
      <c r="I20" s="86">
        <v>1038.8919245017466</v>
      </c>
      <c r="J20" s="85">
        <v>20924.84954124158</v>
      </c>
      <c r="K20" s="86">
        <v>977.78063482517348</v>
      </c>
      <c r="L20" s="85">
        <v>20902.270639516595</v>
      </c>
      <c r="M20" s="86">
        <v>916.66934514859997</v>
      </c>
      <c r="N20" s="85">
        <v>20873.806305688551</v>
      </c>
      <c r="O20" s="86">
        <v>855.55805547202669</v>
      </c>
      <c r="P20" s="85">
        <v>20838.146391868249</v>
      </c>
      <c r="Q20" s="86">
        <v>794.44676579545353</v>
      </c>
      <c r="R20" s="85">
        <v>20793.516962483747</v>
      </c>
      <c r="S20" s="86">
        <v>733.33547611888025</v>
      </c>
      <c r="T20" s="85">
        <v>20737.448705318908</v>
      </c>
      <c r="U20" s="86">
        <v>672.22418644230675</v>
      </c>
      <c r="V20" s="85">
        <v>20666.393935469139</v>
      </c>
      <c r="W20" s="86">
        <v>611.11289676573335</v>
      </c>
      <c r="X20" s="85">
        <v>20575.077474568923</v>
      </c>
      <c r="Y20" s="86">
        <v>550.00160708916007</v>
      </c>
      <c r="Z20" s="85">
        <v>20455.376235622254</v>
      </c>
      <c r="AA20" s="86">
        <v>488.89031741258668</v>
      </c>
      <c r="AB20" s="85">
        <v>20294.364734691408</v>
      </c>
      <c r="AC20" s="86">
        <v>427.77902773601335</v>
      </c>
      <c r="AD20" s="85">
        <v>20070.885428656286</v>
      </c>
      <c r="AE20" s="86">
        <v>366.66773805943996</v>
      </c>
      <c r="AF20" s="85">
        <v>19749.138402078839</v>
      </c>
      <c r="AG20" s="86">
        <v>305.55644838286656</v>
      </c>
      <c r="AH20" s="85">
        <v>19264.458516801169</v>
      </c>
      <c r="AI20" s="86">
        <v>244.44515870629314</v>
      </c>
      <c r="AJ20" s="85">
        <v>18484.712681308611</v>
      </c>
      <c r="AK20" s="86">
        <v>183.33386902971975</v>
      </c>
      <c r="AL20" s="85">
        <v>17082.08256160286</v>
      </c>
      <c r="AM20" s="86">
        <v>122.22257935314637</v>
      </c>
      <c r="AN20" s="85">
        <v>13926.926736945436</v>
      </c>
      <c r="AO20" s="86">
        <v>61.111289676572973</v>
      </c>
      <c r="AP20" s="85">
        <v>12759.391462848715</v>
      </c>
      <c r="AQ20" s="86">
        <v>48.889031741258307</v>
      </c>
      <c r="AR20" s="85"/>
      <c r="AS20" s="86"/>
      <c r="AT20" s="85"/>
      <c r="AU20" s="86"/>
      <c r="AV20" s="85"/>
      <c r="AW20" s="86"/>
    </row>
    <row r="21" spans="1:49" x14ac:dyDescent="0.2">
      <c r="A21" t="s">
        <v>78</v>
      </c>
      <c r="B21" s="85">
        <v>19190.895746866718</v>
      </c>
      <c r="C21" s="86">
        <v>771.99602868967372</v>
      </c>
      <c r="D21" s="85">
        <v>19190.860349643197</v>
      </c>
      <c r="E21" s="86">
        <v>703.65621565957827</v>
      </c>
      <c r="F21" s="85">
        <v>19187.998740815608</v>
      </c>
      <c r="G21" s="86">
        <v>635.80280164834073</v>
      </c>
      <c r="H21" s="85">
        <v>19181.842724325885</v>
      </c>
      <c r="I21" s="86">
        <v>568.60883397455063</v>
      </c>
      <c r="J21" s="85">
        <v>19171.801584300323</v>
      </c>
      <c r="K21" s="86">
        <v>502.29468430321452</v>
      </c>
      <c r="L21" s="85">
        <v>19157.117784140104</v>
      </c>
      <c r="M21" s="86">
        <v>437.14293074758655</v>
      </c>
      <c r="N21" s="85">
        <v>19136.801705713606</v>
      </c>
      <c r="O21" s="86">
        <v>373.51854784200214</v>
      </c>
      <c r="P21" s="85">
        <v>19109.531145783418</v>
      </c>
      <c r="Q21" s="86">
        <v>311.89611631676598</v>
      </c>
      <c r="R21" s="85">
        <v>19073.49659291159</v>
      </c>
      <c r="S21" s="86">
        <v>252.89660463289272</v>
      </c>
      <c r="T21" s="85">
        <v>19026.15480331373</v>
      </c>
      <c r="U21" s="86">
        <v>197.33473909545208</v>
      </c>
      <c r="V21" s="85">
        <v>18963.825592916855</v>
      </c>
      <c r="W21" s="86">
        <v>146.27274122053137</v>
      </c>
      <c r="X21" s="85">
        <v>18881.023187616644</v>
      </c>
      <c r="Y21" s="86">
        <v>101.05931739326188</v>
      </c>
      <c r="Z21" s="85">
        <v>18769.349149430425</v>
      </c>
      <c r="AA21" s="86">
        <v>63.28698563634196</v>
      </c>
      <c r="AB21" s="85">
        <v>18615.696241341644</v>
      </c>
      <c r="AC21" s="86">
        <v>34.510829720351914</v>
      </c>
      <c r="AD21" s="85">
        <v>18399.394081895265</v>
      </c>
      <c r="AE21" s="86">
        <v>15.526928604913218</v>
      </c>
      <c r="AF21" s="85">
        <v>18087.151126324472</v>
      </c>
      <c r="AG21" s="86">
        <v>5.3962300676483599</v>
      </c>
      <c r="AH21" s="85">
        <v>17620.981461921045</v>
      </c>
      <c r="AI21" s="86">
        <v>1.3365549913270167</v>
      </c>
      <c r="AJ21" s="85">
        <v>16882.952161878879</v>
      </c>
      <c r="AK21" s="86">
        <v>0.20780767335246658</v>
      </c>
      <c r="AL21" s="85">
        <v>15577.582220031425</v>
      </c>
      <c r="AM21" s="86">
        <v>1.5437017120054502E-2</v>
      </c>
      <c r="AN21" s="85">
        <v>12680.651149259069</v>
      </c>
      <c r="AO21" s="86">
        <v>2.5489792947374268E-4</v>
      </c>
      <c r="AP21" s="85">
        <v>11614.133693534804</v>
      </c>
      <c r="AQ21" s="86">
        <v>7.7897190523769629E-5</v>
      </c>
      <c r="AR21" s="85"/>
      <c r="AS21" s="86"/>
      <c r="AT21" s="85"/>
      <c r="AU21" s="86"/>
      <c r="AV21" s="85"/>
      <c r="AW21" s="86"/>
    </row>
    <row r="22" spans="1:49" x14ac:dyDescent="0.2">
      <c r="A22" t="s">
        <v>28</v>
      </c>
      <c r="B22" s="41">
        <v>5896.9295697243897</v>
      </c>
      <c r="C22" s="42">
        <v>340.53228761636649</v>
      </c>
      <c r="D22" s="41">
        <v>5893.9894076354358</v>
      </c>
      <c r="E22" s="42">
        <v>330.48575952338308</v>
      </c>
      <c r="F22" s="41">
        <v>5889.8994583487793</v>
      </c>
      <c r="G22" s="42">
        <v>320.05250976782219</v>
      </c>
      <c r="H22" s="41">
        <v>5884.4879974931619</v>
      </c>
      <c r="I22" s="42">
        <v>309.19449643115445</v>
      </c>
      <c r="J22" s="41">
        <v>5877.5434056499198</v>
      </c>
      <c r="K22" s="42">
        <v>297.86560774188717</v>
      </c>
      <c r="L22" s="41">
        <v>5868.8013372743317</v>
      </c>
      <c r="M22" s="42">
        <v>286.00935433321467</v>
      </c>
      <c r="N22" s="41">
        <v>5857.9265179931981</v>
      </c>
      <c r="O22" s="42">
        <v>273.55581341148945</v>
      </c>
      <c r="P22" s="41">
        <v>5844.4842630962648</v>
      </c>
      <c r="Q22" s="42">
        <v>260.41742102037438</v>
      </c>
      <c r="R22" s="41">
        <v>5827.8980339877544</v>
      </c>
      <c r="S22" s="42">
        <v>246.48377990653873</v>
      </c>
      <c r="T22" s="41">
        <v>5807.3823173576911</v>
      </c>
      <c r="U22" s="42">
        <v>231.61567136155881</v>
      </c>
      <c r="V22" s="41">
        <v>5781.830997836857</v>
      </c>
      <c r="W22" s="42">
        <v>215.63961920288776</v>
      </c>
      <c r="X22" s="41">
        <v>5749.6249128092068</v>
      </c>
      <c r="Y22" s="42">
        <v>198.34800371210599</v>
      </c>
      <c r="Z22" s="41">
        <v>5708.2857263083342</v>
      </c>
      <c r="AA22" s="42">
        <v>179.51812361669397</v>
      </c>
      <c r="AB22" s="41">
        <v>5653.826676976887</v>
      </c>
      <c r="AC22" s="42">
        <v>158.97666321497832</v>
      </c>
      <c r="AD22" s="41">
        <v>5579.5148035394232</v>
      </c>
      <c r="AE22" s="42">
        <v>136.73653852932637</v>
      </c>
      <c r="AF22" s="41">
        <v>5473.5025653734756</v>
      </c>
      <c r="AG22" s="42">
        <v>113.15341365954555</v>
      </c>
      <c r="AH22" s="41">
        <v>5314.0706713089903</v>
      </c>
      <c r="AI22" s="42">
        <v>88.904253758083954</v>
      </c>
      <c r="AJ22" s="41">
        <v>5058.1119411699237</v>
      </c>
      <c r="AK22" s="42">
        <v>64.719157899318915</v>
      </c>
      <c r="AL22" s="41">
        <v>4604.6546095523763</v>
      </c>
      <c r="AM22" s="42">
        <v>41.198737320360046</v>
      </c>
      <c r="AN22" s="41">
        <v>3632.3855498886637</v>
      </c>
      <c r="AO22" s="42">
        <v>19.008272408563329</v>
      </c>
      <c r="AP22" s="41">
        <v>3289.3487469269003</v>
      </c>
      <c r="AQ22" s="42">
        <v>14.834223478374991</v>
      </c>
      <c r="AR22" s="41"/>
      <c r="AS22" s="42"/>
      <c r="AT22" s="41"/>
      <c r="AU22" s="42"/>
      <c r="AV22" s="41"/>
      <c r="AW22" s="42"/>
    </row>
    <row r="23" spans="1:49" x14ac:dyDescent="0.2">
      <c r="A23" t="s">
        <v>7</v>
      </c>
      <c r="B23" s="119">
        <v>2396.8717103698964</v>
      </c>
      <c r="C23" s="8">
        <v>0</v>
      </c>
      <c r="D23" s="119">
        <v>2398.5127242191206</v>
      </c>
      <c r="E23" s="8">
        <v>0</v>
      </c>
      <c r="F23" s="119">
        <v>2399.9307325181317</v>
      </c>
      <c r="G23" s="8">
        <v>0</v>
      </c>
      <c r="H23" s="119">
        <v>2401.0944387304262</v>
      </c>
      <c r="I23" s="8">
        <v>0</v>
      </c>
      <c r="J23" s="119">
        <v>2401.9662368153736</v>
      </c>
      <c r="K23" s="8">
        <v>0</v>
      </c>
      <c r="L23" s="119">
        <v>2402.5006233769918</v>
      </c>
      <c r="M23" s="8">
        <v>0</v>
      </c>
      <c r="N23" s="119">
        <v>2402.6420714937221</v>
      </c>
      <c r="O23" s="8">
        <v>0</v>
      </c>
      <c r="P23" s="119">
        <v>2402.3216287237865</v>
      </c>
      <c r="Q23" s="8">
        <v>0</v>
      </c>
      <c r="R23" s="119">
        <v>2401.4521106654897</v>
      </c>
      <c r="S23" s="8">
        <v>0</v>
      </c>
      <c r="T23" s="119">
        <v>2399.9203412412016</v>
      </c>
      <c r="U23" s="8">
        <v>0</v>
      </c>
      <c r="V23" s="119">
        <v>2397.5728721000764</v>
      </c>
      <c r="W23" s="8">
        <v>0</v>
      </c>
      <c r="X23" s="119">
        <v>2394.1866075750172</v>
      </c>
      <c r="Y23" s="8">
        <v>0</v>
      </c>
      <c r="Z23" s="119">
        <v>2389.4008548218885</v>
      </c>
      <c r="AA23" s="8">
        <v>0</v>
      </c>
      <c r="AB23" s="119">
        <v>2382.5472112177558</v>
      </c>
      <c r="AC23" s="8">
        <v>0</v>
      </c>
      <c r="AD23" s="119">
        <v>2372.2313335680378</v>
      </c>
      <c r="AE23" s="8">
        <v>0</v>
      </c>
      <c r="AF23" s="119">
        <v>2355.41065074989</v>
      </c>
      <c r="AG23" s="8">
        <v>0</v>
      </c>
      <c r="AH23" s="119">
        <v>2325.5634716521677</v>
      </c>
      <c r="AI23" s="8">
        <v>0</v>
      </c>
      <c r="AJ23" s="119">
        <v>2268.4307376733427</v>
      </c>
      <c r="AK23" s="8">
        <v>0</v>
      </c>
      <c r="AL23" s="119">
        <v>2147.2672382975061</v>
      </c>
      <c r="AM23" s="8">
        <v>0</v>
      </c>
      <c r="AN23" s="119">
        <v>1825.2404679303847</v>
      </c>
      <c r="AO23" s="8">
        <v>0</v>
      </c>
      <c r="AP23" s="119">
        <v>1694.1168272076395</v>
      </c>
      <c r="AQ23" s="8">
        <v>0</v>
      </c>
      <c r="AR23" s="119"/>
      <c r="AS23" s="8"/>
      <c r="AT23" s="119"/>
      <c r="AU23" s="8"/>
      <c r="AV23" s="119"/>
      <c r="AW23" s="8"/>
    </row>
    <row r="24" spans="1:49" x14ac:dyDescent="0.2">
      <c r="A24" t="s">
        <v>8</v>
      </c>
      <c r="B24" s="100">
        <v>2261.1304131516072</v>
      </c>
      <c r="C24" s="8">
        <v>0</v>
      </c>
      <c r="D24" s="100">
        <v>2262.6784918507551</v>
      </c>
      <c r="E24" s="8">
        <v>0</v>
      </c>
      <c r="F24" s="100">
        <v>2264.0161948146038</v>
      </c>
      <c r="G24" s="8">
        <v>0</v>
      </c>
      <c r="H24" s="100">
        <v>2265.113996915592</v>
      </c>
      <c r="I24" s="8">
        <v>0</v>
      </c>
      <c r="J24" s="100">
        <v>2265.9364225715813</v>
      </c>
      <c r="K24" s="8">
        <v>0</v>
      </c>
      <c r="L24" s="100">
        <v>2266.4405457437247</v>
      </c>
      <c r="M24" s="8">
        <v>0</v>
      </c>
      <c r="N24" s="100">
        <v>2266.5739833406915</v>
      </c>
      <c r="O24" s="8">
        <v>0</v>
      </c>
      <c r="P24" s="100">
        <v>2266.2716878944766</v>
      </c>
      <c r="Q24" s="8">
        <v>0</v>
      </c>
      <c r="R24" s="100">
        <v>2265.4514130108068</v>
      </c>
      <c r="S24" s="8">
        <v>0</v>
      </c>
      <c r="T24" s="100">
        <v>2264.0063919348004</v>
      </c>
      <c r="U24" s="8">
        <v>0</v>
      </c>
      <c r="V24" s="100">
        <v>2261.7918661976641</v>
      </c>
      <c r="W24" s="8">
        <v>0</v>
      </c>
      <c r="X24" s="100">
        <v>2258.5973749731761</v>
      </c>
      <c r="Y24" s="8">
        <v>0</v>
      </c>
      <c r="Z24" s="100">
        <v>2254.0826522637603</v>
      </c>
      <c r="AA24" s="8">
        <v>0</v>
      </c>
      <c r="AB24" s="100">
        <v>2247.6171489534108</v>
      </c>
      <c r="AC24" s="8">
        <v>0</v>
      </c>
      <c r="AD24" s="100">
        <v>2237.8854872208958</v>
      </c>
      <c r="AE24" s="8">
        <v>0</v>
      </c>
      <c r="AF24" s="100">
        <v>2222.0174049476504</v>
      </c>
      <c r="AG24" s="8">
        <v>0</v>
      </c>
      <c r="AH24" s="100">
        <v>2193.8605519517414</v>
      </c>
      <c r="AI24" s="8">
        <v>0</v>
      </c>
      <c r="AJ24" s="100">
        <v>2139.963398495534</v>
      </c>
      <c r="AK24" s="8">
        <v>0</v>
      </c>
      <c r="AL24" s="100">
        <v>2025.6617142557031</v>
      </c>
      <c r="AM24" s="8">
        <v>0</v>
      </c>
      <c r="AN24" s="100">
        <v>1721.8721867744655</v>
      </c>
      <c r="AO24" s="8">
        <v>0</v>
      </c>
      <c r="AP24" s="100">
        <v>1598.1744308042012</v>
      </c>
      <c r="AQ24" s="8">
        <v>0</v>
      </c>
      <c r="AR24" s="100"/>
      <c r="AS24" s="8"/>
      <c r="AT24" s="100"/>
      <c r="AU24" s="8"/>
      <c r="AV24" s="100"/>
      <c r="AW24" s="8"/>
    </row>
    <row r="25" spans="1:49" x14ac:dyDescent="0.2">
      <c r="A25" t="s">
        <v>0</v>
      </c>
      <c r="B25" s="41">
        <v>2308.08561139929</v>
      </c>
      <c r="C25" s="42">
        <v>62.040492544331705</v>
      </c>
      <c r="D25" s="41">
        <v>2317.122030545042</v>
      </c>
      <c r="E25" s="42">
        <v>53.535207270213498</v>
      </c>
      <c r="F25" s="41">
        <v>2325.8066714218717</v>
      </c>
      <c r="G25" s="42">
        <v>45.58238868455004</v>
      </c>
      <c r="H25" s="41">
        <v>2334.0460581690991</v>
      </c>
      <c r="I25" s="42">
        <v>38.207457951034542</v>
      </c>
      <c r="J25" s="41">
        <v>2341.7136898474128</v>
      </c>
      <c r="K25" s="42">
        <v>31.435806475035644</v>
      </c>
      <c r="L25" s="41">
        <v>2348.635628525928</v>
      </c>
      <c r="M25" s="42">
        <v>25.292439049435703</v>
      </c>
      <c r="N25" s="41">
        <v>2354.5686160499422</v>
      </c>
      <c r="O25" s="42">
        <v>19.801415193856894</v>
      </c>
      <c r="P25" s="41">
        <v>2359.1666387610912</v>
      </c>
      <c r="Q25" s="42">
        <v>14.98501337936333</v>
      </c>
      <c r="R25" s="41">
        <v>2361.9286353592797</v>
      </c>
      <c r="S25" s="42">
        <v>10.862226310606038</v>
      </c>
      <c r="T25" s="41">
        <v>2362.1163430119886</v>
      </c>
      <c r="U25" s="42">
        <v>7.4461626863765202</v>
      </c>
      <c r="V25" s="41">
        <v>2358.626602976859</v>
      </c>
      <c r="W25" s="42">
        <v>4.7395802084213283</v>
      </c>
      <c r="X25" s="41">
        <v>2349.8018220237886</v>
      </c>
      <c r="Y25" s="42">
        <v>2.7273018956132646</v>
      </c>
      <c r="Z25" s="41">
        <v>2333.1860006483153</v>
      </c>
      <c r="AA25" s="42">
        <v>1.3643212088930412</v>
      </c>
      <c r="AB25" s="41">
        <v>2305.3300967437763</v>
      </c>
      <c r="AC25" s="42">
        <v>0.56102056165935088</v>
      </c>
      <c r="AD25" s="41">
        <v>2261.9359991276101</v>
      </c>
      <c r="AE25" s="42">
        <v>0.17592676491449774</v>
      </c>
      <c r="AF25" s="41">
        <v>2198.5032129364736</v>
      </c>
      <c r="AG25" s="42">
        <v>3.8375664655700532E-2</v>
      </c>
      <c r="AH25" s="41">
        <v>2110.1842797041636</v>
      </c>
      <c r="AI25" s="42">
        <v>5.1976869809680038E-3</v>
      </c>
      <c r="AJ25" s="41">
        <v>1987.3737303318696</v>
      </c>
      <c r="AK25" s="42">
        <v>3.6488291572355554E-4</v>
      </c>
      <c r="AL25" s="41">
        <v>1800.8647989354379</v>
      </c>
      <c r="AM25" s="42">
        <v>9.0211210732236976E-6</v>
      </c>
      <c r="AN25" s="41">
        <v>1440.0469916832558</v>
      </c>
      <c r="AO25" s="42">
        <v>2.7051791227562144E-8</v>
      </c>
      <c r="AP25" s="41">
        <v>1314.4366857306604</v>
      </c>
      <c r="AQ25" s="42">
        <v>5.1094252619392705E-9</v>
      </c>
      <c r="AR25" s="41"/>
      <c r="AS25" s="42"/>
      <c r="AT25" s="41"/>
      <c r="AU25" s="42"/>
      <c r="AV25" s="41"/>
      <c r="AW25" s="42"/>
    </row>
    <row r="26" spans="1:49" x14ac:dyDescent="0.2">
      <c r="A26" t="s">
        <v>27</v>
      </c>
      <c r="B26" s="33">
        <v>3209.4420883953348</v>
      </c>
      <c r="C26" s="34">
        <v>31.623872672841795</v>
      </c>
      <c r="D26" s="33">
        <v>3212.1648281142379</v>
      </c>
      <c r="E26" s="34">
        <v>28.901132953937417</v>
      </c>
      <c r="F26" s="33">
        <v>3214.8664434166731</v>
      </c>
      <c r="G26" s="34">
        <v>26.199517651501623</v>
      </c>
      <c r="H26" s="33">
        <v>3217.5420520271809</v>
      </c>
      <c r="I26" s="34">
        <v>23.523909040995481</v>
      </c>
      <c r="J26" s="33">
        <v>3220.1852166518293</v>
      </c>
      <c r="K26" s="34">
        <v>20.880744416345252</v>
      </c>
      <c r="L26" s="33">
        <v>3222.7873884039595</v>
      </c>
      <c r="M26" s="34">
        <v>18.278572664217712</v>
      </c>
      <c r="N26" s="33">
        <v>3225.3371171377225</v>
      </c>
      <c r="O26" s="34">
        <v>15.728843930452388</v>
      </c>
      <c r="P26" s="33">
        <v>3227.8188896040006</v>
      </c>
      <c r="Q26" s="34">
        <v>13.247071464176296</v>
      </c>
      <c r="R26" s="33">
        <v>3230.2115285979839</v>
      </c>
      <c r="S26" s="34">
        <v>10.854432470193872</v>
      </c>
      <c r="T26" s="33">
        <v>3232.4859913766786</v>
      </c>
      <c r="U26" s="34">
        <v>8.5799696914995991</v>
      </c>
      <c r="V26" s="87">
        <v>3234.6025521104602</v>
      </c>
      <c r="W26" s="88">
        <v>6.4634089577167169</v>
      </c>
      <c r="X26" s="33">
        <v>3236.5079606664926</v>
      </c>
      <c r="Y26" s="34">
        <v>4.5580004016862183</v>
      </c>
      <c r="Z26" s="33">
        <v>3238.1350178455973</v>
      </c>
      <c r="AA26" s="34">
        <v>2.9309432225807308</v>
      </c>
      <c r="AB26" s="33">
        <v>3239.4110727100533</v>
      </c>
      <c r="AC26" s="34">
        <v>1.6548883581229976</v>
      </c>
      <c r="AD26" s="33">
        <v>3240.2860064438069</v>
      </c>
      <c r="AE26" s="34">
        <v>0.77995462436962493</v>
      </c>
      <c r="AF26" s="33">
        <v>3240.7774468541884</v>
      </c>
      <c r="AG26" s="34">
        <v>0.28851421398901761</v>
      </c>
      <c r="AH26" s="33">
        <v>3240.9882152667374</v>
      </c>
      <c r="AI26" s="34">
        <v>7.7745801438222725E-2</v>
      </c>
      <c r="AJ26" s="33">
        <v>3241.052375636827</v>
      </c>
      <c r="AK26" s="34">
        <v>1.3585431347732083E-2</v>
      </c>
      <c r="AL26" s="33">
        <v>3241.064760159129</v>
      </c>
      <c r="AM26" s="34">
        <v>1.2009090473540443E-3</v>
      </c>
      <c r="AN26" s="33">
        <v>3241.0659339661147</v>
      </c>
      <c r="AO26" s="34">
        <v>2.7102062251831879E-5</v>
      </c>
      <c r="AP26" s="33">
        <v>3241.0659518838143</v>
      </c>
      <c r="AQ26" s="34">
        <v>9.1843638226244936E-6</v>
      </c>
      <c r="AR26" s="33"/>
      <c r="AS26" s="34"/>
      <c r="AT26" s="33"/>
      <c r="AU26" s="34"/>
      <c r="AV26" s="33"/>
      <c r="AW26" s="34"/>
    </row>
    <row r="27" spans="1:49" x14ac:dyDescent="0.2">
      <c r="A27" t="s">
        <v>2</v>
      </c>
      <c r="B27" s="35">
        <v>4880.3032028967582</v>
      </c>
      <c r="C27" s="36">
        <v>155.9342317514201</v>
      </c>
      <c r="D27" s="35">
        <v>4893.5953251186793</v>
      </c>
      <c r="E27" s="36">
        <v>142.64210914559649</v>
      </c>
      <c r="F27" s="35">
        <v>4906.8091492399462</v>
      </c>
      <c r="G27" s="36">
        <v>129.42828679442417</v>
      </c>
      <c r="H27" s="35">
        <v>4919.920173261482</v>
      </c>
      <c r="I27" s="36">
        <v>116.31726084879882</v>
      </c>
      <c r="J27" s="35">
        <v>4932.8960518097147</v>
      </c>
      <c r="K27" s="36">
        <v>103.34138139649339</v>
      </c>
      <c r="L27" s="35">
        <v>4945.6938132876967</v>
      </c>
      <c r="M27" s="36">
        <v>90.543622209343553</v>
      </c>
      <c r="N27" s="35">
        <v>4958.2559444293674</v>
      </c>
      <c r="O27" s="36">
        <v>77.9814920857429</v>
      </c>
      <c r="P27" s="35">
        <v>4970.5044592150743</v>
      </c>
      <c r="Q27" s="36">
        <v>65.732974564573396</v>
      </c>
      <c r="R27" s="35">
        <v>4982.3328417812127</v>
      </c>
      <c r="S27" s="36">
        <v>53.904592204535255</v>
      </c>
      <c r="T27" s="35">
        <v>4993.5950123858056</v>
      </c>
      <c r="U27" s="36">
        <v>42.642425298539614</v>
      </c>
      <c r="V27" s="35">
        <v>5004.0910937759272</v>
      </c>
      <c r="W27" s="36">
        <v>32.146340616524341</v>
      </c>
      <c r="X27" s="35">
        <v>5013.5530690209798</v>
      </c>
      <c r="Y27" s="36">
        <v>22.684367315283666</v>
      </c>
      <c r="Z27" s="35">
        <v>5021.6425526523208</v>
      </c>
      <c r="AA27" s="36">
        <v>14.594881632912807</v>
      </c>
      <c r="AB27" s="35">
        <v>5027.9931919151495</v>
      </c>
      <c r="AC27" s="36">
        <v>8.2442422042830898</v>
      </c>
      <c r="AD27" s="35">
        <v>5032.3507357738772</v>
      </c>
      <c r="AE27" s="36">
        <v>3.8866987199452732</v>
      </c>
      <c r="AF27" s="35">
        <v>5034.7994593180838</v>
      </c>
      <c r="AG27" s="36">
        <v>1.4379756313408212</v>
      </c>
      <c r="AH27" s="35">
        <v>5035.8499163200722</v>
      </c>
      <c r="AI27" s="36">
        <v>0.38751846489305225</v>
      </c>
      <c r="AJ27" s="35">
        <v>5036.1697175763593</v>
      </c>
      <c r="AK27" s="36">
        <v>6.7717111237640445E-2</v>
      </c>
      <c r="AL27" s="35">
        <v>5036.2314486541572</v>
      </c>
      <c r="AM27" s="36">
        <v>5.9860020304949397E-3</v>
      </c>
      <c r="AN27" s="35">
        <v>5036.2372995556016</v>
      </c>
      <c r="AO27" s="36">
        <v>1.3509187708391279E-4</v>
      </c>
      <c r="AP27" s="35">
        <v>5036.2373888678903</v>
      </c>
      <c r="AQ27" s="36">
        <v>4.5780022536132993E-5</v>
      </c>
      <c r="AR27" s="35"/>
      <c r="AS27" s="36"/>
      <c r="AT27" s="35"/>
      <c r="AU27" s="36"/>
      <c r="AV27" s="35"/>
      <c r="AW27" s="36"/>
    </row>
    <row r="28" spans="1:49" x14ac:dyDescent="0.2">
      <c r="A28" t="s">
        <v>35</v>
      </c>
      <c r="B28" s="41">
        <v>9924.5937686277575</v>
      </c>
      <c r="C28" s="42">
        <v>205.34242141823867</v>
      </c>
      <c r="D28" s="41">
        <v>9942.1507178244337</v>
      </c>
      <c r="E28" s="42">
        <v>187.79627171251687</v>
      </c>
      <c r="F28" s="41">
        <v>9959.5675402588276</v>
      </c>
      <c r="G28" s="42">
        <v>170.36126592350226</v>
      </c>
      <c r="H28" s="41">
        <v>9976.8128095652228</v>
      </c>
      <c r="I28" s="42">
        <v>153.06958717368781</v>
      </c>
      <c r="J28" s="41">
        <v>9993.8450812923402</v>
      </c>
      <c r="K28" s="42">
        <v>135.9636999037391</v>
      </c>
      <c r="L28" s="41">
        <v>10010.609340627358</v>
      </c>
      <c r="M28" s="42">
        <v>119.09998822001654</v>
      </c>
      <c r="N28" s="41">
        <v>10027.03199380452</v>
      </c>
      <c r="O28" s="42">
        <v>102.5539001623094</v>
      </c>
      <c r="P28" s="41">
        <v>10043.013326412443</v>
      </c>
      <c r="Q28" s="42">
        <v>86.427700140904292</v>
      </c>
      <c r="R28" s="41">
        <v>10058.417232424003</v>
      </c>
      <c r="S28" s="42">
        <v>70.861031199665334</v>
      </c>
      <c r="T28" s="41">
        <v>10073.057134476298</v>
      </c>
      <c r="U28" s="42">
        <v>56.045370002386868</v>
      </c>
      <c r="V28" s="41">
        <v>10086.67785856344</v>
      </c>
      <c r="W28" s="42">
        <v>42.242651897578241</v>
      </c>
      <c r="X28" s="41">
        <v>10098.937394222934</v>
      </c>
      <c r="Y28" s="42">
        <v>29.804078790559739</v>
      </c>
      <c r="Z28" s="41">
        <v>10109.404215275772</v>
      </c>
      <c r="AA28" s="42">
        <v>19.172963283061936</v>
      </c>
      <c r="AB28" s="41">
        <v>10117.611882886471</v>
      </c>
      <c r="AC28" s="42">
        <v>10.829090130907002</v>
      </c>
      <c r="AD28" s="41">
        <v>10123.238918806104</v>
      </c>
      <c r="AE28" s="42">
        <v>5.1049268983172507</v>
      </c>
      <c r="AF28" s="41">
        <v>10126.399348620182</v>
      </c>
      <c r="AG28" s="42">
        <v>1.8886081180667682</v>
      </c>
      <c r="AH28" s="41">
        <v>10127.754743033945</v>
      </c>
      <c r="AI28" s="42">
        <v>0.50894972112729198</v>
      </c>
      <c r="AJ28" s="41">
        <v>10128.16733523837</v>
      </c>
      <c r="AK28" s="42">
        <v>8.8936185858604078E-2</v>
      </c>
      <c r="AL28" s="41">
        <v>10128.246975329395</v>
      </c>
      <c r="AM28" s="42">
        <v>7.8617005091966771E-3</v>
      </c>
      <c r="AN28" s="41">
        <v>10128.254523618121</v>
      </c>
      <c r="AO28" s="42">
        <v>1.7742255652246824E-4</v>
      </c>
      <c r="AP28" s="41">
        <v>10128.254638840293</v>
      </c>
      <c r="AQ28" s="42">
        <v>6.0125069637755893E-5</v>
      </c>
      <c r="AR28" s="41"/>
      <c r="AS28" s="42"/>
      <c r="AT28" s="41"/>
      <c r="AU28" s="42"/>
      <c r="AV28" s="41"/>
      <c r="AW28" s="42"/>
    </row>
    <row r="29" spans="1:49" x14ac:dyDescent="0.2">
      <c r="A29" t="s">
        <v>53</v>
      </c>
      <c r="B29" s="35">
        <v>10476.875482049762</v>
      </c>
      <c r="C29" s="36">
        <v>680.10699657273517</v>
      </c>
      <c r="D29" s="35">
        <v>10480.926923149509</v>
      </c>
      <c r="E29" s="36">
        <v>616.1866319730658</v>
      </c>
      <c r="F29" s="35">
        <v>10483.428231079088</v>
      </c>
      <c r="G29" s="36">
        <v>553.35659313772271</v>
      </c>
      <c r="H29" s="35">
        <v>10484.107142426043</v>
      </c>
      <c r="I29" s="36">
        <v>491.77445150885671</v>
      </c>
      <c r="J29" s="35">
        <v>10482.616303376582</v>
      </c>
      <c r="K29" s="36">
        <v>431.63476419808046</v>
      </c>
      <c r="L29" s="35">
        <v>10478.505026772802</v>
      </c>
      <c r="M29" s="36">
        <v>373.18009542410857</v>
      </c>
      <c r="N29" s="35">
        <v>10471.177374821185</v>
      </c>
      <c r="O29" s="36">
        <v>316.71597318306317</v>
      </c>
      <c r="P29" s="35">
        <v>10459.827734733624</v>
      </c>
      <c r="Q29" s="36">
        <v>262.63245673972523</v>
      </c>
      <c r="R29" s="35">
        <v>10443.341250246765</v>
      </c>
      <c r="S29" s="36">
        <v>211.43167688270003</v>
      </c>
      <c r="T29" s="35">
        <v>10420.135766031512</v>
      </c>
      <c r="U29" s="36">
        <v>163.76236647728987</v>
      </c>
      <c r="V29" s="35">
        <v>10387.906192541177</v>
      </c>
      <c r="W29" s="36">
        <v>120.45804815735603</v>
      </c>
      <c r="X29" s="35">
        <v>10343.210397380115</v>
      </c>
      <c r="Y29" s="36">
        <v>82.560244232840688</v>
      </c>
      <c r="Z29" s="35">
        <v>10280.814826407026</v>
      </c>
      <c r="AA29" s="36">
        <v>51.271246067229846</v>
      </c>
      <c r="AB29" s="35">
        <v>10192.722528685385</v>
      </c>
      <c r="AC29" s="36">
        <v>27.715067425063584</v>
      </c>
      <c r="AD29" s="35">
        <v>10066.831598203033</v>
      </c>
      <c r="AE29" s="36">
        <v>12.35669423820107</v>
      </c>
      <c r="AF29" s="35">
        <v>9884.7351112647575</v>
      </c>
      <c r="AG29" s="36">
        <v>4.2547384983333032</v>
      </c>
      <c r="AH29" s="35">
        <v>9615.7189008563582</v>
      </c>
      <c r="AI29" s="36">
        <v>1.0440370562117767</v>
      </c>
      <c r="AJ29" s="35">
        <v>9197.4475551324849</v>
      </c>
      <c r="AK29" s="36">
        <v>0.16083131529138012</v>
      </c>
      <c r="AL29" s="35">
        <v>8471.4588975115694</v>
      </c>
      <c r="AM29" s="36">
        <v>1.1838945460812211E-2</v>
      </c>
      <c r="AN29" s="35">
        <v>6884.2902800073862</v>
      </c>
      <c r="AO29" s="36">
        <v>1.9375997828012572E-4</v>
      </c>
      <c r="AP29" s="35">
        <v>6303.2402039246526</v>
      </c>
      <c r="AQ29" s="36">
        <v>5.9111430502260539E-5</v>
      </c>
      <c r="AR29" s="35"/>
      <c r="AS29" s="36"/>
      <c r="AT29" s="35"/>
      <c r="AU29" s="36"/>
      <c r="AV29" s="35"/>
      <c r="AW29" s="36"/>
    </row>
    <row r="30" spans="1:49" x14ac:dyDescent="0.2">
      <c r="A30" t="s">
        <v>48</v>
      </c>
      <c r="B30" s="122">
        <v>3437517.2752293102</v>
      </c>
      <c r="D30" s="122">
        <v>3467408.7571355612</v>
      </c>
      <c r="F30" s="122">
        <v>3498083.5326311411</v>
      </c>
      <c r="H30" s="122">
        <v>3529750.3286059815</v>
      </c>
      <c r="J30" s="122">
        <v>3562691.2355412622</v>
      </c>
      <c r="L30" s="122">
        <v>3597295.0903145764</v>
      </c>
      <c r="N30" s="122">
        <v>3634109.4075087537</v>
      </c>
      <c r="P30" s="122">
        <v>3673920.6746007046</v>
      </c>
      <c r="R30" s="122">
        <v>3717883.466730434</v>
      </c>
      <c r="T30" s="122">
        <v>3767728.5633257478</v>
      </c>
      <c r="V30" s="122">
        <v>3826096.958611099</v>
      </c>
      <c r="X30" s="122">
        <v>3897057.8342125332</v>
      </c>
      <c r="Z30" s="122">
        <v>3986819.6168726366</v>
      </c>
      <c r="AB30" s="122">
        <v>4104387.6664315891</v>
      </c>
      <c r="AD30" s="122">
        <v>4261270.6696984842</v>
      </c>
      <c r="AF30" s="122">
        <v>4468992.2480404591</v>
      </c>
      <c r="AH30" s="122">
        <v>4735560.1129194805</v>
      </c>
      <c r="AJ30" s="122">
        <v>5064334.3897482641</v>
      </c>
      <c r="AL30" s="122">
        <v>5442637.7047684826</v>
      </c>
      <c r="AN30" s="122">
        <v>5667634.9870390883</v>
      </c>
      <c r="AP30" s="122">
        <v>5582863.8412991613</v>
      </c>
      <c r="AR30" s="122"/>
      <c r="AT30" s="122"/>
      <c r="AV30" s="122"/>
    </row>
    <row r="31" spans="1:49" x14ac:dyDescent="0.2">
      <c r="A31" t="s">
        <v>47</v>
      </c>
      <c r="B31" s="83">
        <v>0.99999999999999867</v>
      </c>
      <c r="D31" s="83">
        <v>0.99772916870726192</v>
      </c>
      <c r="F31" s="83">
        <v>0.99511660851336936</v>
      </c>
      <c r="H31" s="83">
        <v>0.99211078787739537</v>
      </c>
      <c r="J31" s="83">
        <v>0.98864777860926356</v>
      </c>
      <c r="L31" s="83">
        <v>0.98464706521719869</v>
      </c>
      <c r="N31" s="83">
        <v>0.98000550657006757</v>
      </c>
      <c r="P31" s="83">
        <v>0.97458806523618458</v>
      </c>
      <c r="R31" s="83">
        <v>0.96821386602807691</v>
      </c>
      <c r="T31" s="83">
        <v>0.9606344043197369</v>
      </c>
      <c r="V31" s="83">
        <v>0.95149846243029346</v>
      </c>
      <c r="X31" s="83">
        <v>0.94029498797280309</v>
      </c>
      <c r="Z31" s="83">
        <v>0.92626033934204077</v>
      </c>
      <c r="AB31" s="83">
        <v>0.9082309264762527</v>
      </c>
      <c r="AD31" s="83">
        <v>0.88441858634857506</v>
      </c>
      <c r="AF31" s="83">
        <v>0.85205120607957996</v>
      </c>
      <c r="AH31" s="83">
        <v>0.80663739367413034</v>
      </c>
      <c r="AJ31" s="83">
        <v>0.74009102649384684</v>
      </c>
      <c r="AL31" s="83">
        <v>0.63542724922880522</v>
      </c>
      <c r="AN31" s="83">
        <v>0.44812796561397356</v>
      </c>
      <c r="AP31" s="83">
        <v>0.39107684330822307</v>
      </c>
      <c r="AR31" s="83"/>
      <c r="AT31" s="83"/>
      <c r="AV31" s="83"/>
    </row>
    <row r="32" spans="1:49" x14ac:dyDescent="0.2">
      <c r="A32" t="s">
        <v>66</v>
      </c>
      <c r="B32" s="89">
        <v>11714820.670945669</v>
      </c>
      <c r="D32" s="89">
        <v>11701891.238555631</v>
      </c>
      <c r="F32" s="89">
        <v>11687983.611287359</v>
      </c>
      <c r="H32" s="89">
        <v>11673024.715137718</v>
      </c>
      <c r="J32" s="89">
        <v>11656949.69364398</v>
      </c>
      <c r="L32" s="89">
        <v>11639713.48774354</v>
      </c>
      <c r="N32" s="89">
        <v>11621310.414203841</v>
      </c>
      <c r="P32" s="89">
        <v>11601803.32970375</v>
      </c>
      <c r="R32" s="89">
        <v>11581373.098877709</v>
      </c>
      <c r="T32" s="89">
        <v>11560396.122246623</v>
      </c>
      <c r="V32" s="89">
        <v>11539553.048861571</v>
      </c>
      <c r="X32" s="89">
        <v>11519943.061324177</v>
      </c>
      <c r="Z32" s="89">
        <v>11503049.2309648</v>
      </c>
      <c r="AB32" s="89">
        <v>11489990.661050847</v>
      </c>
      <c r="AD32" s="89">
        <v>11478636.540879443</v>
      </c>
      <c r="AF32" s="89">
        <v>11456510.048423424</v>
      </c>
      <c r="AH32" s="89">
        <v>11388666.202744395</v>
      </c>
      <c r="AJ32" s="89">
        <v>11196465.755574081</v>
      </c>
      <c r="AL32" s="89">
        <v>10686324.426198414</v>
      </c>
      <c r="AN32" s="89">
        <v>9157961.9346342273</v>
      </c>
      <c r="AP32" s="89">
        <v>8513311.5684807692</v>
      </c>
      <c r="AR32" s="89"/>
      <c r="AT32" s="89"/>
      <c r="AV32" s="89"/>
    </row>
    <row r="33" spans="1:49 16319:16321" x14ac:dyDescent="0.2">
      <c r="A33" t="s">
        <v>56</v>
      </c>
      <c r="B33" s="120">
        <v>6643090.9398583025</v>
      </c>
      <c r="D33" s="120">
        <v>6635759.0901432429</v>
      </c>
      <c r="F33" s="120">
        <v>6627872.526483844</v>
      </c>
      <c r="H33" s="120">
        <v>6619389.8326739119</v>
      </c>
      <c r="J33" s="120">
        <v>6610274.2302368488</v>
      </c>
      <c r="L33" s="120">
        <v>6600500.1129600275</v>
      </c>
      <c r="N33" s="120">
        <v>6590064.3279969441</v>
      </c>
      <c r="P33" s="120">
        <v>6579002.5146211404</v>
      </c>
      <c r="R33" s="120">
        <v>6567417.1985348761</v>
      </c>
      <c r="T33" s="120">
        <v>6555521.8433848135</v>
      </c>
      <c r="V33" s="120">
        <v>6543702.4181533502</v>
      </c>
      <c r="X33" s="120">
        <v>6532582.2282456849</v>
      </c>
      <c r="Z33" s="120">
        <v>6523002.2964997152</v>
      </c>
      <c r="AB33" s="120">
        <v>6515597.2109158169</v>
      </c>
      <c r="AD33" s="120">
        <v>6509158.6592168845</v>
      </c>
      <c r="AF33" s="120">
        <v>6496611.4498732947</v>
      </c>
      <c r="AH33" s="120">
        <v>6458139.428182899</v>
      </c>
      <c r="AJ33" s="120">
        <v>6349148.8524233885</v>
      </c>
      <c r="AL33" s="120">
        <v>6059864.4204718843</v>
      </c>
      <c r="AN33" s="120">
        <v>5193180.1317642312</v>
      </c>
      <c r="AP33" s="120">
        <v>4827620.0325480718</v>
      </c>
      <c r="AR33" s="120"/>
      <c r="AT33" s="120"/>
      <c r="AV33" s="120"/>
    </row>
    <row r="34" spans="1:49 16319:16321" x14ac:dyDescent="0.2">
      <c r="A34" t="s">
        <v>77</v>
      </c>
      <c r="B34" s="120">
        <v>137664.28859559208</v>
      </c>
      <c r="D34" s="120">
        <v>137512.34344282572</v>
      </c>
      <c r="F34" s="120">
        <v>137348.91448372754</v>
      </c>
      <c r="H34" s="120">
        <v>137173.12239174044</v>
      </c>
      <c r="J34" s="120">
        <v>136984.20475322579</v>
      </c>
      <c r="L34" s="120">
        <v>136781.68636521872</v>
      </c>
      <c r="N34" s="120">
        <v>136565.43136450503</v>
      </c>
      <c r="P34" s="120">
        <v>136336.18307430093</v>
      </c>
      <c r="R34" s="120">
        <v>136096.1030485502</v>
      </c>
      <c r="T34" s="120">
        <v>135849.59538564796</v>
      </c>
      <c r="V34" s="120">
        <v>135604.66370816773</v>
      </c>
      <c r="X34" s="120">
        <v>135374.22951642814</v>
      </c>
      <c r="Z34" s="120">
        <v>135175.69930047105</v>
      </c>
      <c r="AB34" s="120">
        <v>135022.2426931794</v>
      </c>
      <c r="AD34" s="120">
        <v>134888.81929908926</v>
      </c>
      <c r="AF34" s="120">
        <v>134628.80490624683</v>
      </c>
      <c r="AH34" s="120">
        <v>133831.55186699092</v>
      </c>
      <c r="AJ34" s="120">
        <v>131572.94817641398</v>
      </c>
      <c r="AL34" s="120">
        <v>125578.12800959495</v>
      </c>
      <c r="AN34" s="120">
        <v>107617.89276412594</v>
      </c>
      <c r="AP34" s="120">
        <v>100042.41751426077</v>
      </c>
      <c r="AR34" s="120"/>
      <c r="AT34" s="120"/>
      <c r="AV34" s="120"/>
    </row>
    <row r="35" spans="1:49 16319:16321" x14ac:dyDescent="0.2">
      <c r="A35" t="s">
        <v>80</v>
      </c>
      <c r="B35" s="236">
        <v>1</v>
      </c>
      <c r="D35" s="236">
        <v>1.0011702788900194</v>
      </c>
      <c r="F35" s="236">
        <v>1.0026094473379354</v>
      </c>
      <c r="H35" s="236">
        <v>1.0043716513966086</v>
      </c>
      <c r="J35" s="236">
        <v>1.0065282838106446</v>
      </c>
      <c r="L35" s="236">
        <v>1.0091753391915885</v>
      </c>
      <c r="N35" s="236">
        <v>1.0124447345485252</v>
      </c>
      <c r="P35" s="236">
        <v>1.0165221339716211</v>
      </c>
      <c r="R35" s="236">
        <v>1.021675866451216</v>
      </c>
      <c r="T35" s="236">
        <v>1.0283050692439613</v>
      </c>
      <c r="V35" s="236">
        <v>1.0370217722480846</v>
      </c>
      <c r="X35" s="236">
        <v>1.0487929445670596</v>
      </c>
      <c r="Z35" s="236">
        <v>1.065184929450361</v>
      </c>
      <c r="AB35" s="236">
        <v>1.0887700351354281</v>
      </c>
      <c r="AD35" s="236">
        <v>1.1237761884763935</v>
      </c>
      <c r="AF35" s="236">
        <v>1.1772481430099668</v>
      </c>
      <c r="AH35" s="236">
        <v>1.2620449099151383</v>
      </c>
      <c r="AJ35" s="236">
        <v>1.4064767557176834</v>
      </c>
      <c r="AL35" s="236">
        <v>1.688661220610614</v>
      </c>
      <c r="AN35" s="236">
        <v>2.4072481791314311</v>
      </c>
      <c r="AP35" s="236">
        <v>2.6954024847179703</v>
      </c>
      <c r="AR35" s="236"/>
      <c r="AT35" s="236"/>
      <c r="AV35" s="236"/>
    </row>
    <row r="36" spans="1:49 16319:16321" x14ac:dyDescent="0.2">
      <c r="A36" t="s">
        <v>21</v>
      </c>
      <c r="B36" s="37">
        <v>0.47796858982439155</v>
      </c>
      <c r="C36" s="38">
        <v>0.17068593284758601</v>
      </c>
      <c r="D36" s="37">
        <v>0.4779834606025003</v>
      </c>
      <c r="E36" s="38">
        <v>0.17231903353862482</v>
      </c>
      <c r="F36" s="37">
        <v>0.47799872397267368</v>
      </c>
      <c r="G36" s="38">
        <v>0.17410889487954942</v>
      </c>
      <c r="H36" s="37">
        <v>0.47801431807128691</v>
      </c>
      <c r="I36" s="38">
        <v>0.17608214656078319</v>
      </c>
      <c r="J36" s="37">
        <v>0.47803014443399056</v>
      </c>
      <c r="K36" s="38">
        <v>0.17827254741850504</v>
      </c>
      <c r="L36" s="37">
        <v>0.47804604797192529</v>
      </c>
      <c r="M36" s="38">
        <v>0.18072366609855767</v>
      </c>
      <c r="N36" s="37">
        <v>0.47806178619872303</v>
      </c>
      <c r="O36" s="38">
        <v>0.18349287414550078</v>
      </c>
      <c r="P36" s="37">
        <v>0.47807698159242179</v>
      </c>
      <c r="Q36" s="38">
        <v>0.18665747325270068</v>
      </c>
      <c r="R36" s="37">
        <v>0.47809104741462205</v>
      </c>
      <c r="S36" s="38">
        <v>0.19032425961160176</v>
      </c>
      <c r="T36" s="37">
        <v>0.47810307196090646</v>
      </c>
      <c r="U36" s="38">
        <v>0.19464482460483445</v>
      </c>
      <c r="V36" s="37">
        <v>0.47811164837711734</v>
      </c>
      <c r="W36" s="38">
        <v>0.19984052192881449</v>
      </c>
      <c r="X36" s="37">
        <v>0.47811465706360351</v>
      </c>
      <c r="Y36" s="38">
        <v>0.2062434021099282</v>
      </c>
      <c r="Z36" s="37">
        <v>0.47810908444035272</v>
      </c>
      <c r="AA36" s="38">
        <v>0.21436178576318488</v>
      </c>
      <c r="AB36" s="37">
        <v>0.47809123346096316</v>
      </c>
      <c r="AC36" s="38">
        <v>0.22497859476038815</v>
      </c>
      <c r="AD36" s="37">
        <v>0.47805805758334247</v>
      </c>
      <c r="AE36" s="38">
        <v>0.2392841311131205</v>
      </c>
      <c r="AF36" s="37">
        <v>0.47800997001407819</v>
      </c>
      <c r="AG36" s="38">
        <v>0.25906974683140899</v>
      </c>
      <c r="AH36" s="37">
        <v>0.47795278166881522</v>
      </c>
      <c r="AI36" s="38">
        <v>0.28720512285080868</v>
      </c>
      <c r="AJ36" s="37">
        <v>0.47789520064357727</v>
      </c>
      <c r="AK36" s="38">
        <v>0.32915558519947569</v>
      </c>
      <c r="AL36" s="37">
        <v>0.4778441640253398</v>
      </c>
      <c r="AM36" s="38">
        <v>0.39787741446395442</v>
      </c>
      <c r="AN36" s="37">
        <v>0.47780327287556873</v>
      </c>
      <c r="AO36" s="38">
        <v>0.53476254475754437</v>
      </c>
      <c r="AP36" s="37">
        <v>0.47779650817901054</v>
      </c>
      <c r="AQ36" s="38">
        <v>0.58142746615304197</v>
      </c>
      <c r="AR36" s="37"/>
      <c r="AS36" s="38"/>
      <c r="AT36" s="37"/>
      <c r="AU36" s="38"/>
      <c r="AV36" s="37"/>
      <c r="AW36" s="38"/>
    </row>
    <row r="37" spans="1:49 16319:16321" x14ac:dyDescent="0.2">
      <c r="B37" s="39">
        <v>2.2053138497826009E-2</v>
      </c>
      <c r="C37" s="40">
        <v>0.48867583383045654</v>
      </c>
      <c r="D37" s="39">
        <v>2.1518826428369799E-2</v>
      </c>
      <c r="E37" s="40">
        <v>0.48572101915894272</v>
      </c>
      <c r="F37" s="39">
        <v>2.0963606637526937E-2</v>
      </c>
      <c r="G37" s="40">
        <v>0.48265655556298354</v>
      </c>
      <c r="H37" s="39">
        <v>2.0385123561043637E-2</v>
      </c>
      <c r="I37" s="40">
        <v>0.47947080970971662</v>
      </c>
      <c r="J37" s="39">
        <v>1.9780497933010191E-2</v>
      </c>
      <c r="K37" s="40">
        <v>0.47614965802335002</v>
      </c>
      <c r="L37" s="39">
        <v>1.9146167128079483E-2</v>
      </c>
      <c r="M37" s="40">
        <v>0.47267575575090565</v>
      </c>
      <c r="N37" s="39">
        <v>1.8477667508241733E-2</v>
      </c>
      <c r="O37" s="40">
        <v>0.46902755952055347</v>
      </c>
      <c r="P37" s="39">
        <v>1.7769331403247966E-2</v>
      </c>
      <c r="Q37" s="40">
        <v>0.4651779988700942</v>
      </c>
      <c r="R37" s="39">
        <v>1.701388745801901E-2</v>
      </c>
      <c r="S37" s="40">
        <v>0.46109280649168904</v>
      </c>
      <c r="T37" s="39">
        <v>1.6201953625243494E-2</v>
      </c>
      <c r="U37" s="40">
        <v>0.45672857512506221</v>
      </c>
      <c r="V37" s="39">
        <v>1.5321466555821305E-2</v>
      </c>
      <c r="W37" s="40">
        <v>0.45203099235065464</v>
      </c>
      <c r="X37" s="39">
        <v>1.4357289014009155E-2</v>
      </c>
      <c r="Y37" s="40">
        <v>0.44693489623308752</v>
      </c>
      <c r="Z37" s="39">
        <v>1.3291751907907339E-2</v>
      </c>
      <c r="AA37" s="40">
        <v>0.44137064841961499</v>
      </c>
      <c r="AB37" s="39">
        <v>1.2107812805081225E-2</v>
      </c>
      <c r="AC37" s="40">
        <v>0.43528596893078836</v>
      </c>
      <c r="AD37" s="39">
        <v>1.0796943595671758E-2</v>
      </c>
      <c r="AE37" s="40">
        <v>0.42869310801267374</v>
      </c>
      <c r="AF37" s="39">
        <v>9.3693849578194623E-3</v>
      </c>
      <c r="AG37" s="40">
        <v>0.42172492604951917</v>
      </c>
      <c r="AH37" s="39">
        <v>7.8541668970484417E-3</v>
      </c>
      <c r="AI37" s="40">
        <v>0.41463229739099877</v>
      </c>
      <c r="AJ37" s="39">
        <v>6.2811035894991939E-3</v>
      </c>
      <c r="AK37" s="40">
        <v>0.40769446167395618</v>
      </c>
      <c r="AL37" s="39">
        <v>4.6617818867259941E-3</v>
      </c>
      <c r="AM37" s="40">
        <v>0.40115171835331176</v>
      </c>
      <c r="AN37" s="39">
        <v>2.9814188285186656E-3</v>
      </c>
      <c r="AO37" s="40">
        <v>0.39525542954607829</v>
      </c>
      <c r="AP37" s="39">
        <v>2.633847226416651E-3</v>
      </c>
      <c r="AQ37" s="40">
        <v>0.39418726956791406</v>
      </c>
      <c r="AR37" s="39"/>
      <c r="AS37" s="40"/>
      <c r="AT37" s="39"/>
      <c r="AU37" s="40"/>
      <c r="AV37" s="39"/>
      <c r="AW37" s="40"/>
    </row>
    <row r="38" spans="1:49 16319:16321" x14ac:dyDescent="0.2">
      <c r="A38" t="s">
        <v>22</v>
      </c>
      <c r="B38" s="37">
        <v>0.14928344905798796</v>
      </c>
      <c r="C38" s="38">
        <v>3.7916652170162192E-2</v>
      </c>
      <c r="D38" s="37">
        <v>0.14934751164462842</v>
      </c>
      <c r="E38" s="38">
        <v>3.8166967231901994E-2</v>
      </c>
      <c r="F38" s="37">
        <v>0.14943250032425029</v>
      </c>
      <c r="G38" s="38">
        <v>3.8442420908849938E-2</v>
      </c>
      <c r="H38" s="37">
        <v>0.14954211420790486</v>
      </c>
      <c r="I38" s="38">
        <v>3.8747305292024255E-2</v>
      </c>
      <c r="J38" s="37">
        <v>0.14968109807738869</v>
      </c>
      <c r="K38" s="38">
        <v>3.908705645949883E-2</v>
      </c>
      <c r="L38" s="37">
        <v>0.1498556489080711</v>
      </c>
      <c r="M38" s="38">
        <v>3.9468694012130295E-2</v>
      </c>
      <c r="N38" s="37">
        <v>0.15007402665865638</v>
      </c>
      <c r="O38" s="38">
        <v>3.9901491930917882E-2</v>
      </c>
      <c r="P38" s="37">
        <v>0.15034750484319512</v>
      </c>
      <c r="Q38" s="38">
        <v>4.039795109957902E-2</v>
      </c>
      <c r="R38" s="37">
        <v>0.15069186901538206</v>
      </c>
      <c r="S38" s="38">
        <v>4.0975348431657399E-2</v>
      </c>
      <c r="T38" s="37">
        <v>0.15112985108300217</v>
      </c>
      <c r="U38" s="38">
        <v>4.1658263934252919E-2</v>
      </c>
      <c r="V38" s="37">
        <v>0.15169518447492464</v>
      </c>
      <c r="W38" s="38">
        <v>4.2482661794637035E-2</v>
      </c>
      <c r="X38" s="37">
        <v>0.15243944909765808</v>
      </c>
      <c r="Y38" s="38">
        <v>4.3502580853810542E-2</v>
      </c>
      <c r="Z38" s="37">
        <v>0.15344358053882307</v>
      </c>
      <c r="AA38" s="38">
        <v>4.4801054103122892E-2</v>
      </c>
      <c r="AB38" s="37">
        <v>0.15483673718085386</v>
      </c>
      <c r="AC38" s="38">
        <v>4.6506560614805424E-2</v>
      </c>
      <c r="AD38" s="37">
        <v>0.15682669761214521</v>
      </c>
      <c r="AE38" s="38">
        <v>4.8816278041067716E-2</v>
      </c>
      <c r="AF38" s="37">
        <v>0.15975667437202254</v>
      </c>
      <c r="AG38" s="38">
        <v>5.2032512494108021E-2</v>
      </c>
      <c r="AH38" s="37">
        <v>0.16425723789966062</v>
      </c>
      <c r="AI38" s="38">
        <v>5.6656859799181933E-2</v>
      </c>
      <c r="AJ38" s="37">
        <v>0.17175204562334595</v>
      </c>
      <c r="AK38" s="38">
        <v>6.370105696030709E-2</v>
      </c>
      <c r="AL38" s="37">
        <v>0.18649229247197352</v>
      </c>
      <c r="AM38" s="38">
        <v>7.581276898540748E-2</v>
      </c>
      <c r="AN38" s="37">
        <v>0.22950846170959316</v>
      </c>
      <c r="AO38" s="38">
        <v>0.10362033200567372</v>
      </c>
      <c r="AP38" s="37">
        <v>0.25066887471730931</v>
      </c>
      <c r="AQ38" s="38">
        <v>0.11490442990730983</v>
      </c>
      <c r="AR38" s="37"/>
      <c r="AS38" s="38"/>
      <c r="AT38" s="37"/>
      <c r="AU38" s="38"/>
      <c r="AV38" s="37"/>
      <c r="AW38" s="38"/>
    </row>
    <row r="39" spans="1:49 16319:16321" x14ac:dyDescent="0.2">
      <c r="A39" t="s">
        <v>23</v>
      </c>
      <c r="B39" s="39">
        <v>0.22700160168381014</v>
      </c>
      <c r="C39" s="40">
        <v>0.18696331369363389</v>
      </c>
      <c r="D39" s="39">
        <v>0.22752452751041366</v>
      </c>
      <c r="E39" s="40">
        <v>0.18837381615199494</v>
      </c>
      <c r="F39" s="39">
        <v>0.22807689609823054</v>
      </c>
      <c r="G39" s="40">
        <v>0.18990947637455555</v>
      </c>
      <c r="H39" s="39">
        <v>0.2286637602700797</v>
      </c>
      <c r="I39" s="40">
        <v>0.19159147440104635</v>
      </c>
      <c r="J39" s="39">
        <v>0.22929156183885618</v>
      </c>
      <c r="K39" s="40">
        <v>0.19344666687675199</v>
      </c>
      <c r="L39" s="39">
        <v>0.22996867815655062</v>
      </c>
      <c r="M39" s="40">
        <v>0.19550971431846484</v>
      </c>
      <c r="N39" s="39">
        <v>0.23070625108642276</v>
      </c>
      <c r="O39" s="40">
        <v>0.19782622874119349</v>
      </c>
      <c r="P39" s="39">
        <v>0.23151947764536535</v>
      </c>
      <c r="Q39" s="40">
        <v>0.20045770110553451</v>
      </c>
      <c r="R39" s="39">
        <v>0.23242968497193151</v>
      </c>
      <c r="S39" s="40">
        <v>0.20348916939807396</v>
      </c>
      <c r="T39" s="39">
        <v>0.2334677621508513</v>
      </c>
      <c r="U39" s="40">
        <v>0.20704145489501699</v>
      </c>
      <c r="V39" s="39">
        <v>0.2346799983523119</v>
      </c>
      <c r="W39" s="40">
        <v>0.21129130545213795</v>
      </c>
      <c r="X39" s="39">
        <v>0.23613823205491105</v>
      </c>
      <c r="Y39" s="40">
        <v>0.21650470300213021</v>
      </c>
      <c r="Z39" s="39">
        <v>0.23795759263236155</v>
      </c>
      <c r="AA39" s="40">
        <v>0.2230906680918453</v>
      </c>
      <c r="AB39" s="39">
        <v>0.24032703566466154</v>
      </c>
      <c r="AC39" s="40">
        <v>0.2316841180945283</v>
      </c>
      <c r="AD39" s="39">
        <v>0.24356089109047996</v>
      </c>
      <c r="AE39" s="40">
        <v>0.24326308152613035</v>
      </c>
      <c r="AF39" s="39">
        <v>0.24819440117107922</v>
      </c>
      <c r="AG39" s="40">
        <v>0.25933379146031343</v>
      </c>
      <c r="AH39" s="39">
        <v>0.25522301927404406</v>
      </c>
      <c r="AI39" s="40">
        <v>0.2824021224153937</v>
      </c>
      <c r="AJ39" s="39">
        <v>0.26688012128472055</v>
      </c>
      <c r="AK39" s="40">
        <v>0.31752039738189802</v>
      </c>
      <c r="AL39" s="39">
        <v>0.28978697365888129</v>
      </c>
      <c r="AM39" s="40">
        <v>0.37789322187552976</v>
      </c>
      <c r="AN39" s="39">
        <v>0.35662930004359678</v>
      </c>
      <c r="AO39" s="40">
        <v>0.51650184493833262</v>
      </c>
      <c r="AP39" s="39">
        <v>0.38951011112346834</v>
      </c>
      <c r="AQ39" s="40">
        <v>0.57274815025293546</v>
      </c>
      <c r="AR39" s="39"/>
      <c r="AS39" s="40"/>
      <c r="AT39" s="39"/>
      <c r="AU39" s="40"/>
      <c r="AV39" s="39"/>
      <c r="AW39" s="40"/>
    </row>
    <row r="40" spans="1:49 16319:16321" x14ac:dyDescent="0.2">
      <c r="B40" s="138"/>
      <c r="C40" s="138"/>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138"/>
      <c r="AB40" s="138"/>
      <c r="AC40" s="138"/>
      <c r="AD40" s="138"/>
      <c r="AE40" s="138"/>
      <c r="AF40" s="138"/>
      <c r="AG40" s="138"/>
      <c r="AH40" s="138"/>
      <c r="AI40" s="138"/>
      <c r="AJ40" s="138"/>
      <c r="AK40" s="138"/>
      <c r="AL40" s="138"/>
      <c r="AM40" s="138"/>
      <c r="AN40" s="138"/>
      <c r="AO40" s="138"/>
      <c r="AP40" s="138"/>
      <c r="AQ40" s="138"/>
      <c r="AR40" s="138"/>
      <c r="AS40" s="138"/>
      <c r="AT40" s="138"/>
      <c r="AU40" s="138"/>
    </row>
    <row r="41" spans="1:49 16319:16321" x14ac:dyDescent="0.2">
      <c r="B41" s="138"/>
      <c r="C41" s="138"/>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138"/>
      <c r="AB41" s="138"/>
      <c r="AC41" s="138"/>
      <c r="AD41" s="138"/>
      <c r="AE41" s="138"/>
      <c r="AF41" s="138"/>
      <c r="AG41" s="138"/>
      <c r="AH41" s="138"/>
      <c r="AI41" s="138"/>
      <c r="AJ41" s="138"/>
      <c r="AK41" s="138"/>
      <c r="AL41" s="138"/>
      <c r="AM41" s="138"/>
      <c r="AN41" s="138"/>
      <c r="AO41" s="138"/>
      <c r="AP41" s="138"/>
      <c r="AQ41" s="138"/>
      <c r="AR41" s="138"/>
      <c r="AS41" s="138"/>
      <c r="AT41" s="138"/>
      <c r="AU41" s="138"/>
    </row>
    <row r="42" spans="1:49 16319:16321" x14ac:dyDescent="0.2">
      <c r="A42" t="s">
        <v>110</v>
      </c>
      <c r="B42" s="180">
        <v>0.10800000000000001</v>
      </c>
      <c r="C42" s="138"/>
      <c r="D42" s="180">
        <v>0.1080000000000003</v>
      </c>
      <c r="E42" s="138"/>
      <c r="F42" s="180">
        <v>0.10800000000000051</v>
      </c>
      <c r="G42" s="138"/>
      <c r="H42" s="180">
        <v>0.10800000000000001</v>
      </c>
      <c r="I42" s="138"/>
      <c r="J42" s="180">
        <v>0.10800000000000051</v>
      </c>
      <c r="K42" s="138"/>
      <c r="L42" s="180">
        <v>0.10799999999999982</v>
      </c>
      <c r="M42" s="138"/>
      <c r="N42" s="180">
        <v>0.10800000000000042</v>
      </c>
      <c r="O42" s="138"/>
      <c r="P42" s="180">
        <v>0.10799999999999982</v>
      </c>
      <c r="Q42" s="138"/>
      <c r="R42" s="180">
        <v>0.10799999999999961</v>
      </c>
      <c r="S42" s="138"/>
      <c r="T42" s="180">
        <v>0.10799999999999942</v>
      </c>
      <c r="U42" s="138"/>
      <c r="V42" s="180">
        <v>0.10799999999999982</v>
      </c>
      <c r="W42" s="138"/>
      <c r="X42" s="180">
        <v>0.10799999999999942</v>
      </c>
      <c r="Y42" s="165"/>
      <c r="Z42" s="180">
        <v>0.10799999999999942</v>
      </c>
      <c r="AA42" s="138"/>
      <c r="AB42" s="180">
        <v>0.10800000000000001</v>
      </c>
      <c r="AC42" s="138"/>
      <c r="AD42" s="180">
        <v>0.10800000000000001</v>
      </c>
      <c r="AE42" s="138"/>
      <c r="AF42" s="180">
        <v>0.10799999999999982</v>
      </c>
      <c r="AG42" s="138"/>
      <c r="AH42" s="180">
        <v>0.1080000000000003</v>
      </c>
      <c r="AI42" s="138"/>
      <c r="AJ42" s="180">
        <v>0.10800000000000051</v>
      </c>
      <c r="AK42" s="138"/>
      <c r="AL42" s="180">
        <v>0.10800000000000001</v>
      </c>
      <c r="AM42" s="138"/>
      <c r="AN42" s="180">
        <v>0.10799999999999982</v>
      </c>
      <c r="AO42" s="138"/>
      <c r="AP42" s="180">
        <v>0.10799999999999942</v>
      </c>
      <c r="AQ42" s="138"/>
      <c r="AR42" s="180">
        <v>1</v>
      </c>
      <c r="AS42" s="138"/>
      <c r="AT42" s="180">
        <v>1</v>
      </c>
      <c r="AU42" s="138"/>
      <c r="AV42" s="180">
        <v>1</v>
      </c>
    </row>
    <row r="43" spans="1:49 16319:16321" x14ac:dyDescent="0.2">
      <c r="A43" t="s">
        <v>111</v>
      </c>
      <c r="B43" s="165">
        <v>0.60327031657597174</v>
      </c>
      <c r="C43" s="138"/>
      <c r="D43" s="165">
        <v>0.60695182075314358</v>
      </c>
      <c r="E43" s="138"/>
      <c r="F43" s="165">
        <v>0.60547504073265823</v>
      </c>
      <c r="G43" s="138"/>
      <c r="H43" s="165">
        <v>0.60401176495946074</v>
      </c>
      <c r="I43" s="138"/>
      <c r="J43" s="165">
        <v>0.60256556888246304</v>
      </c>
      <c r="K43" s="138"/>
      <c r="L43" s="165">
        <v>0.60114118935353567</v>
      </c>
      <c r="M43" s="138"/>
      <c r="N43" s="165">
        <v>0.59974494750672547</v>
      </c>
      <c r="O43" s="138"/>
      <c r="P43" s="165">
        <v>0.59838540231953175</v>
      </c>
      <c r="Q43" s="138"/>
      <c r="R43" s="165">
        <v>0.59707423020149741</v>
      </c>
      <c r="S43" s="138"/>
      <c r="T43" s="165">
        <v>0.59582742306469583</v>
      </c>
      <c r="U43" s="138"/>
      <c r="V43" s="165">
        <v>0.59466684155326988</v>
      </c>
      <c r="W43" s="138"/>
      <c r="X43" s="165">
        <v>0.59362178292997947</v>
      </c>
      <c r="Y43" s="138"/>
      <c r="Z43" s="165">
        <v>0.59272920336426427</v>
      </c>
      <c r="AA43" s="138"/>
      <c r="AB43" s="165">
        <v>0.59202906328461979</v>
      </c>
      <c r="AC43" s="138"/>
      <c r="AD43" s="165">
        <v>0.59154895168747634</v>
      </c>
      <c r="AE43" s="138"/>
      <c r="AF43" s="165">
        <v>0.59127925854368835</v>
      </c>
      <c r="AG43" s="138"/>
      <c r="AH43" s="165">
        <v>0.59116358847360917</v>
      </c>
      <c r="AI43" s="138"/>
      <c r="AJ43" s="165">
        <v>0.59112837664385121</v>
      </c>
      <c r="AK43" s="138"/>
      <c r="AL43" s="165">
        <v>0.5911215798692443</v>
      </c>
      <c r="AM43" s="138"/>
      <c r="AN43" s="165">
        <v>0.5911209356693099</v>
      </c>
      <c r="AO43" s="138"/>
      <c r="AP43" s="165">
        <v>0.59112092583588505</v>
      </c>
      <c r="AQ43" s="138"/>
      <c r="AR43" s="165" t="e">
        <v>#DIV/0!</v>
      </c>
      <c r="AS43" s="138"/>
      <c r="AT43" s="165" t="e">
        <v>#DIV/0!</v>
      </c>
      <c r="AU43" s="138"/>
      <c r="AV43" s="165" t="e">
        <v>#DIV/0!</v>
      </c>
    </row>
    <row r="44" spans="1:49 16319:16321" x14ac:dyDescent="0.2">
      <c r="A44" t="s">
        <v>145</v>
      </c>
      <c r="B44" s="196">
        <v>0.21620509429616297</v>
      </c>
      <c r="D44" s="196">
        <v>0.21620509363548415</v>
      </c>
      <c r="F44" s="196">
        <v>0.21620509397269225</v>
      </c>
      <c r="H44" s="196">
        <v>0.2162050934553241</v>
      </c>
      <c r="J44" s="196">
        <v>0.21620509212298056</v>
      </c>
      <c r="L44" s="196">
        <v>0.21620509467085716</v>
      </c>
      <c r="N44" s="196">
        <v>0.21620509509972499</v>
      </c>
      <c r="P44" s="196">
        <v>0.21620509380383054</v>
      </c>
      <c r="R44" s="196">
        <v>0.2162050939434986</v>
      </c>
      <c r="T44" s="196">
        <v>0.21620509386160955</v>
      </c>
      <c r="V44" s="196">
        <v>0.21620509397220786</v>
      </c>
      <c r="X44" s="196">
        <v>0.21620509471305505</v>
      </c>
      <c r="Z44" s="196">
        <v>0.21620509420195838</v>
      </c>
      <c r="AB44" s="196">
        <v>0.21620509406950281</v>
      </c>
      <c r="AD44" s="196">
        <v>0.21620509426034618</v>
      </c>
      <c r="AF44" s="196">
        <v>0.21620509430360835</v>
      </c>
      <c r="AH44" s="196">
        <v>0.21620509429163184</v>
      </c>
      <c r="AJ44" s="196">
        <v>0.2162050942962197</v>
      </c>
      <c r="AL44" s="196">
        <v>0.2162050942961064</v>
      </c>
      <c r="AN44" s="196">
        <v>0.21620509429616183</v>
      </c>
      <c r="AP44" s="196">
        <v>0.21620509429616214</v>
      </c>
      <c r="AR44" s="196" t="e">
        <v>#DIV/0!</v>
      </c>
      <c r="AT44" s="196" t="e">
        <v>#DIV/0!</v>
      </c>
      <c r="AV44" s="196" t="e">
        <v>#DIV/0!</v>
      </c>
    </row>
    <row r="45" spans="1:49 16319:16321" x14ac:dyDescent="0.2">
      <c r="A45" t="s">
        <v>84</v>
      </c>
      <c r="B45" s="196">
        <v>0.20445380142857192</v>
      </c>
      <c r="D45" s="196">
        <v>0.20445380141788541</v>
      </c>
      <c r="F45" s="196">
        <v>0.20445380144426276</v>
      </c>
      <c r="H45" s="196">
        <v>0.20445380141754982</v>
      </c>
      <c r="J45" s="196">
        <v>0.20445380140342659</v>
      </c>
      <c r="L45" s="196">
        <v>0.20445380143591216</v>
      </c>
      <c r="N45" s="196">
        <v>0.20445380144203287</v>
      </c>
      <c r="P45" s="196">
        <v>0.20445380142282252</v>
      </c>
      <c r="R45" s="196">
        <v>0.20445380142519273</v>
      </c>
      <c r="T45" s="196">
        <v>0.20445380143623831</v>
      </c>
      <c r="V45" s="196">
        <v>0.20445380142786226</v>
      </c>
      <c r="X45" s="196">
        <v>0.20445380143011174</v>
      </c>
      <c r="Z45" s="196">
        <v>0.2044538014285088</v>
      </c>
      <c r="AB45" s="196">
        <v>0.20445380142912825</v>
      </c>
      <c r="AD45" s="196">
        <v>0.20445380142877137</v>
      </c>
      <c r="AF45" s="196">
        <v>0.20445380142844752</v>
      </c>
      <c r="AH45" s="196">
        <v>0.2044538014286677</v>
      </c>
      <c r="AJ45" s="196">
        <v>0.20445380142856537</v>
      </c>
      <c r="AL45" s="196">
        <v>0.20445380142858594</v>
      </c>
      <c r="AN45" s="196">
        <v>0.20445380142857206</v>
      </c>
      <c r="AP45" s="196">
        <v>0.20445380142857197</v>
      </c>
      <c r="AR45" s="196" t="e">
        <v>#DIV/0!</v>
      </c>
      <c r="AT45" s="196" t="e">
        <v>#DIV/0!</v>
      </c>
      <c r="AV45" s="196" t="e">
        <v>#DIV/0!</v>
      </c>
      <c r="XCQ45" s="196"/>
    </row>
    <row r="46" spans="1:49 16319:16321" x14ac:dyDescent="0.2">
      <c r="A46" t="s">
        <v>142</v>
      </c>
      <c r="B46" s="196">
        <v>1.1751292867591055E-2</v>
      </c>
      <c r="D46" s="196">
        <v>1.1751292217598745E-2</v>
      </c>
      <c r="F46" s="196">
        <v>1.1751292528429496E-2</v>
      </c>
      <c r="H46" s="196">
        <v>1.1751292037774296E-2</v>
      </c>
      <c r="J46" s="196">
        <v>1.1751290719553952E-2</v>
      </c>
      <c r="L46" s="196">
        <v>1.1751293234944999E-2</v>
      </c>
      <c r="N46" s="196">
        <v>1.1751293657692124E-2</v>
      </c>
      <c r="P46" s="196">
        <v>1.1751292381008001E-2</v>
      </c>
      <c r="R46" s="196">
        <v>1.1751292518305844E-2</v>
      </c>
      <c r="T46" s="196">
        <v>1.1751292425371254E-2</v>
      </c>
      <c r="V46" s="196">
        <v>1.1751292544345619E-2</v>
      </c>
      <c r="X46" s="196">
        <v>1.1751293282943305E-2</v>
      </c>
      <c r="Z46" s="196">
        <v>1.1751292773449549E-2</v>
      </c>
      <c r="AB46" s="196">
        <v>1.1751292640374575E-2</v>
      </c>
      <c r="AD46" s="196">
        <v>1.1751292831574809E-2</v>
      </c>
      <c r="AF46" s="196">
        <v>1.1751292875160847E-2</v>
      </c>
      <c r="AH46" s="196">
        <v>1.1751292862964122E-2</v>
      </c>
      <c r="AJ46" s="196">
        <v>1.175129286765436E-2</v>
      </c>
      <c r="AL46" s="196">
        <v>1.1751292867520446E-2</v>
      </c>
      <c r="AN46" s="196">
        <v>1.1751292867589785E-2</v>
      </c>
      <c r="AP46" s="196">
        <v>1.1751292867590149E-2</v>
      </c>
      <c r="AR46" s="196" t="e">
        <v>#DIV/0!</v>
      </c>
      <c r="AT46" s="196" t="e">
        <v>#DIV/0!</v>
      </c>
      <c r="AV46" s="196" t="e">
        <v>#DIV/0!</v>
      </c>
      <c r="XCS46" s="196"/>
    </row>
    <row r="48" spans="1:49 16319:16321" x14ac:dyDescent="0.2">
      <c r="A48" t="s">
        <v>162</v>
      </c>
      <c r="B48" s="194">
        <v>1</v>
      </c>
      <c r="C48" s="194"/>
      <c r="D48" s="194">
        <v>1.0006846481256206</v>
      </c>
      <c r="E48" s="194"/>
      <c r="F48" s="194">
        <v>1.0012762561797461</v>
      </c>
      <c r="G48" s="194"/>
      <c r="H48" s="194">
        <v>1.0017617664778709</v>
      </c>
      <c r="I48" s="194"/>
      <c r="J48" s="194">
        <v>1.0021254897072811</v>
      </c>
      <c r="K48" s="194"/>
      <c r="L48" s="194">
        <v>1.0023484415411121</v>
      </c>
      <c r="M48" s="194"/>
      <c r="N48" s="194">
        <v>1.0024074552079891</v>
      </c>
      <c r="O48" s="194"/>
      <c r="P48" s="194">
        <v>1.0022737630315199</v>
      </c>
      <c r="Q48" s="194"/>
      <c r="R48" s="194">
        <v>1.0019109909955071</v>
      </c>
      <c r="S48" s="194"/>
      <c r="T48" s="194">
        <v>1.0012719207907981</v>
      </c>
      <c r="U48" s="194"/>
      <c r="V48" s="194">
        <v>1.0002925320194755</v>
      </c>
      <c r="W48" s="194"/>
      <c r="X48" s="194">
        <v>0.99887974697801685</v>
      </c>
      <c r="Y48" s="194"/>
      <c r="Z48" s="194">
        <v>0.99688308076046639</v>
      </c>
      <c r="AA48" s="194"/>
      <c r="AB48" s="194">
        <v>0.99402366881644777</v>
      </c>
      <c r="AC48" s="194"/>
      <c r="AD48" s="194">
        <v>0.98971977653499776</v>
      </c>
      <c r="AE48" s="194"/>
      <c r="AF48" s="194">
        <v>0.98270201135836288</v>
      </c>
      <c r="AG48" s="194"/>
      <c r="AH48" s="194">
        <v>0.97024945540133456</v>
      </c>
      <c r="AI48" s="194"/>
      <c r="AJ48" s="194">
        <v>0.94641307995712276</v>
      </c>
      <c r="AK48" s="194"/>
      <c r="AL48" s="194">
        <v>0.89586239806146195</v>
      </c>
      <c r="AM48" s="194"/>
      <c r="AN48" s="194">
        <v>0.7615094541913161</v>
      </c>
      <c r="AO48" s="194"/>
      <c r="AP48" s="194">
        <v>0.7068032969299789</v>
      </c>
      <c r="AQ48" s="194"/>
      <c r="AR48" s="194">
        <v>0</v>
      </c>
      <c r="AS48" s="194"/>
      <c r="AT48" s="194">
        <v>0</v>
      </c>
      <c r="AU48" s="194"/>
      <c r="AV48" s="194">
        <v>0</v>
      </c>
    </row>
    <row r="49" spans="1:48 16321:16384" x14ac:dyDescent="0.2">
      <c r="A49" t="s">
        <v>163</v>
      </c>
      <c r="B49" s="194">
        <v>1</v>
      </c>
      <c r="C49" s="194"/>
      <c r="D49" s="194">
        <v>0.99743884857024434</v>
      </c>
      <c r="E49" s="194"/>
      <c r="F49" s="194">
        <v>0.99433660170129612</v>
      </c>
      <c r="G49" s="194"/>
      <c r="H49" s="194">
        <v>0.99060162096079363</v>
      </c>
      <c r="I49" s="194"/>
      <c r="J49" s="194">
        <v>0.98611757770411435</v>
      </c>
      <c r="K49" s="194"/>
      <c r="L49" s="194">
        <v>0.98073427868108454</v>
      </c>
      <c r="M49" s="194"/>
      <c r="N49" s="194">
        <v>0.9742541029194105</v>
      </c>
      <c r="O49" s="194"/>
      <c r="P49" s="194">
        <v>0.96641128553542255</v>
      </c>
      <c r="Q49" s="194"/>
      <c r="R49" s="194">
        <v>0.95684007742455313</v>
      </c>
      <c r="S49" s="194"/>
      <c r="T49" s="194">
        <v>0.94502467585367245</v>
      </c>
      <c r="U49" s="194"/>
      <c r="V49" s="194">
        <v>0.93021941562611532</v>
      </c>
      <c r="W49" s="194"/>
      <c r="X49" s="194">
        <v>0.91132267467745487</v>
      </c>
      <c r="Y49" s="194"/>
      <c r="Z49" s="194">
        <v>0.88668717261921881</v>
      </c>
      <c r="AA49" s="194"/>
      <c r="AB49" s="194">
        <v>0.85386881907913292</v>
      </c>
      <c r="AC49" s="194"/>
      <c r="AD49" s="194">
        <v>0.80937733964500602</v>
      </c>
      <c r="AE49" s="194"/>
      <c r="AF49" s="194">
        <v>0.74850330309428603</v>
      </c>
      <c r="AG49" s="194"/>
      <c r="AH49" s="194">
        <v>0.66498421630994264</v>
      </c>
      <c r="AI49" s="194"/>
      <c r="AJ49" s="194">
        <v>0.55001937934752898</v>
      </c>
      <c r="AK49" s="194"/>
      <c r="AL49" s="194">
        <v>0.39174235281583714</v>
      </c>
      <c r="AM49" s="194"/>
      <c r="AN49" s="194">
        <v>0.18291623255063053</v>
      </c>
      <c r="AO49" s="194"/>
      <c r="AP49" s="194">
        <v>0.13715680799390392</v>
      </c>
      <c r="AQ49" s="194"/>
      <c r="AR49" s="194" t="e">
        <v>#DIV/0!</v>
      </c>
      <c r="AS49" s="194"/>
      <c r="AT49" s="194" t="e">
        <v>#DIV/0!</v>
      </c>
      <c r="AU49" s="194"/>
      <c r="AV49" s="194" t="e">
        <v>#DIV/0!</v>
      </c>
    </row>
    <row r="51" spans="1:48 16321:16384" x14ac:dyDescent="0.2">
      <c r="A51" t="s">
        <v>169</v>
      </c>
      <c r="B51" s="29">
        <v>898591.45196639095</v>
      </c>
      <c r="D51" s="29">
        <v>931285.09966734471</v>
      </c>
      <c r="F51" s="29">
        <v>964974.04285729676</v>
      </c>
      <c r="H51" s="29">
        <v>999882.84558483353</v>
      </c>
      <c r="J51" s="29">
        <v>1036307.6545213782</v>
      </c>
      <c r="L51" s="29">
        <v>1074647.0720903091</v>
      </c>
      <c r="N51" s="29">
        <v>1115449.844588222</v>
      </c>
      <c r="P51" s="29">
        <v>1159488.8367102873</v>
      </c>
      <c r="R51" s="29">
        <v>1207879.4252251633</v>
      </c>
      <c r="T51" s="29">
        <v>1262270.8131516571</v>
      </c>
      <c r="V51" s="29">
        <v>1325156.4792292723</v>
      </c>
      <c r="X51" s="29">
        <v>1400367.3817966362</v>
      </c>
      <c r="Z51" s="29">
        <v>1493790.52499806</v>
      </c>
      <c r="AB51" s="29">
        <v>1614188.7280267663</v>
      </c>
      <c r="AD51" s="29">
        <v>1773532.48333702</v>
      </c>
      <c r="AF51" s="29">
        <v>1986049.4848999535</v>
      </c>
      <c r="AH51" s="29">
        <v>2267320.9885782576</v>
      </c>
      <c r="AJ51" s="29">
        <v>2637750.42106586</v>
      </c>
      <c r="AL51" s="29">
        <v>3126615.4792869668</v>
      </c>
      <c r="AN51" s="29">
        <v>3682851.2078073458</v>
      </c>
      <c r="AP51" s="29">
        <v>3737793.6358024562</v>
      </c>
      <c r="AQ51" s="29"/>
      <c r="AR51" s="29">
        <v>0</v>
      </c>
      <c r="AT51" s="29">
        <v>0</v>
      </c>
      <c r="AV51" s="29">
        <v>0</v>
      </c>
      <c r="XFD51" s="29"/>
    </row>
    <row r="52" spans="1:48 16321:16384" x14ac:dyDescent="0.2">
      <c r="A52" t="s">
        <v>170</v>
      </c>
      <c r="B52" s="29">
        <v>639893.22495732247</v>
      </c>
      <c r="D52" s="29">
        <v>639001.29711506888</v>
      </c>
      <c r="F52" s="29">
        <v>637929.5658687792</v>
      </c>
      <c r="H52" s="29">
        <v>636650.36506253888</v>
      </c>
      <c r="J52" s="29">
        <v>635129.36907072365</v>
      </c>
      <c r="L52" s="29">
        <v>633323.34417355154</v>
      </c>
      <c r="N52" s="29">
        <v>631176.87883268867</v>
      </c>
      <c r="P52" s="29">
        <v>628617.3223484701</v>
      </c>
      <c r="R52" s="29">
        <v>625547.08451055747</v>
      </c>
      <c r="T52" s="29">
        <v>621831.38425969076</v>
      </c>
      <c r="V52" s="29">
        <v>617277.98228581669</v>
      </c>
      <c r="X52" s="29">
        <v>611602.772123451</v>
      </c>
      <c r="Z52" s="29">
        <v>604370.07306996838</v>
      </c>
      <c r="AB52" s="29">
        <v>594887.47664534021</v>
      </c>
      <c r="AD52" s="29">
        <v>582020.63014357619</v>
      </c>
      <c r="AF52" s="29">
        <v>563857.35170227371</v>
      </c>
      <c r="AH52" s="29">
        <v>537023.95515445352</v>
      </c>
      <c r="AJ52" s="29">
        <v>495014.66218888812</v>
      </c>
      <c r="AL52" s="29">
        <v>423302.24275034387</v>
      </c>
      <c r="AN52" s="29">
        <v>281760.83565842797</v>
      </c>
      <c r="AP52" s="29">
        <v>236563.91871555176</v>
      </c>
      <c r="AQ52" s="29"/>
      <c r="AR52" s="29">
        <v>0</v>
      </c>
      <c r="AT52" s="29">
        <v>0</v>
      </c>
      <c r="AV52" s="29">
        <v>0</v>
      </c>
    </row>
    <row r="53" spans="1:48 16321:16384" x14ac:dyDescent="0.2">
      <c r="A53" t="s">
        <v>171</v>
      </c>
      <c r="B53" s="29">
        <v>994319.23090072128</v>
      </c>
      <c r="D53" s="29">
        <v>986756.89451298618</v>
      </c>
      <c r="F53" s="29">
        <v>979026.60099441616</v>
      </c>
      <c r="H53" s="29">
        <v>971100.34247391601</v>
      </c>
      <c r="J53" s="29">
        <v>962943.97169348202</v>
      </c>
      <c r="L53" s="29">
        <v>954515.07701381238</v>
      </c>
      <c r="N53" s="29">
        <v>945759.81416082324</v>
      </c>
      <c r="P53" s="29">
        <v>936607.96074397734</v>
      </c>
      <c r="R53" s="29">
        <v>926964.89511135826</v>
      </c>
      <c r="T53" s="29">
        <v>916697.99587494275</v>
      </c>
      <c r="V53" s="29">
        <v>905612.43371487933</v>
      </c>
      <c r="X53" s="29">
        <v>893405.97695049236</v>
      </c>
      <c r="Z53" s="29">
        <v>879581.33729967545</v>
      </c>
      <c r="AB53" s="29">
        <v>863273.93415231665</v>
      </c>
      <c r="AD53" s="29">
        <v>842925.22945976886</v>
      </c>
      <c r="AF53" s="29">
        <v>815708.9254903032</v>
      </c>
      <c r="AH53" s="29">
        <v>776518.43004914105</v>
      </c>
      <c r="AJ53" s="29">
        <v>715670.14426857629</v>
      </c>
      <c r="AL53" s="29">
        <v>611974.31357898167</v>
      </c>
      <c r="AN53" s="29">
        <v>407344.7220439532</v>
      </c>
      <c r="AP53" s="29">
        <v>342003.03093616915</v>
      </c>
      <c r="AQ53" s="29"/>
      <c r="AR53" s="29">
        <v>0</v>
      </c>
      <c r="AT53" s="29">
        <v>0</v>
      </c>
      <c r="AV53" s="29">
        <v>0</v>
      </c>
      <c r="XFD53" s="29"/>
    </row>
    <row r="55" spans="1:48 16321:16384" x14ac:dyDescent="0.2">
      <c r="A55" t="s">
        <v>172</v>
      </c>
      <c r="B55" s="196">
        <v>0.29343319644276039</v>
      </c>
      <c r="D55" s="196">
        <v>0.29631182570823011</v>
      </c>
      <c r="F55" s="196">
        <v>0.29928888069734799</v>
      </c>
      <c r="H55" s="196">
        <v>0.30238523559609698</v>
      </c>
      <c r="J55" s="196">
        <v>0.30562808703582556</v>
      </c>
      <c r="L55" s="196">
        <v>0.30905357714367104</v>
      </c>
      <c r="N55" s="196">
        <v>0.3127108112581744</v>
      </c>
      <c r="P55" s="196">
        <v>0.31666807048818657</v>
      </c>
      <c r="R55" s="196">
        <v>0.32102268314719218</v>
      </c>
      <c r="T55" s="196">
        <v>0.32591690833804537</v>
      </c>
      <c r="V55" s="196">
        <v>0.33156370462619961</v>
      </c>
      <c r="X55" s="196">
        <v>0.33828794235069598</v>
      </c>
      <c r="Z55" s="196">
        <v>0.34658806867839931</v>
      </c>
      <c r="AB55" s="196">
        <v>0.35721418646098463</v>
      </c>
      <c r="AD55" s="196">
        <v>0.37123491579532181</v>
      </c>
      <c r="AF55" s="196">
        <v>0.39008321287646014</v>
      </c>
      <c r="AH55" s="196">
        <v>0.41581340857793553</v>
      </c>
      <c r="AJ55" s="196">
        <v>0.45231544491859149</v>
      </c>
      <c r="AL55" s="196">
        <v>0.50930867225267873</v>
      </c>
      <c r="AN55" s="196">
        <v>0.61887514137887234</v>
      </c>
      <c r="AP55" s="196">
        <v>0.65578051459655939</v>
      </c>
      <c r="AR55" s="196" t="e">
        <v>#DIV/0!</v>
      </c>
      <c r="AT55" s="196" t="e">
        <v>#DIV/0!</v>
      </c>
      <c r="AV55" s="196" t="e">
        <v>#DIV/0!</v>
      </c>
      <c r="XCS55" s="196"/>
      <c r="XFD55" s="196"/>
    </row>
    <row r="56" spans="1:48 16321:16384" x14ac:dyDescent="0.2">
      <c r="A56" t="s">
        <v>173</v>
      </c>
      <c r="B56" s="196">
        <v>0.12330490389763608</v>
      </c>
      <c r="D56" s="196">
        <v>0.12624800552747834</v>
      </c>
      <c r="F56" s="196">
        <v>0.12932181671603607</v>
      </c>
      <c r="H56" s="196">
        <v>0.13255339333103464</v>
      </c>
      <c r="J56" s="196">
        <v>0.13597798401163708</v>
      </c>
      <c r="L56" s="196">
        <v>0.13964241236763494</v>
      </c>
      <c r="N56" s="196">
        <v>0.1436102363267002</v>
      </c>
      <c r="P56" s="196">
        <v>0.14796970579516583</v>
      </c>
      <c r="R56" s="196">
        <v>0.15284635463750582</v>
      </c>
      <c r="T56" s="196">
        <v>0.15842317639559561</v>
      </c>
      <c r="V56" s="196">
        <v>0.16497317251859764</v>
      </c>
      <c r="X56" s="196">
        <v>0.17291099833437792</v>
      </c>
      <c r="Z56" s="196">
        <v>0.18286934419456471</v>
      </c>
      <c r="AB56" s="196">
        <v>0.19579346106863649</v>
      </c>
      <c r="AD56" s="196">
        <v>0.2130171764212197</v>
      </c>
      <c r="AF56" s="196">
        <v>0.2363088603554391</v>
      </c>
      <c r="AH56" s="196">
        <v>0.26818552866223849</v>
      </c>
      <c r="AJ56" s="196">
        <v>0.31342807993182659</v>
      </c>
      <c r="AL56" s="196">
        <v>0.38403783682313652</v>
      </c>
      <c r="AN56" s="196">
        <v>0.5196830903075651</v>
      </c>
      <c r="AP56" s="196">
        <v>0.56535244543827123</v>
      </c>
      <c r="AR56" s="196" t="e">
        <v>#DIV/0!</v>
      </c>
      <c r="AT56" s="196" t="e">
        <v>#DIV/0!</v>
      </c>
      <c r="AV56" s="196" t="e">
        <v>#DIV/0!</v>
      </c>
      <c r="XFD56" s="196"/>
    </row>
    <row r="57" spans="1:48 16321:16384" x14ac:dyDescent="0.2">
      <c r="A57" t="s">
        <v>174</v>
      </c>
      <c r="B57" s="196">
        <v>0.15814435802029927</v>
      </c>
      <c r="D57" s="196">
        <v>0.15810058428392004</v>
      </c>
      <c r="F57" s="196">
        <v>0.15802537878000666</v>
      </c>
      <c r="H57" s="196">
        <v>0.15791273099314698</v>
      </c>
      <c r="J57" s="196">
        <v>0.15775481110690193</v>
      </c>
      <c r="L57" s="196">
        <v>0.15754123249962732</v>
      </c>
      <c r="N57" s="196">
        <v>0.15725794302032406</v>
      </c>
      <c r="P57" s="196">
        <v>0.15688552865589625</v>
      </c>
      <c r="R57" s="196">
        <v>0.15639657071615232</v>
      </c>
      <c r="T57" s="196">
        <v>0.15575147641128873</v>
      </c>
      <c r="V57" s="196">
        <v>0.15489188997686609</v>
      </c>
      <c r="X57" s="196">
        <v>0.1537305431575976</v>
      </c>
      <c r="Y57" s="196"/>
      <c r="Z57" s="196">
        <v>0.15213690635643501</v>
      </c>
      <c r="AB57" s="196">
        <v>0.14992102765591295</v>
      </c>
      <c r="AD57" s="196">
        <v>0.14682411370913351</v>
      </c>
      <c r="AF57" s="196">
        <v>0.14251720472644375</v>
      </c>
      <c r="AH57" s="196">
        <v>0.13654369294312332</v>
      </c>
      <c r="AJ57" s="196">
        <v>0.12802302858214715</v>
      </c>
      <c r="AL57" s="196">
        <v>0.11470259199628573</v>
      </c>
      <c r="AN57" s="196">
        <v>8.9090790519724808E-2</v>
      </c>
      <c r="AP57" s="196">
        <v>8.0463885032670171E-2</v>
      </c>
      <c r="AR57" s="196" t="e">
        <v>#DIV/0!</v>
      </c>
      <c r="AT57" s="196" t="e">
        <v>#DIV/0!</v>
      </c>
      <c r="AV57" s="196" t="e">
        <v>#DIV/0!</v>
      </c>
      <c r="XFD57" s="196"/>
    </row>
    <row r="58" spans="1:48 16321:16384" x14ac:dyDescent="0.2">
      <c r="A58" t="s">
        <v>175</v>
      </c>
      <c r="B58" s="196">
        <v>1.1983934524824984E-2</v>
      </c>
      <c r="D58" s="196">
        <v>1.1963235896831747E-2</v>
      </c>
      <c r="F58" s="196">
        <v>1.1941685201305299E-2</v>
      </c>
      <c r="H58" s="196">
        <v>1.1919111271915337E-2</v>
      </c>
      <c r="J58" s="196">
        <v>1.1895291917286584E-2</v>
      </c>
      <c r="L58" s="196">
        <v>1.1869932276408807E-2</v>
      </c>
      <c r="N58" s="196">
        <v>1.184263191115008E-2</v>
      </c>
      <c r="P58" s="196">
        <v>1.1812836037124448E-2</v>
      </c>
      <c r="R58" s="196">
        <v>1.1779757793534044E-2</v>
      </c>
      <c r="T58" s="196">
        <v>1.1742255531161027E-2</v>
      </c>
      <c r="V58" s="196">
        <v>1.1698642130735864E-2</v>
      </c>
      <c r="X58" s="196">
        <v>1.1646400858720426E-2</v>
      </c>
      <c r="Y58" s="196"/>
      <c r="Z58" s="196">
        <v>1.1581818127399586E-2</v>
      </c>
      <c r="AB58" s="196">
        <v>1.1499697736435163E-2</v>
      </c>
      <c r="AD58" s="196">
        <v>1.1393625664968635E-2</v>
      </c>
      <c r="AF58" s="196">
        <v>1.1257147794577269E-2</v>
      </c>
      <c r="AH58" s="196">
        <v>1.1084186972573679E-2</v>
      </c>
      <c r="AJ58" s="196">
        <v>1.0864336404617824E-2</v>
      </c>
      <c r="AL58" s="196">
        <v>1.0568243433256417E-2</v>
      </c>
      <c r="AN58" s="196">
        <v>1.0101260551582369E-2</v>
      </c>
      <c r="AP58" s="196">
        <v>9.964184125618062E-3</v>
      </c>
      <c r="AR58" s="196" t="e">
        <v>#DIV/0!</v>
      </c>
      <c r="AT58" s="196" t="e">
        <v>#DIV/0!</v>
      </c>
      <c r="AV58" s="196" t="e">
        <v>#DIV/0!</v>
      </c>
      <c r="XFD58" s="196"/>
    </row>
    <row r="59" spans="1:48 16321:16384" x14ac:dyDescent="0.2">
      <c r="A59" t="s">
        <v>176</v>
      </c>
      <c r="B59" s="196">
        <v>1.7199725200015354E-2</v>
      </c>
      <c r="D59" s="196">
        <v>2.0250804223229436E-2</v>
      </c>
      <c r="F59" s="196">
        <v>2.3437954940658295E-2</v>
      </c>
      <c r="H59" s="196">
        <v>2.6789321101326105E-2</v>
      </c>
      <c r="J59" s="196">
        <v>3.0341579008305423E-2</v>
      </c>
      <c r="L59" s="196">
        <v>3.4143465317442417E-2</v>
      </c>
      <c r="N59" s="196">
        <v>3.8261158299187067E-2</v>
      </c>
      <c r="P59" s="196">
        <v>4.2786573226763477E-2</v>
      </c>
      <c r="R59" s="196">
        <v>4.785049150399668E-2</v>
      </c>
      <c r="T59" s="196">
        <v>5.3643593431719476E-2</v>
      </c>
      <c r="V59" s="196">
        <v>6.0450367776674584E-2</v>
      </c>
      <c r="X59" s="196">
        <v>6.870285706761925E-2</v>
      </c>
      <c r="Z59" s="196">
        <v>7.9059957636534769E-2</v>
      </c>
      <c r="AB59" s="196">
        <v>9.2504926995643957E-2</v>
      </c>
      <c r="AD59" s="196">
        <v>0.11042183020391075</v>
      </c>
      <c r="AF59" s="196">
        <v>0.13463725373693347</v>
      </c>
      <c r="AH59" s="196">
        <v>0.16773626056093205</v>
      </c>
      <c r="AJ59" s="196">
        <v>0.21461706763802824</v>
      </c>
      <c r="AL59" s="196">
        <v>0.28757214436412237</v>
      </c>
      <c r="AN59" s="196">
        <v>0.42715930985313583</v>
      </c>
      <c r="AP59" s="196">
        <v>0.47402427170455103</v>
      </c>
      <c r="AR59" s="196" t="e">
        <v>#DIV/0!</v>
      </c>
      <c r="AT59" s="196" t="e">
        <v>#DIV/0!</v>
      </c>
      <c r="AV59" s="196" t="e">
        <v>#DIV/0!</v>
      </c>
      <c r="XFD59" s="196"/>
    </row>
    <row r="60" spans="1:48 16321:16384" x14ac:dyDescent="0.2">
      <c r="A60" t="s">
        <v>177</v>
      </c>
      <c r="B60" s="196">
        <v>0.10610517869762073</v>
      </c>
      <c r="D60" s="196">
        <v>0.1059972013042489</v>
      </c>
      <c r="F60" s="196">
        <v>0.10588386177537777</v>
      </c>
      <c r="H60" s="196">
        <v>0.10576407222970853</v>
      </c>
      <c r="J60" s="196">
        <v>0.10563640500333166</v>
      </c>
      <c r="L60" s="196">
        <v>0.10549894705019251</v>
      </c>
      <c r="N60" s="196">
        <v>0.10534907802751314</v>
      </c>
      <c r="P60" s="196">
        <v>0.10518313256840237</v>
      </c>
      <c r="R60" s="196">
        <v>0.10499586313350912</v>
      </c>
      <c r="T60" s="196">
        <v>0.10477958296387614</v>
      </c>
      <c r="V60" s="196">
        <v>0.10452280474192308</v>
      </c>
      <c r="X60" s="196">
        <v>0.10420814126675867</v>
      </c>
      <c r="Z60" s="196">
        <v>0.10380938655802996</v>
      </c>
      <c r="AB60" s="196">
        <v>0.10328853407299253</v>
      </c>
      <c r="AD60" s="196">
        <v>0.10259534621730894</v>
      </c>
      <c r="AF60" s="196">
        <v>0.10167160661850563</v>
      </c>
      <c r="AH60" s="196">
        <v>0.10044926810130642</v>
      </c>
      <c r="AJ60" s="196">
        <v>9.8811012293798337E-2</v>
      </c>
      <c r="AL60" s="196">
        <v>9.6465692459014138E-2</v>
      </c>
      <c r="AN60" s="196">
        <v>9.25237804544293E-2</v>
      </c>
      <c r="AP60" s="196">
        <v>9.1328173733720167E-2</v>
      </c>
      <c r="AR60" s="196" t="e">
        <v>#DIV/0!</v>
      </c>
      <c r="AT60" s="196" t="e">
        <v>#DIV/0!</v>
      </c>
      <c r="AV60" s="196" t="e">
        <v>#DIV/0!</v>
      </c>
      <c r="XFD60" s="196"/>
    </row>
    <row r="62" spans="1:48 16321:16384" x14ac:dyDescent="0.2">
      <c r="A62" t="s">
        <v>178</v>
      </c>
      <c r="B62">
        <v>1</v>
      </c>
      <c r="D62">
        <v>1.0062592770293237</v>
      </c>
      <c r="F62">
        <v>1.0125035761121428</v>
      </c>
      <c r="H62">
        <v>1.018720890651736</v>
      </c>
      <c r="J62">
        <v>1.0248953051818479</v>
      </c>
      <c r="L62">
        <v>1.0310056157604466</v>
      </c>
      <c r="N62">
        <v>1.0370233902399064</v>
      </c>
      <c r="P62">
        <v>1.0429099877713266</v>
      </c>
      <c r="R62">
        <v>1.0486125327312037</v>
      </c>
      <c r="T62">
        <v>1.0540584225834244</v>
      </c>
      <c r="V62">
        <v>1.0591482107210577</v>
      </c>
      <c r="X62">
        <v>1.0637483975161952</v>
      </c>
      <c r="Z62">
        <v>1.0676902381794975</v>
      </c>
      <c r="AB62">
        <v>1.0707905395295543</v>
      </c>
      <c r="AD62">
        <v>1.0729207711336823</v>
      </c>
      <c r="AF62">
        <v>1.0741189038698851</v>
      </c>
      <c r="AH62">
        <v>1.074633112042428</v>
      </c>
      <c r="AJ62">
        <v>1.0747896852246752</v>
      </c>
      <c r="AL62">
        <v>1.0748199099579414</v>
      </c>
      <c r="AN62">
        <v>1.0748227747002779</v>
      </c>
      <c r="AP62">
        <v>1.0748228184294617</v>
      </c>
      <c r="AR62" t="e">
        <v>#DIV/0!</v>
      </c>
      <c r="AT62" t="e">
        <v>#DIV/0!</v>
      </c>
      <c r="AV62" t="e">
        <v>#DIV/0!</v>
      </c>
    </row>
    <row r="65" spans="1:48 16384:16384" x14ac:dyDescent="0.2">
      <c r="A65" t="s">
        <v>179</v>
      </c>
      <c r="B65" s="194">
        <v>1</v>
      </c>
      <c r="C65" s="194"/>
      <c r="D65" s="194">
        <v>0.99829433470856888</v>
      </c>
      <c r="E65" s="194"/>
      <c r="F65" s="194">
        <v>0.99660208121276694</v>
      </c>
      <c r="G65" s="194"/>
      <c r="H65" s="194">
        <v>0.99492911140559692</v>
      </c>
      <c r="I65" s="194"/>
      <c r="J65" s="194">
        <v>0.99328431888263247</v>
      </c>
      <c r="K65" s="194"/>
      <c r="L65" s="194">
        <v>0.99168114135961549</v>
      </c>
      <c r="M65" s="194"/>
      <c r="N65" s="194">
        <v>0.9901399322196528</v>
      </c>
      <c r="O65" s="194"/>
      <c r="P65" s="194">
        <v>0.98869160088599284</v>
      </c>
      <c r="Q65" s="194"/>
      <c r="R65" s="194">
        <v>0.9873834502706984</v>
      </c>
      <c r="S65" s="194"/>
      <c r="T65" s="194">
        <v>0.98628848167798533</v>
      </c>
      <c r="U65" s="194"/>
      <c r="V65" s="194">
        <v>0.98551991785090676</v>
      </c>
      <c r="W65" s="194"/>
      <c r="X65" s="194">
        <v>0.98525249573084506</v>
      </c>
      <c r="Y65" s="194"/>
      <c r="Z65" s="194">
        <v>0.98574788766694577</v>
      </c>
      <c r="AA65" s="194"/>
      <c r="AB65" s="194">
        <v>0.98736497769612541</v>
      </c>
      <c r="AC65" s="194"/>
      <c r="AD65" s="194">
        <v>0.99049951064600517</v>
      </c>
      <c r="AE65" s="194"/>
      <c r="AF65" s="194">
        <v>0.99538903619208607</v>
      </c>
      <c r="AG65" s="194"/>
      <c r="AH65" s="194">
        <v>1.0018815127887919</v>
      </c>
      <c r="AI65" s="194"/>
      <c r="AJ65" s="194">
        <v>1.0094636513077526</v>
      </c>
      <c r="AK65" s="194"/>
      <c r="AL65" s="194">
        <v>1.0175519016952939</v>
      </c>
      <c r="AM65" s="194"/>
      <c r="AN65" s="194">
        <v>1.0256430809700861</v>
      </c>
      <c r="AO65" s="194"/>
      <c r="AP65" s="194">
        <v>1.027203968979006</v>
      </c>
      <c r="AQ65" s="194"/>
      <c r="AR65" s="194" t="e">
        <v>#DIV/0!</v>
      </c>
      <c r="AS65" s="194"/>
      <c r="AT65" s="194" t="e">
        <v>#DIV/0!</v>
      </c>
      <c r="AU65" s="194"/>
      <c r="AV65" s="194" t="e">
        <v>#DIV/0!</v>
      </c>
    </row>
    <row r="66" spans="1:48 16384:16384" x14ac:dyDescent="0.2">
      <c r="A66" t="s">
        <v>185</v>
      </c>
      <c r="B66" s="194">
        <v>1</v>
      </c>
      <c r="C66" s="194"/>
      <c r="D66" s="194">
        <v>0.99821289372969524</v>
      </c>
      <c r="E66" s="194"/>
      <c r="F66" s="194">
        <v>0.99643742676247127</v>
      </c>
      <c r="G66" s="194"/>
      <c r="H66" s="194">
        <v>0.99467982186301884</v>
      </c>
      <c r="I66" s="194"/>
      <c r="J66" s="194">
        <v>0.99294951611606752</v>
      </c>
      <c r="K66" s="194"/>
      <c r="L66" s="194">
        <v>0.99126078600266987</v>
      </c>
      <c r="M66" s="194"/>
      <c r="N66" s="194">
        <v>0.98963527909028359</v>
      </c>
      <c r="O66" s="194"/>
      <c r="P66" s="194">
        <v>0.98810590005930199</v>
      </c>
      <c r="Q66" s="194"/>
      <c r="R66" s="194">
        <v>0.98672303544856632</v>
      </c>
      <c r="S66" s="194"/>
      <c r="T66" s="194">
        <v>0.98556445866779108</v>
      </c>
      <c r="U66" s="194"/>
      <c r="V66" s="194">
        <v>0.98475074192845591</v>
      </c>
      <c r="W66" s="194"/>
      <c r="X66" s="194">
        <v>0.98446771911770681</v>
      </c>
      <c r="Y66" s="194"/>
      <c r="Z66" s="194">
        <v>0.9849929191589395</v>
      </c>
      <c r="AA66" s="194"/>
      <c r="AB66" s="194">
        <v>0.9867049462576728</v>
      </c>
      <c r="AC66" s="194"/>
      <c r="AD66" s="194">
        <v>0.99001645116868342</v>
      </c>
      <c r="AE66" s="194"/>
      <c r="AF66" s="194">
        <v>0.99516444339053689</v>
      </c>
      <c r="AG66" s="194"/>
      <c r="AH66" s="194">
        <v>1.0019679077479977</v>
      </c>
      <c r="AI66" s="194"/>
      <c r="AJ66" s="194">
        <v>1.0098679224294722</v>
      </c>
      <c r="AK66" s="194"/>
      <c r="AL66" s="194">
        <v>1.0182429258873875</v>
      </c>
      <c r="AM66" s="194"/>
      <c r="AN66" s="194">
        <v>1.0265683954466336</v>
      </c>
      <c r="AO66" s="194"/>
      <c r="AP66" s="194">
        <v>1.0281685524653021</v>
      </c>
      <c r="AQ66" s="194"/>
      <c r="AR66" s="194" t="e">
        <v>#DIV/0!</v>
      </c>
      <c r="AS66" s="194"/>
      <c r="AT66" s="194" t="e">
        <v>#DIV/0!</v>
      </c>
      <c r="AU66" s="194"/>
      <c r="AV66" s="194" t="e">
        <v>#DIV/0!</v>
      </c>
      <c r="XFD66" s="194"/>
    </row>
    <row r="67" spans="1:48 16384:16384" x14ac:dyDescent="0.2">
      <c r="A67" t="s">
        <v>186</v>
      </c>
      <c r="B67" s="194">
        <v>1</v>
      </c>
      <c r="C67" s="194"/>
      <c r="D67" s="194">
        <v>1</v>
      </c>
      <c r="E67" s="194"/>
      <c r="F67" s="194">
        <v>1</v>
      </c>
      <c r="G67" s="194"/>
      <c r="H67" s="194">
        <v>1</v>
      </c>
      <c r="I67" s="194"/>
      <c r="J67" s="194">
        <v>1</v>
      </c>
      <c r="K67" s="194"/>
      <c r="L67" s="194">
        <v>1</v>
      </c>
      <c r="M67" s="194"/>
      <c r="N67" s="194">
        <v>1</v>
      </c>
      <c r="O67" s="194"/>
      <c r="P67" s="194">
        <v>1</v>
      </c>
      <c r="Q67" s="194"/>
      <c r="R67" s="194">
        <v>1</v>
      </c>
      <c r="S67" s="194"/>
      <c r="T67" s="194">
        <v>1</v>
      </c>
      <c r="U67" s="194"/>
      <c r="V67" s="194">
        <v>1</v>
      </c>
      <c r="W67" s="194"/>
      <c r="X67" s="194">
        <v>1</v>
      </c>
      <c r="Y67" s="194"/>
      <c r="Z67" s="194">
        <v>1</v>
      </c>
      <c r="AA67" s="194"/>
      <c r="AB67" s="194">
        <v>1</v>
      </c>
      <c r="AC67" s="194"/>
      <c r="AD67" s="194">
        <v>1</v>
      </c>
      <c r="AE67" s="194"/>
      <c r="AF67" s="194">
        <v>1</v>
      </c>
      <c r="AG67" s="194"/>
      <c r="AH67" s="194">
        <v>1</v>
      </c>
      <c r="AI67" s="194"/>
      <c r="AJ67" s="194">
        <v>1</v>
      </c>
      <c r="AK67" s="194"/>
      <c r="AL67" s="194">
        <v>1</v>
      </c>
      <c r="AM67" s="194"/>
      <c r="AN67" s="194">
        <v>1</v>
      </c>
      <c r="AO67" s="194"/>
      <c r="AP67" s="194">
        <v>1</v>
      </c>
      <c r="AQ67" s="194"/>
      <c r="AR67" s="194" t="e">
        <v>#DIV/0!</v>
      </c>
      <c r="AS67" s="194"/>
      <c r="AT67" s="194" t="e">
        <v>#DIV/0!</v>
      </c>
      <c r="AU67" s="194"/>
      <c r="AV67" s="194" t="e">
        <v>#DIV/0!</v>
      </c>
      <c r="XFD67" s="194"/>
    </row>
    <row r="68" spans="1:48 16384:16384" x14ac:dyDescent="0.2">
      <c r="A68" t="s">
        <v>184</v>
      </c>
      <c r="B68" s="194">
        <v>1</v>
      </c>
      <c r="C68" s="194"/>
      <c r="D68" s="194">
        <v>0.99821289372969524</v>
      </c>
      <c r="E68" s="194"/>
      <c r="F68" s="194">
        <v>0.99643742676247127</v>
      </c>
      <c r="G68" s="194"/>
      <c r="H68" s="194">
        <v>0.99467982186301884</v>
      </c>
      <c r="I68" s="194"/>
      <c r="J68" s="194">
        <v>0.99294951611606752</v>
      </c>
      <c r="K68" s="194"/>
      <c r="L68" s="194">
        <v>0.99126078600266987</v>
      </c>
      <c r="M68" s="194"/>
      <c r="N68" s="194">
        <v>0.98963527909028359</v>
      </c>
      <c r="O68" s="194"/>
      <c r="P68" s="194">
        <v>0.98810590005930199</v>
      </c>
      <c r="Q68" s="194"/>
      <c r="R68" s="194">
        <v>0.98672303544856632</v>
      </c>
      <c r="S68" s="194"/>
      <c r="T68" s="194">
        <v>0.98556445866779108</v>
      </c>
      <c r="U68" s="194"/>
      <c r="V68" s="194">
        <v>0.98475074192845591</v>
      </c>
      <c r="W68" s="194"/>
      <c r="X68" s="194">
        <v>0.98446771911770681</v>
      </c>
      <c r="Y68" s="194"/>
      <c r="Z68" s="194">
        <v>0.9849929191589395</v>
      </c>
      <c r="AA68" s="194"/>
      <c r="AB68" s="194">
        <v>0.9867049462576728</v>
      </c>
      <c r="AC68" s="194"/>
      <c r="AD68" s="194">
        <v>0.99001645116868342</v>
      </c>
      <c r="AE68" s="194"/>
      <c r="AF68" s="194">
        <v>0.99516444339053689</v>
      </c>
      <c r="AG68" s="194"/>
      <c r="AH68" s="194">
        <v>1.0019679077479977</v>
      </c>
      <c r="AI68" s="194"/>
      <c r="AJ68" s="194">
        <v>1.0098679224294722</v>
      </c>
      <c r="AK68" s="194"/>
      <c r="AL68" s="194">
        <v>1.0182429258873875</v>
      </c>
      <c r="AM68" s="194"/>
      <c r="AN68" s="194">
        <v>1.0265683954466336</v>
      </c>
      <c r="AO68" s="194"/>
      <c r="AP68" s="194">
        <v>1.0281685524653021</v>
      </c>
      <c r="AQ68" s="194"/>
      <c r="AR68" s="194" t="e">
        <v>#DIV/0!</v>
      </c>
      <c r="AS68" s="194"/>
      <c r="AT68" s="194" t="e">
        <v>#DIV/0!</v>
      </c>
      <c r="AU68" s="194"/>
      <c r="AV68" s="194" t="e">
        <v>#DIV/0!</v>
      </c>
      <c r="XFD68" s="194"/>
    </row>
    <row r="69" spans="1:48 16384:16384" x14ac:dyDescent="0.2">
      <c r="A69" t="s">
        <v>180</v>
      </c>
      <c r="B69" s="194">
        <v>1</v>
      </c>
      <c r="C69" s="194"/>
      <c r="D69" s="194">
        <v>1.0006030121969742</v>
      </c>
      <c r="E69" s="194"/>
      <c r="F69" s="194">
        <v>1.0011108294048752</v>
      </c>
      <c r="G69" s="194"/>
      <c r="H69" s="194">
        <v>1.0015107649985122</v>
      </c>
      <c r="I69" s="194"/>
      <c r="J69" s="194">
        <v>1.0017877070023287</v>
      </c>
      <c r="K69" s="194"/>
      <c r="L69" s="194">
        <v>1.001923564476271</v>
      </c>
      <c r="M69" s="194"/>
      <c r="N69" s="194">
        <v>1.0018965495187773</v>
      </c>
      <c r="O69" s="194"/>
      <c r="P69" s="194">
        <v>1.0016800161612092</v>
      </c>
      <c r="Q69" s="194"/>
      <c r="R69" s="194">
        <v>1.0012408593942639</v>
      </c>
      <c r="S69" s="194"/>
      <c r="T69" s="194">
        <v>1.0005368985730758</v>
      </c>
      <c r="U69" s="194"/>
      <c r="V69" s="194">
        <v>0.99951182641050573</v>
      </c>
      <c r="W69" s="194"/>
      <c r="X69" s="194">
        <v>0.99808411593362101</v>
      </c>
      <c r="Y69" s="194"/>
      <c r="Z69" s="194">
        <v>0.99611958398684752</v>
      </c>
      <c r="AA69" s="194"/>
      <c r="AB69" s="194">
        <v>0.99335918618897545</v>
      </c>
      <c r="AC69" s="194"/>
      <c r="AD69" s="194">
        <v>0.98923709732742104</v>
      </c>
      <c r="AE69" s="194"/>
      <c r="AF69" s="194">
        <v>0.98248028117127129</v>
      </c>
      <c r="AG69" s="194"/>
      <c r="AH69" s="194">
        <v>0.97033312264201466</v>
      </c>
      <c r="AI69" s="194"/>
      <c r="AJ69" s="194">
        <v>0.94679210051618823</v>
      </c>
      <c r="AK69" s="194"/>
      <c r="AL69" s="194">
        <v>0.89647078235002131</v>
      </c>
      <c r="AM69" s="194"/>
      <c r="AN69" s="194">
        <v>0.76219647264350909</v>
      </c>
      <c r="AO69" s="194"/>
      <c r="AP69" s="194">
        <v>0.70746701203317852</v>
      </c>
      <c r="AQ69" s="194"/>
      <c r="AR69" s="194" t="e">
        <v>#DIV/0!</v>
      </c>
      <c r="AS69" s="194"/>
      <c r="AT69" s="194" t="e">
        <v>#DIV/0!</v>
      </c>
      <c r="AU69" s="194"/>
      <c r="AV69" s="194" t="e">
        <v>#DIV/0!</v>
      </c>
    </row>
    <row r="70" spans="1:48 16384:16384" x14ac:dyDescent="0.2">
      <c r="A70" t="s">
        <v>181</v>
      </c>
      <c r="B70" s="141">
        <v>1</v>
      </c>
      <c r="C70" s="141"/>
      <c r="D70" s="141">
        <v>1.000419039257098</v>
      </c>
      <c r="E70" s="141"/>
      <c r="F70" s="141">
        <v>1.0006909893758105</v>
      </c>
      <c r="G70" s="141"/>
      <c r="H70" s="141">
        <v>1.0007897119525353</v>
      </c>
      <c r="I70" s="141"/>
      <c r="J70" s="141">
        <v>1.0006818164835407</v>
      </c>
      <c r="K70" s="141"/>
      <c r="L70" s="141">
        <v>1.0003239196418219</v>
      </c>
      <c r="M70" s="141"/>
      <c r="N70" s="141">
        <v>0.99965857576772332</v>
      </c>
      <c r="O70" s="141"/>
      <c r="P70" s="141">
        <v>0.99860802247865021</v>
      </c>
      <c r="Q70" s="141"/>
      <c r="R70" s="141">
        <v>0.99706451506113769</v>
      </c>
      <c r="S70" s="141"/>
      <c r="T70" s="141">
        <v>0.99487499130619905</v>
      </c>
      <c r="U70" s="141"/>
      <c r="V70" s="141">
        <v>0.99181631343658128</v>
      </c>
      <c r="W70" s="141"/>
      <c r="X70" s="141">
        <v>0.98755530393185298</v>
      </c>
      <c r="Y70" s="141"/>
      <c r="Z70" s="141">
        <v>0.98158597850551355</v>
      </c>
      <c r="AA70" s="141"/>
      <c r="AB70" s="141">
        <v>0.9731374097205564</v>
      </c>
      <c r="AC70" s="141"/>
      <c r="AD70" s="141">
        <v>0.96104885306532006</v>
      </c>
      <c r="AE70" s="141"/>
      <c r="AF70" s="141">
        <v>0.94356606532551479</v>
      </c>
      <c r="AG70" s="141"/>
      <c r="AH70" s="141">
        <v>0.91777252692663958</v>
      </c>
      <c r="AI70" s="141"/>
      <c r="AJ70" s="141">
        <v>0.87774072262533998</v>
      </c>
      <c r="AK70" s="141"/>
      <c r="AL70" s="141">
        <v>0.80836767402630016</v>
      </c>
      <c r="AM70" s="141"/>
      <c r="AN70" s="141">
        <v>0.6568576782080402</v>
      </c>
      <c r="AO70" s="141"/>
      <c r="AP70" s="141">
        <v>0.60140851667801087</v>
      </c>
      <c r="AQ70" s="141"/>
      <c r="AR70" s="141">
        <v>0</v>
      </c>
      <c r="AS70" s="141"/>
      <c r="AT70" s="141">
        <v>0</v>
      </c>
      <c r="AU70" s="141"/>
      <c r="AV70" s="141">
        <v>0</v>
      </c>
    </row>
    <row r="71" spans="1:48 16384:16384" x14ac:dyDescent="0.2">
      <c r="A71" t="s">
        <v>182</v>
      </c>
      <c r="B71" s="141">
        <v>1</v>
      </c>
      <c r="D71" s="141">
        <v>0.90790863714769998</v>
      </c>
      <c r="E71" s="141"/>
      <c r="F71" s="141">
        <v>0.81714193387784428</v>
      </c>
      <c r="G71" s="141"/>
      <c r="H71" s="141">
        <v>0.72791877089380808</v>
      </c>
      <c r="I71" s="141"/>
      <c r="J71" s="141">
        <v>0.64051299199323963</v>
      </c>
      <c r="K71" s="141"/>
      <c r="L71" s="141">
        <v>0.5552703133485779</v>
      </c>
      <c r="M71" s="141"/>
      <c r="N71" s="141">
        <v>0.4726314318827512</v>
      </c>
      <c r="O71" s="141"/>
      <c r="P71" s="141">
        <v>0.39316556345981463</v>
      </c>
      <c r="Q71" s="141"/>
      <c r="R71" s="141">
        <v>0.3176138247280304</v>
      </c>
      <c r="S71" s="141"/>
      <c r="T71" s="141">
        <v>0.24694459122317103</v>
      </c>
      <c r="U71" s="141"/>
      <c r="V71" s="141">
        <v>0.18241680612476388</v>
      </c>
      <c r="W71" s="141"/>
      <c r="X71" s="141">
        <v>0.12562447739435334</v>
      </c>
      <c r="Y71" s="141"/>
      <c r="Z71" s="141">
        <v>7.8439371443166872E-2</v>
      </c>
      <c r="AA71" s="141"/>
      <c r="AB71" s="141">
        <v>4.2664770131061798E-2</v>
      </c>
      <c r="AC71" s="141"/>
      <c r="AD71" s="141">
        <v>1.9156651796023317E-2</v>
      </c>
      <c r="AE71" s="141"/>
      <c r="AF71" s="141">
        <v>6.648250098717297E-3</v>
      </c>
      <c r="AG71" s="141"/>
      <c r="AH71" s="141">
        <v>1.6452783257703495E-3</v>
      </c>
      <c r="AI71" s="141"/>
      <c r="AJ71" s="141">
        <v>2.5570647510515793E-4</v>
      </c>
      <c r="AK71" s="141"/>
      <c r="AL71" s="141">
        <v>1.8992524243088102E-5</v>
      </c>
      <c r="AM71" s="141"/>
      <c r="AN71" s="141">
        <v>3.1359728267799772E-7</v>
      </c>
      <c r="AO71" s="141"/>
      <c r="AP71" s="141">
        <v>9.5835682198945709E-8</v>
      </c>
      <c r="AQ71" s="141"/>
      <c r="AR71" s="141">
        <v>0</v>
      </c>
      <c r="AS71" s="141"/>
      <c r="AT71" s="141">
        <v>0</v>
      </c>
      <c r="AU71" s="141"/>
      <c r="AV71" s="141">
        <v>0</v>
      </c>
      <c r="XFD71" s="141"/>
    </row>
    <row r="72" spans="1:48 16384:16384" x14ac:dyDescent="0.2">
      <c r="A72" t="s">
        <v>183</v>
      </c>
      <c r="B72" s="141">
        <v>1</v>
      </c>
      <c r="D72" s="141">
        <v>1.0169692435616284</v>
      </c>
      <c r="E72" s="141"/>
      <c r="F72" s="141">
        <v>1.0348525700985558</v>
      </c>
      <c r="G72" s="141"/>
      <c r="H72" s="141">
        <v>1.0535367940330722</v>
      </c>
      <c r="I72" s="141"/>
      <c r="J72" s="141">
        <v>1.0728316386685743</v>
      </c>
      <c r="K72" s="141"/>
      <c r="L72" s="141">
        <v>1.0924317092489564</v>
      </c>
      <c r="M72" s="141"/>
      <c r="N72" s="141">
        <v>1.1118584078150497</v>
      </c>
      <c r="O72" s="141"/>
      <c r="P72" s="141">
        <v>1.1303705115034755</v>
      </c>
      <c r="Q72" s="141"/>
      <c r="R72" s="141">
        <v>1.1468233010232025</v>
      </c>
      <c r="S72" s="141"/>
      <c r="T72" s="141">
        <v>1.1594473075145122</v>
      </c>
      <c r="U72" s="141"/>
      <c r="V72" s="141">
        <v>1.1655090656728027</v>
      </c>
      <c r="W72" s="141"/>
      <c r="X72" s="141">
        <v>1.1608286911763062</v>
      </c>
      <c r="Y72" s="141"/>
      <c r="Z72" s="141">
        <v>1.1392398919383315</v>
      </c>
      <c r="AA72" s="141"/>
      <c r="AB72" s="141">
        <v>1.0924805095090058</v>
      </c>
      <c r="AC72" s="141"/>
      <c r="AD72" s="141">
        <v>1.0118077760250752</v>
      </c>
      <c r="AE72" s="141"/>
      <c r="AF72" s="141">
        <v>0.89261673452220869</v>
      </c>
      <c r="AG72" s="141"/>
      <c r="AH72" s="141">
        <v>0.73934237183066476</v>
      </c>
      <c r="AI72" s="141"/>
      <c r="AJ72" s="141">
        <v>0.56387535237762998</v>
      </c>
      <c r="AK72" s="141"/>
      <c r="AL72" s="141">
        <v>0.37815887433671319</v>
      </c>
      <c r="AM72" s="141"/>
      <c r="AN72" s="141">
        <v>0.18932676423014416</v>
      </c>
      <c r="AO72" s="141"/>
      <c r="AP72" s="141">
        <v>0.15146995466299418</v>
      </c>
      <c r="AQ72" s="141"/>
      <c r="AR72" s="141">
        <v>0</v>
      </c>
      <c r="AS72" s="141"/>
      <c r="AT72" s="141">
        <v>0</v>
      </c>
      <c r="AU72" s="141"/>
      <c r="AV72" s="141">
        <v>0</v>
      </c>
      <c r="XFD72" s="141"/>
    </row>
    <row r="73" spans="1:48 16384:16384" x14ac:dyDescent="0.2">
      <c r="A73" t="s">
        <v>187</v>
      </c>
      <c r="B73" s="196">
        <v>0.56706723273486048</v>
      </c>
      <c r="D73" s="196">
        <v>0.56706723339553944</v>
      </c>
      <c r="E73" s="141"/>
      <c r="F73" s="196">
        <v>0.56706723305833118</v>
      </c>
      <c r="G73" s="141"/>
      <c r="H73" s="196">
        <v>0.56706723357569921</v>
      </c>
      <c r="I73" s="141"/>
      <c r="J73" s="196">
        <v>0.56706723490804267</v>
      </c>
      <c r="K73" s="141"/>
      <c r="L73" s="196">
        <v>0.56706723236016632</v>
      </c>
      <c r="M73" s="141"/>
      <c r="N73" s="196">
        <v>0.56706723193129849</v>
      </c>
      <c r="O73" s="141"/>
      <c r="P73" s="196">
        <v>0.56706723322719299</v>
      </c>
      <c r="Q73" s="141"/>
      <c r="R73" s="196">
        <v>0.56706723308752471</v>
      </c>
      <c r="S73" s="141"/>
      <c r="T73" s="196">
        <v>0.56706723316941388</v>
      </c>
      <c r="U73" s="141"/>
      <c r="V73" s="196">
        <v>0.56706723305881568</v>
      </c>
      <c r="W73" s="141"/>
      <c r="X73" s="196">
        <v>0.56706723231796829</v>
      </c>
      <c r="Y73" s="141"/>
      <c r="Z73" s="196">
        <v>0.56706723282906502</v>
      </c>
      <c r="AA73" s="141"/>
      <c r="AB73" s="196">
        <v>0.56706723296152062</v>
      </c>
      <c r="AC73" s="141"/>
      <c r="AD73" s="196">
        <v>0.56706723277067717</v>
      </c>
      <c r="AE73" s="141"/>
      <c r="AF73" s="196">
        <v>0.56706723272741499</v>
      </c>
      <c r="AG73" s="141"/>
      <c r="AH73" s="196">
        <v>0.56706723273939152</v>
      </c>
      <c r="AI73" s="141"/>
      <c r="AJ73" s="196">
        <v>0.56706723273480375</v>
      </c>
      <c r="AK73" s="141"/>
      <c r="AL73" s="196">
        <v>0.56706723273491688</v>
      </c>
      <c r="AM73" s="141"/>
      <c r="AN73" s="196">
        <v>0.56706723273486159</v>
      </c>
      <c r="AO73" s="141"/>
      <c r="AP73" s="196">
        <v>0.56706723273486148</v>
      </c>
      <c r="AQ73" s="141"/>
      <c r="AR73" s="196" t="e">
        <v>#DIV/0!</v>
      </c>
      <c r="AS73" s="141"/>
      <c r="AT73" s="196" t="e">
        <v>#DIV/0!</v>
      </c>
      <c r="AU73" s="141"/>
      <c r="AV73" s="196" t="e">
        <v>#DIV/0!</v>
      </c>
      <c r="XFD73" s="196"/>
    </row>
    <row r="74" spans="1:48 16384:16384" x14ac:dyDescent="0.2">
      <c r="A74" t="s">
        <v>188</v>
      </c>
      <c r="B74" s="196">
        <v>0.21672767296897655</v>
      </c>
      <c r="D74" s="196">
        <v>0.21672767296897655</v>
      </c>
      <c r="E74" s="141"/>
      <c r="F74" s="196">
        <v>0.21672767296897655</v>
      </c>
      <c r="G74" s="141"/>
      <c r="H74" s="196">
        <v>0.21672767296897655</v>
      </c>
      <c r="I74" s="141"/>
      <c r="J74" s="196">
        <v>0.21672767296897658</v>
      </c>
      <c r="K74" s="141"/>
      <c r="L74" s="196">
        <v>0.21672767296897655</v>
      </c>
      <c r="M74" s="141"/>
      <c r="N74" s="196">
        <v>0.21672767296897658</v>
      </c>
      <c r="O74" s="141"/>
      <c r="P74" s="196">
        <v>0.21672767296897652</v>
      </c>
      <c r="Q74" s="141"/>
      <c r="R74" s="196">
        <v>0.21672767296897655</v>
      </c>
      <c r="S74" s="141"/>
      <c r="T74" s="196">
        <v>0.21672767296897655</v>
      </c>
      <c r="U74" s="141"/>
      <c r="V74" s="196">
        <v>0.21672767296897655</v>
      </c>
      <c r="W74" s="141"/>
      <c r="X74" s="196">
        <v>0.21672767296897658</v>
      </c>
      <c r="Y74" s="141"/>
      <c r="Z74" s="196">
        <v>0.21672767296897658</v>
      </c>
      <c r="AA74" s="141"/>
      <c r="AB74" s="196">
        <v>0.21672767296897655</v>
      </c>
      <c r="AC74" s="141"/>
      <c r="AD74" s="196">
        <v>0.21672767296897655</v>
      </c>
      <c r="AE74" s="141"/>
      <c r="AF74" s="196">
        <v>0.21672767296897655</v>
      </c>
      <c r="AG74" s="141"/>
      <c r="AH74" s="196">
        <v>0.21672767296897652</v>
      </c>
      <c r="AI74" s="141"/>
      <c r="AJ74" s="196">
        <v>0.21672767296897652</v>
      </c>
      <c r="AK74" s="141"/>
      <c r="AL74" s="196">
        <v>0.21672767296897655</v>
      </c>
      <c r="AM74" s="141"/>
      <c r="AN74" s="196">
        <v>0.21672767296897655</v>
      </c>
      <c r="AO74" s="141"/>
      <c r="AP74" s="196">
        <v>0.21672767296897655</v>
      </c>
      <c r="AQ74" s="141"/>
      <c r="AR74" s="196" t="e">
        <v>#DIV/0!</v>
      </c>
      <c r="AS74" s="141"/>
      <c r="AT74" s="196" t="e">
        <v>#DIV/0!</v>
      </c>
      <c r="AU74" s="141"/>
      <c r="AV74" s="196" t="e">
        <v>#DIV/0!</v>
      </c>
      <c r="XFD74" s="196"/>
    </row>
    <row r="75" spans="1:48 16384:16384" x14ac:dyDescent="0.2">
      <c r="A75" t="s">
        <v>189</v>
      </c>
      <c r="B75" s="196">
        <v>0.20445380142857192</v>
      </c>
      <c r="D75" s="196">
        <v>0.20445380141788541</v>
      </c>
      <c r="E75" s="141"/>
      <c r="F75" s="196">
        <v>0.20445380144426276</v>
      </c>
      <c r="G75" s="141"/>
      <c r="H75" s="196">
        <v>0.20445380141754982</v>
      </c>
      <c r="I75" s="141"/>
      <c r="J75" s="196">
        <v>0.20445380140342659</v>
      </c>
      <c r="K75" s="141"/>
      <c r="L75" s="196">
        <v>0.20445380143591216</v>
      </c>
      <c r="M75" s="141"/>
      <c r="N75" s="196">
        <v>0.20445380144203287</v>
      </c>
      <c r="O75" s="141"/>
      <c r="P75" s="196">
        <v>0.20445380142282252</v>
      </c>
      <c r="Q75" s="141"/>
      <c r="R75" s="196">
        <v>0.20445380142519273</v>
      </c>
      <c r="S75" s="141"/>
      <c r="T75" s="196">
        <v>0.20445380143623831</v>
      </c>
      <c r="U75" s="141"/>
      <c r="V75" s="196">
        <v>0.20445380142786226</v>
      </c>
      <c r="W75" s="141"/>
      <c r="X75" s="196">
        <v>0.20445380143011174</v>
      </c>
      <c r="Y75" s="141"/>
      <c r="Z75" s="196">
        <v>0.2044538014285088</v>
      </c>
      <c r="AA75" s="141"/>
      <c r="AB75" s="196">
        <v>0.20445380142912825</v>
      </c>
      <c r="AC75" s="141"/>
      <c r="AD75" s="196">
        <v>0.20445380142877137</v>
      </c>
      <c r="AE75" s="141"/>
      <c r="AF75" s="196">
        <v>0.20445380142844752</v>
      </c>
      <c r="AG75" s="141"/>
      <c r="AH75" s="196">
        <v>0.2044538014286677</v>
      </c>
      <c r="AI75" s="141"/>
      <c r="AJ75" s="196">
        <v>0.20445380142856537</v>
      </c>
      <c r="AK75" s="141"/>
      <c r="AL75" s="196">
        <v>0.20445380142858594</v>
      </c>
      <c r="AM75" s="141"/>
      <c r="AN75" s="196">
        <v>0.20445380142857206</v>
      </c>
      <c r="AO75" s="141"/>
      <c r="AP75" s="196">
        <v>0.20445380142857197</v>
      </c>
      <c r="AQ75" s="141"/>
      <c r="AR75" s="196" t="e">
        <v>#DIV/0!</v>
      </c>
      <c r="AS75" s="141"/>
      <c r="AT75" s="196" t="e">
        <v>#DIV/0!</v>
      </c>
      <c r="AU75" s="141"/>
      <c r="AV75" s="196" t="e">
        <v>#DIV/0!</v>
      </c>
      <c r="XFD75" s="196"/>
    </row>
    <row r="76" spans="1:48 16384:16384" x14ac:dyDescent="0.2">
      <c r="A76" t="s">
        <v>190</v>
      </c>
      <c r="B76" s="196">
        <v>0.20231859885161138</v>
      </c>
      <c r="D76" s="196">
        <v>0.20258752961268051</v>
      </c>
      <c r="E76" s="141"/>
      <c r="F76" s="196">
        <v>0.20289120339083258</v>
      </c>
      <c r="G76" s="141"/>
      <c r="H76" s="196">
        <v>0.20322526286128451</v>
      </c>
      <c r="I76" s="141"/>
      <c r="J76" s="196">
        <v>0.203582374351021</v>
      </c>
      <c r="K76" s="141"/>
      <c r="L76" s="196">
        <v>0.20395073040887801</v>
      </c>
      <c r="M76" s="141"/>
      <c r="N76" s="196">
        <v>0.20431172962575608</v>
      </c>
      <c r="O76" s="141"/>
      <c r="P76" s="196">
        <v>0.20463643320534361</v>
      </c>
      <c r="Q76" s="141"/>
      <c r="R76" s="196">
        <v>0.20487992584401074</v>
      </c>
      <c r="S76" s="141"/>
      <c r="T76" s="196">
        <v>0.20497243179569086</v>
      </c>
      <c r="U76" s="141"/>
      <c r="V76" s="196">
        <v>0.20480569508872246</v>
      </c>
      <c r="W76" s="141"/>
      <c r="X76" s="196">
        <v>0.20421360690727119</v>
      </c>
      <c r="Y76" s="141"/>
      <c r="Z76" s="196">
        <v>0.20295056336652756</v>
      </c>
      <c r="AA76" s="141"/>
      <c r="AB76" s="196">
        <v>0.2006869444308621</v>
      </c>
      <c r="AC76" s="141"/>
      <c r="AD76" s="196">
        <v>0.19707148299681343</v>
      </c>
      <c r="AE76" s="141"/>
      <c r="AF76" s="196">
        <v>0.1919032566906079</v>
      </c>
      <c r="AG76" s="141"/>
      <c r="AH76" s="196">
        <v>0.18528855265620481</v>
      </c>
      <c r="AI76" s="141"/>
      <c r="AJ76" s="196">
        <v>0.1775001271472996</v>
      </c>
      <c r="AK76" s="141"/>
      <c r="AL76" s="196">
        <v>0.1685205067835662</v>
      </c>
      <c r="AM76" s="141"/>
      <c r="AN76" s="196">
        <v>0.1572453567713834</v>
      </c>
      <c r="AO76" s="141"/>
      <c r="AP76" s="196">
        <v>0.15439781278559922</v>
      </c>
      <c r="AQ76" s="141"/>
      <c r="AR76" s="196" t="e">
        <v>#DIV/0!</v>
      </c>
      <c r="AS76" s="141"/>
      <c r="AT76" s="196" t="e">
        <v>#DIV/0!</v>
      </c>
      <c r="AU76" s="141"/>
      <c r="AV76" s="196" t="e">
        <v>#DIV/0!</v>
      </c>
      <c r="XFD76" s="196"/>
    </row>
    <row r="77" spans="1:48 16384:16384" x14ac:dyDescent="0.2">
      <c r="A77" t="s">
        <v>191</v>
      </c>
      <c r="B77" s="196">
        <v>0.19056730598402033</v>
      </c>
      <c r="D77" s="196">
        <v>0.19083623739508176</v>
      </c>
      <c r="E77" s="141"/>
      <c r="F77" s="196">
        <v>0.19113991086240309</v>
      </c>
      <c r="G77" s="141"/>
      <c r="H77" s="196">
        <v>0.19147397082351023</v>
      </c>
      <c r="I77" s="141"/>
      <c r="J77" s="196">
        <v>0.19183108363146703</v>
      </c>
      <c r="K77" s="141"/>
      <c r="L77" s="196">
        <v>0.19219943717393301</v>
      </c>
      <c r="M77" s="141"/>
      <c r="N77" s="196">
        <v>0.19256043596806396</v>
      </c>
      <c r="O77" s="141"/>
      <c r="P77" s="196">
        <v>0.19288514082433558</v>
      </c>
      <c r="Q77" s="141"/>
      <c r="R77" s="196">
        <v>0.19312863332570487</v>
      </c>
      <c r="S77" s="141"/>
      <c r="T77" s="196">
        <v>0.19322113937031962</v>
      </c>
      <c r="U77" s="141"/>
      <c r="V77" s="196">
        <v>0.19305440254437684</v>
      </c>
      <c r="W77" s="141"/>
      <c r="X77" s="196">
        <v>0.19246231362432786</v>
      </c>
      <c r="Y77" s="141"/>
      <c r="Z77" s="196">
        <v>0.19119927059307804</v>
      </c>
      <c r="AA77" s="141"/>
      <c r="AB77" s="196">
        <v>0.18893565179048752</v>
      </c>
      <c r="AC77" s="141"/>
      <c r="AD77" s="196">
        <v>0.18532019016523862</v>
      </c>
      <c r="AE77" s="141"/>
      <c r="AF77" s="196">
        <v>0.18015196381544707</v>
      </c>
      <c r="AG77" s="141"/>
      <c r="AH77" s="196">
        <v>0.17353725979324067</v>
      </c>
      <c r="AI77" s="141"/>
      <c r="AJ77" s="196">
        <v>0.16574883427964524</v>
      </c>
      <c r="AK77" s="141"/>
      <c r="AL77" s="196">
        <v>0.15676921391604576</v>
      </c>
      <c r="AM77" s="141"/>
      <c r="AN77" s="196">
        <v>0.14549406390379363</v>
      </c>
      <c r="AO77" s="141"/>
      <c r="AP77" s="196">
        <v>0.14264651991800906</v>
      </c>
      <c r="AQ77" s="141"/>
      <c r="AR77" s="196" t="e">
        <v>#DIV/0!</v>
      </c>
      <c r="AS77" s="141"/>
      <c r="AT77" s="196" t="e">
        <v>#DIV/0!</v>
      </c>
      <c r="AU77" s="141"/>
      <c r="AV77" s="196" t="e">
        <v>#DIV/0!</v>
      </c>
      <c r="XFD77" s="196"/>
    </row>
    <row r="78" spans="1:48 16384:16384" x14ac:dyDescent="0.2">
      <c r="A78" t="s">
        <v>192</v>
      </c>
      <c r="B78" s="196">
        <v>0.27666372811889955</v>
      </c>
      <c r="D78" s="196">
        <v>0.27658335487152164</v>
      </c>
      <c r="E78" s="141"/>
      <c r="F78" s="196">
        <v>0.2764480268323275</v>
      </c>
      <c r="G78" s="141"/>
      <c r="H78" s="196">
        <v>0.27624723840227078</v>
      </c>
      <c r="I78" s="141"/>
      <c r="J78" s="196">
        <v>0.27596730406291098</v>
      </c>
      <c r="K78" s="141"/>
      <c r="L78" s="196">
        <v>0.27559006917989404</v>
      </c>
      <c r="M78" s="141"/>
      <c r="N78" s="196">
        <v>0.27509097181767583</v>
      </c>
      <c r="O78" s="141"/>
      <c r="P78" s="196">
        <v>0.2744360772594206</v>
      </c>
      <c r="Q78" s="141"/>
      <c r="R78" s="196">
        <v>0.27357745758855284</v>
      </c>
      <c r="S78" s="141"/>
      <c r="T78" s="196">
        <v>0.27244590179686079</v>
      </c>
      <c r="U78" s="141"/>
      <c r="V78" s="196">
        <v>0.27093939463654593</v>
      </c>
      <c r="W78" s="141"/>
      <c r="X78" s="196">
        <v>0.26890536709859741</v>
      </c>
      <c r="Y78" s="141"/>
      <c r="Z78" s="196">
        <v>0.26611559762065357</v>
      </c>
      <c r="AA78" s="141"/>
      <c r="AB78" s="196">
        <v>0.262237930223711</v>
      </c>
      <c r="AC78" s="141"/>
      <c r="AD78" s="196">
        <v>0.25681975772557414</v>
      </c>
      <c r="AE78" s="141"/>
      <c r="AF78" s="196">
        <v>0.24928564158872163</v>
      </c>
      <c r="AG78" s="141"/>
      <c r="AH78" s="196">
        <v>0.2388367497718967</v>
      </c>
      <c r="AI78" s="141"/>
      <c r="AJ78" s="196">
        <v>0.22393267313757653</v>
      </c>
      <c r="AK78" s="141"/>
      <c r="AL78" s="196">
        <v>0.20063309487130293</v>
      </c>
      <c r="AM78" s="141"/>
      <c r="AN78" s="196">
        <v>0.15583397558617246</v>
      </c>
      <c r="AO78" s="141"/>
      <c r="AP78" s="196">
        <v>0.14074414450101763</v>
      </c>
      <c r="AQ78" s="141"/>
      <c r="AR78" s="196" t="e">
        <v>#DIV/0!</v>
      </c>
      <c r="AS78" s="141"/>
      <c r="AT78" s="196" t="e">
        <v>#DIV/0!</v>
      </c>
      <c r="AU78" s="141"/>
      <c r="AV78" s="196" t="e">
        <v>#DIV/0!</v>
      </c>
      <c r="XFD78" s="196"/>
    </row>
    <row r="79" spans="1:48 16384:16384" x14ac:dyDescent="0.2">
      <c r="A79" t="s">
        <v>193</v>
      </c>
      <c r="B79" s="196">
        <v>0.42990307543833983</v>
      </c>
      <c r="D79" s="196">
        <v>0.42710481740674672</v>
      </c>
      <c r="F79" s="196">
        <v>0.42426309508429155</v>
      </c>
      <c r="H79" s="196">
        <v>0.42136752374840269</v>
      </c>
      <c r="J79" s="196">
        <v>0.41840460349156222</v>
      </c>
      <c r="L79" s="196">
        <v>0.41535635552919492</v>
      </c>
      <c r="N79" s="196">
        <v>0.41219822067115158</v>
      </c>
      <c r="P79" s="196">
        <v>0.40889585052515376</v>
      </c>
      <c r="R79" s="196">
        <v>0.40539985807275369</v>
      </c>
      <c r="T79" s="196">
        <v>0.40163719375286822</v>
      </c>
      <c r="V79" s="196">
        <v>0.39749690027406032</v>
      </c>
      <c r="X79" s="196">
        <v>0.39280669275884317</v>
      </c>
      <c r="Z79" s="196">
        <v>0.38729633325900675</v>
      </c>
      <c r="AB79" s="196">
        <v>0.38054788274379603</v>
      </c>
      <c r="AD79" s="196">
        <v>0.37194532633186783</v>
      </c>
      <c r="AF79" s="196">
        <v>0.36063114585028289</v>
      </c>
      <c r="AH79" s="196">
        <v>0.34534984182888495</v>
      </c>
      <c r="AJ79" s="196">
        <v>0.32375188197893101</v>
      </c>
      <c r="AL79" s="196">
        <v>0.29005823290075761</v>
      </c>
      <c r="AN79" s="196">
        <v>0.22529088303495332</v>
      </c>
      <c r="AP79" s="196">
        <v>0.2034753409024492</v>
      </c>
      <c r="AR79" s="196" t="e">
        <v>#DIV/0!</v>
      </c>
      <c r="AT79" s="196" t="e">
        <v>#DIV/0!</v>
      </c>
      <c r="AV79" s="196" t="e">
        <v>#DIV/0!</v>
      </c>
      <c r="XFD79" s="196"/>
    </row>
    <row r="80" spans="1:48 16384:16384" x14ac:dyDescent="0.2">
      <c r="A80" t="s">
        <v>172</v>
      </c>
      <c r="B80" s="239">
        <v>0.29343319644276039</v>
      </c>
      <c r="D80" s="239">
        <v>0.29631182570823011</v>
      </c>
      <c r="F80" s="239">
        <v>0.29928888069734799</v>
      </c>
      <c r="H80" s="239">
        <v>0.30238523559609698</v>
      </c>
      <c r="J80" s="239">
        <v>0.30562808703582556</v>
      </c>
      <c r="L80" s="239">
        <v>0.30905357714367104</v>
      </c>
      <c r="N80" s="239">
        <v>0.3127108112581744</v>
      </c>
      <c r="P80" s="239">
        <v>0.31666807048818657</v>
      </c>
      <c r="R80" s="239">
        <v>0.32102268314719218</v>
      </c>
      <c r="T80" s="239">
        <v>0.32591690833804537</v>
      </c>
      <c r="V80" s="239">
        <v>0.33156370462619961</v>
      </c>
      <c r="X80" s="239">
        <v>0.33828794235069598</v>
      </c>
      <c r="Z80" s="239">
        <v>0.34658806867839931</v>
      </c>
      <c r="AB80" s="239">
        <v>0.35721418646098463</v>
      </c>
      <c r="AD80" s="239">
        <v>0.37123491579532181</v>
      </c>
      <c r="AF80" s="239">
        <v>0.39008321287646014</v>
      </c>
      <c r="AH80" s="239">
        <v>0.41581340857793553</v>
      </c>
      <c r="AJ80" s="239">
        <v>0.45231544491859149</v>
      </c>
      <c r="AL80" s="239">
        <v>0.50930867225267873</v>
      </c>
      <c r="AN80" s="239">
        <v>0.61887514137887234</v>
      </c>
      <c r="AP80" s="239">
        <v>0.65578051459655939</v>
      </c>
      <c r="AR80" s="239" t="e">
        <v>#DIV/0!</v>
      </c>
      <c r="AT80" s="239" t="e">
        <v>#DIV/0!</v>
      </c>
      <c r="AV80" s="239" t="e">
        <v>#DIV/0!</v>
      </c>
      <c r="XFD80" s="239"/>
    </row>
    <row r="81" spans="1:48 16384:16384" x14ac:dyDescent="0.2">
      <c r="A81" t="s">
        <v>194</v>
      </c>
      <c r="B81" s="239">
        <v>7.6705523473783829E-2</v>
      </c>
      <c r="D81" s="239">
        <v>7.9584152739253594E-2</v>
      </c>
      <c r="F81" s="239">
        <v>8.2561207728371444E-2</v>
      </c>
      <c r="H81" s="239">
        <v>8.5657562627120418E-2</v>
      </c>
      <c r="J81" s="239">
        <v>8.8900414066848982E-2</v>
      </c>
      <c r="L81" s="239">
        <v>9.2325904174694495E-2</v>
      </c>
      <c r="N81" s="239">
        <v>9.5983138289197814E-2</v>
      </c>
      <c r="P81" s="239">
        <v>9.9940397519210022E-2</v>
      </c>
      <c r="R81" s="239">
        <v>0.10429501017821563</v>
      </c>
      <c r="T81" s="239">
        <v>0.10918923536906883</v>
      </c>
      <c r="V81" s="239">
        <v>0.11483603165722307</v>
      </c>
      <c r="X81" s="239">
        <v>0.12156026938171939</v>
      </c>
      <c r="Z81" s="239">
        <v>0.12986039570942273</v>
      </c>
      <c r="AB81" s="239">
        <v>0.14048651349200805</v>
      </c>
      <c r="AD81" s="239">
        <v>0.15450724282634526</v>
      </c>
      <c r="AF81" s="239">
        <v>0.17335553990748356</v>
      </c>
      <c r="AH81" s="239">
        <v>0.19908573560895901</v>
      </c>
      <c r="AJ81" s="239">
        <v>0.23558777194961497</v>
      </c>
      <c r="AL81" s="239">
        <v>0.29258099928370213</v>
      </c>
      <c r="AN81" s="239">
        <v>0.40214746840989574</v>
      </c>
      <c r="AP81" s="239">
        <v>0.43905284162758285</v>
      </c>
      <c r="AR81" s="239" t="e">
        <v>#DIV/0!</v>
      </c>
      <c r="AT81" s="239" t="e">
        <v>#DIV/0!</v>
      </c>
      <c r="AV81" s="239" t="e">
        <v>#DIV/0!</v>
      </c>
      <c r="XFD81" s="239"/>
    </row>
    <row r="82" spans="1:48 16384:16384" x14ac:dyDescent="0.2">
      <c r="A82" t="s">
        <v>195</v>
      </c>
      <c r="B82" s="239">
        <v>5.4622536949655895E-2</v>
      </c>
      <c r="D82" s="239">
        <v>5.4606668622049256E-2</v>
      </c>
      <c r="F82" s="239">
        <v>5.4579950407589187E-2</v>
      </c>
      <c r="H82" s="239">
        <v>5.4540308154828375E-2</v>
      </c>
      <c r="J82" s="239">
        <v>5.4485039891441898E-2</v>
      </c>
      <c r="L82" s="239">
        <v>5.4410561294350797E-2</v>
      </c>
      <c r="N82" s="239">
        <v>5.4312023028078596E-2</v>
      </c>
      <c r="P82" s="239">
        <v>5.418272526125658E-2</v>
      </c>
      <c r="R82" s="239">
        <v>5.4013205443763486E-2</v>
      </c>
      <c r="T82" s="239">
        <v>5.3789799041838143E-2</v>
      </c>
      <c r="V82" s="239">
        <v>5.3492364883812718E-2</v>
      </c>
      <c r="X82" s="239">
        <v>5.3090780819636217E-2</v>
      </c>
      <c r="Z82" s="239">
        <v>5.2539988392215006E-2</v>
      </c>
      <c r="AB82" s="239">
        <v>5.1774409065614785E-2</v>
      </c>
      <c r="AD82" s="239">
        <v>5.0704683267110771E-2</v>
      </c>
      <c r="AF82" s="239">
        <v>4.9217200466722268E-2</v>
      </c>
      <c r="AH82" s="239">
        <v>4.7154244895248901E-2</v>
      </c>
      <c r="AJ82" s="239">
        <v>4.4211689027177939E-2</v>
      </c>
      <c r="AL82" s="239">
        <v>3.9611584476378352E-2</v>
      </c>
      <c r="AN82" s="239">
        <v>3.0766762044821889E-2</v>
      </c>
      <c r="AP82" s="239">
        <v>2.7787532126909743E-2</v>
      </c>
      <c r="AR82" s="239" t="e">
        <v>#DIV/0!</v>
      </c>
      <c r="AT82" s="239" t="e">
        <v>#DIV/0!</v>
      </c>
      <c r="AV82" s="239" t="e">
        <v>#DIV/0!</v>
      </c>
    </row>
    <row r="83" spans="1:48 16384:16384" x14ac:dyDescent="0.2">
      <c r="A83" t="s">
        <v>196</v>
      </c>
      <c r="B83" s="239">
        <v>8.4877033872722163E-2</v>
      </c>
      <c r="D83" s="239">
        <v>8.432456552508362E-2</v>
      </c>
      <c r="F83" s="239">
        <v>8.3763515894131418E-2</v>
      </c>
      <c r="H83" s="239">
        <v>8.3191834693417677E-2</v>
      </c>
      <c r="J83" s="239">
        <v>8.2606856596330075E-2</v>
      </c>
      <c r="L83" s="239">
        <v>8.2005031998330868E-2</v>
      </c>
      <c r="N83" s="239">
        <v>8.1381512105974996E-2</v>
      </c>
      <c r="P83" s="239">
        <v>8.0729515414729364E-2</v>
      </c>
      <c r="R83" s="239">
        <v>8.0039291299680654E-2</v>
      </c>
      <c r="T83" s="239">
        <v>7.9296417370237446E-2</v>
      </c>
      <c r="V83" s="239">
        <v>7.8478987000646622E-2</v>
      </c>
      <c r="X83" s="239">
        <v>7.7552985478714545E-2</v>
      </c>
      <c r="Z83" s="239">
        <v>7.6465058928197063E-2</v>
      </c>
      <c r="AB83" s="239">
        <v>7.5132692411898239E-2</v>
      </c>
      <c r="AD83" s="239">
        <v>7.3434264292437254E-2</v>
      </c>
      <c r="AF83" s="239">
        <v>7.1200472224310238E-2</v>
      </c>
      <c r="AH83" s="239">
        <v>6.8183439239093577E-2</v>
      </c>
      <c r="AJ83" s="239">
        <v>6.3919290237840001E-2</v>
      </c>
      <c r="AL83" s="239">
        <v>5.7267053588479472E-2</v>
      </c>
      <c r="AN83" s="239">
        <v>4.4479844418595815E-2</v>
      </c>
      <c r="AP83" s="239">
        <v>4.0172737504684183E-2</v>
      </c>
      <c r="AR83" s="239" t="e">
        <v>#DIV/0!</v>
      </c>
      <c r="AT83" s="239" t="e">
        <v>#DIV/0!</v>
      </c>
      <c r="AV83" s="239" t="e">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XFD83"/>
  <sheetViews>
    <sheetView showGridLines="0" topLeftCell="U1" workbookViewId="0">
      <pane ySplit="1" topLeftCell="A2" activePane="bottomLeft" state="frozen"/>
      <selection pane="bottomLeft" sqref="A1:XFD1048576"/>
    </sheetView>
  </sheetViews>
  <sheetFormatPr baseColWidth="10" defaultRowHeight="10" x14ac:dyDescent="0.2"/>
  <sheetData>
    <row r="1" spans="1:49" x14ac:dyDescent="0.2">
      <c r="B1" s="97">
        <v>0</v>
      </c>
      <c r="D1" s="97">
        <v>0.05</v>
      </c>
      <c r="F1" s="97">
        <v>0.1</v>
      </c>
      <c r="H1" s="97">
        <v>0.15000000000000002</v>
      </c>
      <c r="J1" s="97">
        <v>0.2</v>
      </c>
      <c r="L1" s="97">
        <v>0.25</v>
      </c>
      <c r="N1" s="97">
        <v>0.3</v>
      </c>
      <c r="P1" s="97">
        <v>0.35</v>
      </c>
      <c r="R1" s="97">
        <v>0.39999999999999997</v>
      </c>
      <c r="T1" s="97">
        <v>0.44999999999999996</v>
      </c>
      <c r="V1" s="97">
        <v>0.49999999999999994</v>
      </c>
      <c r="X1" s="97">
        <v>0.54999999999999993</v>
      </c>
      <c r="Z1" s="97">
        <v>0.6</v>
      </c>
      <c r="AB1" s="97">
        <v>0.65</v>
      </c>
      <c r="AD1" s="97">
        <v>0.70000000000000007</v>
      </c>
      <c r="AF1" s="97">
        <v>0.75000000000000011</v>
      </c>
      <c r="AH1" s="97"/>
      <c r="AJ1" s="97"/>
      <c r="AL1" s="97"/>
      <c r="AN1" s="97"/>
      <c r="AP1" s="97"/>
      <c r="AR1" s="97"/>
      <c r="AT1" s="97"/>
      <c r="AV1" s="97"/>
    </row>
    <row r="2" spans="1:49" x14ac:dyDescent="0.2">
      <c r="A2" s="232" t="s">
        <v>158</v>
      </c>
      <c r="B2" s="229">
        <v>0.16485636072655629</v>
      </c>
      <c r="C2" s="230"/>
      <c r="D2" s="229">
        <v>0.20205102260650235</v>
      </c>
      <c r="E2" s="230"/>
      <c r="F2" s="229">
        <v>0.24428138579050884</v>
      </c>
      <c r="G2" s="230"/>
      <c r="H2" s="229">
        <v>0.29276132708361935</v>
      </c>
      <c r="I2" s="230"/>
      <c r="J2" s="229">
        <v>0.34915466675699552</v>
      </c>
      <c r="K2" s="230"/>
      <c r="L2" s="229">
        <v>0.41580513889989301</v>
      </c>
      <c r="M2" s="230"/>
      <c r="N2" s="229">
        <v>0.49612021024012587</v>
      </c>
      <c r="O2" s="230"/>
      <c r="P2" s="229">
        <v>0.595235654586873</v>
      </c>
      <c r="Q2" s="230"/>
      <c r="R2" s="229">
        <v>0.7212176464127803</v>
      </c>
      <c r="S2" s="230"/>
      <c r="T2" s="229">
        <v>0.88732918557199547</v>
      </c>
      <c r="U2" s="230"/>
      <c r="V2" s="229">
        <v>1.116451746339</v>
      </c>
      <c r="W2" s="230"/>
      <c r="X2" s="229">
        <v>1.4498036181656309</v>
      </c>
      <c r="Y2" s="230"/>
      <c r="Z2" s="229">
        <v>1.963456022012634</v>
      </c>
      <c r="AA2" s="230"/>
      <c r="AB2" s="229">
        <v>2.7966895732800401</v>
      </c>
      <c r="AC2" s="230"/>
      <c r="AD2" s="229">
        <v>4.2008267652009277</v>
      </c>
      <c r="AE2" s="230"/>
      <c r="AF2" s="229">
        <v>6.6588361741818494</v>
      </c>
      <c r="AG2" s="230"/>
      <c r="AH2" s="229"/>
      <c r="AI2" s="230"/>
      <c r="AJ2" s="229"/>
      <c r="AK2" s="230"/>
      <c r="AL2" s="229"/>
      <c r="AM2" s="230"/>
      <c r="AN2" s="229"/>
      <c r="AO2" s="230"/>
      <c r="AP2" s="229"/>
      <c r="AQ2" s="230"/>
      <c r="AR2" s="229"/>
      <c r="AS2" s="230"/>
      <c r="AT2" s="229"/>
      <c r="AU2" s="230"/>
      <c r="AV2" s="229"/>
      <c r="AW2" s="230"/>
    </row>
    <row r="3" spans="1:49" x14ac:dyDescent="0.2">
      <c r="A3" t="s">
        <v>12</v>
      </c>
      <c r="B3" s="87">
        <v>1000</v>
      </c>
      <c r="C3" s="88">
        <v>1000</v>
      </c>
      <c r="D3" s="87">
        <v>997.6884512350664</v>
      </c>
      <c r="E3" s="88">
        <v>1032.1100974032488</v>
      </c>
      <c r="F3" s="87">
        <v>995.44126424391993</v>
      </c>
      <c r="G3" s="88">
        <v>1068.2887291406744</v>
      </c>
      <c r="H3" s="87">
        <v>993.26790730363496</v>
      </c>
      <c r="I3" s="88">
        <v>1109.4374441952291</v>
      </c>
      <c r="J3" s="87">
        <v>991.18363541793929</v>
      </c>
      <c r="K3" s="88">
        <v>1156.7728029011241</v>
      </c>
      <c r="L3" s="87">
        <v>989.21244918943376</v>
      </c>
      <c r="M3" s="88">
        <v>1211.9805397029322</v>
      </c>
      <c r="N3" s="87">
        <v>987.39197487622903</v>
      </c>
      <c r="O3" s="88">
        <v>1277.4678475078028</v>
      </c>
      <c r="P3" s="87">
        <v>985.78128155420256</v>
      </c>
      <c r="Q3" s="88">
        <v>1356.7942386091984</v>
      </c>
      <c r="R3" s="87">
        <v>984.47383433016159</v>
      </c>
      <c r="S3" s="88">
        <v>1455.4350966894033</v>
      </c>
      <c r="T3" s="87">
        <v>983.61847844087913</v>
      </c>
      <c r="U3" s="88">
        <v>1582.190183347798</v>
      </c>
      <c r="V3" s="87">
        <v>983.45069006629512</v>
      </c>
      <c r="W3" s="88">
        <v>1751.8628980292403</v>
      </c>
      <c r="X3" s="87">
        <v>984.32658526086709</v>
      </c>
      <c r="Y3" s="88">
        <v>1990.3820862254722</v>
      </c>
      <c r="Z3" s="87">
        <v>986.71141957049065</v>
      </c>
      <c r="AA3" s="88">
        <v>2344.1584464769007</v>
      </c>
      <c r="AB3" s="87">
        <v>990.99912124792843</v>
      </c>
      <c r="AC3" s="88">
        <v>2895.6039259706758</v>
      </c>
      <c r="AD3" s="87">
        <v>997.1293362627664</v>
      </c>
      <c r="AE3" s="88">
        <v>3790.1033159946301</v>
      </c>
      <c r="AF3" s="87">
        <v>1004.4428106344938</v>
      </c>
      <c r="AG3" s="88">
        <v>5306.4943478563209</v>
      </c>
      <c r="AH3" s="87"/>
      <c r="AI3" s="88"/>
      <c r="AJ3" s="87"/>
      <c r="AK3" s="88"/>
      <c r="AL3" s="87"/>
      <c r="AM3" s="88"/>
      <c r="AN3" s="87"/>
      <c r="AO3" s="88"/>
      <c r="AP3" s="87"/>
      <c r="AQ3" s="88"/>
      <c r="AR3" s="87"/>
      <c r="AS3" s="88"/>
      <c r="AT3" s="87"/>
      <c r="AU3" s="88"/>
      <c r="AV3" s="87"/>
      <c r="AW3" s="88"/>
    </row>
    <row r="4" spans="1:49" x14ac:dyDescent="0.2">
      <c r="A4" t="s">
        <v>119</v>
      </c>
      <c r="B4" s="104">
        <v>1000</v>
      </c>
      <c r="C4" s="105">
        <v>1000</v>
      </c>
      <c r="D4" s="104">
        <v>1000</v>
      </c>
      <c r="E4" s="105">
        <v>1000</v>
      </c>
      <c r="F4" s="104">
        <v>1000</v>
      </c>
      <c r="G4" s="105">
        <v>1000</v>
      </c>
      <c r="H4" s="104">
        <v>1000</v>
      </c>
      <c r="I4" s="105">
        <v>1000</v>
      </c>
      <c r="J4" s="104">
        <v>1000</v>
      </c>
      <c r="K4" s="105">
        <v>1000</v>
      </c>
      <c r="L4" s="104">
        <v>1000</v>
      </c>
      <c r="M4" s="105">
        <v>1000</v>
      </c>
      <c r="N4" s="104">
        <v>1000</v>
      </c>
      <c r="O4" s="105">
        <v>1000</v>
      </c>
      <c r="P4" s="104">
        <v>1000</v>
      </c>
      <c r="Q4" s="105">
        <v>1000</v>
      </c>
      <c r="R4" s="104">
        <v>1000</v>
      </c>
      <c r="S4" s="105">
        <v>1000</v>
      </c>
      <c r="T4" s="104">
        <v>1000</v>
      </c>
      <c r="U4" s="105">
        <v>1000</v>
      </c>
      <c r="V4" s="104">
        <v>1000</v>
      </c>
      <c r="W4" s="105">
        <v>1000</v>
      </c>
      <c r="X4" s="104">
        <v>1000</v>
      </c>
      <c r="Y4" s="105">
        <v>1000</v>
      </c>
      <c r="Z4" s="104">
        <v>1000</v>
      </c>
      <c r="AA4" s="105">
        <v>1000</v>
      </c>
      <c r="AB4" s="104">
        <v>1000</v>
      </c>
      <c r="AC4" s="105">
        <v>1000</v>
      </c>
      <c r="AD4" s="104">
        <v>1000</v>
      </c>
      <c r="AE4" s="105">
        <v>1000</v>
      </c>
      <c r="AF4" s="104">
        <v>1000</v>
      </c>
      <c r="AG4" s="105">
        <v>1000</v>
      </c>
      <c r="AH4" s="104"/>
      <c r="AI4" s="105"/>
      <c r="AJ4" s="104"/>
      <c r="AK4" s="105"/>
      <c r="AL4" s="104"/>
      <c r="AM4" s="105"/>
      <c r="AN4" s="104"/>
      <c r="AO4" s="105"/>
      <c r="AP4" s="104"/>
      <c r="AQ4" s="105"/>
      <c r="AR4" s="104"/>
      <c r="AS4" s="105"/>
      <c r="AT4" s="104"/>
      <c r="AU4" s="105"/>
      <c r="AV4" s="104"/>
      <c r="AW4" s="105"/>
    </row>
    <row r="5" spans="1:49" x14ac:dyDescent="0.2">
      <c r="A5" t="s">
        <v>131</v>
      </c>
      <c r="B5" s="41">
        <v>1000</v>
      </c>
      <c r="C5" s="42">
        <v>1000</v>
      </c>
      <c r="D5" s="41">
        <v>997.62931146403184</v>
      </c>
      <c r="E5" s="42">
        <v>1021.3042869138966</v>
      </c>
      <c r="F5" s="41">
        <v>995.32235301930939</v>
      </c>
      <c r="G5" s="42">
        <v>1043.8992383772452</v>
      </c>
      <c r="H5" s="41">
        <v>993.08903704968327</v>
      </c>
      <c r="I5" s="42">
        <v>1067.8780296987704</v>
      </c>
      <c r="J5" s="41">
        <v>990.9452632528803</v>
      </c>
      <c r="K5" s="42">
        <v>1093.335380833933</v>
      </c>
      <c r="L5" s="41">
        <v>988.91599000704218</v>
      </c>
      <c r="M5" s="42">
        <v>1120.3615054551044</v>
      </c>
      <c r="N5" s="41">
        <v>987.0402943247841</v>
      </c>
      <c r="O5" s="42">
        <v>1149.0270841165495</v>
      </c>
      <c r="P5" s="41">
        <v>985.37947449102614</v>
      </c>
      <c r="Q5" s="42">
        <v>1179.3569754653386</v>
      </c>
      <c r="R5" s="41">
        <v>984.03045802203769</v>
      </c>
      <c r="S5" s="42">
        <v>1211.2768690468574</v>
      </c>
      <c r="T5" s="41">
        <v>983.14747832087903</v>
      </c>
      <c r="U5" s="42">
        <v>1244.5108681501556</v>
      </c>
      <c r="V5" s="41">
        <v>982.97423135270867</v>
      </c>
      <c r="W5" s="42">
        <v>1278.3950954911629</v>
      </c>
      <c r="X5" s="41">
        <v>983.87847769598613</v>
      </c>
      <c r="Y5" s="42">
        <v>1311.5760119579168</v>
      </c>
      <c r="Z5" s="41">
        <v>986.33870507000654</v>
      </c>
      <c r="AA5" s="42">
        <v>1341.7133641818912</v>
      </c>
      <c r="AB5" s="41">
        <v>990.7553867881935</v>
      </c>
      <c r="AC5" s="42">
        <v>1365.7713208370733</v>
      </c>
      <c r="AD5" s="41">
        <v>997.05553549705166</v>
      </c>
      <c r="AE5" s="42">
        <v>1381.6787017399304</v>
      </c>
      <c r="AF5" s="41">
        <v>1004.5498637103642</v>
      </c>
      <c r="AG5" s="42">
        <v>1390.0875011905844</v>
      </c>
      <c r="AH5" s="41"/>
      <c r="AI5" s="42"/>
      <c r="AJ5" s="41"/>
      <c r="AK5" s="42"/>
      <c r="AL5" s="41"/>
      <c r="AM5" s="42"/>
      <c r="AN5" s="41"/>
      <c r="AO5" s="42"/>
      <c r="AP5" s="41"/>
      <c r="AQ5" s="42"/>
      <c r="AR5" s="41"/>
      <c r="AS5" s="42"/>
      <c r="AT5" s="41"/>
      <c r="AU5" s="42"/>
      <c r="AV5" s="41"/>
      <c r="AW5" s="42"/>
    </row>
    <row r="6" spans="1:49" x14ac:dyDescent="0.2">
      <c r="A6" t="s">
        <v>79</v>
      </c>
      <c r="B6" s="41">
        <v>999.99999999999886</v>
      </c>
      <c r="C6" s="42">
        <v>999.99999999999909</v>
      </c>
      <c r="D6" s="41">
        <v>997.40971919372885</v>
      </c>
      <c r="E6" s="42">
        <v>1034.6050995771948</v>
      </c>
      <c r="F6" s="41">
        <v>994.89016612767512</v>
      </c>
      <c r="G6" s="42">
        <v>1073.4087559395996</v>
      </c>
      <c r="H6" s="41">
        <v>992.45206969706021</v>
      </c>
      <c r="I6" s="42">
        <v>1117.3368542098317</v>
      </c>
      <c r="J6" s="41">
        <v>990.1126766005267</v>
      </c>
      <c r="K6" s="42">
        <v>1167.638926033972</v>
      </c>
      <c r="L6" s="41">
        <v>987.89908941393378</v>
      </c>
      <c r="M6" s="42">
        <v>1226.0463401648713</v>
      </c>
      <c r="N6" s="41">
        <v>985.85376999588937</v>
      </c>
      <c r="O6" s="42">
        <v>1295.0310474434957</v>
      </c>
      <c r="P6" s="41">
        <v>984.04335216256902</v>
      </c>
      <c r="Q6" s="42">
        <v>1378.2473259889575</v>
      </c>
      <c r="R6" s="41">
        <v>982.57323374073474</v>
      </c>
      <c r="S6" s="42">
        <v>1481.3142804051931</v>
      </c>
      <c r="T6" s="41">
        <v>981.61118763671107</v>
      </c>
      <c r="U6" s="42">
        <v>1613.2587599725146</v>
      </c>
      <c r="V6" s="41">
        <v>981.42244575298571</v>
      </c>
      <c r="W6" s="42">
        <v>1789.2592074254553</v>
      </c>
      <c r="X6" s="41">
        <v>982.40763313167679</v>
      </c>
      <c r="Y6" s="42">
        <v>2035.8899969366173</v>
      </c>
      <c r="Z6" s="41">
        <v>985.08891720496729</v>
      </c>
      <c r="AA6" s="42">
        <v>2400.7037319855453</v>
      </c>
      <c r="AB6" s="41">
        <v>989.90551875491849</v>
      </c>
      <c r="AC6" s="42">
        <v>2968.1437713682294</v>
      </c>
      <c r="AD6" s="41">
        <v>996.78296682749772</v>
      </c>
      <c r="AE6" s="42">
        <v>3887.2558524543488</v>
      </c>
      <c r="AF6" s="41">
        <v>1004.97450521054</v>
      </c>
      <c r="AG6" s="42">
        <v>5444.0940931236937</v>
      </c>
      <c r="AH6" s="41"/>
      <c r="AI6" s="42"/>
      <c r="AJ6" s="41"/>
      <c r="AK6" s="42"/>
      <c r="AL6" s="41"/>
      <c r="AM6" s="42"/>
      <c r="AN6" s="41"/>
      <c r="AO6" s="42"/>
      <c r="AP6" s="41"/>
      <c r="AQ6" s="42"/>
      <c r="AR6" s="41"/>
      <c r="AS6" s="42"/>
      <c r="AT6" s="41"/>
      <c r="AU6" s="42"/>
      <c r="AV6" s="41"/>
      <c r="AW6" s="42"/>
    </row>
    <row r="7" spans="1:49" x14ac:dyDescent="0.2">
      <c r="A7" t="s">
        <v>13</v>
      </c>
      <c r="B7" s="33">
        <v>1059.2664648168009</v>
      </c>
      <c r="C7" s="34">
        <v>1059.2664648168009</v>
      </c>
      <c r="D7" s="33">
        <v>1056.7552739521241</v>
      </c>
      <c r="E7" s="34">
        <v>1056.7552739521241</v>
      </c>
      <c r="F7" s="33">
        <v>1054.3115902359039</v>
      </c>
      <c r="G7" s="34">
        <v>1054.3115902359039</v>
      </c>
      <c r="H7" s="33">
        <v>1051.945913523939</v>
      </c>
      <c r="I7" s="34">
        <v>1051.945913523939</v>
      </c>
      <c r="J7" s="33">
        <v>1049.6750858328326</v>
      </c>
      <c r="K7" s="34">
        <v>1049.6750858328326</v>
      </c>
      <c r="L7" s="33">
        <v>1047.5255447355664</v>
      </c>
      <c r="M7" s="34">
        <v>1047.5255447355664</v>
      </c>
      <c r="N7" s="33">
        <v>1045.5386832011486</v>
      </c>
      <c r="O7" s="34">
        <v>1045.5386832011486</v>
      </c>
      <c r="P7" s="33">
        <v>1043.7794324471463</v>
      </c>
      <c r="Q7" s="34">
        <v>1043.7794324471463</v>
      </c>
      <c r="R7" s="33">
        <v>1042.3504645410612</v>
      </c>
      <c r="S7" s="34">
        <v>1042.3504645410612</v>
      </c>
      <c r="T7" s="33">
        <v>1041.4151537545099</v>
      </c>
      <c r="U7" s="34">
        <v>1041.4151537545099</v>
      </c>
      <c r="V7" s="33">
        <v>1041.2316390509959</v>
      </c>
      <c r="W7" s="34">
        <v>1041.2316390509959</v>
      </c>
      <c r="X7" s="33">
        <v>1042.1894768783629</v>
      </c>
      <c r="Y7" s="34">
        <v>1042.1894768783629</v>
      </c>
      <c r="Z7" s="33">
        <v>1044.7955132314871</v>
      </c>
      <c r="AA7" s="34">
        <v>1044.7955132314871</v>
      </c>
      <c r="AB7" s="33">
        <v>1049.4739560613318</v>
      </c>
      <c r="AC7" s="34">
        <v>1049.4739560613318</v>
      </c>
      <c r="AD7" s="33">
        <v>1056.1474923119843</v>
      </c>
      <c r="AE7" s="34">
        <v>1056.1474923119843</v>
      </c>
      <c r="AF7" s="33">
        <v>1064.0859828646767</v>
      </c>
      <c r="AG7" s="34">
        <v>1064.0859828646767</v>
      </c>
      <c r="AH7" s="33"/>
      <c r="AI7" s="34"/>
      <c r="AJ7" s="33"/>
      <c r="AK7" s="34"/>
      <c r="AL7" s="33"/>
      <c r="AM7" s="34"/>
      <c r="AN7" s="33"/>
      <c r="AO7" s="34"/>
      <c r="AP7" s="33"/>
      <c r="AQ7" s="34"/>
      <c r="AR7" s="33"/>
      <c r="AS7" s="34"/>
      <c r="AT7" s="33"/>
      <c r="AU7" s="34"/>
      <c r="AV7" s="33"/>
      <c r="AW7" s="34"/>
    </row>
    <row r="8" spans="1:49" x14ac:dyDescent="0.2">
      <c r="B8" s="35">
        <v>1164.8563607265562</v>
      </c>
      <c r="C8" s="36">
        <v>1164.8563607265562</v>
      </c>
      <c r="D8" s="35">
        <v>1227.6598624772541</v>
      </c>
      <c r="E8" s="36">
        <v>1227.6598624772541</v>
      </c>
      <c r="F8" s="35">
        <v>1298.9043909536954</v>
      </c>
      <c r="G8" s="36">
        <v>1298.9043909536954</v>
      </c>
      <c r="H8" s="35">
        <v>1380.5114188368232</v>
      </c>
      <c r="I8" s="36">
        <v>1380.5114188368232</v>
      </c>
      <c r="J8" s="35">
        <v>1475.0785313826377</v>
      </c>
      <c r="K8" s="36">
        <v>1475.0785313826377</v>
      </c>
      <c r="L8" s="35">
        <v>1586.2135768489575</v>
      </c>
      <c r="M8" s="36">
        <v>1586.2135768489575</v>
      </c>
      <c r="N8" s="35">
        <v>1719.0826426600509</v>
      </c>
      <c r="O8" s="36">
        <v>1719.0826426600509</v>
      </c>
      <c r="P8" s="35">
        <v>1881.352296748044</v>
      </c>
      <c r="Q8" s="36">
        <v>1881.352296748044</v>
      </c>
      <c r="R8" s="35">
        <v>2084.8711216950737</v>
      </c>
      <c r="S8" s="36">
        <v>2084.8711216950737</v>
      </c>
      <c r="T8" s="35">
        <v>2348.8016832213302</v>
      </c>
      <c r="U8" s="36">
        <v>2348.8016832213302</v>
      </c>
      <c r="V8" s="35">
        <v>2705.6615323634846</v>
      </c>
      <c r="W8" s="36">
        <v>2705.6615323634846</v>
      </c>
      <c r="X8" s="35">
        <v>3213.103659593753</v>
      </c>
      <c r="Y8" s="36">
        <v>3213.103659593753</v>
      </c>
      <c r="Z8" s="35">
        <v>3976.1085488996559</v>
      </c>
      <c r="AA8" s="36">
        <v>3976.1085488996559</v>
      </c>
      <c r="AB8" s="35">
        <v>5185.4097333070249</v>
      </c>
      <c r="AC8" s="36">
        <v>5185.4097333070249</v>
      </c>
      <c r="AD8" s="35">
        <v>7185.8715729170999</v>
      </c>
      <c r="AE8" s="36">
        <v>7185.8715729170999</v>
      </c>
      <c r="AF8" s="35">
        <v>10646.452439396502</v>
      </c>
      <c r="AG8" s="36">
        <v>10646.452439396502</v>
      </c>
      <c r="AH8" s="35"/>
      <c r="AI8" s="36"/>
      <c r="AJ8" s="35"/>
      <c r="AK8" s="36"/>
      <c r="AL8" s="35"/>
      <c r="AM8" s="36"/>
      <c r="AN8" s="35"/>
      <c r="AO8" s="36"/>
      <c r="AP8" s="35"/>
      <c r="AQ8" s="36"/>
      <c r="AR8" s="35"/>
      <c r="AS8" s="36"/>
      <c r="AT8" s="35"/>
      <c r="AU8" s="36"/>
      <c r="AV8" s="35"/>
      <c r="AW8" s="36"/>
    </row>
    <row r="9" spans="1:49" x14ac:dyDescent="0.2">
      <c r="A9" t="s">
        <v>14</v>
      </c>
      <c r="B9" s="41">
        <v>1059.2664648168009</v>
      </c>
      <c r="C9" s="42">
        <v>1164.8563607265562</v>
      </c>
      <c r="D9" s="41">
        <v>1056.7552739521241</v>
      </c>
      <c r="E9" s="42">
        <v>1227.6598624772541</v>
      </c>
      <c r="F9" s="41">
        <v>1054.3115902359039</v>
      </c>
      <c r="G9" s="42">
        <v>1298.9043909536954</v>
      </c>
      <c r="H9" s="41">
        <v>1051.945913523939</v>
      </c>
      <c r="I9" s="42">
        <v>1380.5114188368232</v>
      </c>
      <c r="J9" s="41">
        <v>1049.6750858328326</v>
      </c>
      <c r="K9" s="42">
        <v>1475.0785313826377</v>
      </c>
      <c r="L9" s="41">
        <v>1047.5255447355664</v>
      </c>
      <c r="M9" s="42">
        <v>1586.2135768489575</v>
      </c>
      <c r="N9" s="41">
        <v>1045.5386832011486</v>
      </c>
      <c r="O9" s="42">
        <v>1719.0826426600509</v>
      </c>
      <c r="P9" s="41">
        <v>1043.7794324471463</v>
      </c>
      <c r="Q9" s="42">
        <v>1881.352296748044</v>
      </c>
      <c r="R9" s="41">
        <v>1042.3504645410612</v>
      </c>
      <c r="S9" s="42">
        <v>2084.8711216950737</v>
      </c>
      <c r="T9" s="41">
        <v>1041.4151537545099</v>
      </c>
      <c r="U9" s="42">
        <v>2348.8016832213302</v>
      </c>
      <c r="V9" s="41">
        <v>1041.2316390509959</v>
      </c>
      <c r="W9" s="42">
        <v>2705.6615323634846</v>
      </c>
      <c r="X9" s="41">
        <v>1042.1894768783629</v>
      </c>
      <c r="Y9" s="42">
        <v>3213.103659593753</v>
      </c>
      <c r="Z9" s="41">
        <v>1044.7955132314871</v>
      </c>
      <c r="AA9" s="42">
        <v>3976.1085488996559</v>
      </c>
      <c r="AB9" s="41">
        <v>1049.4739560613318</v>
      </c>
      <c r="AC9" s="42">
        <v>5185.4097333070249</v>
      </c>
      <c r="AD9" s="41">
        <v>1056.1474923119843</v>
      </c>
      <c r="AE9" s="42">
        <v>7185.8715729170999</v>
      </c>
      <c r="AF9" s="41">
        <v>1064.0859828646767</v>
      </c>
      <c r="AG9" s="42">
        <v>10646.452439396502</v>
      </c>
      <c r="AH9" s="41"/>
      <c r="AI9" s="42"/>
      <c r="AJ9" s="41"/>
      <c r="AK9" s="42"/>
      <c r="AL9" s="41"/>
      <c r="AM9" s="42"/>
      <c r="AN9" s="41"/>
      <c r="AO9" s="42"/>
      <c r="AP9" s="41"/>
      <c r="AQ9" s="42"/>
      <c r="AR9" s="41"/>
      <c r="AS9" s="42"/>
      <c r="AT9" s="41"/>
      <c r="AU9" s="42"/>
      <c r="AV9" s="41"/>
      <c r="AW9" s="42"/>
    </row>
    <row r="10" spans="1:49" x14ac:dyDescent="0.2">
      <c r="A10" t="s">
        <v>15</v>
      </c>
      <c r="B10" s="41">
        <v>1059.2664648168009</v>
      </c>
      <c r="C10" s="42">
        <v>1164.8563607265562</v>
      </c>
      <c r="D10" s="41">
        <v>1056.7552739521241</v>
      </c>
      <c r="E10" s="42">
        <v>1227.6598624772541</v>
      </c>
      <c r="F10" s="41">
        <v>1054.3115902359039</v>
      </c>
      <c r="G10" s="42">
        <v>1298.9043909536954</v>
      </c>
      <c r="H10" s="41">
        <v>1051.945913523939</v>
      </c>
      <c r="I10" s="42">
        <v>1380.5114188368232</v>
      </c>
      <c r="J10" s="41">
        <v>1049.6750858328326</v>
      </c>
      <c r="K10" s="42">
        <v>1475.0785313826377</v>
      </c>
      <c r="L10" s="41">
        <v>1047.5255447355664</v>
      </c>
      <c r="M10" s="42">
        <v>1586.2135768489575</v>
      </c>
      <c r="N10" s="41">
        <v>1045.5386832011486</v>
      </c>
      <c r="O10" s="42">
        <v>1719.0826426600509</v>
      </c>
      <c r="P10" s="41">
        <v>1043.7794324471463</v>
      </c>
      <c r="Q10" s="42">
        <v>1881.352296748044</v>
      </c>
      <c r="R10" s="41">
        <v>1042.3504645410612</v>
      </c>
      <c r="S10" s="42">
        <v>2084.8711216950737</v>
      </c>
      <c r="T10" s="41">
        <v>1041.4151537545099</v>
      </c>
      <c r="U10" s="42">
        <v>2348.8016832213302</v>
      </c>
      <c r="V10" s="41">
        <v>1041.2316390509959</v>
      </c>
      <c r="W10" s="42">
        <v>2705.6615323634846</v>
      </c>
      <c r="X10" s="41">
        <v>1042.1894768783629</v>
      </c>
      <c r="Y10" s="42">
        <v>3213.103659593753</v>
      </c>
      <c r="Z10" s="41">
        <v>1044.7955132314871</v>
      </c>
      <c r="AA10" s="42">
        <v>3976.1085488996559</v>
      </c>
      <c r="AB10" s="41">
        <v>1049.4739560613318</v>
      </c>
      <c r="AC10" s="42">
        <v>5185.4097333070249</v>
      </c>
      <c r="AD10" s="41">
        <v>1056.1474923119843</v>
      </c>
      <c r="AE10" s="42">
        <v>7185.8715729170999</v>
      </c>
      <c r="AF10" s="41">
        <v>1064.0859828646767</v>
      </c>
      <c r="AG10" s="42">
        <v>10646.452439396502</v>
      </c>
      <c r="AH10" s="41"/>
      <c r="AI10" s="42"/>
      <c r="AJ10" s="41"/>
      <c r="AK10" s="42"/>
      <c r="AL10" s="41"/>
      <c r="AM10" s="42"/>
      <c r="AN10" s="41"/>
      <c r="AO10" s="42"/>
      <c r="AP10" s="41"/>
      <c r="AQ10" s="42"/>
      <c r="AR10" s="41"/>
      <c r="AS10" s="42"/>
      <c r="AT10" s="41"/>
      <c r="AU10" s="42"/>
      <c r="AV10" s="41"/>
      <c r="AW10" s="42"/>
    </row>
    <row r="11" spans="1:49" x14ac:dyDescent="0.2">
      <c r="A11" t="s">
        <v>29</v>
      </c>
      <c r="B11" s="41">
        <v>1059.2664648168009</v>
      </c>
      <c r="C11" s="42">
        <v>1164.8563607265562</v>
      </c>
      <c r="D11" s="41">
        <v>1056.7552739521241</v>
      </c>
      <c r="E11" s="42">
        <v>1227.6598624772541</v>
      </c>
      <c r="F11" s="41">
        <v>1054.3115902359039</v>
      </c>
      <c r="G11" s="42">
        <v>1298.9043909536954</v>
      </c>
      <c r="H11" s="41">
        <v>1051.945913523939</v>
      </c>
      <c r="I11" s="42">
        <v>1380.5114188368232</v>
      </c>
      <c r="J11" s="41">
        <v>1049.6750858328326</v>
      </c>
      <c r="K11" s="42">
        <v>1475.0785313826377</v>
      </c>
      <c r="L11" s="41">
        <v>1047.5255447355664</v>
      </c>
      <c r="M11" s="42">
        <v>1586.2135768489575</v>
      </c>
      <c r="N11" s="41">
        <v>1045.5386832011486</v>
      </c>
      <c r="O11" s="42">
        <v>1719.0826426600509</v>
      </c>
      <c r="P11" s="41">
        <v>1043.7794324471463</v>
      </c>
      <c r="Q11" s="42">
        <v>1881.352296748044</v>
      </c>
      <c r="R11" s="41">
        <v>1042.3504645410612</v>
      </c>
      <c r="S11" s="42">
        <v>2084.8711216950737</v>
      </c>
      <c r="T11" s="41">
        <v>1041.4151537545099</v>
      </c>
      <c r="U11" s="42">
        <v>2348.8016832213302</v>
      </c>
      <c r="V11" s="41">
        <v>1041.2316390509959</v>
      </c>
      <c r="W11" s="42">
        <v>2705.6615323634846</v>
      </c>
      <c r="X11" s="41">
        <v>1042.1894768783629</v>
      </c>
      <c r="Y11" s="42">
        <v>3213.103659593753</v>
      </c>
      <c r="Z11" s="41">
        <v>1044.7955132314871</v>
      </c>
      <c r="AA11" s="42">
        <v>3976.1085488996559</v>
      </c>
      <c r="AB11" s="41">
        <v>1049.4739560613318</v>
      </c>
      <c r="AC11" s="42">
        <v>5185.4097333070249</v>
      </c>
      <c r="AD11" s="41">
        <v>1056.1474923119843</v>
      </c>
      <c r="AE11" s="42">
        <v>7185.8715729170999</v>
      </c>
      <c r="AF11" s="41">
        <v>1064.0859828646767</v>
      </c>
      <c r="AG11" s="42">
        <v>10646.452439396502</v>
      </c>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c r="AI12" s="42"/>
      <c r="AJ12" s="41"/>
      <c r="AK12" s="42"/>
      <c r="AL12" s="41"/>
      <c r="AM12" s="42"/>
      <c r="AN12" s="41"/>
      <c r="AO12" s="42"/>
      <c r="AP12" s="41"/>
      <c r="AQ12" s="42"/>
      <c r="AR12" s="41"/>
      <c r="AS12" s="42"/>
      <c r="AT12" s="41"/>
      <c r="AU12" s="42"/>
      <c r="AV12" s="41"/>
      <c r="AW12" s="42"/>
    </row>
    <row r="13" spans="1:49" x14ac:dyDescent="0.2">
      <c r="A13" t="s">
        <v>17</v>
      </c>
      <c r="B13" s="100">
        <v>1000</v>
      </c>
      <c r="C13" s="101">
        <v>1000</v>
      </c>
      <c r="D13" s="100">
        <v>971.49426863218571</v>
      </c>
      <c r="E13" s="101">
        <v>971.49426863218571</v>
      </c>
      <c r="F13" s="100">
        <v>941.74836182681486</v>
      </c>
      <c r="G13" s="101">
        <v>941.74836182681486</v>
      </c>
      <c r="H13" s="100">
        <v>910.4873071623764</v>
      </c>
      <c r="I13" s="101">
        <v>910.4873071623764</v>
      </c>
      <c r="J13" s="100">
        <v>877.34604275400886</v>
      </c>
      <c r="K13" s="101">
        <v>877.34604275400886</v>
      </c>
      <c r="L13" s="100">
        <v>841.82883060377208</v>
      </c>
      <c r="M13" s="101">
        <v>841.82883060377208</v>
      </c>
      <c r="N13" s="100">
        <v>803.24550843988709</v>
      </c>
      <c r="O13" s="101">
        <v>803.24550843988709</v>
      </c>
      <c r="P13" s="100">
        <v>760.611026493125</v>
      </c>
      <c r="Q13" s="101">
        <v>760.611026493125</v>
      </c>
      <c r="R13" s="100">
        <v>712.48489142914434</v>
      </c>
      <c r="S13" s="101">
        <v>712.48489142914434</v>
      </c>
      <c r="T13" s="100">
        <v>656.71920220397078</v>
      </c>
      <c r="U13" s="101">
        <v>656.71920220397078</v>
      </c>
      <c r="V13" s="100">
        <v>590.09744989471653</v>
      </c>
      <c r="W13" s="101">
        <v>590.09744989471653</v>
      </c>
      <c r="X13" s="100">
        <v>507.97362828057732</v>
      </c>
      <c r="Y13" s="101">
        <v>507.97362828057732</v>
      </c>
      <c r="Z13" s="100">
        <v>404.54041538795343</v>
      </c>
      <c r="AA13" s="101">
        <v>404.54041538795343</v>
      </c>
      <c r="AB13" s="100">
        <v>275.52974227596007</v>
      </c>
      <c r="AC13" s="101">
        <v>275.52974227596007</v>
      </c>
      <c r="AD13" s="100">
        <v>126.13346241167383</v>
      </c>
      <c r="AE13" s="101">
        <v>126.13346241167383</v>
      </c>
      <c r="AF13" s="100">
        <v>0.20581245460308381</v>
      </c>
      <c r="AG13" s="101">
        <v>0.20581245460308381</v>
      </c>
      <c r="AH13" s="100"/>
      <c r="AI13" s="101"/>
      <c r="AJ13" s="100"/>
      <c r="AK13" s="101"/>
      <c r="AL13" s="100"/>
      <c r="AM13" s="101"/>
      <c r="AN13" s="100"/>
      <c r="AO13" s="101"/>
      <c r="AP13" s="100"/>
      <c r="AQ13" s="101"/>
      <c r="AR13" s="100"/>
      <c r="AS13" s="101"/>
      <c r="AT13" s="100"/>
      <c r="AU13" s="101"/>
      <c r="AV13" s="100"/>
      <c r="AW13" s="101"/>
    </row>
    <row r="14" spans="1:49" x14ac:dyDescent="0.2">
      <c r="A14" t="s">
        <v>36</v>
      </c>
      <c r="B14" s="41">
        <v>1571.7032514685595</v>
      </c>
      <c r="C14" s="42">
        <v>1562.3699911127492</v>
      </c>
      <c r="D14" s="41">
        <v>1526.9007007922767</v>
      </c>
      <c r="E14" s="42">
        <v>1517.8334918489547</v>
      </c>
      <c r="F14" s="41">
        <v>1480.1489623483944</v>
      </c>
      <c r="G14" s="42">
        <v>1471.3593796978068</v>
      </c>
      <c r="H14" s="41">
        <v>1431.01586108796</v>
      </c>
      <c r="I14" s="42">
        <v>1422.5180459995529</v>
      </c>
      <c r="J14" s="41">
        <v>1378.9276280595495</v>
      </c>
      <c r="K14" s="42">
        <v>1370.7391290203864</v>
      </c>
      <c r="L14" s="41">
        <v>1323.1051102399238</v>
      </c>
      <c r="M14" s="42">
        <v>1315.2481025888712</v>
      </c>
      <c r="N14" s="41">
        <v>1262.4635773424868</v>
      </c>
      <c r="O14" s="42">
        <v>1254.966677882582</v>
      </c>
      <c r="P14" s="41">
        <v>1195.4548234420834</v>
      </c>
      <c r="Q14" s="42">
        <v>1188.3558427023227</v>
      </c>
      <c r="R14" s="41">
        <v>1119.8148204814099</v>
      </c>
      <c r="S14" s="42">
        <v>1113.1650134901201</v>
      </c>
      <c r="T14" s="41">
        <v>1032.1677054058193</v>
      </c>
      <c r="U14" s="42">
        <v>1026.0383741109895</v>
      </c>
      <c r="V14" s="41">
        <v>927.45808068283145</v>
      </c>
      <c r="W14" s="42">
        <v>921.9505475476642</v>
      </c>
      <c r="X14" s="41">
        <v>798.38380322886485</v>
      </c>
      <c r="Y14" s="42">
        <v>793.6427531022365</v>
      </c>
      <c r="Z14" s="41">
        <v>635.81748621568818</v>
      </c>
      <c r="AA14" s="42">
        <v>632.04180519442468</v>
      </c>
      <c r="AB14" s="41">
        <v>433.05099181142072</v>
      </c>
      <c r="AC14" s="42">
        <v>430.4794009909898</v>
      </c>
      <c r="AD14" s="41">
        <v>198.2443729914151</v>
      </c>
      <c r="AE14" s="42">
        <v>197.06713654714713</v>
      </c>
      <c r="AF14" s="41">
        <v>0.32347610409239214</v>
      </c>
      <c r="AG14" s="42">
        <v>0.32155520286911315</v>
      </c>
      <c r="AH14" s="41"/>
      <c r="AI14" s="42"/>
      <c r="AJ14" s="41"/>
      <c r="AK14" s="42"/>
      <c r="AL14" s="41"/>
      <c r="AM14" s="42"/>
      <c r="AN14" s="41"/>
      <c r="AO14" s="42"/>
      <c r="AP14" s="41"/>
      <c r="AQ14" s="42"/>
      <c r="AR14" s="41"/>
      <c r="AS14" s="42"/>
      <c r="AT14" s="41"/>
      <c r="AU14" s="42"/>
      <c r="AV14" s="41"/>
      <c r="AW14" s="42"/>
    </row>
    <row r="15" spans="1:49" x14ac:dyDescent="0.2">
      <c r="A15" t="s">
        <v>18</v>
      </c>
      <c r="B15" s="157">
        <v>1000</v>
      </c>
      <c r="C15" s="158">
        <v>1000</v>
      </c>
      <c r="D15" s="157">
        <v>1018.7950769942497</v>
      </c>
      <c r="E15" s="158">
        <v>1018.7950769942497</v>
      </c>
      <c r="F15" s="157">
        <v>1038.795063225951</v>
      </c>
      <c r="G15" s="158">
        <v>1038.795063225951</v>
      </c>
      <c r="H15" s="157">
        <v>1060.2639710324615</v>
      </c>
      <c r="I15" s="158">
        <v>1060.2639710324615</v>
      </c>
      <c r="J15" s="157">
        <v>1083.5648914644207</v>
      </c>
      <c r="K15" s="158">
        <v>1083.5648914644207</v>
      </c>
      <c r="L15" s="157">
        <v>1109.2089898823165</v>
      </c>
      <c r="M15" s="158">
        <v>1109.2089898823165</v>
      </c>
      <c r="N15" s="157">
        <v>1137.9360294123333</v>
      </c>
      <c r="O15" s="158">
        <v>1137.9360294123333</v>
      </c>
      <c r="P15" s="157">
        <v>1170.8472419248069</v>
      </c>
      <c r="Q15" s="158">
        <v>1170.8472419248069</v>
      </c>
      <c r="R15" s="157">
        <v>1209.6321082750978</v>
      </c>
      <c r="S15" s="158">
        <v>1209.6321082750978</v>
      </c>
      <c r="T15" s="157">
        <v>1256.9597425062234</v>
      </c>
      <c r="U15" s="158">
        <v>1256.9597425062234</v>
      </c>
      <c r="V15" s="157">
        <v>1317.1417217452474</v>
      </c>
      <c r="W15" s="158">
        <v>1317.1417217452474</v>
      </c>
      <c r="X15" s="157">
        <v>1397.1510953384627</v>
      </c>
      <c r="Y15" s="158">
        <v>1397.1510953384627</v>
      </c>
      <c r="Z15" s="157">
        <v>1507.7327485386677</v>
      </c>
      <c r="AA15" s="158">
        <v>1507.7327485386677</v>
      </c>
      <c r="AB15" s="157">
        <v>1663.3757633735686</v>
      </c>
      <c r="AC15" s="158">
        <v>1663.3757633735686</v>
      </c>
      <c r="AD15" s="157">
        <v>1880.2652373868082</v>
      </c>
      <c r="AE15" s="158">
        <v>1880.2652373868082</v>
      </c>
      <c r="AF15" s="157">
        <v>2177.149601199053</v>
      </c>
      <c r="AG15" s="158">
        <v>2177.149601199053</v>
      </c>
      <c r="AH15" s="157"/>
      <c r="AI15" s="158"/>
      <c r="AJ15" s="157"/>
      <c r="AK15" s="158"/>
      <c r="AL15" s="157"/>
      <c r="AM15" s="158"/>
      <c r="AN15" s="157"/>
      <c r="AO15" s="158"/>
      <c r="AP15" s="157"/>
      <c r="AQ15" s="158"/>
      <c r="AR15" s="157"/>
      <c r="AS15" s="158"/>
      <c r="AT15" s="157"/>
      <c r="AU15" s="158"/>
      <c r="AV15" s="157"/>
      <c r="AW15" s="158"/>
    </row>
    <row r="16" spans="1:49" s="29" customFormat="1" x14ac:dyDescent="0.2">
      <c r="A16" t="s">
        <v>63</v>
      </c>
      <c r="B16" s="41">
        <v>1000</v>
      </c>
      <c r="C16" s="42">
        <v>1000</v>
      </c>
      <c r="D16" s="41">
        <v>994.66958957880638</v>
      </c>
      <c r="E16" s="42">
        <v>1007.383132492286</v>
      </c>
      <c r="F16" s="41">
        <v>989.11316196487292</v>
      </c>
      <c r="G16" s="42">
        <v>1015.3146731016832</v>
      </c>
      <c r="H16" s="41">
        <v>983.28347987759832</v>
      </c>
      <c r="I16" s="42">
        <v>1023.9161497098945</v>
      </c>
      <c r="J16" s="41">
        <v>977.12120311362548</v>
      </c>
      <c r="K16" s="42">
        <v>1033.3575484947132</v>
      </c>
      <c r="L16" s="41">
        <v>970.54978178664146</v>
      </c>
      <c r="M16" s="42">
        <v>1043.881888543676</v>
      </c>
      <c r="N16" s="41">
        <v>963.46766650446727</v>
      </c>
      <c r="O16" s="42">
        <v>1055.8460607835018</v>
      </c>
      <c r="P16" s="41">
        <v>955.73532701516137</v>
      </c>
      <c r="Q16" s="42">
        <v>1069.7886037847254</v>
      </c>
      <c r="R16" s="41">
        <v>947.15335140997593</v>
      </c>
      <c r="S16" s="42">
        <v>1086.5465000687002</v>
      </c>
      <c r="T16" s="41">
        <v>937.42362700478316</v>
      </c>
      <c r="U16" s="42">
        <v>1107.4589379899071</v>
      </c>
      <c r="V16" s="41">
        <v>926.07802552662417</v>
      </c>
      <c r="W16" s="42">
        <v>1134.717634895987</v>
      </c>
      <c r="X16" s="41">
        <v>912.34650986590032</v>
      </c>
      <c r="Y16" s="42">
        <v>1171.920839728419</v>
      </c>
      <c r="Z16" s="41">
        <v>894.92507644524142</v>
      </c>
      <c r="AA16" s="42">
        <v>1224.7327749537637</v>
      </c>
      <c r="AB16" s="41">
        <v>871.62939028638527</v>
      </c>
      <c r="AC16" s="42">
        <v>1301.1328879979937</v>
      </c>
      <c r="AD16" s="41">
        <v>838.97944132125087</v>
      </c>
      <c r="AE16" s="42">
        <v>1411.3019634723446</v>
      </c>
      <c r="AF16" s="41">
        <v>791.56159868829138</v>
      </c>
      <c r="AG16" s="42">
        <v>1575.1346838259965</v>
      </c>
      <c r="AH16" s="41"/>
      <c r="AI16" s="42"/>
      <c r="AJ16" s="41"/>
      <c r="AK16" s="42"/>
      <c r="AL16" s="41"/>
      <c r="AM16" s="42"/>
      <c r="AN16" s="41"/>
      <c r="AO16" s="42"/>
      <c r="AP16" s="41"/>
      <c r="AQ16" s="42"/>
      <c r="AR16" s="41"/>
      <c r="AS16" s="42"/>
      <c r="AT16" s="41"/>
      <c r="AU16" s="42"/>
      <c r="AV16" s="41"/>
      <c r="AW16" s="42"/>
    </row>
    <row r="17" spans="1:49" x14ac:dyDescent="0.2">
      <c r="A17" t="s">
        <v>64</v>
      </c>
      <c r="B17" s="35">
        <v>1000</v>
      </c>
      <c r="C17" s="36">
        <v>999.99999999999977</v>
      </c>
      <c r="D17" s="35">
        <v>997.74989658256527</v>
      </c>
      <c r="E17" s="36">
        <v>1039.8106794275673</v>
      </c>
      <c r="F17" s="35">
        <v>995.56481662778879</v>
      </c>
      <c r="G17" s="36">
        <v>1084.7104892181233</v>
      </c>
      <c r="H17" s="35">
        <v>993.45376740351014</v>
      </c>
      <c r="I17" s="36">
        <v>1135.8406405493017</v>
      </c>
      <c r="J17" s="35">
        <v>991.43133240781196</v>
      </c>
      <c r="K17" s="36">
        <v>1194.7429684270735</v>
      </c>
      <c r="L17" s="35">
        <v>989.52051866979946</v>
      </c>
      <c r="M17" s="36">
        <v>1263.5572460960616</v>
      </c>
      <c r="N17" s="35">
        <v>987.75744324305253</v>
      </c>
      <c r="O17" s="36">
        <v>1345.3443192886095</v>
      </c>
      <c r="P17" s="35">
        <v>986.19885716912972</v>
      </c>
      <c r="Q17" s="36">
        <v>1444.6399566708901</v>
      </c>
      <c r="R17" s="35">
        <v>984.93462637300865</v>
      </c>
      <c r="S17" s="36">
        <v>1568.4395407346735</v>
      </c>
      <c r="T17" s="35">
        <v>984.10798668578491</v>
      </c>
      <c r="U17" s="36">
        <v>1728.0222816431719</v>
      </c>
      <c r="V17" s="35">
        <v>983.9458736190627</v>
      </c>
      <c r="W17" s="36">
        <v>1942.4423121992413</v>
      </c>
      <c r="X17" s="35">
        <v>984.79229381463324</v>
      </c>
      <c r="Y17" s="36">
        <v>2245.2569812584202</v>
      </c>
      <c r="Z17" s="35">
        <v>987.09875239491214</v>
      </c>
      <c r="AA17" s="36">
        <v>2696.9712009397326</v>
      </c>
      <c r="AB17" s="35">
        <v>991.25239121660104</v>
      </c>
      <c r="AC17" s="36">
        <v>3406.0344629158185</v>
      </c>
      <c r="AD17" s="35">
        <v>997.20601493111269</v>
      </c>
      <c r="AE17" s="36">
        <v>4565.7014198521883</v>
      </c>
      <c r="AF17" s="35">
        <v>1004.3315973154811</v>
      </c>
      <c r="AG17" s="36">
        <v>6549.243001568725</v>
      </c>
      <c r="AH17" s="35"/>
      <c r="AI17" s="36"/>
      <c r="AJ17" s="35"/>
      <c r="AK17" s="36"/>
      <c r="AL17" s="35"/>
      <c r="AM17" s="36"/>
      <c r="AN17" s="35"/>
      <c r="AO17" s="36"/>
      <c r="AP17" s="35"/>
      <c r="AQ17" s="36"/>
      <c r="AR17" s="35"/>
      <c r="AS17" s="36"/>
      <c r="AT17" s="35"/>
      <c r="AU17" s="36"/>
      <c r="AV17" s="35"/>
      <c r="AW17" s="36"/>
    </row>
    <row r="18" spans="1:49" x14ac:dyDescent="0.2">
      <c r="A18" t="s">
        <v>19</v>
      </c>
      <c r="B18" s="33">
        <v>21498.981358265999</v>
      </c>
      <c r="C18" s="34">
        <v>834.03652123400332</v>
      </c>
      <c r="D18" s="33">
        <v>21689.981587423037</v>
      </c>
      <c r="E18" s="34">
        <v>748.74451661834019</v>
      </c>
      <c r="F18" s="33">
        <v>21884.971722216484</v>
      </c>
      <c r="G18" s="34">
        <v>665.04103858081055</v>
      </c>
      <c r="H18" s="33">
        <v>22084.840776966332</v>
      </c>
      <c r="I18" s="34">
        <v>583.16513957778261</v>
      </c>
      <c r="J18" s="33">
        <v>22290.803891145686</v>
      </c>
      <c r="K18" s="34">
        <v>503.4234166335844</v>
      </c>
      <c r="L18" s="33">
        <v>22504.55627819365</v>
      </c>
      <c r="M18" s="34">
        <v>426.21529238168057</v>
      </c>
      <c r="N18" s="33">
        <v>22728.528615858824</v>
      </c>
      <c r="O18" s="34">
        <v>352.06515970676253</v>
      </c>
      <c r="P18" s="33">
        <v>22966.284682735924</v>
      </c>
      <c r="Q18" s="34">
        <v>281.67260128874358</v>
      </c>
      <c r="R18" s="33">
        <v>23223.171509792857</v>
      </c>
      <c r="S18" s="34">
        <v>215.97950536623026</v>
      </c>
      <c r="T18" s="33">
        <v>23507.353662209785</v>
      </c>
      <c r="U18" s="34">
        <v>156.25563464393954</v>
      </c>
      <c r="V18" s="33">
        <v>23831.322502908301</v>
      </c>
      <c r="W18" s="34">
        <v>104.17802709791665</v>
      </c>
      <c r="X18" s="33">
        <v>24213.520791833736</v>
      </c>
      <c r="Y18" s="34">
        <v>61.79004458514563</v>
      </c>
      <c r="Z18" s="33">
        <v>24677.893029402265</v>
      </c>
      <c r="AA18" s="34">
        <v>31.033203336624819</v>
      </c>
      <c r="AB18" s="33">
        <v>25246.063981421037</v>
      </c>
      <c r="AC18" s="34">
        <v>12.454713596585385</v>
      </c>
      <c r="AD18" s="33">
        <v>25920.927018485483</v>
      </c>
      <c r="AE18" s="34">
        <v>3.7964518601366022</v>
      </c>
      <c r="AF18" s="33">
        <v>26677.880232686945</v>
      </c>
      <c r="AG18" s="34">
        <v>0.8420837877658206</v>
      </c>
      <c r="AH18" s="33"/>
      <c r="AI18" s="34"/>
      <c r="AJ18" s="33"/>
      <c r="AK18" s="34"/>
      <c r="AL18" s="33"/>
      <c r="AM18" s="34"/>
      <c r="AN18" s="33"/>
      <c r="AO18" s="34"/>
      <c r="AP18" s="33"/>
      <c r="AQ18" s="34"/>
      <c r="AR18" s="33"/>
      <c r="AS18" s="34"/>
      <c r="AT18" s="33"/>
      <c r="AU18" s="34"/>
      <c r="AV18" s="33"/>
      <c r="AW18" s="34"/>
    </row>
    <row r="19" spans="1:49" x14ac:dyDescent="0.2">
      <c r="A19" t="s">
        <v>3</v>
      </c>
      <c r="B19" s="41">
        <v>1782.2320505062355</v>
      </c>
      <c r="C19" s="42">
        <v>450.22976484179424</v>
      </c>
      <c r="D19" s="41">
        <v>1787.763404729013</v>
      </c>
      <c r="E19" s="42">
        <v>465.34871046117223</v>
      </c>
      <c r="F19" s="41">
        <v>1793.7488241660528</v>
      </c>
      <c r="G19" s="42">
        <v>481.18391971931197</v>
      </c>
      <c r="H19" s="41">
        <v>1800.3046326452193</v>
      </c>
      <c r="I19" s="42">
        <v>497.66798603724681</v>
      </c>
      <c r="J19" s="41">
        <v>1807.6000086295655</v>
      </c>
      <c r="K19" s="42">
        <v>514.68071688734426</v>
      </c>
      <c r="L19" s="41">
        <v>1815.883634693791</v>
      </c>
      <c r="M19" s="42">
        <v>532.02022773868293</v>
      </c>
      <c r="N19" s="41">
        <v>1825.5280394022766</v>
      </c>
      <c r="O19" s="42">
        <v>549.35520482157733</v>
      </c>
      <c r="P19" s="41">
        <v>1837.1004462004782</v>
      </c>
      <c r="Q19" s="42">
        <v>566.14629220941993</v>
      </c>
      <c r="R19" s="41">
        <v>1851.4809921675035</v>
      </c>
      <c r="S19" s="42">
        <v>581.51255423134626</v>
      </c>
      <c r="T19" s="41">
        <v>1870.0565849138914</v>
      </c>
      <c r="U19" s="42">
        <v>594.00725932836372</v>
      </c>
      <c r="V19" s="41">
        <v>1895.0177264954989</v>
      </c>
      <c r="W19" s="42">
        <v>601.26313945705112</v>
      </c>
      <c r="X19" s="41">
        <v>1929.7133099072682</v>
      </c>
      <c r="Y19" s="42">
        <v>599.54332632311082</v>
      </c>
      <c r="Z19" s="41">
        <v>1978.6813799626502</v>
      </c>
      <c r="AA19" s="42">
        <v>583.62402073832106</v>
      </c>
      <c r="AB19" s="41">
        <v>2046.2961538171407</v>
      </c>
      <c r="AC19" s="42">
        <v>548.29490472657915</v>
      </c>
      <c r="AD19" s="41">
        <v>2133.5181441772802</v>
      </c>
      <c r="AE19" s="42">
        <v>492.24771858747351</v>
      </c>
      <c r="AF19" s="41">
        <v>2235.9775225450699</v>
      </c>
      <c r="AG19" s="42">
        <v>420.28391143276934</v>
      </c>
      <c r="AH19" s="41"/>
      <c r="AI19" s="42"/>
      <c r="AJ19" s="41"/>
      <c r="AK19" s="42"/>
      <c r="AL19" s="41"/>
      <c r="AM19" s="42"/>
      <c r="AN19" s="41"/>
      <c r="AO19" s="42"/>
      <c r="AP19" s="41"/>
      <c r="AQ19" s="42"/>
      <c r="AR19" s="41"/>
      <c r="AS19" s="42"/>
      <c r="AT19" s="41"/>
      <c r="AU19" s="42"/>
      <c r="AV19" s="41"/>
      <c r="AW19" s="42"/>
    </row>
    <row r="20" spans="1:49" x14ac:dyDescent="0.2">
      <c r="A20" t="s">
        <v>130</v>
      </c>
      <c r="B20" s="85">
        <v>20973.127797372959</v>
      </c>
      <c r="C20" s="86">
        <v>1222.2257935314667</v>
      </c>
      <c r="D20" s="85">
        <v>21138.326191711018</v>
      </c>
      <c r="E20" s="86">
        <v>1161.1145038548932</v>
      </c>
      <c r="F20" s="85">
        <v>21307.528004758547</v>
      </c>
      <c r="G20" s="86">
        <v>1100.0032141783201</v>
      </c>
      <c r="H20" s="85">
        <v>21481.696554673792</v>
      </c>
      <c r="I20" s="86">
        <v>1038.8919245017466</v>
      </c>
      <c r="J20" s="85">
        <v>21662.169827223301</v>
      </c>
      <c r="K20" s="86">
        <v>977.78063482517348</v>
      </c>
      <c r="L20" s="85">
        <v>21850.841664619555</v>
      </c>
      <c r="M20" s="86">
        <v>916.66934514859997</v>
      </c>
      <c r="N20" s="85">
        <v>22050.462184483695</v>
      </c>
      <c r="O20" s="86">
        <v>855.55805547202669</v>
      </c>
      <c r="P20" s="85">
        <v>22265.109383272869</v>
      </c>
      <c r="Q20" s="86">
        <v>794.44676579545353</v>
      </c>
      <c r="R20" s="85">
        <v>22500.964238557135</v>
      </c>
      <c r="S20" s="86">
        <v>733.33547611888025</v>
      </c>
      <c r="T20" s="85">
        <v>22767.553314887879</v>
      </c>
      <c r="U20" s="86">
        <v>672.22418644230675</v>
      </c>
      <c r="V20" s="85">
        <v>23079.583364346447</v>
      </c>
      <c r="W20" s="86">
        <v>611.11289676573335</v>
      </c>
      <c r="X20" s="85">
        <v>23458.963797642507</v>
      </c>
      <c r="Y20" s="86">
        <v>550.00160708916007</v>
      </c>
      <c r="Z20" s="85">
        <v>23934.406859189086</v>
      </c>
      <c r="AA20" s="86">
        <v>488.89031741258668</v>
      </c>
      <c r="AB20" s="85">
        <v>24532.090439477575</v>
      </c>
      <c r="AC20" s="86">
        <v>427.77902773601335</v>
      </c>
      <c r="AD20" s="85">
        <v>25255.536369735837</v>
      </c>
      <c r="AE20" s="86">
        <v>366.66773805943996</v>
      </c>
      <c r="AF20" s="85">
        <v>26074.944277260369</v>
      </c>
      <c r="AG20" s="86">
        <v>305.55644838286656</v>
      </c>
      <c r="AH20" s="85"/>
      <c r="AI20" s="86"/>
      <c r="AJ20" s="85"/>
      <c r="AK20" s="86"/>
      <c r="AL20" s="85"/>
      <c r="AM20" s="86"/>
      <c r="AN20" s="85"/>
      <c r="AO20" s="86"/>
      <c r="AP20" s="85"/>
      <c r="AQ20" s="86"/>
      <c r="AR20" s="85"/>
      <c r="AS20" s="86"/>
      <c r="AT20" s="85"/>
      <c r="AU20" s="86"/>
      <c r="AV20" s="85"/>
      <c r="AW20" s="86"/>
    </row>
    <row r="21" spans="1:49" x14ac:dyDescent="0.2">
      <c r="A21" t="s">
        <v>78</v>
      </c>
      <c r="B21" s="85">
        <v>19190.895746866718</v>
      </c>
      <c r="C21" s="86">
        <v>771.99602868967372</v>
      </c>
      <c r="D21" s="85">
        <v>19350.573819854246</v>
      </c>
      <c r="E21" s="86">
        <v>696.40345834362165</v>
      </c>
      <c r="F21" s="85">
        <v>19513.822477507965</v>
      </c>
      <c r="G21" s="86">
        <v>621.48612123165935</v>
      </c>
      <c r="H21" s="85">
        <v>19681.487204874662</v>
      </c>
      <c r="I21" s="86">
        <v>547.49993581359445</v>
      </c>
      <c r="J21" s="85">
        <v>19854.734757311842</v>
      </c>
      <c r="K21" s="86">
        <v>474.77134740550878</v>
      </c>
      <c r="L21" s="85">
        <v>20035.20733492724</v>
      </c>
      <c r="M21" s="86">
        <v>403.72111771793567</v>
      </c>
      <c r="N21" s="85">
        <v>20225.278080560121</v>
      </c>
      <c r="O21" s="86">
        <v>334.89864089370076</v>
      </c>
      <c r="P21" s="85">
        <v>20428.450934561988</v>
      </c>
      <c r="Q21" s="86">
        <v>269.03011448487865</v>
      </c>
      <c r="R21" s="85">
        <v>20650.016157843223</v>
      </c>
      <c r="S21" s="86">
        <v>207.08618140122778</v>
      </c>
      <c r="T21" s="85">
        <v>20898.097232936765</v>
      </c>
      <c r="U21" s="86">
        <v>150.36836854523995</v>
      </c>
      <c r="V21" s="85">
        <v>21185.186950826264</v>
      </c>
      <c r="W21" s="86">
        <v>100.5894423369197</v>
      </c>
      <c r="X21" s="85">
        <v>21529.816713888806</v>
      </c>
      <c r="Y21" s="86">
        <v>59.838982783041558</v>
      </c>
      <c r="Z21" s="85">
        <v>21956.140314241817</v>
      </c>
      <c r="AA21" s="86">
        <v>30.127268024339962</v>
      </c>
      <c r="AB21" s="85">
        <v>22485.988992429837</v>
      </c>
      <c r="AC21" s="86">
        <v>12.113101020748637</v>
      </c>
      <c r="AD21" s="85">
        <v>23122.038560280838</v>
      </c>
      <c r="AE21" s="86">
        <v>3.696511579077963</v>
      </c>
      <c r="AF21" s="85">
        <v>23839.016883729902</v>
      </c>
      <c r="AG21" s="86">
        <v>0.82039147303503668</v>
      </c>
      <c r="AH21" s="85"/>
      <c r="AI21" s="86"/>
      <c r="AJ21" s="85"/>
      <c r="AK21" s="86"/>
      <c r="AL21" s="85"/>
      <c r="AM21" s="86"/>
      <c r="AN21" s="85"/>
      <c r="AO21" s="86"/>
      <c r="AP21" s="85"/>
      <c r="AQ21" s="86"/>
      <c r="AR21" s="85"/>
      <c r="AS21" s="86"/>
      <c r="AT21" s="85"/>
      <c r="AU21" s="86"/>
      <c r="AV21" s="85"/>
      <c r="AW21" s="86"/>
    </row>
    <row r="22" spans="1:49" x14ac:dyDescent="0.2">
      <c r="A22" t="s">
        <v>28</v>
      </c>
      <c r="B22" s="41">
        <v>5896.9295697243897</v>
      </c>
      <c r="C22" s="42">
        <v>340.53228761636649</v>
      </c>
      <c r="D22" s="41">
        <v>5941.7836856112363</v>
      </c>
      <c r="E22" s="42">
        <v>332.00704826835067</v>
      </c>
      <c r="F22" s="41">
        <v>5987.3834455077649</v>
      </c>
      <c r="G22" s="42">
        <v>322.97194299605422</v>
      </c>
      <c r="H22" s="41">
        <v>6033.9457271522488</v>
      </c>
      <c r="I22" s="42">
        <v>313.37625815944119</v>
      </c>
      <c r="J22" s="41">
        <v>6081.7825877509786</v>
      </c>
      <c r="K22" s="42">
        <v>303.15684983613829</v>
      </c>
      <c r="L22" s="41">
        <v>6131.3490072691138</v>
      </c>
      <c r="M22" s="42">
        <v>292.23380975454279</v>
      </c>
      <c r="N22" s="41">
        <v>6183.324116354207</v>
      </c>
      <c r="O22" s="42">
        <v>280.5050397550757</v>
      </c>
      <c r="P22" s="41">
        <v>6238.7377537978682</v>
      </c>
      <c r="Q22" s="42">
        <v>267.83821440929756</v>
      </c>
      <c r="R22" s="41">
        <v>6299.1792914877533</v>
      </c>
      <c r="S22" s="42">
        <v>254.06061582881546</v>
      </c>
      <c r="T22" s="41">
        <v>6367.1299517561538</v>
      </c>
      <c r="U22" s="42">
        <v>238.94771747055995</v>
      </c>
      <c r="V22" s="41">
        <v>6446.4400731194537</v>
      </c>
      <c r="W22" s="42">
        <v>222.21682065066224</v>
      </c>
      <c r="X22" s="41">
        <v>6542.7981090769681</v>
      </c>
      <c r="Y22" s="42">
        <v>203.54916920625934</v>
      </c>
      <c r="Z22" s="41">
        <v>6663.3444110945256</v>
      </c>
      <c r="AA22" s="42">
        <v>182.69587757645567</v>
      </c>
      <c r="AB22" s="41">
        <v>6813.3852542364602</v>
      </c>
      <c r="AC22" s="42">
        <v>159.72347302484312</v>
      </c>
      <c r="AD22" s="41">
        <v>6989.6166429577252</v>
      </c>
      <c r="AE22" s="42">
        <v>135.23623639040594</v>
      </c>
      <c r="AF22" s="41">
        <v>7175.9556634910805</v>
      </c>
      <c r="AG22" s="42">
        <v>110.16292931374947</v>
      </c>
      <c r="AH22" s="41"/>
      <c r="AI22" s="42"/>
      <c r="AJ22" s="41"/>
      <c r="AK22" s="42"/>
      <c r="AL22" s="41"/>
      <c r="AM22" s="42"/>
      <c r="AN22" s="41"/>
      <c r="AO22" s="42"/>
      <c r="AP22" s="41"/>
      <c r="AQ22" s="42"/>
      <c r="AR22" s="41"/>
      <c r="AS22" s="42"/>
      <c r="AT22" s="41"/>
      <c r="AU22" s="42"/>
      <c r="AV22" s="41"/>
      <c r="AW22" s="42"/>
    </row>
    <row r="23" spans="1:49" x14ac:dyDescent="0.2">
      <c r="A23" t="s">
        <v>7</v>
      </c>
      <c r="B23" s="119">
        <v>2396.8717103698964</v>
      </c>
      <c r="C23" s="8">
        <v>0</v>
      </c>
      <c r="D23" s="119">
        <v>2418.3041883928672</v>
      </c>
      <c r="E23" s="8">
        <v>0</v>
      </c>
      <c r="F23" s="119">
        <v>2440.3939240344248</v>
      </c>
      <c r="G23" s="8">
        <v>0</v>
      </c>
      <c r="H23" s="119">
        <v>2463.2946137687968</v>
      </c>
      <c r="I23" s="8">
        <v>0</v>
      </c>
      <c r="J23" s="119">
        <v>2487.2190247979729</v>
      </c>
      <c r="K23" s="8">
        <v>0</v>
      </c>
      <c r="L23" s="119">
        <v>2512.4677604525382</v>
      </c>
      <c r="M23" s="8">
        <v>0</v>
      </c>
      <c r="N23" s="119">
        <v>2539.4768279329892</v>
      </c>
      <c r="O23" s="8">
        <v>0</v>
      </c>
      <c r="P23" s="119">
        <v>2568.8932839295117</v>
      </c>
      <c r="Q23" s="8">
        <v>0</v>
      </c>
      <c r="R23" s="119">
        <v>2601.7010036429347</v>
      </c>
      <c r="S23" s="8">
        <v>0</v>
      </c>
      <c r="T23" s="119">
        <v>2639.4267333191328</v>
      </c>
      <c r="U23" s="8">
        <v>0</v>
      </c>
      <c r="V23" s="119">
        <v>2684.4578452172077</v>
      </c>
      <c r="W23" s="8">
        <v>0</v>
      </c>
      <c r="X23" s="119">
        <v>2740.4379476753861</v>
      </c>
      <c r="Y23" s="8">
        <v>0</v>
      </c>
      <c r="Z23" s="119">
        <v>2812.393391428524</v>
      </c>
      <c r="AA23" s="8">
        <v>0</v>
      </c>
      <c r="AB23" s="119">
        <v>2905.630568559523</v>
      </c>
      <c r="AC23" s="8">
        <v>0</v>
      </c>
      <c r="AD23" s="119">
        <v>3023.0285180492351</v>
      </c>
      <c r="AE23" s="8">
        <v>0</v>
      </c>
      <c r="AF23" s="119">
        <v>3163.8350899163106</v>
      </c>
      <c r="AG23" s="8">
        <v>0</v>
      </c>
      <c r="AH23" s="119"/>
      <c r="AI23" s="8"/>
      <c r="AJ23" s="119"/>
      <c r="AK23" s="8"/>
      <c r="AL23" s="119"/>
      <c r="AM23" s="8"/>
      <c r="AN23" s="119"/>
      <c r="AO23" s="8"/>
      <c r="AP23" s="119"/>
      <c r="AQ23" s="8"/>
      <c r="AR23" s="119"/>
      <c r="AS23" s="8"/>
      <c r="AT23" s="119"/>
      <c r="AU23" s="8"/>
      <c r="AV23" s="119"/>
      <c r="AW23" s="8"/>
    </row>
    <row r="24" spans="1:49" x14ac:dyDescent="0.2">
      <c r="A24" t="s">
        <v>8</v>
      </c>
      <c r="B24" s="100">
        <v>2261.1304131516072</v>
      </c>
      <c r="C24" s="8">
        <v>0</v>
      </c>
      <c r="D24" s="100">
        <v>2281.3491109889419</v>
      </c>
      <c r="E24" s="8">
        <v>0</v>
      </c>
      <c r="F24" s="100">
        <v>2302.1878467641841</v>
      </c>
      <c r="G24" s="8">
        <v>0</v>
      </c>
      <c r="H24" s="100">
        <v>2323.7916072625721</v>
      </c>
      <c r="I24" s="8">
        <v>0</v>
      </c>
      <c r="J24" s="100">
        <v>2346.3611153867628</v>
      </c>
      <c r="K24" s="8">
        <v>0</v>
      </c>
      <c r="L24" s="100">
        <v>2370.1799476336364</v>
      </c>
      <c r="M24" s="8">
        <v>0</v>
      </c>
      <c r="N24" s="100">
        <v>2395.6594188301838</v>
      </c>
      <c r="O24" s="8">
        <v>0</v>
      </c>
      <c r="P24" s="100">
        <v>2423.4099416092236</v>
      </c>
      <c r="Q24" s="8">
        <v>0</v>
      </c>
      <c r="R24" s="100">
        <v>2454.3596710577526</v>
      </c>
      <c r="S24" s="8">
        <v>0</v>
      </c>
      <c r="T24" s="100">
        <v>2489.9488922188384</v>
      </c>
      <c r="U24" s="8">
        <v>0</v>
      </c>
      <c r="V24" s="100">
        <v>2532.4297709911621</v>
      </c>
      <c r="W24" s="8">
        <v>0</v>
      </c>
      <c r="X24" s="100">
        <v>2585.239569543874</v>
      </c>
      <c r="Y24" s="8">
        <v>0</v>
      </c>
      <c r="Z24" s="100">
        <v>2653.1199828241565</v>
      </c>
      <c r="AA24" s="8">
        <v>0</v>
      </c>
      <c r="AB24" s="100">
        <v>2741.0768876509005</v>
      </c>
      <c r="AC24" s="8">
        <v>0</v>
      </c>
      <c r="AD24" s="100">
        <v>2851.8262752098735</v>
      </c>
      <c r="AE24" s="8">
        <v>0</v>
      </c>
      <c r="AF24" s="100">
        <v>2984.6585918869291</v>
      </c>
      <c r="AG24" s="8">
        <v>0</v>
      </c>
      <c r="AH24" s="100"/>
      <c r="AI24" s="8"/>
      <c r="AJ24" s="100"/>
      <c r="AK24" s="8"/>
      <c r="AL24" s="100"/>
      <c r="AM24" s="8"/>
      <c r="AN24" s="100"/>
      <c r="AO24" s="8"/>
      <c r="AP24" s="100"/>
      <c r="AQ24" s="8"/>
      <c r="AR24" s="100"/>
      <c r="AS24" s="8"/>
      <c r="AT24" s="100"/>
      <c r="AU24" s="8"/>
      <c r="AV24" s="100"/>
      <c r="AW24" s="8"/>
    </row>
    <row r="25" spans="1:49" x14ac:dyDescent="0.2">
      <c r="A25" t="s">
        <v>0</v>
      </c>
      <c r="B25" s="41">
        <v>2308.08561139929</v>
      </c>
      <c r="C25" s="42">
        <v>62.040492544331705</v>
      </c>
      <c r="D25" s="41">
        <v>2339.3937414165816</v>
      </c>
      <c r="E25" s="42">
        <v>52.284356832690179</v>
      </c>
      <c r="F25" s="41">
        <v>2371.0938326893183</v>
      </c>
      <c r="G25" s="42">
        <v>43.347227161262097</v>
      </c>
      <c r="H25" s="41">
        <v>2403.2308806928227</v>
      </c>
      <c r="I25" s="42">
        <v>35.243260886125768</v>
      </c>
      <c r="J25" s="41">
        <v>2435.8554649754769</v>
      </c>
      <c r="K25" s="42">
        <v>27.9851373722475</v>
      </c>
      <c r="L25" s="41">
        <v>2469.0241522957144</v>
      </c>
      <c r="M25" s="42">
        <v>21.58379977812589</v>
      </c>
      <c r="N25" s="41">
        <v>2502.8001123612908</v>
      </c>
      <c r="O25" s="42">
        <v>16.047717182891969</v>
      </c>
      <c r="P25" s="41">
        <v>2537.2522116187747</v>
      </c>
      <c r="Q25" s="42">
        <v>11.381691028914833</v>
      </c>
      <c r="R25" s="41">
        <v>2572.4515530696845</v>
      </c>
      <c r="S25" s="42">
        <v>7.5843265615011237</v>
      </c>
      <c r="T25" s="41">
        <v>2608.4613971678391</v>
      </c>
      <c r="U25" s="42">
        <v>4.6431047839957742</v>
      </c>
      <c r="V25" s="41">
        <v>2645.3125697297564</v>
      </c>
      <c r="W25" s="42">
        <v>2.5250272391877147</v>
      </c>
      <c r="X25" s="41">
        <v>2682.9559585775164</v>
      </c>
      <c r="Y25" s="42">
        <v>1.160207767893064</v>
      </c>
      <c r="Z25" s="41">
        <v>2721.2083749388826</v>
      </c>
      <c r="AA25" s="42">
        <v>0.42009048944050031</v>
      </c>
      <c r="AB25" s="41">
        <v>2759.8226222863232</v>
      </c>
      <c r="AC25" s="42">
        <v>0.11049575670869638</v>
      </c>
      <c r="AD25" s="41">
        <v>2798.8625580938674</v>
      </c>
      <c r="AE25" s="42">
        <v>1.9659205783502595E-2</v>
      </c>
      <c r="AF25" s="41">
        <v>2838.8008052580858</v>
      </c>
      <c r="AG25" s="42">
        <v>2.2244879784819099E-3</v>
      </c>
      <c r="AH25" s="41"/>
      <c r="AI25" s="42"/>
      <c r="AJ25" s="41"/>
      <c r="AK25" s="42"/>
      <c r="AL25" s="41"/>
      <c r="AM25" s="42"/>
      <c r="AN25" s="41"/>
      <c r="AO25" s="42"/>
      <c r="AP25" s="41"/>
      <c r="AQ25" s="42"/>
      <c r="AR25" s="41"/>
      <c r="AS25" s="42"/>
      <c r="AT25" s="41"/>
      <c r="AU25" s="42"/>
      <c r="AV25" s="41"/>
      <c r="AW25" s="42"/>
    </row>
    <row r="26" spans="1:49" x14ac:dyDescent="0.2">
      <c r="A26" t="s">
        <v>27</v>
      </c>
      <c r="B26" s="33">
        <v>3209.4420883953348</v>
      </c>
      <c r="C26" s="34">
        <v>31.623872672841795</v>
      </c>
      <c r="D26" s="33">
        <v>3265.8416448104758</v>
      </c>
      <c r="E26" s="34">
        <v>28.697023749708507</v>
      </c>
      <c r="F26" s="33">
        <v>3326.0213533184269</v>
      </c>
      <c r="G26" s="34">
        <v>25.789194728450621</v>
      </c>
      <c r="H26" s="33">
        <v>3390.8217906293867</v>
      </c>
      <c r="I26" s="34">
        <v>22.906473145984869</v>
      </c>
      <c r="J26" s="33">
        <v>3461.3999515456298</v>
      </c>
      <c r="K26" s="34">
        <v>20.057283842510227</v>
      </c>
      <c r="L26" s="33">
        <v>3539.3959810542638</v>
      </c>
      <c r="M26" s="34">
        <v>17.25338328086324</v>
      </c>
      <c r="N26" s="33">
        <v>3627.2184705495847</v>
      </c>
      <c r="O26" s="34">
        <v>14.511250390780905</v>
      </c>
      <c r="P26" s="33">
        <v>3728.5467259381476</v>
      </c>
      <c r="Q26" s="34">
        <v>11.854256411611667</v>
      </c>
      <c r="R26" s="33">
        <v>3849.2655839454173</v>
      </c>
      <c r="S26" s="34">
        <v>9.3158396392349658</v>
      </c>
      <c r="T26" s="33">
        <v>3999.3041245166173</v>
      </c>
      <c r="U26" s="34">
        <v>6.9440303802950201</v>
      </c>
      <c r="V26" s="33">
        <v>4196.4856084749335</v>
      </c>
      <c r="W26" s="34">
        <v>4.8069431335516182</v>
      </c>
      <c r="X26" s="33">
        <v>4475.214054169026</v>
      </c>
      <c r="Y26" s="34">
        <v>2.9955987378780722</v>
      </c>
      <c r="Z26" s="33">
        <v>4908.3419938848238</v>
      </c>
      <c r="AA26" s="34">
        <v>1.6114466766958047</v>
      </c>
      <c r="AB26" s="33">
        <v>5676.7903976408252</v>
      </c>
      <c r="AC26" s="34">
        <v>0.71629203513143891</v>
      </c>
      <c r="AD26" s="33">
        <v>7447.866786738934</v>
      </c>
      <c r="AE26" s="34">
        <v>0.25983549201160244</v>
      </c>
      <c r="AF26" s="33">
        <v>53382.227598132064</v>
      </c>
      <c r="AG26" s="34">
        <v>0.16199303631318812</v>
      </c>
      <c r="AH26" s="33"/>
      <c r="AI26" s="34"/>
      <c r="AJ26" s="33"/>
      <c r="AK26" s="34"/>
      <c r="AL26" s="33"/>
      <c r="AM26" s="34"/>
      <c r="AN26" s="33"/>
      <c r="AO26" s="34"/>
      <c r="AP26" s="33"/>
      <c r="AQ26" s="34"/>
      <c r="AR26" s="33"/>
      <c r="AS26" s="34"/>
      <c r="AT26" s="33"/>
      <c r="AU26" s="34"/>
      <c r="AV26" s="33"/>
      <c r="AW26" s="34"/>
    </row>
    <row r="27" spans="1:49" x14ac:dyDescent="0.2">
      <c r="A27" t="s">
        <v>2</v>
      </c>
      <c r="B27" s="35">
        <v>4880.3032028967582</v>
      </c>
      <c r="C27" s="36">
        <v>155.9342317514201</v>
      </c>
      <c r="D27" s="35">
        <v>4895.7407434080169</v>
      </c>
      <c r="E27" s="36">
        <v>140.4967336608957</v>
      </c>
      <c r="F27" s="35">
        <v>4910.9305311110138</v>
      </c>
      <c r="G27" s="36">
        <v>125.30688493976724</v>
      </c>
      <c r="H27" s="35">
        <v>4925.8387985680592</v>
      </c>
      <c r="I27" s="36">
        <v>110.39862622722353</v>
      </c>
      <c r="J27" s="35">
        <v>4940.4197313682007</v>
      </c>
      <c r="K27" s="36">
        <v>95.817728665970236</v>
      </c>
      <c r="L27" s="35">
        <v>4954.6107320922865</v>
      </c>
      <c r="M27" s="36">
        <v>81.626706011121172</v>
      </c>
      <c r="N27" s="35">
        <v>4968.326323253772</v>
      </c>
      <c r="O27" s="36">
        <v>67.911115861067117</v>
      </c>
      <c r="P27" s="35">
        <v>4981.4475780101393</v>
      </c>
      <c r="Q27" s="36">
        <v>54.789849584048575</v>
      </c>
      <c r="R27" s="35">
        <v>4993.808018635671</v>
      </c>
      <c r="S27" s="36">
        <v>42.42939544662562</v>
      </c>
      <c r="T27" s="35">
        <v>5005.1742028593326</v>
      </c>
      <c r="U27" s="36">
        <v>31.063237060359242</v>
      </c>
      <c r="V27" s="35">
        <v>5015.2243843321066</v>
      </c>
      <c r="W27" s="36">
        <v>21.013050235508647</v>
      </c>
      <c r="X27" s="35">
        <v>5023.5463200918721</v>
      </c>
      <c r="Y27" s="36">
        <v>12.691113427452525</v>
      </c>
      <c r="Z27" s="35">
        <v>5029.714575825813</v>
      </c>
      <c r="AA27" s="36">
        <v>6.522859514302084</v>
      </c>
      <c r="AB27" s="35">
        <v>5033.5403579259328</v>
      </c>
      <c r="AC27" s="36">
        <v>2.69707622085452</v>
      </c>
      <c r="AD27" s="35">
        <v>5035.3831174593524</v>
      </c>
      <c r="AE27" s="36">
        <v>0.85431208089892119</v>
      </c>
      <c r="AF27" s="35">
        <v>5036.0384820169375</v>
      </c>
      <c r="AG27" s="36">
        <v>0.19895748355896758</v>
      </c>
      <c r="AH27" s="35"/>
      <c r="AI27" s="36"/>
      <c r="AJ27" s="35"/>
      <c r="AK27" s="36"/>
      <c r="AL27" s="35"/>
      <c r="AM27" s="36"/>
      <c r="AN27" s="35"/>
      <c r="AO27" s="36"/>
      <c r="AP27" s="35"/>
      <c r="AQ27" s="36"/>
      <c r="AR27" s="35"/>
      <c r="AS27" s="36"/>
      <c r="AT27" s="35"/>
      <c r="AU27" s="36"/>
      <c r="AV27" s="35"/>
      <c r="AW27" s="36"/>
    </row>
    <row r="28" spans="1:49" x14ac:dyDescent="0.2">
      <c r="A28" t="s">
        <v>35</v>
      </c>
      <c r="B28" s="41">
        <v>9924.5937686277575</v>
      </c>
      <c r="C28" s="42">
        <v>205.34242141823867</v>
      </c>
      <c r="D28" s="41">
        <v>10027.824916745029</v>
      </c>
      <c r="E28" s="42">
        <v>185.32639524057302</v>
      </c>
      <c r="F28" s="41">
        <v>10134.793291674989</v>
      </c>
      <c r="G28" s="42">
        <v>165.5775804506869</v>
      </c>
      <c r="H28" s="41">
        <v>10246.291516216439</v>
      </c>
      <c r="I28" s="42">
        <v>146.14141726781915</v>
      </c>
      <c r="J28" s="41">
        <v>10363.387250959189</v>
      </c>
      <c r="K28" s="42">
        <v>127.07898717482101</v>
      </c>
      <c r="L28" s="41">
        <v>10487.55238100846</v>
      </c>
      <c r="M28" s="42">
        <v>108.47353229352395</v>
      </c>
      <c r="N28" s="41">
        <v>10620.874046935458</v>
      </c>
      <c r="O28" s="42">
        <v>90.4389804329047</v>
      </c>
      <c r="P28" s="41">
        <v>10766.39424305896</v>
      </c>
      <c r="Q28" s="42">
        <v>73.133718991240372</v>
      </c>
      <c r="R28" s="41">
        <v>10928.679235737596</v>
      </c>
      <c r="S28" s="42">
        <v>56.77992226122398</v>
      </c>
      <c r="T28" s="41">
        <v>11114.777511111675</v>
      </c>
      <c r="U28" s="42">
        <v>41.690105632383343</v>
      </c>
      <c r="V28" s="41">
        <v>11335.789727018799</v>
      </c>
      <c r="W28" s="42">
        <v>28.296844988218805</v>
      </c>
      <c r="X28" s="41">
        <v>11609.176498004521</v>
      </c>
      <c r="Y28" s="42">
        <v>17.158870781999347</v>
      </c>
      <c r="Z28" s="41">
        <v>11961.08515868834</v>
      </c>
      <c r="AA28" s="42">
        <v>8.8617131772335185</v>
      </c>
      <c r="AB28" s="41">
        <v>12426.162847790834</v>
      </c>
      <c r="AC28" s="42">
        <v>3.6849427357725499</v>
      </c>
      <c r="AD28" s="41">
        <v>13044.841115094323</v>
      </c>
      <c r="AE28" s="42">
        <v>1.1744746247114046</v>
      </c>
      <c r="AF28" s="41">
        <v>13873.180641622321</v>
      </c>
      <c r="AG28" s="42">
        <v>0.27503190688246359</v>
      </c>
      <c r="AH28" s="41"/>
      <c r="AI28" s="42"/>
      <c r="AJ28" s="41"/>
      <c r="AK28" s="42"/>
      <c r="AL28" s="41"/>
      <c r="AM28" s="42"/>
      <c r="AN28" s="41"/>
      <c r="AO28" s="42"/>
      <c r="AP28" s="41"/>
      <c r="AQ28" s="42"/>
      <c r="AR28" s="41"/>
      <c r="AS28" s="42"/>
      <c r="AT28" s="41"/>
      <c r="AU28" s="42"/>
      <c r="AV28" s="41"/>
      <c r="AW28" s="42"/>
    </row>
    <row r="29" spans="1:49" x14ac:dyDescent="0.2">
      <c r="A29" t="s">
        <v>53</v>
      </c>
      <c r="B29" s="35">
        <v>10476.875482049762</v>
      </c>
      <c r="C29" s="36">
        <v>680.10699657273517</v>
      </c>
      <c r="D29" s="35">
        <v>10569.497980184464</v>
      </c>
      <c r="E29" s="36">
        <v>608.9700618858343</v>
      </c>
      <c r="F29" s="35">
        <v>10664.049656491157</v>
      </c>
      <c r="G29" s="36">
        <v>539.4134875907954</v>
      </c>
      <c r="H29" s="35">
        <v>10760.966801865899</v>
      </c>
      <c r="I29" s="36">
        <v>471.63782268673265</v>
      </c>
      <c r="J29" s="35">
        <v>10860.84632170742</v>
      </c>
      <c r="K29" s="36">
        <v>405.89746762813991</v>
      </c>
      <c r="L29" s="35">
        <v>10964.521715404531</v>
      </c>
      <c r="M29" s="36">
        <v>342.52041085261675</v>
      </c>
      <c r="N29" s="35">
        <v>11073.189145324321</v>
      </c>
      <c r="O29" s="36">
        <v>281.93306324167446</v>
      </c>
      <c r="P29" s="35">
        <v>11188.603762988247</v>
      </c>
      <c r="Q29" s="36">
        <v>224.69882868205153</v>
      </c>
      <c r="R29" s="35">
        <v>11313.40070646306</v>
      </c>
      <c r="S29" s="36">
        <v>171.56887003355462</v>
      </c>
      <c r="T29" s="35">
        <v>11451.605702720772</v>
      </c>
      <c r="U29" s="36">
        <v>123.54527284015873</v>
      </c>
      <c r="V29" s="35">
        <v>11609.379538697296</v>
      </c>
      <c r="W29" s="36">
        <v>81.935384877133515</v>
      </c>
      <c r="X29" s="35">
        <v>11795.817472976487</v>
      </c>
      <c r="Y29" s="36">
        <v>48.305359975101389</v>
      </c>
      <c r="Z29" s="35">
        <v>12022.718057119386</v>
      </c>
      <c r="AA29" s="36">
        <v>24.093922596768671</v>
      </c>
      <c r="AB29" s="35">
        <v>12300.701869762328</v>
      </c>
      <c r="AC29" s="36">
        <v>9.5950548364991644</v>
      </c>
      <c r="AD29" s="35">
        <v>12631.096453496935</v>
      </c>
      <c r="AE29" s="36">
        <v>2.9004829135638102</v>
      </c>
      <c r="AF29" s="35">
        <v>13001.66223742862</v>
      </c>
      <c r="AG29" s="36">
        <v>0.63791570033942435</v>
      </c>
      <c r="AH29" s="35"/>
      <c r="AI29" s="36"/>
      <c r="AJ29" s="35"/>
      <c r="AK29" s="36"/>
      <c r="AL29" s="35"/>
      <c r="AM29" s="36"/>
      <c r="AN29" s="35"/>
      <c r="AO29" s="36"/>
      <c r="AP29" s="35"/>
      <c r="AQ29" s="36"/>
      <c r="AR29" s="35"/>
      <c r="AS29" s="36"/>
      <c r="AT29" s="35"/>
      <c r="AU29" s="36"/>
      <c r="AV29" s="35"/>
      <c r="AW29" s="36"/>
    </row>
    <row r="30" spans="1:49" x14ac:dyDescent="0.2">
      <c r="A30" t="s">
        <v>48</v>
      </c>
      <c r="B30" s="122">
        <v>3437517.2752293102</v>
      </c>
      <c r="D30" s="122">
        <v>3460032.8851558552</v>
      </c>
      <c r="F30" s="122">
        <v>3483564.0231020064</v>
      </c>
      <c r="H30" s="122">
        <v>3508364.0797713054</v>
      </c>
      <c r="J30" s="122">
        <v>3534791.4448009161</v>
      </c>
      <c r="L30" s="122">
        <v>3563362.4384772279</v>
      </c>
      <c r="N30" s="122">
        <v>3594837.2951707849</v>
      </c>
      <c r="P30" s="122">
        <v>3630359.8793459591</v>
      </c>
      <c r="R30" s="122">
        <v>3671690.2784256442</v>
      </c>
      <c r="T30" s="122">
        <v>3721588.7465261267</v>
      </c>
      <c r="V30" s="122">
        <v>3784415.5788734839</v>
      </c>
      <c r="X30" s="122">
        <v>3866887.4671850433</v>
      </c>
      <c r="Z30" s="122">
        <v>3978343.1917914767</v>
      </c>
      <c r="AB30" s="122">
        <v>4128639.2575856419</v>
      </c>
      <c r="AD30" s="122">
        <v>4322765.6665648669</v>
      </c>
      <c r="AF30" s="122">
        <v>4558116.6676014736</v>
      </c>
      <c r="AH30" s="122"/>
      <c r="AJ30" s="122"/>
      <c r="AL30" s="122"/>
      <c r="AN30" s="122"/>
      <c r="AP30" s="122"/>
      <c r="AR30" s="122"/>
      <c r="AT30" s="122"/>
      <c r="AV30" s="122"/>
    </row>
    <row r="31" spans="1:49" x14ac:dyDescent="0.2">
      <c r="A31" t="s">
        <v>47</v>
      </c>
      <c r="B31" s="83">
        <v>0.99999999999999867</v>
      </c>
      <c r="D31" s="83">
        <v>1.0056064087234129</v>
      </c>
      <c r="F31" s="83">
        <v>1.0111256026143538</v>
      </c>
      <c r="H31" s="83">
        <v>1.0165559688377668</v>
      </c>
      <c r="J31" s="83">
        <v>1.0219002661030481</v>
      </c>
      <c r="L31" s="83">
        <v>1.0271684716576532</v>
      </c>
      <c r="N31" s="83">
        <v>1.0323833253603845</v>
      </c>
      <c r="P31" s="83">
        <v>1.0375882926821931</v>
      </c>
      <c r="R31" s="83">
        <v>1.0428604044975032</v>
      </c>
      <c r="T31" s="83">
        <v>1.0483280332514309</v>
      </c>
      <c r="V31" s="83">
        <v>1.0541861936937524</v>
      </c>
      <c r="X31" s="83">
        <v>1.0606721653173508</v>
      </c>
      <c r="Z31" s="83">
        <v>1.06787122187189</v>
      </c>
      <c r="AB31" s="83">
        <v>1.0751006000901113</v>
      </c>
      <c r="AD31" s="83">
        <v>1.0798721930701751</v>
      </c>
      <c r="AF31" s="83">
        <v>1.0771617955283521</v>
      </c>
      <c r="AH31" s="83"/>
      <c r="AJ31" s="83"/>
      <c r="AL31" s="83"/>
      <c r="AN31" s="83"/>
      <c r="AP31" s="83"/>
      <c r="AR31" s="83"/>
      <c r="AT31" s="83"/>
      <c r="AV31" s="83"/>
    </row>
    <row r="32" spans="1:49" x14ac:dyDescent="0.2">
      <c r="A32" t="s">
        <v>66</v>
      </c>
      <c r="B32" s="89">
        <v>11714820.670945669</v>
      </c>
      <c r="D32" s="89">
        <v>11791552.366598278</v>
      </c>
      <c r="F32" s="89">
        <v>11871744.681257544</v>
      </c>
      <c r="H32" s="89">
        <v>11956261.363681693</v>
      </c>
      <c r="J32" s="89">
        <v>12046324.346008113</v>
      </c>
      <c r="L32" s="89">
        <v>12143692.235256605</v>
      </c>
      <c r="N32" s="89">
        <v>12250956.337619858</v>
      </c>
      <c r="P32" s="89">
        <v>12372014.783276219</v>
      </c>
      <c r="R32" s="89">
        <v>12512865.628065644</v>
      </c>
      <c r="T32" s="89">
        <v>12682916.582123669</v>
      </c>
      <c r="V32" s="89">
        <v>12897026.041242681</v>
      </c>
      <c r="X32" s="89">
        <v>13178084.514912201</v>
      </c>
      <c r="Z32" s="89">
        <v>13557917.900161374</v>
      </c>
      <c r="AB32" s="89">
        <v>14070116.500883589</v>
      </c>
      <c r="AD32" s="89">
        <v>14731685.828520576</v>
      </c>
      <c r="AF32" s="89">
        <v>15533745.761009766</v>
      </c>
      <c r="AH32" s="89"/>
      <c r="AJ32" s="89"/>
      <c r="AL32" s="89"/>
      <c r="AN32" s="89"/>
      <c r="AP32" s="89"/>
      <c r="AR32" s="89"/>
      <c r="AT32" s="89"/>
      <c r="AV32" s="89"/>
    </row>
    <row r="33" spans="1:49 16319:16321" x14ac:dyDescent="0.2">
      <c r="A33" t="s">
        <v>56</v>
      </c>
      <c r="B33" s="120">
        <v>6643090.9398583025</v>
      </c>
      <c r="D33" s="120">
        <v>6686602.9736709651</v>
      </c>
      <c r="F33" s="120">
        <v>6732077.4366978379</v>
      </c>
      <c r="H33" s="120">
        <v>6780004.0528845051</v>
      </c>
      <c r="J33" s="120">
        <v>6831075.8206490111</v>
      </c>
      <c r="L33" s="120">
        <v>6886289.9454504037</v>
      </c>
      <c r="N33" s="120">
        <v>6947115.8994405027</v>
      </c>
      <c r="P33" s="120">
        <v>7015764.191681549</v>
      </c>
      <c r="R33" s="120">
        <v>7095636.1018112553</v>
      </c>
      <c r="T33" s="120">
        <v>7192066.4186798278</v>
      </c>
      <c r="V33" s="120">
        <v>7313480.8668568032</v>
      </c>
      <c r="X33" s="120">
        <v>7472859.9191035703</v>
      </c>
      <c r="Z33" s="120">
        <v>7688250.9845081363</v>
      </c>
      <c r="AB33" s="120">
        <v>7978702.0285941046</v>
      </c>
      <c r="AD33" s="120">
        <v>8353856.3163880305</v>
      </c>
      <c r="AF33" s="120">
        <v>8808678.2227026857</v>
      </c>
      <c r="AH33" s="120"/>
      <c r="AJ33" s="120"/>
      <c r="AL33" s="120"/>
      <c r="AN33" s="120"/>
      <c r="AP33" s="120"/>
      <c r="AR33" s="120"/>
      <c r="AT33" s="120"/>
      <c r="AV33" s="120"/>
    </row>
    <row r="34" spans="1:49 16319:16321" x14ac:dyDescent="0.2">
      <c r="A34" t="s">
        <v>77</v>
      </c>
      <c r="B34" s="120">
        <v>137664.28859559208</v>
      </c>
      <c r="D34" s="120">
        <v>138565.98305908631</v>
      </c>
      <c r="F34" s="120">
        <v>139508.31596521568</v>
      </c>
      <c r="H34" s="120">
        <v>140501.52289648249</v>
      </c>
      <c r="J34" s="120">
        <v>141559.87683081441</v>
      </c>
      <c r="L34" s="120">
        <v>142704.08964136633</v>
      </c>
      <c r="N34" s="120">
        <v>143964.58532032918</v>
      </c>
      <c r="P34" s="120">
        <v>145387.16423779121</v>
      </c>
      <c r="R34" s="120">
        <v>147042.33323233598</v>
      </c>
      <c r="T34" s="120">
        <v>149040.65770957991</v>
      </c>
      <c r="V34" s="120">
        <v>151556.73101639433</v>
      </c>
      <c r="X34" s="120">
        <v>154859.53011503047</v>
      </c>
      <c r="Z34" s="120">
        <v>159323.06472735177</v>
      </c>
      <c r="AB34" s="120">
        <v>165342.05949931173</v>
      </c>
      <c r="AD34" s="120">
        <v>173116.35453489691</v>
      </c>
      <c r="AF34" s="120">
        <v>182541.5957682252</v>
      </c>
      <c r="AH34" s="120"/>
      <c r="AJ34" s="120"/>
      <c r="AL34" s="120"/>
      <c r="AN34" s="120"/>
      <c r="AP34" s="120"/>
      <c r="AR34" s="120"/>
      <c r="AT34" s="120"/>
      <c r="AV34" s="120"/>
    </row>
    <row r="35" spans="1:49 16319:16321" x14ac:dyDescent="0.2">
      <c r="A35" t="s">
        <v>80</v>
      </c>
      <c r="B35" s="236">
        <v>1</v>
      </c>
      <c r="D35" s="236">
        <v>1.0009389589204545</v>
      </c>
      <c r="F35" s="236">
        <v>1.0022506823723558</v>
      </c>
      <c r="H35" s="236">
        <v>1.0040103979295063</v>
      </c>
      <c r="J35" s="236">
        <v>1.0063213418423258</v>
      </c>
      <c r="L35" s="236">
        <v>1.0093283332263576</v>
      </c>
      <c r="N35" s="236">
        <v>1.0132397585524784</v>
      </c>
      <c r="P35" s="236">
        <v>1.0183643332481871</v>
      </c>
      <c r="R35" s="236">
        <v>1.0251745684504932</v>
      </c>
      <c r="T35" s="236">
        <v>1.0344192995001189</v>
      </c>
      <c r="V35" s="236">
        <v>1.0473251873158334</v>
      </c>
      <c r="X35" s="236">
        <v>1.0659456054769885</v>
      </c>
      <c r="Z35" s="236">
        <v>1.093695020879581</v>
      </c>
      <c r="AB35" s="236">
        <v>1.1359930365394757</v>
      </c>
      <c r="AD35" s="236">
        <v>1.2011391776105813</v>
      </c>
      <c r="AF35" s="236">
        <v>1.303216934304031</v>
      </c>
      <c r="AH35" s="236"/>
      <c r="AJ35" s="236"/>
      <c r="AL35" s="236"/>
      <c r="AN35" s="236"/>
      <c r="AP35" s="236"/>
      <c r="AR35" s="236"/>
      <c r="AT35" s="236"/>
      <c r="AV35" s="236"/>
    </row>
    <row r="36" spans="1:49 16319:16321" x14ac:dyDescent="0.2">
      <c r="A36" t="s">
        <v>21</v>
      </c>
      <c r="B36" s="37">
        <v>0.47796858982439155</v>
      </c>
      <c r="C36" s="38">
        <v>0.17068593284758601</v>
      </c>
      <c r="D36" s="37">
        <v>0.47798842354235094</v>
      </c>
      <c r="E36" s="38">
        <v>0.17272794996041463</v>
      </c>
      <c r="F36" s="37">
        <v>0.47800856119134844</v>
      </c>
      <c r="G36" s="38">
        <v>0.17496510431577356</v>
      </c>
      <c r="H36" s="37">
        <v>0.47802885083187358</v>
      </c>
      <c r="I36" s="38">
        <v>0.17743441219409556</v>
      </c>
      <c r="J36" s="37">
        <v>0.47804906975360856</v>
      </c>
      <c r="K36" s="38">
        <v>0.18018439277752191</v>
      </c>
      <c r="L36" s="37">
        <v>0.47806888579321521</v>
      </c>
      <c r="M36" s="38">
        <v>0.18328014388656708</v>
      </c>
      <c r="N36" s="37">
        <v>0.47808779300459048</v>
      </c>
      <c r="O36" s="38">
        <v>0.18681124486223483</v>
      </c>
      <c r="P36" s="37">
        <v>0.47810501206124978</v>
      </c>
      <c r="Q36" s="38">
        <v>0.19090460226195338</v>
      </c>
      <c r="R36" s="37">
        <v>0.47811933142237489</v>
      </c>
      <c r="S36" s="38">
        <v>0.19574570370163705</v>
      </c>
      <c r="T36" s="37">
        <v>0.47812886581935343</v>
      </c>
      <c r="U36" s="38">
        <v>0.20161448704496623</v>
      </c>
      <c r="V36" s="37">
        <v>0.47813075179305969</v>
      </c>
      <c r="W36" s="38">
        <v>0.20894550076461943</v>
      </c>
      <c r="X36" s="37">
        <v>0.47812096303585044</v>
      </c>
      <c r="Y36" s="38">
        <v>0.21842179812019966</v>
      </c>
      <c r="Z36" s="37">
        <v>0.47809501196043624</v>
      </c>
      <c r="AA36" s="38">
        <v>0.23109153693276291</v>
      </c>
      <c r="AB36" s="37">
        <v>0.47805089587979155</v>
      </c>
      <c r="AC36" s="38">
        <v>0.24843808901168252</v>
      </c>
      <c r="AD36" s="37">
        <v>0.47799335458487846</v>
      </c>
      <c r="AE36" s="38">
        <v>0.2723791278326736</v>
      </c>
      <c r="AF36" s="37">
        <v>0.4779329338760851</v>
      </c>
      <c r="AG36" s="38">
        <v>0.30562607387629204</v>
      </c>
      <c r="AH36" s="37"/>
      <c r="AI36" s="38"/>
      <c r="AJ36" s="37"/>
      <c r="AK36" s="38"/>
      <c r="AL36" s="37"/>
      <c r="AM36" s="38"/>
      <c r="AN36" s="37"/>
      <c r="AO36" s="38"/>
      <c r="AP36" s="37"/>
      <c r="AQ36" s="38"/>
      <c r="AR36" s="37"/>
      <c r="AS36" s="38"/>
      <c r="AT36" s="37"/>
      <c r="AU36" s="38"/>
      <c r="AV36" s="37"/>
      <c r="AW36" s="38"/>
    </row>
    <row r="37" spans="1:49 16319:16321" x14ac:dyDescent="0.2">
      <c r="B37" s="39">
        <v>2.2053138497826009E-2</v>
      </c>
      <c r="C37" s="40">
        <v>0.48867583383045654</v>
      </c>
      <c r="D37" s="39">
        <v>2.1456539841246115E-2</v>
      </c>
      <c r="E37" s="40">
        <v>0.48576712921973358</v>
      </c>
      <c r="F37" s="39">
        <v>2.0836033162159373E-2</v>
      </c>
      <c r="G37" s="40">
        <v>0.4827300132694809</v>
      </c>
      <c r="H37" s="39">
        <v>2.0188476257579312E-2</v>
      </c>
      <c r="I37" s="40">
        <v>0.47954923567015079</v>
      </c>
      <c r="J37" s="39">
        <v>1.9509870189640715E-2</v>
      </c>
      <c r="K37" s="40">
        <v>0.47620565269031168</v>
      </c>
      <c r="L37" s="39">
        <v>1.8795050708860776E-2</v>
      </c>
      <c r="M37" s="40">
        <v>0.4726748830188382</v>
      </c>
      <c r="N37" s="39">
        <v>1.8037272565223059E-2</v>
      </c>
      <c r="O37" s="40">
        <v>0.46892557117872258</v>
      </c>
      <c r="P37" s="39">
        <v>1.7227609814483517E-2</v>
      </c>
      <c r="Q37" s="40">
        <v>0.46491692822544128</v>
      </c>
      <c r="R37" s="39">
        <v>1.6354167045700148E-2</v>
      </c>
      <c r="S37" s="40">
        <v>0.46059569341247364</v>
      </c>
      <c r="T37" s="39">
        <v>1.5401163871268114E-2</v>
      </c>
      <c r="U37" s="40">
        <v>0.45589305356857501</v>
      </c>
      <c r="V37" s="39">
        <v>1.4348365463860768E-2</v>
      </c>
      <c r="W37" s="40">
        <v>0.45072413838777603</v>
      </c>
      <c r="X37" s="39">
        <v>1.3172637679110078E-2</v>
      </c>
      <c r="Y37" s="40">
        <v>0.44499888827343781</v>
      </c>
      <c r="Z37" s="39">
        <v>1.1856007466038284E-2</v>
      </c>
      <c r="AA37" s="40">
        <v>0.43866421268240291</v>
      </c>
      <c r="AB37" s="39">
        <v>1.0404698315828739E-2</v>
      </c>
      <c r="AC37" s="40">
        <v>0.43179438237661122</v>
      </c>
      <c r="AD37" s="39">
        <v>8.8661675624761918E-3</v>
      </c>
      <c r="AE37" s="40">
        <v>0.42466474702478835</v>
      </c>
      <c r="AF37" s="39">
        <v>7.310992838625829E-3</v>
      </c>
      <c r="AG37" s="40">
        <v>0.41768734143147818</v>
      </c>
      <c r="AH37" s="39"/>
      <c r="AI37" s="40"/>
      <c r="AJ37" s="39"/>
      <c r="AK37" s="40"/>
      <c r="AL37" s="39"/>
      <c r="AM37" s="40"/>
      <c r="AN37" s="39"/>
      <c r="AO37" s="40"/>
      <c r="AP37" s="39"/>
      <c r="AQ37" s="40"/>
      <c r="AR37" s="39"/>
      <c r="AS37" s="40"/>
      <c r="AT37" s="39"/>
      <c r="AU37" s="40"/>
      <c r="AV37" s="39"/>
      <c r="AW37" s="40"/>
    </row>
    <row r="38" spans="1:49 16319:16321" x14ac:dyDescent="0.2">
      <c r="A38" t="s">
        <v>22</v>
      </c>
      <c r="B38" s="37">
        <v>0.14928344905798796</v>
      </c>
      <c r="C38" s="38">
        <v>3.7916652170162192E-2</v>
      </c>
      <c r="D38" s="37">
        <v>0.15056912942259842</v>
      </c>
      <c r="E38" s="38">
        <v>3.8326856641724596E-2</v>
      </c>
      <c r="F38" s="37">
        <v>0.15197741151029331</v>
      </c>
      <c r="G38" s="38">
        <v>3.8778350857090638E-2</v>
      </c>
      <c r="H38" s="37">
        <v>0.15353616649869117</v>
      </c>
      <c r="I38" s="38">
        <v>3.9279565240421234E-2</v>
      </c>
      <c r="J38" s="37">
        <v>0.15528376493054882</v>
      </c>
      <c r="K38" s="38">
        <v>3.9841777676203879E-2</v>
      </c>
      <c r="L38" s="37">
        <v>0.15727463973523662</v>
      </c>
      <c r="M38" s="38">
        <v>4.0480441667054598E-2</v>
      </c>
      <c r="N38" s="37">
        <v>0.15958879397140974</v>
      </c>
      <c r="O38" s="38">
        <v>4.1217513266201704E-2</v>
      </c>
      <c r="P38" s="37">
        <v>0.16234871148927923</v>
      </c>
      <c r="Q38" s="38">
        <v>4.2085230715996499E-2</v>
      </c>
      <c r="R38" s="37">
        <v>0.16575107247183016</v>
      </c>
      <c r="S38" s="38">
        <v>4.3132979786384654E-2</v>
      </c>
      <c r="T38" s="37">
        <v>0.17012991687558024</v>
      </c>
      <c r="U38" s="38">
        <v>4.4440191844079192E-2</v>
      </c>
      <c r="V38" s="37">
        <v>0.17609117613858011</v>
      </c>
      <c r="W38" s="38">
        <v>4.6141621870354532E-2</v>
      </c>
      <c r="X38" s="37">
        <v>0.18482293808665523</v>
      </c>
      <c r="Y38" s="38">
        <v>4.848028121666409E-2</v>
      </c>
      <c r="Z38" s="37">
        <v>0.19889631533927235</v>
      </c>
      <c r="AA38" s="38">
        <v>5.1926533629675441E-2</v>
      </c>
      <c r="AB38" s="37">
        <v>0.22485843345000084</v>
      </c>
      <c r="AC38" s="38">
        <v>5.7511722736668894E-2</v>
      </c>
      <c r="AD38" s="37">
        <v>0.28733026335931178</v>
      </c>
      <c r="AE38" s="38">
        <v>6.84416664780923E-2</v>
      </c>
      <c r="AF38" s="37">
        <v>2.0009921002916022</v>
      </c>
      <c r="AG38" s="38">
        <v>0.19237163648878797</v>
      </c>
      <c r="AH38" s="37"/>
      <c r="AI38" s="38"/>
      <c r="AJ38" s="37"/>
      <c r="AK38" s="38"/>
      <c r="AL38" s="37"/>
      <c r="AM38" s="38"/>
      <c r="AN38" s="37"/>
      <c r="AO38" s="38"/>
      <c r="AP38" s="37"/>
      <c r="AQ38" s="38"/>
      <c r="AR38" s="37"/>
      <c r="AS38" s="38"/>
      <c r="AT38" s="37"/>
      <c r="AU38" s="38"/>
      <c r="AV38" s="37"/>
      <c r="AW38" s="38"/>
    </row>
    <row r="39" spans="1:49 16319:16321" x14ac:dyDescent="0.2">
      <c r="A39" t="s">
        <v>23</v>
      </c>
      <c r="B39" s="39">
        <v>0.22700160168381014</v>
      </c>
      <c r="C39" s="40">
        <v>0.18696331369363389</v>
      </c>
      <c r="D39" s="39">
        <v>0.22571437987051213</v>
      </c>
      <c r="E39" s="40">
        <v>0.18764308858706677</v>
      </c>
      <c r="F39" s="39">
        <v>0.22439738983650104</v>
      </c>
      <c r="G39" s="40">
        <v>0.18841977813455033</v>
      </c>
      <c r="H39" s="39">
        <v>0.22304162607798947</v>
      </c>
      <c r="I39" s="40">
        <v>0.18930937179673196</v>
      </c>
      <c r="J39" s="39">
        <v>0.22163488385139063</v>
      </c>
      <c r="K39" s="40">
        <v>0.19033228391859044</v>
      </c>
      <c r="L39" s="39">
        <v>0.2201603386818686</v>
      </c>
      <c r="M39" s="40">
        <v>0.19151519776541368</v>
      </c>
      <c r="N39" s="39">
        <v>0.21859427890053224</v>
      </c>
      <c r="O39" s="40">
        <v>0.19289359934857159</v>
      </c>
      <c r="P39" s="39">
        <v>0.21690263126254647</v>
      </c>
      <c r="Q39" s="40">
        <v>0.1945160776496089</v>
      </c>
      <c r="R39" s="39">
        <v>0.21503557412603436</v>
      </c>
      <c r="S39" s="40">
        <v>0.1964510261039783</v>
      </c>
      <c r="T39" s="39">
        <v>0.21291950913664973</v>
      </c>
      <c r="U39" s="40">
        <v>0.19879754820453796</v>
      </c>
      <c r="V39" s="39">
        <v>0.21044675064592258</v>
      </c>
      <c r="W39" s="40">
        <v>0.20170328447244001</v>
      </c>
      <c r="X39" s="39">
        <v>0.20746864379120428</v>
      </c>
      <c r="Y39" s="40">
        <v>0.20539090904788693</v>
      </c>
      <c r="Z39" s="39">
        <v>0.20381458700032465</v>
      </c>
      <c r="AA39" s="40">
        <v>0.2101896940366425</v>
      </c>
      <c r="AB39" s="39">
        <v>0.19937921260241565</v>
      </c>
      <c r="AC39" s="40">
        <v>0.21655064164574261</v>
      </c>
      <c r="AD39" s="39">
        <v>0.19425937636676244</v>
      </c>
      <c r="AE39" s="40">
        <v>0.22502908304181202</v>
      </c>
      <c r="AF39" s="39">
        <v>0.18877206277605804</v>
      </c>
      <c r="AG39" s="40">
        <v>0.23626803704039093</v>
      </c>
      <c r="AH39" s="39"/>
      <c r="AI39" s="40"/>
      <c r="AJ39" s="39"/>
      <c r="AK39" s="40"/>
      <c r="AL39" s="39"/>
      <c r="AM39" s="40"/>
      <c r="AN39" s="39"/>
      <c r="AO39" s="40"/>
      <c r="AP39" s="39"/>
      <c r="AQ39" s="40"/>
      <c r="AR39" s="39"/>
      <c r="AS39" s="40"/>
      <c r="AT39" s="39"/>
      <c r="AU39" s="40"/>
      <c r="AV39" s="39"/>
      <c r="AW39" s="40"/>
    </row>
    <row r="40" spans="1:49 16319:16321" x14ac:dyDescent="0.2">
      <c r="B40" s="138"/>
      <c r="C40" s="138"/>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138"/>
      <c r="AB40" s="138"/>
      <c r="AC40" s="138"/>
      <c r="AD40" s="138"/>
      <c r="AE40" s="138"/>
      <c r="AF40" s="138"/>
      <c r="AG40" s="138"/>
      <c r="AH40" s="138"/>
      <c r="AI40" s="138"/>
      <c r="AJ40" s="138"/>
      <c r="AK40" s="138"/>
      <c r="AL40" s="138"/>
      <c r="AM40" s="138"/>
      <c r="AN40" s="138"/>
      <c r="AO40" s="138"/>
      <c r="AP40" s="138"/>
      <c r="AQ40" s="138"/>
      <c r="AR40" s="138"/>
      <c r="AS40" s="138"/>
      <c r="AT40" s="138"/>
      <c r="AU40" s="138"/>
    </row>
    <row r="41" spans="1:49 16319:16321" x14ac:dyDescent="0.2">
      <c r="B41" s="138"/>
      <c r="C41" s="138"/>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138"/>
      <c r="AB41" s="138"/>
      <c r="AC41" s="138"/>
      <c r="AD41" s="138"/>
      <c r="AE41" s="138"/>
      <c r="AF41" s="138"/>
      <c r="AG41" s="138"/>
      <c r="AH41" s="138"/>
      <c r="AI41" s="138"/>
      <c r="AJ41" s="138"/>
      <c r="AK41" s="138"/>
      <c r="AL41" s="138"/>
      <c r="AM41" s="138"/>
      <c r="AN41" s="138"/>
      <c r="AO41" s="138"/>
      <c r="AP41" s="138"/>
      <c r="AQ41" s="138"/>
      <c r="AR41" s="138"/>
      <c r="AS41" s="138"/>
      <c r="AT41" s="138"/>
      <c r="AU41" s="138"/>
    </row>
    <row r="42" spans="1:49 16319:16321" x14ac:dyDescent="0.2">
      <c r="A42" t="s">
        <v>110</v>
      </c>
      <c r="B42" s="180">
        <v>0.10800000000000001</v>
      </c>
      <c r="C42" s="138"/>
      <c r="D42" s="180">
        <v>9.3283343302537819E-2</v>
      </c>
      <c r="E42" s="138"/>
      <c r="F42" s="180">
        <v>7.7521085725621941E-2</v>
      </c>
      <c r="G42" s="138"/>
      <c r="H42" s="180">
        <v>6.048020994794609E-2</v>
      </c>
      <c r="I42" s="138"/>
      <c r="J42" s="180">
        <v>4.1839971395479819E-2</v>
      </c>
      <c r="K42" s="138"/>
      <c r="L42" s="180">
        <v>2.1145736897824854E-2</v>
      </c>
      <c r="M42" s="138"/>
      <c r="N42" s="180">
        <v>-2.2699167801585873E-3</v>
      </c>
      <c r="O42" s="138"/>
      <c r="P42" s="180">
        <v>-2.9426033389451961E-2</v>
      </c>
      <c r="Q42" s="138"/>
      <c r="R42" s="180">
        <v>-6.1951429307893102E-2</v>
      </c>
      <c r="S42" s="138"/>
      <c r="T42" s="180">
        <v>-0.10259198581391499</v>
      </c>
      <c r="U42" s="138"/>
      <c r="V42" s="180">
        <v>-0.15627173314290285</v>
      </c>
      <c r="W42" s="138"/>
      <c r="X42" s="180">
        <v>-0.23248433027152818</v>
      </c>
      <c r="Y42" s="165"/>
      <c r="Z42" s="180">
        <v>-0.35130803309459335</v>
      </c>
      <c r="AA42" s="138"/>
      <c r="AB42" s="180">
        <v>-0.56255257622769006</v>
      </c>
      <c r="AC42" s="138"/>
      <c r="AD42" s="180">
        <v>-1.0498592212669415</v>
      </c>
      <c r="AE42" s="138"/>
      <c r="AF42" s="180">
        <v>-13.691799576836987</v>
      </c>
      <c r="AG42" s="138"/>
      <c r="AH42" s="180">
        <v>1</v>
      </c>
      <c r="AI42" s="138"/>
      <c r="AJ42" s="180">
        <v>1</v>
      </c>
      <c r="AK42" s="138"/>
      <c r="AL42" s="180">
        <v>1</v>
      </c>
      <c r="AM42" s="138"/>
      <c r="AN42" s="180">
        <v>1</v>
      </c>
      <c r="AO42" s="138"/>
      <c r="AP42" s="180">
        <v>1</v>
      </c>
      <c r="AQ42" s="138"/>
      <c r="AR42" s="180">
        <v>1</v>
      </c>
      <c r="AS42" s="138"/>
      <c r="AT42" s="180">
        <v>1</v>
      </c>
      <c r="AU42" s="138"/>
      <c r="AV42" s="180">
        <v>1</v>
      </c>
    </row>
    <row r="43" spans="1:49 16319:16321" x14ac:dyDescent="0.2">
      <c r="A43" t="s">
        <v>111</v>
      </c>
      <c r="B43" s="165">
        <v>0.60327031657597174</v>
      </c>
      <c r="C43" s="138"/>
      <c r="D43" s="165">
        <v>0.61584132649152135</v>
      </c>
      <c r="E43" s="138"/>
      <c r="F43" s="165">
        <v>0.62368930504135933</v>
      </c>
      <c r="G43" s="138"/>
      <c r="H43" s="165">
        <v>0.63207930598473461</v>
      </c>
      <c r="I43" s="138"/>
      <c r="J43" s="165">
        <v>0.64114069801602358</v>
      </c>
      <c r="K43" s="138"/>
      <c r="L43" s="165">
        <v>0.65105187805329989</v>
      </c>
      <c r="M43" s="138"/>
      <c r="N43" s="165">
        <v>0.66206529558637839</v>
      </c>
      <c r="O43" s="138"/>
      <c r="P43" s="165">
        <v>0.67454786849142356</v>
      </c>
      <c r="Q43" s="138"/>
      <c r="R43" s="165">
        <v>0.68904802501208195</v>
      </c>
      <c r="S43" s="138"/>
      <c r="T43" s="165">
        <v>0.70640733733387373</v>
      </c>
      <c r="U43" s="138"/>
      <c r="V43" s="165">
        <v>0.7279405248321551</v>
      </c>
      <c r="W43" s="138"/>
      <c r="X43" s="165">
        <v>0.75569066009109476</v>
      </c>
      <c r="Y43" s="138"/>
      <c r="Z43" s="165">
        <v>0.79265524165098133</v>
      </c>
      <c r="AA43" s="138"/>
      <c r="AB43" s="165">
        <v>0.84264693093683918</v>
      </c>
      <c r="AC43" s="138"/>
      <c r="AD43" s="165">
        <v>0.90974491259224044</v>
      </c>
      <c r="AE43" s="138"/>
      <c r="AF43" s="165">
        <v>0.99899898579474078</v>
      </c>
      <c r="AG43" s="138"/>
      <c r="AH43" s="165" t="e">
        <v>#DIV/0!</v>
      </c>
      <c r="AI43" s="138"/>
      <c r="AJ43" s="165" t="e">
        <v>#DIV/0!</v>
      </c>
      <c r="AK43" s="138"/>
      <c r="AL43" s="165" t="e">
        <v>#DIV/0!</v>
      </c>
      <c r="AM43" s="138"/>
      <c r="AN43" s="165" t="e">
        <v>#DIV/0!</v>
      </c>
      <c r="AO43" s="138"/>
      <c r="AP43" s="165" t="e">
        <v>#DIV/0!</v>
      </c>
      <c r="AQ43" s="138"/>
      <c r="AR43" s="165" t="e">
        <v>#DIV/0!</v>
      </c>
      <c r="AS43" s="138"/>
      <c r="AT43" s="165" t="e">
        <v>#DIV/0!</v>
      </c>
      <c r="AU43" s="138"/>
      <c r="AV43" s="165" t="e">
        <v>#DIV/0!</v>
      </c>
    </row>
    <row r="44" spans="1:49 16319:16321" x14ac:dyDescent="0.2">
      <c r="A44" t="s">
        <v>145</v>
      </c>
      <c r="B44" s="196">
        <v>0.21620509429616297</v>
      </c>
      <c r="D44" s="196">
        <v>0.21620509399968937</v>
      </c>
      <c r="F44" s="196">
        <v>0.21620509155332057</v>
      </c>
      <c r="H44" s="196">
        <v>0.21620509366663515</v>
      </c>
      <c r="J44" s="196">
        <v>0.21620509353812162</v>
      </c>
      <c r="L44" s="196">
        <v>0.21620509475569136</v>
      </c>
      <c r="N44" s="196">
        <v>0.21620509505440513</v>
      </c>
      <c r="P44" s="196">
        <v>0.21620509387793532</v>
      </c>
      <c r="R44" s="196">
        <v>0.21620509297584842</v>
      </c>
      <c r="T44" s="196">
        <v>0.21620509355123307</v>
      </c>
      <c r="V44" s="196">
        <v>0.21620509436285407</v>
      </c>
      <c r="X44" s="196">
        <v>0.21620509425926895</v>
      </c>
      <c r="Z44" s="196">
        <v>0.21620509435390081</v>
      </c>
      <c r="AB44" s="196">
        <v>0.2162050942833024</v>
      </c>
      <c r="AD44" s="196">
        <v>0.21620509429008716</v>
      </c>
      <c r="AF44" s="196">
        <v>0.21620509429616247</v>
      </c>
      <c r="AH44" s="196" t="e">
        <v>#DIV/0!</v>
      </c>
      <c r="AJ44" s="196" t="e">
        <v>#DIV/0!</v>
      </c>
      <c r="AL44" s="196" t="e">
        <v>#DIV/0!</v>
      </c>
      <c r="AN44" s="196" t="e">
        <v>#DIV/0!</v>
      </c>
      <c r="AP44" s="196" t="e">
        <v>#DIV/0!</v>
      </c>
      <c r="AR44" s="196" t="e">
        <v>#DIV/0!</v>
      </c>
      <c r="AT44" s="196" t="e">
        <v>#DIV/0!</v>
      </c>
      <c r="AV44" s="196" t="e">
        <v>#DIV/0!</v>
      </c>
    </row>
    <row r="45" spans="1:49 16319:16321" x14ac:dyDescent="0.2">
      <c r="A45" t="s">
        <v>84</v>
      </c>
      <c r="B45" s="196">
        <v>0.20445380142857192</v>
      </c>
      <c r="D45" s="196">
        <v>0.20445380131564891</v>
      </c>
      <c r="F45" s="196">
        <v>0.20445380143456796</v>
      </c>
      <c r="H45" s="196">
        <v>0.20445380130000376</v>
      </c>
      <c r="J45" s="196">
        <v>0.20445380137922134</v>
      </c>
      <c r="L45" s="196">
        <v>0.20445380141946407</v>
      </c>
      <c r="N45" s="196">
        <v>0.20445380141227149</v>
      </c>
      <c r="P45" s="196">
        <v>0.20445380140176425</v>
      </c>
      <c r="R45" s="196">
        <v>0.20445380133706278</v>
      </c>
      <c r="T45" s="196">
        <v>0.20445380142969929</v>
      </c>
      <c r="V45" s="196">
        <v>0.20445380142665781</v>
      </c>
      <c r="X45" s="196">
        <v>0.20445380142609634</v>
      </c>
      <c r="Z45" s="196">
        <v>0.20445380142672831</v>
      </c>
      <c r="AB45" s="196">
        <v>0.20445380142876715</v>
      </c>
      <c r="AD45" s="196">
        <v>0.20445380142720629</v>
      </c>
      <c r="AF45" s="196">
        <v>0.20445380142857794</v>
      </c>
      <c r="AH45" s="196" t="e">
        <v>#DIV/0!</v>
      </c>
      <c r="AJ45" s="196" t="e">
        <v>#DIV/0!</v>
      </c>
      <c r="AL45" s="196" t="e">
        <v>#DIV/0!</v>
      </c>
      <c r="AN45" s="196" t="e">
        <v>#DIV/0!</v>
      </c>
      <c r="AP45" s="196" t="e">
        <v>#DIV/0!</v>
      </c>
      <c r="AR45" s="196" t="e">
        <v>#DIV/0!</v>
      </c>
      <c r="AT45" s="196" t="e">
        <v>#DIV/0!</v>
      </c>
      <c r="AV45" s="196" t="e">
        <v>#DIV/0!</v>
      </c>
      <c r="XCQ45" s="196"/>
    </row>
    <row r="46" spans="1:49 16319:16321" x14ac:dyDescent="0.2">
      <c r="A46" t="s">
        <v>142</v>
      </c>
      <c r="B46" s="196">
        <v>1.1751292867591055E-2</v>
      </c>
      <c r="D46" s="196">
        <v>1.175129268404046E-2</v>
      </c>
      <c r="F46" s="196">
        <v>1.1751290118752613E-2</v>
      </c>
      <c r="H46" s="196">
        <v>1.175129236663139E-2</v>
      </c>
      <c r="J46" s="196">
        <v>1.1751292158900258E-2</v>
      </c>
      <c r="L46" s="196">
        <v>1.1751293336227315E-2</v>
      </c>
      <c r="N46" s="196">
        <v>1.175129364213365E-2</v>
      </c>
      <c r="P46" s="196">
        <v>1.175129247617108E-2</v>
      </c>
      <c r="R46" s="196">
        <v>1.1751291638785636E-2</v>
      </c>
      <c r="T46" s="196">
        <v>1.1751292121533773E-2</v>
      </c>
      <c r="V46" s="196">
        <v>1.1751292936196259E-2</v>
      </c>
      <c r="X46" s="196">
        <v>1.1751292833172593E-2</v>
      </c>
      <c r="Z46" s="196">
        <v>1.1751292927172498E-2</v>
      </c>
      <c r="AB46" s="196">
        <v>1.1751292854535243E-2</v>
      </c>
      <c r="AD46" s="196">
        <v>1.1751292862880857E-2</v>
      </c>
      <c r="AF46" s="196">
        <v>1.1751292867584511E-2</v>
      </c>
      <c r="AH46" s="196" t="e">
        <v>#DIV/0!</v>
      </c>
      <c r="AJ46" s="196" t="e">
        <v>#DIV/0!</v>
      </c>
      <c r="AL46" s="196" t="e">
        <v>#DIV/0!</v>
      </c>
      <c r="AN46" s="196" t="e">
        <v>#DIV/0!</v>
      </c>
      <c r="AP46" s="196" t="e">
        <v>#DIV/0!</v>
      </c>
      <c r="AR46" s="196" t="e">
        <v>#DIV/0!</v>
      </c>
      <c r="AT46" s="196" t="e">
        <v>#DIV/0!</v>
      </c>
      <c r="AV46" s="196" t="e">
        <v>#DIV/0!</v>
      </c>
      <c r="XCS46" s="196"/>
    </row>
    <row r="48" spans="1:49 16319:16321" x14ac:dyDescent="0.2">
      <c r="A48" t="s">
        <v>162</v>
      </c>
      <c r="B48" s="194">
        <v>1</v>
      </c>
      <c r="C48" s="194"/>
      <c r="D48" s="194">
        <v>1.008941853915075</v>
      </c>
      <c r="E48" s="194"/>
      <c r="F48" s="194">
        <v>1.0181579237419349</v>
      </c>
      <c r="G48" s="194"/>
      <c r="H48" s="194">
        <v>1.0277123308529676</v>
      </c>
      <c r="I48" s="194"/>
      <c r="J48" s="194">
        <v>1.0376938462900773</v>
      </c>
      <c r="K48" s="194"/>
      <c r="L48" s="194">
        <v>1.0482278836495917</v>
      </c>
      <c r="M48" s="194"/>
      <c r="N48" s="194">
        <v>1.0594963496559526</v>
      </c>
      <c r="O48" s="194"/>
      <c r="P48" s="194">
        <v>1.0717692033655981</v>
      </c>
      <c r="Q48" s="194"/>
      <c r="R48" s="194">
        <v>1.0854569275536916</v>
      </c>
      <c r="S48" s="194"/>
      <c r="T48" s="194">
        <v>1.1011964978827999</v>
      </c>
      <c r="U48" s="194"/>
      <c r="V48" s="194">
        <v>1.1199839497366331</v>
      </c>
      <c r="W48" s="194"/>
      <c r="X48" s="194">
        <v>1.143339435225462</v>
      </c>
      <c r="Y48" s="194"/>
      <c r="Z48" s="194">
        <v>1.1733600005521958</v>
      </c>
      <c r="AA48" s="194"/>
      <c r="AB48" s="194">
        <v>1.2122595281137873</v>
      </c>
      <c r="AC48" s="194"/>
      <c r="AD48" s="194">
        <v>1.2612391831194483</v>
      </c>
      <c r="AE48" s="194"/>
      <c r="AF48" s="194">
        <v>1.3199851607527822</v>
      </c>
      <c r="AG48" s="194"/>
      <c r="AH48" s="194">
        <v>0</v>
      </c>
      <c r="AI48" s="194"/>
      <c r="AJ48" s="194">
        <v>0</v>
      </c>
      <c r="AK48" s="194"/>
      <c r="AL48" s="194">
        <v>0</v>
      </c>
      <c r="AM48" s="194"/>
      <c r="AN48" s="194">
        <v>0</v>
      </c>
      <c r="AO48" s="194"/>
      <c r="AP48" s="194">
        <v>0</v>
      </c>
      <c r="AQ48" s="194"/>
      <c r="AR48" s="194">
        <v>0</v>
      </c>
      <c r="AS48" s="194"/>
      <c r="AT48" s="194">
        <v>0</v>
      </c>
      <c r="AU48" s="194"/>
      <c r="AV48" s="194">
        <v>0</v>
      </c>
    </row>
    <row r="49" spans="1:48 16321:16384" x14ac:dyDescent="0.2">
      <c r="A49" t="s">
        <v>163</v>
      </c>
      <c r="B49" s="194">
        <v>1</v>
      </c>
      <c r="C49" s="194"/>
      <c r="D49" s="194">
        <v>0.97058293113095939</v>
      </c>
      <c r="E49" s="194"/>
      <c r="F49" s="194">
        <v>0.93963354517022601</v>
      </c>
      <c r="G49" s="194"/>
      <c r="H49" s="194">
        <v>0.90685047589148937</v>
      </c>
      <c r="I49" s="194"/>
      <c r="J49" s="194">
        <v>0.87183487646978153</v>
      </c>
      <c r="K49" s="194"/>
      <c r="L49" s="194">
        <v>0.83404854782272209</v>
      </c>
      <c r="M49" s="194"/>
      <c r="N49" s="194">
        <v>0.79274969390009864</v>
      </c>
      <c r="O49" s="194"/>
      <c r="P49" s="194">
        <v>0.74689480145781506</v>
      </c>
      <c r="Q49" s="194"/>
      <c r="R49" s="194">
        <v>0.69498884712486997</v>
      </c>
      <c r="S49" s="194"/>
      <c r="T49" s="194">
        <v>0.63486750732640918</v>
      </c>
      <c r="U49" s="194"/>
      <c r="V49" s="194">
        <v>0.56343288315930251</v>
      </c>
      <c r="W49" s="194"/>
      <c r="X49" s="194">
        <v>0.47654742012212686</v>
      </c>
      <c r="Y49" s="194"/>
      <c r="Z49" s="194">
        <v>0.369884115466312</v>
      </c>
      <c r="AA49" s="194"/>
      <c r="AB49" s="194">
        <v>0.24254527397042319</v>
      </c>
      <c r="AC49" s="194"/>
      <c r="AD49" s="194">
        <v>0.10501152969016492</v>
      </c>
      <c r="AE49" s="194"/>
      <c r="AF49" s="194">
        <v>1.5792647347158341E-4</v>
      </c>
      <c r="AG49" s="194"/>
      <c r="AH49" s="194" t="e">
        <v>#DIV/0!</v>
      </c>
      <c r="AI49" s="194"/>
      <c r="AJ49" s="194" t="e">
        <v>#DIV/0!</v>
      </c>
      <c r="AK49" s="194"/>
      <c r="AL49" s="194" t="e">
        <v>#DIV/0!</v>
      </c>
      <c r="AM49" s="194"/>
      <c r="AN49" s="194" t="e">
        <v>#DIV/0!</v>
      </c>
      <c r="AO49" s="194"/>
      <c r="AP49" s="194" t="e">
        <v>#DIV/0!</v>
      </c>
      <c r="AQ49" s="194"/>
      <c r="AR49" s="194" t="e">
        <v>#DIV/0!</v>
      </c>
      <c r="AS49" s="194"/>
      <c r="AT49" s="194" t="e">
        <v>#DIV/0!</v>
      </c>
      <c r="AU49" s="194"/>
      <c r="AV49" s="194" t="e">
        <v>#DIV/0!</v>
      </c>
    </row>
    <row r="51" spans="1:48 16321:16384" x14ac:dyDescent="0.2">
      <c r="A51" t="s">
        <v>169</v>
      </c>
      <c r="B51" s="29">
        <v>898591.45196639095</v>
      </c>
      <c r="D51" s="29">
        <v>904477.18005118193</v>
      </c>
      <c r="F51" s="29">
        <v>910628.42425123462</v>
      </c>
      <c r="H51" s="29">
        <v>917111.37701168982</v>
      </c>
      <c r="J51" s="29">
        <v>924019.60146104963</v>
      </c>
      <c r="L51" s="29">
        <v>931488.27907863446</v>
      </c>
      <c r="N51" s="29">
        <v>939716.03647389775</v>
      </c>
      <c r="P51" s="29">
        <v>949001.90542872762</v>
      </c>
      <c r="R51" s="29">
        <v>959806.02868148591</v>
      </c>
      <c r="T51" s="29">
        <v>972849.7492228183</v>
      </c>
      <c r="V51" s="29">
        <v>989273.1367346663</v>
      </c>
      <c r="X51" s="29">
        <v>1010831.876079618</v>
      </c>
      <c r="Z51" s="29">
        <v>1039967.1949850693</v>
      </c>
      <c r="AB51" s="29">
        <v>1079255.6499467427</v>
      </c>
      <c r="AD51" s="29">
        <v>1130001.6780395531</v>
      </c>
      <c r="AF51" s="29">
        <v>1191524.0963261235</v>
      </c>
      <c r="AH51" s="29">
        <v>0</v>
      </c>
      <c r="AJ51" s="29">
        <v>0</v>
      </c>
      <c r="AL51" s="29">
        <v>0</v>
      </c>
      <c r="AN51" s="29">
        <v>0</v>
      </c>
      <c r="AP51" s="29">
        <v>0</v>
      </c>
      <c r="AQ51" s="29"/>
      <c r="AR51" s="29">
        <v>0</v>
      </c>
      <c r="AT51" s="29">
        <v>0</v>
      </c>
      <c r="AV51" s="29">
        <v>0</v>
      </c>
      <c r="XFD51" s="29"/>
    </row>
    <row r="52" spans="1:48 16321:16384" x14ac:dyDescent="0.2">
      <c r="A52" t="s">
        <v>170</v>
      </c>
      <c r="B52" s="29">
        <v>639893.22495732247</v>
      </c>
      <c r="D52" s="29">
        <v>631908.9323178723</v>
      </c>
      <c r="F52" s="29">
        <v>623209.37666427565</v>
      </c>
      <c r="H52" s="29">
        <v>613652.46900434245</v>
      </c>
      <c r="J52" s="29">
        <v>603047.64896966505</v>
      </c>
      <c r="L52" s="29">
        <v>591132.02664997545</v>
      </c>
      <c r="N52" s="29">
        <v>577531.47582773981</v>
      </c>
      <c r="P52" s="29">
        <v>561694.82372475881</v>
      </c>
      <c r="R52" s="29">
        <v>542778.91776174679</v>
      </c>
      <c r="T52" s="29">
        <v>519442.17000358237</v>
      </c>
      <c r="V52" s="29">
        <v>489470.25416198233</v>
      </c>
      <c r="X52" s="29">
        <v>449122.93173602404</v>
      </c>
      <c r="Z52" s="29">
        <v>392156.06146714388</v>
      </c>
      <c r="AB52" s="29">
        <v>308848.70368745056</v>
      </c>
      <c r="AD52" s="29">
        <v>185479.96743427456</v>
      </c>
      <c r="AF52" s="29">
        <v>2169.1486006729374</v>
      </c>
      <c r="AH52" s="29">
        <v>0</v>
      </c>
      <c r="AJ52" s="29">
        <v>0</v>
      </c>
      <c r="AL52" s="29">
        <v>0</v>
      </c>
      <c r="AN52" s="29">
        <v>0</v>
      </c>
      <c r="AP52" s="29">
        <v>0</v>
      </c>
      <c r="AQ52" s="29"/>
      <c r="AR52" s="29">
        <v>0</v>
      </c>
      <c r="AT52" s="29">
        <v>0</v>
      </c>
      <c r="AV52" s="29">
        <v>0</v>
      </c>
    </row>
    <row r="53" spans="1:48 16321:16384" x14ac:dyDescent="0.2">
      <c r="A53" t="s">
        <v>171</v>
      </c>
      <c r="B53" s="29">
        <v>994319.23090072128</v>
      </c>
      <c r="D53" s="29">
        <v>1013007.5459350278</v>
      </c>
      <c r="F53" s="29">
        <v>1032893.9045161094</v>
      </c>
      <c r="H53" s="29">
        <v>1054240.8541662248</v>
      </c>
      <c r="J53" s="29">
        <v>1077409.4149427877</v>
      </c>
      <c r="L53" s="29">
        <v>1102907.8304846266</v>
      </c>
      <c r="N53" s="29">
        <v>1131471.6785829987</v>
      </c>
      <c r="P53" s="29">
        <v>1164195.9274622772</v>
      </c>
      <c r="R53" s="29">
        <v>1202760.4626613439</v>
      </c>
      <c r="T53" s="29">
        <v>1249819.2457501632</v>
      </c>
      <c r="V53" s="29">
        <v>1309659.343732036</v>
      </c>
      <c r="X53" s="29">
        <v>1389214.2022576532</v>
      </c>
      <c r="Z53" s="29">
        <v>1499167.6671367716</v>
      </c>
      <c r="AB53" s="29">
        <v>1653926.5095718473</v>
      </c>
      <c r="AD53" s="29">
        <v>1869583.8828316161</v>
      </c>
      <c r="AF53" s="29">
        <v>2164781.7191057801</v>
      </c>
      <c r="AH53" s="29">
        <v>0</v>
      </c>
      <c r="AJ53" s="29">
        <v>0</v>
      </c>
      <c r="AL53" s="29">
        <v>0</v>
      </c>
      <c r="AN53" s="29">
        <v>0</v>
      </c>
      <c r="AP53" s="29">
        <v>0</v>
      </c>
      <c r="AQ53" s="29"/>
      <c r="AR53" s="29">
        <v>0</v>
      </c>
      <c r="AT53" s="29">
        <v>0</v>
      </c>
      <c r="AV53" s="29">
        <v>0</v>
      </c>
      <c r="XFD53" s="29"/>
    </row>
    <row r="55" spans="1:48 16321:16384" x14ac:dyDescent="0.2">
      <c r="A55" t="s">
        <v>172</v>
      </c>
      <c r="B55" s="196">
        <v>0.29343319644276039</v>
      </c>
      <c r="D55" s="196">
        <v>0.29343319501824283</v>
      </c>
      <c r="F55" s="196">
        <v>0.29343319930066092</v>
      </c>
      <c r="H55" s="196">
        <v>0.29343320399705403</v>
      </c>
      <c r="J55" s="196">
        <v>0.29343319532752482</v>
      </c>
      <c r="L55" s="196">
        <v>0.29343319720601696</v>
      </c>
      <c r="N55" s="196">
        <v>0.29343319787467281</v>
      </c>
      <c r="P55" s="196">
        <v>0.29343319927593942</v>
      </c>
      <c r="R55" s="196">
        <v>0.29343320607473417</v>
      </c>
      <c r="T55" s="196">
        <v>0.29343319593946049</v>
      </c>
      <c r="V55" s="196">
        <v>0.29343319667429624</v>
      </c>
      <c r="X55" s="196">
        <v>0.29343319682077529</v>
      </c>
      <c r="Z55" s="196">
        <v>0.29343319682914765</v>
      </c>
      <c r="AB55" s="196">
        <v>0.29343319632970827</v>
      </c>
      <c r="AD55" s="196">
        <v>0.29343319677616142</v>
      </c>
      <c r="AF55" s="196">
        <v>0.29343319619936764</v>
      </c>
      <c r="AH55" s="196" t="e">
        <v>#DIV/0!</v>
      </c>
      <c r="AJ55" s="196" t="e">
        <v>#DIV/0!</v>
      </c>
      <c r="AL55" s="196" t="e">
        <v>#DIV/0!</v>
      </c>
      <c r="AN55" s="196" t="e">
        <v>#DIV/0!</v>
      </c>
      <c r="AP55" s="196" t="e">
        <v>#DIV/0!</v>
      </c>
      <c r="AR55" s="196" t="e">
        <v>#DIV/0!</v>
      </c>
      <c r="AT55" s="196" t="e">
        <v>#DIV/0!</v>
      </c>
      <c r="AV55" s="196" t="e">
        <v>#DIV/0!</v>
      </c>
      <c r="XCS55" s="196"/>
      <c r="XFD55" s="196"/>
    </row>
    <row r="56" spans="1:48 16321:16384" x14ac:dyDescent="0.2">
      <c r="A56" t="s">
        <v>173</v>
      </c>
      <c r="B56" s="196">
        <v>0.12330490389763608</v>
      </c>
      <c r="D56" s="196">
        <v>0.12631299822991704</v>
      </c>
      <c r="F56" s="196">
        <v>0.12950255861425761</v>
      </c>
      <c r="H56" s="196">
        <v>0.13291260667052446</v>
      </c>
      <c r="J56" s="196">
        <v>0.13659572857828356</v>
      </c>
      <c r="L56" s="196">
        <v>0.14062448063939029</v>
      </c>
      <c r="N56" s="196">
        <v>0.14510149966752373</v>
      </c>
      <c r="P56" s="196">
        <v>0.15017597351885206</v>
      </c>
      <c r="R56" s="196">
        <v>0.15607088706341041</v>
      </c>
      <c r="T56" s="196">
        <v>0.1631283615507525</v>
      </c>
      <c r="V56" s="196">
        <v>0.17188285246288387</v>
      </c>
      <c r="X56" s="196">
        <v>0.18316462291742999</v>
      </c>
      <c r="Z56" s="196">
        <v>0.19819114911746971</v>
      </c>
      <c r="AB56" s="196">
        <v>0.21850923964146365</v>
      </c>
      <c r="AD56" s="196">
        <v>0.24577019751698334</v>
      </c>
      <c r="AF56" s="196">
        <v>0.28201459276375795</v>
      </c>
      <c r="AH56" s="196" t="e">
        <v>#DIV/0!</v>
      </c>
      <c r="AJ56" s="196" t="e">
        <v>#DIV/0!</v>
      </c>
      <c r="AL56" s="196" t="e">
        <v>#DIV/0!</v>
      </c>
      <c r="AN56" s="196" t="e">
        <v>#DIV/0!</v>
      </c>
      <c r="AP56" s="196" t="e">
        <v>#DIV/0!</v>
      </c>
      <c r="AR56" s="196" t="e">
        <v>#DIV/0!</v>
      </c>
      <c r="AT56" s="196" t="e">
        <v>#DIV/0!</v>
      </c>
      <c r="AV56" s="196" t="e">
        <v>#DIV/0!</v>
      </c>
      <c r="XFD56" s="196"/>
    </row>
    <row r="57" spans="1:48 16321:16384" x14ac:dyDescent="0.2">
      <c r="A57" t="s">
        <v>174</v>
      </c>
      <c r="B57" s="196">
        <v>0.15814435802029927</v>
      </c>
      <c r="D57" s="196">
        <v>0.15515749824345484</v>
      </c>
      <c r="F57" s="196">
        <v>0.1519903084247691</v>
      </c>
      <c r="H57" s="196">
        <v>0.14860400986731626</v>
      </c>
      <c r="J57" s="196">
        <v>0.14494633799467352</v>
      </c>
      <c r="L57" s="196">
        <v>0.14094522332374335</v>
      </c>
      <c r="N57" s="196">
        <v>0.13649867442553532</v>
      </c>
      <c r="P57" s="196">
        <v>0.13145846013190313</v>
      </c>
      <c r="R57" s="196">
        <v>0.12560302297584286</v>
      </c>
      <c r="T57" s="196">
        <v>0.11859238379510341</v>
      </c>
      <c r="V57" s="196">
        <v>0.10989543065239057</v>
      </c>
      <c r="X57" s="196">
        <v>9.8686834569955195E-2</v>
      </c>
      <c r="Y57" s="196"/>
      <c r="Z57" s="196">
        <v>8.3755748757814524E-2</v>
      </c>
      <c r="AB57" s="196">
        <v>6.3562096727309156E-2</v>
      </c>
      <c r="AD57" s="196">
        <v>3.6458209413797467E-2</v>
      </c>
      <c r="AF57" s="196">
        <v>4.0435620379150665E-4</v>
      </c>
      <c r="AH57" s="196" t="e">
        <v>#DIV/0!</v>
      </c>
      <c r="AJ57" s="196" t="e">
        <v>#DIV/0!</v>
      </c>
      <c r="AL57" s="196" t="e">
        <v>#DIV/0!</v>
      </c>
      <c r="AN57" s="196" t="e">
        <v>#DIV/0!</v>
      </c>
      <c r="AP57" s="196" t="e">
        <v>#DIV/0!</v>
      </c>
      <c r="AR57" s="196" t="e">
        <v>#DIV/0!</v>
      </c>
      <c r="AT57" s="196" t="e">
        <v>#DIV/0!</v>
      </c>
      <c r="AV57" s="196" t="e">
        <v>#DIV/0!</v>
      </c>
      <c r="XFD57" s="196"/>
    </row>
    <row r="58" spans="1:48 16321:16384" x14ac:dyDescent="0.2">
      <c r="A58" t="s">
        <v>175</v>
      </c>
      <c r="B58" s="196">
        <v>1.1983934524824984E-2</v>
      </c>
      <c r="D58" s="196">
        <v>1.1962698544870923E-2</v>
      </c>
      <c r="F58" s="196">
        <v>1.194033226163423E-2</v>
      </c>
      <c r="H58" s="196">
        <v>1.1916587459213292E-2</v>
      </c>
      <c r="J58" s="196">
        <v>1.1891128754567753E-2</v>
      </c>
      <c r="L58" s="196">
        <v>1.1863493242883336E-2</v>
      </c>
      <c r="N58" s="196">
        <v>1.1833023781613777E-2</v>
      </c>
      <c r="P58" s="196">
        <v>1.1798765625184239E-2</v>
      </c>
      <c r="R58" s="196">
        <v>1.1759296035480876E-2</v>
      </c>
      <c r="T58" s="196">
        <v>1.1712450593604543E-2</v>
      </c>
      <c r="V58" s="196">
        <v>1.1654913559021816E-2</v>
      </c>
      <c r="X58" s="196">
        <v>1.158173933339011E-2</v>
      </c>
      <c r="Y58" s="196"/>
      <c r="Z58" s="196">
        <v>1.1486298953863432E-2</v>
      </c>
      <c r="AB58" s="196">
        <v>1.1361859960935449E-2</v>
      </c>
      <c r="AD58" s="196">
        <v>1.1204789845380609E-2</v>
      </c>
      <c r="AF58" s="196">
        <v>1.1014247231818174E-2</v>
      </c>
      <c r="AH58" s="196" t="e">
        <v>#DIV/0!</v>
      </c>
      <c r="AJ58" s="196" t="e">
        <v>#DIV/0!</v>
      </c>
      <c r="AL58" s="196" t="e">
        <v>#DIV/0!</v>
      </c>
      <c r="AN58" s="196" t="e">
        <v>#DIV/0!</v>
      </c>
      <c r="AP58" s="196" t="e">
        <v>#DIV/0!</v>
      </c>
      <c r="AR58" s="196" t="e">
        <v>#DIV/0!</v>
      </c>
      <c r="AT58" s="196" t="e">
        <v>#DIV/0!</v>
      </c>
      <c r="AV58" s="196" t="e">
        <v>#DIV/0!</v>
      </c>
      <c r="XFD58" s="196"/>
    </row>
    <row r="59" spans="1:48 16321:16384" x14ac:dyDescent="0.2">
      <c r="A59" t="s">
        <v>176</v>
      </c>
      <c r="B59" s="196">
        <v>1.7199725200015354E-2</v>
      </c>
      <c r="D59" s="196">
        <v>2.0319839516352096E-2</v>
      </c>
      <c r="F59" s="196">
        <v>2.3628076158761762E-2</v>
      </c>
      <c r="H59" s="196">
        <v>2.7165038754649783E-2</v>
      </c>
      <c r="J59" s="196">
        <v>3.0985473191859118E-2</v>
      </c>
      <c r="L59" s="196">
        <v>3.5164948596187684E-2</v>
      </c>
      <c r="N59" s="196">
        <v>3.9810412488438633E-2</v>
      </c>
      <c r="P59" s="196">
        <v>4.5077371985559681E-2</v>
      </c>
      <c r="R59" s="196">
        <v>5.1198316696023892E-2</v>
      </c>
      <c r="T59" s="196">
        <v>5.8529991106559327E-2</v>
      </c>
      <c r="V59" s="196">
        <v>6.7629616618926289E-2</v>
      </c>
      <c r="X59" s="196">
        <v>7.9362312553141801E-2</v>
      </c>
      <c r="Z59" s="196">
        <v>9.4994696643761811E-2</v>
      </c>
      <c r="AB59" s="196">
        <v>0.11612989887375233</v>
      </c>
      <c r="AD59" s="196">
        <v>0.14446481523621957</v>
      </c>
      <c r="AF59" s="196">
        <v>0.18207726835295113</v>
      </c>
      <c r="AH59" s="196" t="e">
        <v>#DIV/0!</v>
      </c>
      <c r="AJ59" s="196" t="e">
        <v>#DIV/0!</v>
      </c>
      <c r="AL59" s="196" t="e">
        <v>#DIV/0!</v>
      </c>
      <c r="AN59" s="196" t="e">
        <v>#DIV/0!</v>
      </c>
      <c r="AP59" s="196" t="e">
        <v>#DIV/0!</v>
      </c>
      <c r="AR59" s="196" t="e">
        <v>#DIV/0!</v>
      </c>
      <c r="AT59" s="196" t="e">
        <v>#DIV/0!</v>
      </c>
      <c r="AV59" s="196" t="e">
        <v>#DIV/0!</v>
      </c>
      <c r="XFD59" s="196"/>
    </row>
    <row r="60" spans="1:48 16321:16384" x14ac:dyDescent="0.2">
      <c r="A60" t="s">
        <v>177</v>
      </c>
      <c r="B60" s="196">
        <v>0.10610517869762073</v>
      </c>
      <c r="D60" s="196">
        <v>0.10599315871356495</v>
      </c>
      <c r="F60" s="196">
        <v>0.10587448245549584</v>
      </c>
      <c r="H60" s="196">
        <v>0.10574756791587468</v>
      </c>
      <c r="J60" s="196">
        <v>0.10561025538642443</v>
      </c>
      <c r="L60" s="196">
        <v>0.10545953204320259</v>
      </c>
      <c r="N60" s="196">
        <v>0.1052910871790851</v>
      </c>
      <c r="P60" s="196">
        <v>0.10509860153329237</v>
      </c>
      <c r="R60" s="196">
        <v>0.10487257036738651</v>
      </c>
      <c r="T60" s="196">
        <v>0.10459837044419318</v>
      </c>
      <c r="V60" s="196">
        <v>0.1042532358439576</v>
      </c>
      <c r="X60" s="196">
        <v>0.10380231036428821</v>
      </c>
      <c r="Z60" s="196">
        <v>0.10319645247370791</v>
      </c>
      <c r="AB60" s="196">
        <v>0.10237934076771131</v>
      </c>
      <c r="AD60" s="196">
        <v>0.10130538228076377</v>
      </c>
      <c r="AF60" s="196">
        <v>9.9937324410806813E-2</v>
      </c>
      <c r="AH60" s="196" t="e">
        <v>#DIV/0!</v>
      </c>
      <c r="AJ60" s="196" t="e">
        <v>#DIV/0!</v>
      </c>
      <c r="AL60" s="196" t="e">
        <v>#DIV/0!</v>
      </c>
      <c r="AN60" s="196" t="e">
        <v>#DIV/0!</v>
      </c>
      <c r="AP60" s="196" t="e">
        <v>#DIV/0!</v>
      </c>
      <c r="AR60" s="196" t="e">
        <v>#DIV/0!</v>
      </c>
      <c r="AT60" s="196" t="e">
        <v>#DIV/0!</v>
      </c>
      <c r="AV60" s="196" t="e">
        <v>#DIV/0!</v>
      </c>
      <c r="XFD60" s="196"/>
    </row>
    <row r="62" spans="1:48 16321:16384" x14ac:dyDescent="0.2">
      <c r="A62" t="s">
        <v>178</v>
      </c>
      <c r="B62">
        <v>1</v>
      </c>
      <c r="D62">
        <v>0.95357181298753868</v>
      </c>
      <c r="F62">
        <v>0.90657762552532728</v>
      </c>
      <c r="H62">
        <v>0.85873643926216225</v>
      </c>
      <c r="J62">
        <v>0.80968481875440768</v>
      </c>
      <c r="L62">
        <v>0.75894519272971939</v>
      </c>
      <c r="N62">
        <v>0.70587931806211368</v>
      </c>
      <c r="P62">
        <v>0.64962447641139187</v>
      </c>
      <c r="R62">
        <v>0.589009572873465</v>
      </c>
      <c r="T62">
        <v>0.52246637660371953</v>
      </c>
      <c r="V62">
        <v>0.44801363448788328</v>
      </c>
      <c r="X62">
        <v>0.36357816271655263</v>
      </c>
      <c r="Z62">
        <v>0.26831042555787432</v>
      </c>
      <c r="AB62">
        <v>0.16564491820966873</v>
      </c>
      <c r="AD62">
        <v>6.7082802949106304E-2</v>
      </c>
      <c r="AF62">
        <v>9.453298684193946E-5</v>
      </c>
      <c r="AH62" t="e">
        <v>#DIV/0!</v>
      </c>
      <c r="AJ62" t="e">
        <v>#DIV/0!</v>
      </c>
      <c r="AL62" t="e">
        <v>#DIV/0!</v>
      </c>
      <c r="AN62" t="e">
        <v>#DIV/0!</v>
      </c>
      <c r="AP62" t="e">
        <v>#DIV/0!</v>
      </c>
      <c r="AR62" t="e">
        <v>#DIV/0!</v>
      </c>
      <c r="AT62" t="e">
        <v>#DIV/0!</v>
      </c>
      <c r="AV62" t="e">
        <v>#DIV/0!</v>
      </c>
    </row>
    <row r="65" spans="1:48 16384:16384" x14ac:dyDescent="0.2">
      <c r="A65" t="s">
        <v>179</v>
      </c>
      <c r="B65" s="194">
        <v>1</v>
      </c>
      <c r="C65" s="194"/>
      <c r="D65" s="194">
        <v>0.99773785918902125</v>
      </c>
      <c r="E65" s="194"/>
      <c r="F65" s="194">
        <v>0.99554047437578796</v>
      </c>
      <c r="G65" s="194"/>
      <c r="H65" s="194">
        <v>0.99341693585446866</v>
      </c>
      <c r="I65" s="194"/>
      <c r="J65" s="194">
        <v>0.99138195804772034</v>
      </c>
      <c r="K65" s="194"/>
      <c r="L65" s="194">
        <v>0.98945874804241896</v>
      </c>
      <c r="M65" s="194"/>
      <c r="N65" s="194">
        <v>0.98768373737461668</v>
      </c>
      <c r="O65" s="194"/>
      <c r="P65" s="194">
        <v>0.98611416783518313</v>
      </c>
      <c r="Q65" s="194"/>
      <c r="R65" s="194">
        <v>0.98484067387531427</v>
      </c>
      <c r="S65" s="194"/>
      <c r="T65" s="194">
        <v>0.98400770147175898</v>
      </c>
      <c r="U65" s="194"/>
      <c r="V65" s="194">
        <v>0.98384401742907779</v>
      </c>
      <c r="W65" s="194"/>
      <c r="X65" s="194">
        <v>0.98469622480093322</v>
      </c>
      <c r="Y65" s="194"/>
      <c r="Z65" s="194">
        <v>0.98701874351009433</v>
      </c>
      <c r="AA65" s="194"/>
      <c r="AB65" s="194">
        <v>0.99120009228036343</v>
      </c>
      <c r="AC65" s="194"/>
      <c r="AD65" s="194">
        <v>0.99719020533503377</v>
      </c>
      <c r="AE65" s="194"/>
      <c r="AF65" s="194">
        <v>1.0043544890541771</v>
      </c>
      <c r="AG65" s="194"/>
      <c r="AH65" s="194" t="e">
        <v>#DIV/0!</v>
      </c>
      <c r="AI65" s="194"/>
      <c r="AJ65" s="194" t="e">
        <v>#DIV/0!</v>
      </c>
      <c r="AK65" s="194"/>
      <c r="AL65" s="194" t="e">
        <v>#DIV/0!</v>
      </c>
      <c r="AM65" s="194"/>
      <c r="AN65" s="194" t="e">
        <v>#DIV/0!</v>
      </c>
      <c r="AO65" s="194"/>
      <c r="AP65" s="194" t="e">
        <v>#DIV/0!</v>
      </c>
      <c r="AQ65" s="194"/>
      <c r="AR65" s="194" t="e">
        <v>#DIV/0!</v>
      </c>
      <c r="AS65" s="194"/>
      <c r="AT65" s="194" t="e">
        <v>#DIV/0!</v>
      </c>
      <c r="AU65" s="194"/>
      <c r="AV65" s="194" t="e">
        <v>#DIV/0!</v>
      </c>
    </row>
    <row r="66" spans="1:48 16384:16384" x14ac:dyDescent="0.2">
      <c r="A66" t="s">
        <v>185</v>
      </c>
      <c r="B66" s="194">
        <v>1</v>
      </c>
      <c r="C66" s="194"/>
      <c r="D66" s="194">
        <v>0.99762931146403167</v>
      </c>
      <c r="E66" s="194"/>
      <c r="F66" s="194">
        <v>0.99532235301930938</v>
      </c>
      <c r="G66" s="194"/>
      <c r="H66" s="194">
        <v>0.99308903704968321</v>
      </c>
      <c r="I66" s="194"/>
      <c r="J66" s="194">
        <v>0.99094526325288024</v>
      </c>
      <c r="K66" s="194"/>
      <c r="L66" s="194">
        <v>0.98891599000704222</v>
      </c>
      <c r="M66" s="194"/>
      <c r="N66" s="194">
        <v>0.98704029432478391</v>
      </c>
      <c r="O66" s="194"/>
      <c r="P66" s="194">
        <v>0.98537947449102614</v>
      </c>
      <c r="Q66" s="194"/>
      <c r="R66" s="194">
        <v>0.9840304580220377</v>
      </c>
      <c r="S66" s="194"/>
      <c r="T66" s="194">
        <v>0.98314747832087901</v>
      </c>
      <c r="U66" s="194"/>
      <c r="V66" s="194">
        <v>0.98297423135270867</v>
      </c>
      <c r="W66" s="194"/>
      <c r="X66" s="194">
        <v>0.98387847769598624</v>
      </c>
      <c r="Y66" s="194"/>
      <c r="Z66" s="194">
        <v>0.98633870507000665</v>
      </c>
      <c r="AA66" s="194"/>
      <c r="AB66" s="194">
        <v>0.9907553867881933</v>
      </c>
      <c r="AC66" s="194"/>
      <c r="AD66" s="194">
        <v>0.99705553549705173</v>
      </c>
      <c r="AE66" s="194"/>
      <c r="AF66" s="194">
        <v>1.0045498637103643</v>
      </c>
      <c r="AG66" s="194"/>
      <c r="AH66" s="194" t="e">
        <v>#DIV/0!</v>
      </c>
      <c r="AI66" s="194"/>
      <c r="AJ66" s="194" t="e">
        <v>#DIV/0!</v>
      </c>
      <c r="AK66" s="194"/>
      <c r="AL66" s="194" t="e">
        <v>#DIV/0!</v>
      </c>
      <c r="AM66" s="194"/>
      <c r="AN66" s="194" t="e">
        <v>#DIV/0!</v>
      </c>
      <c r="AO66" s="194"/>
      <c r="AP66" s="194" t="e">
        <v>#DIV/0!</v>
      </c>
      <c r="AQ66" s="194"/>
      <c r="AR66" s="194" t="e">
        <v>#DIV/0!</v>
      </c>
      <c r="AS66" s="194"/>
      <c r="AT66" s="194" t="e">
        <v>#DIV/0!</v>
      </c>
      <c r="AU66" s="194"/>
      <c r="AV66" s="194" t="e">
        <v>#DIV/0!</v>
      </c>
      <c r="XFD66" s="194"/>
    </row>
    <row r="67" spans="1:48 16384:16384" x14ac:dyDescent="0.2">
      <c r="A67" t="s">
        <v>186</v>
      </c>
      <c r="B67" s="194">
        <v>1</v>
      </c>
      <c r="C67" s="194"/>
      <c r="D67" s="194">
        <v>1</v>
      </c>
      <c r="E67" s="194"/>
      <c r="F67" s="194">
        <v>1</v>
      </c>
      <c r="G67" s="194"/>
      <c r="H67" s="194">
        <v>1</v>
      </c>
      <c r="I67" s="194"/>
      <c r="J67" s="194">
        <v>1</v>
      </c>
      <c r="K67" s="194"/>
      <c r="L67" s="194">
        <v>1</v>
      </c>
      <c r="M67" s="194"/>
      <c r="N67" s="194">
        <v>1</v>
      </c>
      <c r="O67" s="194"/>
      <c r="P67" s="194">
        <v>1</v>
      </c>
      <c r="Q67" s="194"/>
      <c r="R67" s="194">
        <v>1</v>
      </c>
      <c r="S67" s="194"/>
      <c r="T67" s="194">
        <v>1</v>
      </c>
      <c r="U67" s="194"/>
      <c r="V67" s="194">
        <v>1</v>
      </c>
      <c r="W67" s="194"/>
      <c r="X67" s="194">
        <v>1</v>
      </c>
      <c r="Y67" s="194"/>
      <c r="Z67" s="194">
        <v>1</v>
      </c>
      <c r="AA67" s="194"/>
      <c r="AB67" s="194">
        <v>1</v>
      </c>
      <c r="AC67" s="194"/>
      <c r="AD67" s="194">
        <v>1</v>
      </c>
      <c r="AE67" s="194"/>
      <c r="AF67" s="194">
        <v>1</v>
      </c>
      <c r="AG67" s="194"/>
      <c r="AH67" s="194" t="e">
        <v>#DIV/0!</v>
      </c>
      <c r="AI67" s="194"/>
      <c r="AJ67" s="194" t="e">
        <v>#DIV/0!</v>
      </c>
      <c r="AK67" s="194"/>
      <c r="AL67" s="194" t="e">
        <v>#DIV/0!</v>
      </c>
      <c r="AM67" s="194"/>
      <c r="AN67" s="194" t="e">
        <v>#DIV/0!</v>
      </c>
      <c r="AO67" s="194"/>
      <c r="AP67" s="194" t="e">
        <v>#DIV/0!</v>
      </c>
      <c r="AQ67" s="194"/>
      <c r="AR67" s="194" t="e">
        <v>#DIV/0!</v>
      </c>
      <c r="AS67" s="194"/>
      <c r="AT67" s="194" t="e">
        <v>#DIV/0!</v>
      </c>
      <c r="AU67" s="194"/>
      <c r="AV67" s="194" t="e">
        <v>#DIV/0!</v>
      </c>
      <c r="XFD67" s="194"/>
    </row>
    <row r="68" spans="1:48 16384:16384" x14ac:dyDescent="0.2">
      <c r="A68" t="s">
        <v>184</v>
      </c>
      <c r="B68" s="194">
        <v>1</v>
      </c>
      <c r="C68" s="194"/>
      <c r="D68" s="194">
        <v>0.99762931146403167</v>
      </c>
      <c r="E68" s="194"/>
      <c r="F68" s="194">
        <v>0.99532235301930938</v>
      </c>
      <c r="G68" s="194"/>
      <c r="H68" s="194">
        <v>0.99308903704968321</v>
      </c>
      <c r="I68" s="194"/>
      <c r="J68" s="194">
        <v>0.99094526325288024</v>
      </c>
      <c r="K68" s="194"/>
      <c r="L68" s="194">
        <v>0.98891599000704222</v>
      </c>
      <c r="M68" s="194"/>
      <c r="N68" s="194">
        <v>0.98704029432478391</v>
      </c>
      <c r="O68" s="194"/>
      <c r="P68" s="194">
        <v>0.98537947449102614</v>
      </c>
      <c r="Q68" s="194"/>
      <c r="R68" s="194">
        <v>0.9840304580220377</v>
      </c>
      <c r="S68" s="194"/>
      <c r="T68" s="194">
        <v>0.98314747832087901</v>
      </c>
      <c r="U68" s="194"/>
      <c r="V68" s="194">
        <v>0.98297423135270867</v>
      </c>
      <c r="W68" s="194"/>
      <c r="X68" s="194">
        <v>0.98387847769598624</v>
      </c>
      <c r="Y68" s="194"/>
      <c r="Z68" s="194">
        <v>0.98633870507000665</v>
      </c>
      <c r="AA68" s="194"/>
      <c r="AB68" s="194">
        <v>0.9907553867881933</v>
      </c>
      <c r="AC68" s="194"/>
      <c r="AD68" s="194">
        <v>0.99705553549705173</v>
      </c>
      <c r="AE68" s="194"/>
      <c r="AF68" s="194">
        <v>1.0045498637103643</v>
      </c>
      <c r="AG68" s="194"/>
      <c r="AH68" s="194" t="e">
        <v>#DIV/0!</v>
      </c>
      <c r="AI68" s="194"/>
      <c r="AJ68" s="194" t="e">
        <v>#DIV/0!</v>
      </c>
      <c r="AK68" s="194"/>
      <c r="AL68" s="194" t="e">
        <v>#DIV/0!</v>
      </c>
      <c r="AM68" s="194"/>
      <c r="AN68" s="194" t="e">
        <v>#DIV/0!</v>
      </c>
      <c r="AO68" s="194"/>
      <c r="AP68" s="194" t="e">
        <v>#DIV/0!</v>
      </c>
      <c r="AQ68" s="194"/>
      <c r="AR68" s="194" t="e">
        <v>#DIV/0!</v>
      </c>
      <c r="AS68" s="194"/>
      <c r="AT68" s="194" t="e">
        <v>#DIV/0!</v>
      </c>
      <c r="AU68" s="194"/>
      <c r="AV68" s="194" t="e">
        <v>#DIV/0!</v>
      </c>
      <c r="XFD68" s="194"/>
    </row>
    <row r="69" spans="1:48 16384:16384" x14ac:dyDescent="0.2">
      <c r="A69" t="s">
        <v>180</v>
      </c>
      <c r="B69" s="194">
        <v>1</v>
      </c>
      <c r="C69" s="194"/>
      <c r="D69" s="194">
        <v>1.0088320878217596</v>
      </c>
      <c r="E69" s="194"/>
      <c r="F69" s="194">
        <v>1.0179348469079217</v>
      </c>
      <c r="G69" s="194"/>
      <c r="H69" s="194">
        <v>1.0273731127553192</v>
      </c>
      <c r="I69" s="194"/>
      <c r="J69" s="194">
        <v>1.0372367517772856</v>
      </c>
      <c r="K69" s="194"/>
      <c r="L69" s="194">
        <v>1.0476528884194176</v>
      </c>
      <c r="M69" s="194"/>
      <c r="N69" s="194">
        <v>1.0588061231660988</v>
      </c>
      <c r="O69" s="194"/>
      <c r="P69" s="194">
        <v>1.0709706938345569</v>
      </c>
      <c r="Q69" s="194"/>
      <c r="R69" s="194">
        <v>1.0845639364780655</v>
      </c>
      <c r="S69" s="194"/>
      <c r="T69" s="194">
        <v>1.1002338278491206</v>
      </c>
      <c r="U69" s="194"/>
      <c r="V69" s="194">
        <v>1.1189938065658929</v>
      </c>
      <c r="W69" s="194"/>
      <c r="X69" s="194">
        <v>1.1423899418934491</v>
      </c>
      <c r="Y69" s="194"/>
      <c r="Z69" s="194">
        <v>1.1725515762955669</v>
      </c>
      <c r="AA69" s="194"/>
      <c r="AB69" s="194">
        <v>1.2117156435082137</v>
      </c>
      <c r="AC69" s="194"/>
      <c r="AD69" s="194">
        <v>1.2610688536605956</v>
      </c>
      <c r="AE69" s="194"/>
      <c r="AF69" s="194">
        <v>1.3202419342821743</v>
      </c>
      <c r="AG69" s="194"/>
      <c r="AH69" s="194" t="e">
        <v>#DIV/0!</v>
      </c>
      <c r="AI69" s="194"/>
      <c r="AJ69" s="194" t="e">
        <v>#DIV/0!</v>
      </c>
      <c r="AK69" s="194"/>
      <c r="AL69" s="194" t="e">
        <v>#DIV/0!</v>
      </c>
      <c r="AM69" s="194"/>
      <c r="AN69" s="194" t="e">
        <v>#DIV/0!</v>
      </c>
      <c r="AO69" s="194"/>
      <c r="AP69" s="194" t="e">
        <v>#DIV/0!</v>
      </c>
      <c r="AQ69" s="194"/>
      <c r="AR69" s="194" t="e">
        <v>#DIV/0!</v>
      </c>
      <c r="AS69" s="194"/>
      <c r="AT69" s="194" t="e">
        <v>#DIV/0!</v>
      </c>
      <c r="AU69" s="194"/>
      <c r="AV69" s="194" t="e">
        <v>#DIV/0!</v>
      </c>
    </row>
    <row r="70" spans="1:48 16384:16384" x14ac:dyDescent="0.2">
      <c r="A70" t="s">
        <v>181</v>
      </c>
      <c r="B70" s="141">
        <v>1</v>
      </c>
      <c r="C70" s="141"/>
      <c r="D70" s="141">
        <v>1.0088841525081653</v>
      </c>
      <c r="E70" s="141"/>
      <c r="F70" s="141">
        <v>1.0179538908154864</v>
      </c>
      <c r="G70" s="141"/>
      <c r="H70" s="141">
        <v>1.0272505663843967</v>
      </c>
      <c r="I70" s="141"/>
      <c r="J70" s="141">
        <v>1.036830700007805</v>
      </c>
      <c r="K70" s="141"/>
      <c r="L70" s="141">
        <v>1.0467731425582647</v>
      </c>
      <c r="M70" s="141"/>
      <c r="N70" s="141">
        <v>1.0571909541714211</v>
      </c>
      <c r="O70" s="141"/>
      <c r="P70" s="141">
        <v>1.0682498998449419</v>
      </c>
      <c r="Q70" s="141"/>
      <c r="R70" s="141">
        <v>1.080198690477209</v>
      </c>
      <c r="S70" s="141"/>
      <c r="T70" s="141">
        <v>1.0934170912786805</v>
      </c>
      <c r="U70" s="141"/>
      <c r="V70" s="141">
        <v>1.1084861234016352</v>
      </c>
      <c r="W70" s="141"/>
      <c r="X70" s="141">
        <v>1.126263630277722</v>
      </c>
      <c r="Y70" s="141"/>
      <c r="Z70" s="141">
        <v>1.1478633623687491</v>
      </c>
      <c r="AA70" s="141"/>
      <c r="AB70" s="141">
        <v>1.1742911703913985</v>
      </c>
      <c r="AC70" s="141"/>
      <c r="AD70" s="141">
        <v>1.2056816360985085</v>
      </c>
      <c r="AE70" s="141"/>
      <c r="AF70" s="141">
        <v>1.240890430486826</v>
      </c>
      <c r="AG70" s="141"/>
      <c r="AH70" s="141">
        <v>0</v>
      </c>
      <c r="AI70" s="141"/>
      <c r="AJ70" s="141">
        <v>0</v>
      </c>
      <c r="AK70" s="141"/>
      <c r="AL70" s="141">
        <v>0</v>
      </c>
      <c r="AM70" s="141"/>
      <c r="AN70" s="141">
        <v>0</v>
      </c>
      <c r="AO70" s="141"/>
      <c r="AP70" s="141">
        <v>0</v>
      </c>
      <c r="AQ70" s="141"/>
      <c r="AR70" s="141">
        <v>0</v>
      </c>
      <c r="AS70" s="141"/>
      <c r="AT70" s="141">
        <v>0</v>
      </c>
      <c r="AU70" s="141"/>
      <c r="AV70" s="141">
        <v>0</v>
      </c>
    </row>
    <row r="71" spans="1:48 16384:16384" x14ac:dyDescent="0.2">
      <c r="A71" t="s">
        <v>182</v>
      </c>
      <c r="B71" s="141">
        <v>1</v>
      </c>
      <c r="D71" s="141">
        <v>0.89773588752508238</v>
      </c>
      <c r="E71" s="141"/>
      <c r="F71" s="141">
        <v>0.79737639977305241</v>
      </c>
      <c r="G71" s="141"/>
      <c r="H71" s="141">
        <v>0.69920815783337331</v>
      </c>
      <c r="I71" s="141"/>
      <c r="J71" s="141">
        <v>0.60359876793973188</v>
      </c>
      <c r="K71" s="141"/>
      <c r="L71" s="141">
        <v>0.51102713314168957</v>
      </c>
      <c r="M71" s="141"/>
      <c r="N71" s="141">
        <v>0.42212199435327197</v>
      </c>
      <c r="O71" s="141"/>
      <c r="P71" s="141">
        <v>0.33772214299679987</v>
      </c>
      <c r="Q71" s="141"/>
      <c r="R71" s="141">
        <v>0.25895689201556377</v>
      </c>
      <c r="S71" s="141"/>
      <c r="T71" s="141">
        <v>0.18734867198950791</v>
      </c>
      <c r="U71" s="141"/>
      <c r="V71" s="141">
        <v>0.12490823176877133</v>
      </c>
      <c r="W71" s="141"/>
      <c r="X71" s="141">
        <v>7.4085538237251086E-2</v>
      </c>
      <c r="Y71" s="141"/>
      <c r="Z71" s="141">
        <v>3.7208446568634035E-2</v>
      </c>
      <c r="AA71" s="141"/>
      <c r="AB71" s="141">
        <v>1.4933055423230084E-2</v>
      </c>
      <c r="AC71" s="141"/>
      <c r="AD71" s="141">
        <v>4.5519012219267579E-3</v>
      </c>
      <c r="AE71" s="141"/>
      <c r="AF71" s="141">
        <v>1.0096485781221078E-3</v>
      </c>
      <c r="AG71" s="141"/>
      <c r="AH71" s="141">
        <v>0</v>
      </c>
      <c r="AI71" s="141"/>
      <c r="AJ71" s="141">
        <v>0</v>
      </c>
      <c r="AK71" s="141"/>
      <c r="AL71" s="141">
        <v>0</v>
      </c>
      <c r="AM71" s="141"/>
      <c r="AN71" s="141">
        <v>0</v>
      </c>
      <c r="AO71" s="141"/>
      <c r="AP71" s="141">
        <v>0</v>
      </c>
      <c r="AQ71" s="141"/>
      <c r="AR71" s="141">
        <v>0</v>
      </c>
      <c r="AS71" s="141"/>
      <c r="AT71" s="141">
        <v>0</v>
      </c>
      <c r="AU71" s="141"/>
      <c r="AV71" s="141">
        <v>0</v>
      </c>
      <c r="XFD71" s="141"/>
    </row>
    <row r="72" spans="1:48 16384:16384" x14ac:dyDescent="0.2">
      <c r="A72" t="s">
        <v>183</v>
      </c>
      <c r="B72" s="141">
        <v>1</v>
      </c>
      <c r="D72" s="141">
        <v>1.0335805111079019</v>
      </c>
      <c r="E72" s="141"/>
      <c r="F72" s="141">
        <v>1.0687519069033444</v>
      </c>
      <c r="G72" s="141"/>
      <c r="H72" s="141">
        <v>1.105364471431874</v>
      </c>
      <c r="I72" s="141"/>
      <c r="J72" s="141">
        <v>1.1431512464934375</v>
      </c>
      <c r="K72" s="141"/>
      <c r="L72" s="141">
        <v>1.1816638287467045</v>
      </c>
      <c r="M72" s="141"/>
      <c r="N72" s="141">
        <v>1.2201663411005594</v>
      </c>
      <c r="O72" s="141"/>
      <c r="P72" s="141">
        <v>1.2574608264923521</v>
      </c>
      <c r="Q72" s="141"/>
      <c r="R72" s="141">
        <v>1.2915906491337448</v>
      </c>
      <c r="S72" s="141"/>
      <c r="T72" s="141">
        <v>1.3193424906882629</v>
      </c>
      <c r="U72" s="141"/>
      <c r="V72" s="141">
        <v>1.3354584401329581</v>
      </c>
      <c r="W72" s="141"/>
      <c r="X72" s="141">
        <v>1.3316385835436351</v>
      </c>
      <c r="Y72" s="141"/>
      <c r="Z72" s="141">
        <v>1.2962804023927652</v>
      </c>
      <c r="AA72" s="141"/>
      <c r="AB72" s="141">
        <v>1.2178113211134407</v>
      </c>
      <c r="AC72" s="141"/>
      <c r="AD72" s="141">
        <v>1.0933255795747843</v>
      </c>
      <c r="AE72" s="141"/>
      <c r="AF72" s="141">
        <v>0.9334876195501034</v>
      </c>
      <c r="AG72" s="141"/>
      <c r="AH72" s="141">
        <v>0</v>
      </c>
      <c r="AI72" s="141"/>
      <c r="AJ72" s="141">
        <v>0</v>
      </c>
      <c r="AK72" s="141"/>
      <c r="AL72" s="141">
        <v>0</v>
      </c>
      <c r="AM72" s="141"/>
      <c r="AN72" s="141">
        <v>0</v>
      </c>
      <c r="AO72" s="141"/>
      <c r="AP72" s="141">
        <v>0</v>
      </c>
      <c r="AQ72" s="141"/>
      <c r="AR72" s="141">
        <v>0</v>
      </c>
      <c r="AS72" s="141"/>
      <c r="AT72" s="141">
        <v>0</v>
      </c>
      <c r="AU72" s="141"/>
      <c r="AV72" s="141">
        <v>0</v>
      </c>
      <c r="XFD72" s="141"/>
    </row>
    <row r="73" spans="1:48 16384:16384" x14ac:dyDescent="0.2">
      <c r="A73" t="s">
        <v>187</v>
      </c>
      <c r="B73" s="196">
        <v>0.56706723273486048</v>
      </c>
      <c r="D73" s="196">
        <v>0.56706723303133422</v>
      </c>
      <c r="E73" s="141"/>
      <c r="F73" s="196">
        <v>0.56706723547770288</v>
      </c>
      <c r="G73" s="141"/>
      <c r="H73" s="196">
        <v>0.56706723336438825</v>
      </c>
      <c r="I73" s="141"/>
      <c r="J73" s="196">
        <v>0.567067233492902</v>
      </c>
      <c r="K73" s="141"/>
      <c r="L73" s="196">
        <v>0.56706723227533207</v>
      </c>
      <c r="M73" s="141"/>
      <c r="N73" s="196">
        <v>0.56706723197661824</v>
      </c>
      <c r="O73" s="141"/>
      <c r="P73" s="196">
        <v>0.56706723315308827</v>
      </c>
      <c r="Q73" s="141"/>
      <c r="R73" s="196">
        <v>0.56706723405517512</v>
      </c>
      <c r="S73" s="141"/>
      <c r="T73" s="196">
        <v>0.56706723347979027</v>
      </c>
      <c r="U73" s="141"/>
      <c r="V73" s="196">
        <v>0.56706723266816939</v>
      </c>
      <c r="W73" s="141"/>
      <c r="X73" s="196">
        <v>0.5670672327717543</v>
      </c>
      <c r="Y73" s="141"/>
      <c r="Z73" s="196">
        <v>0.56706723267712267</v>
      </c>
      <c r="AA73" s="141"/>
      <c r="AB73" s="196">
        <v>0.56706723274772108</v>
      </c>
      <c r="AC73" s="141"/>
      <c r="AD73" s="196">
        <v>0.56706723274093596</v>
      </c>
      <c r="AE73" s="141"/>
      <c r="AF73" s="196">
        <v>0.56706723273486082</v>
      </c>
      <c r="AG73" s="141"/>
      <c r="AH73" s="196" t="e">
        <v>#DIV/0!</v>
      </c>
      <c r="AI73" s="141"/>
      <c r="AJ73" s="196" t="e">
        <v>#DIV/0!</v>
      </c>
      <c r="AK73" s="141"/>
      <c r="AL73" s="196" t="e">
        <v>#DIV/0!</v>
      </c>
      <c r="AM73" s="141"/>
      <c r="AN73" s="196" t="e">
        <v>#DIV/0!</v>
      </c>
      <c r="AO73" s="141"/>
      <c r="AP73" s="196" t="e">
        <v>#DIV/0!</v>
      </c>
      <c r="AQ73" s="141"/>
      <c r="AR73" s="196" t="e">
        <v>#DIV/0!</v>
      </c>
      <c r="AS73" s="141"/>
      <c r="AT73" s="196" t="e">
        <v>#DIV/0!</v>
      </c>
      <c r="AU73" s="141"/>
      <c r="AV73" s="196" t="e">
        <v>#DIV/0!</v>
      </c>
      <c r="XFD73" s="196"/>
    </row>
    <row r="74" spans="1:48 16384:16384" x14ac:dyDescent="0.2">
      <c r="A74" t="s">
        <v>188</v>
      </c>
      <c r="B74" s="196">
        <v>0.21672767296897655</v>
      </c>
      <c r="D74" s="196">
        <v>0.21672767296897655</v>
      </c>
      <c r="E74" s="141"/>
      <c r="F74" s="196">
        <v>0.21672767296897655</v>
      </c>
      <c r="G74" s="141"/>
      <c r="H74" s="196">
        <v>0.21672767296897655</v>
      </c>
      <c r="I74" s="141"/>
      <c r="J74" s="196">
        <v>0.21672767296897655</v>
      </c>
      <c r="K74" s="141"/>
      <c r="L74" s="196">
        <v>0.21672767296897658</v>
      </c>
      <c r="M74" s="141"/>
      <c r="N74" s="196">
        <v>0.21672767296897655</v>
      </c>
      <c r="O74" s="141"/>
      <c r="P74" s="196">
        <v>0.21672767296897652</v>
      </c>
      <c r="Q74" s="141"/>
      <c r="R74" s="196">
        <v>0.21672767296897655</v>
      </c>
      <c r="S74" s="141"/>
      <c r="T74" s="196">
        <v>0.21672767296897655</v>
      </c>
      <c r="U74" s="141"/>
      <c r="V74" s="196">
        <v>0.21672767296897652</v>
      </c>
      <c r="W74" s="141"/>
      <c r="X74" s="196">
        <v>0.21672767296897652</v>
      </c>
      <c r="Y74" s="141"/>
      <c r="Z74" s="196">
        <v>0.21672767296897652</v>
      </c>
      <c r="AA74" s="141"/>
      <c r="AB74" s="196">
        <v>0.21672767296897658</v>
      </c>
      <c r="AC74" s="141"/>
      <c r="AD74" s="196">
        <v>0.21672767296897655</v>
      </c>
      <c r="AE74" s="141"/>
      <c r="AF74" s="196">
        <v>0.21672767296897655</v>
      </c>
      <c r="AG74" s="141"/>
      <c r="AH74" s="196" t="e">
        <v>#DIV/0!</v>
      </c>
      <c r="AI74" s="141"/>
      <c r="AJ74" s="196" t="e">
        <v>#DIV/0!</v>
      </c>
      <c r="AK74" s="141"/>
      <c r="AL74" s="196" t="e">
        <v>#DIV/0!</v>
      </c>
      <c r="AM74" s="141"/>
      <c r="AN74" s="196" t="e">
        <v>#DIV/0!</v>
      </c>
      <c r="AO74" s="141"/>
      <c r="AP74" s="196" t="e">
        <v>#DIV/0!</v>
      </c>
      <c r="AQ74" s="141"/>
      <c r="AR74" s="196" t="e">
        <v>#DIV/0!</v>
      </c>
      <c r="AS74" s="141"/>
      <c r="AT74" s="196" t="e">
        <v>#DIV/0!</v>
      </c>
      <c r="AU74" s="141"/>
      <c r="AV74" s="196" t="e">
        <v>#DIV/0!</v>
      </c>
      <c r="XFD74" s="196"/>
    </row>
    <row r="75" spans="1:48 16384:16384" x14ac:dyDescent="0.2">
      <c r="A75" t="s">
        <v>189</v>
      </c>
      <c r="B75" s="196">
        <v>0.20445380142857192</v>
      </c>
      <c r="D75" s="196">
        <v>0.20445380131564891</v>
      </c>
      <c r="E75" s="141"/>
      <c r="F75" s="196">
        <v>0.20445380143456796</v>
      </c>
      <c r="G75" s="141"/>
      <c r="H75" s="196">
        <v>0.20445380130000376</v>
      </c>
      <c r="I75" s="141"/>
      <c r="J75" s="196">
        <v>0.20445380137922134</v>
      </c>
      <c r="K75" s="141"/>
      <c r="L75" s="196">
        <v>0.20445380141946407</v>
      </c>
      <c r="M75" s="141"/>
      <c r="N75" s="196">
        <v>0.20445380141227149</v>
      </c>
      <c r="O75" s="141"/>
      <c r="P75" s="196">
        <v>0.20445380140176425</v>
      </c>
      <c r="Q75" s="141"/>
      <c r="R75" s="196">
        <v>0.20445380133706278</v>
      </c>
      <c r="S75" s="141"/>
      <c r="T75" s="196">
        <v>0.20445380142969929</v>
      </c>
      <c r="U75" s="141"/>
      <c r="V75" s="196">
        <v>0.20445380142665781</v>
      </c>
      <c r="W75" s="141"/>
      <c r="X75" s="196">
        <v>0.20445380142609634</v>
      </c>
      <c r="Y75" s="141"/>
      <c r="Z75" s="196">
        <v>0.20445380142672831</v>
      </c>
      <c r="AA75" s="141"/>
      <c r="AB75" s="196">
        <v>0.20445380142876715</v>
      </c>
      <c r="AC75" s="141"/>
      <c r="AD75" s="196">
        <v>0.20445380142720629</v>
      </c>
      <c r="AE75" s="141"/>
      <c r="AF75" s="196">
        <v>0.20445380142857794</v>
      </c>
      <c r="AG75" s="141"/>
      <c r="AH75" s="196" t="e">
        <v>#DIV/0!</v>
      </c>
      <c r="AI75" s="141"/>
      <c r="AJ75" s="196" t="e">
        <v>#DIV/0!</v>
      </c>
      <c r="AK75" s="141"/>
      <c r="AL75" s="196" t="e">
        <v>#DIV/0!</v>
      </c>
      <c r="AM75" s="141"/>
      <c r="AN75" s="196" t="e">
        <v>#DIV/0!</v>
      </c>
      <c r="AO75" s="141"/>
      <c r="AP75" s="196" t="e">
        <v>#DIV/0!</v>
      </c>
      <c r="AQ75" s="141"/>
      <c r="AR75" s="196" t="e">
        <v>#DIV/0!</v>
      </c>
      <c r="AS75" s="141"/>
      <c r="AT75" s="196" t="e">
        <v>#DIV/0!</v>
      </c>
      <c r="AU75" s="141"/>
      <c r="AV75" s="196" t="e">
        <v>#DIV/0!</v>
      </c>
      <c r="XFD75" s="196"/>
    </row>
    <row r="76" spans="1:48 16384:16384" x14ac:dyDescent="0.2">
      <c r="A76" t="s">
        <v>190</v>
      </c>
      <c r="B76" s="196">
        <v>0.20231859885161138</v>
      </c>
      <c r="D76" s="196">
        <v>0.20282979067490178</v>
      </c>
      <c r="E76" s="141"/>
      <c r="F76" s="196">
        <v>0.20337710460218766</v>
      </c>
      <c r="G76" s="141"/>
      <c r="H76" s="196">
        <v>0.20394955140292023</v>
      </c>
      <c r="I76" s="141"/>
      <c r="J76" s="196">
        <v>0.20453048843601715</v>
      </c>
      <c r="K76" s="141"/>
      <c r="L76" s="196">
        <v>0.20509478532755418</v>
      </c>
      <c r="M76" s="141"/>
      <c r="N76" s="196">
        <v>0.20560417979855033</v>
      </c>
      <c r="O76" s="141"/>
      <c r="P76" s="196">
        <v>0.20599990763774279</v>
      </c>
      <c r="Q76" s="141"/>
      <c r="R76" s="196">
        <v>0.20619064859486005</v>
      </c>
      <c r="S76" s="141"/>
      <c r="T76" s="196">
        <v>0.20603340604123788</v>
      </c>
      <c r="U76" s="141"/>
      <c r="V76" s="196">
        <v>0.20530605959091436</v>
      </c>
      <c r="W76" s="141"/>
      <c r="X76" s="196">
        <v>0.20368029688291103</v>
      </c>
      <c r="Y76" s="141"/>
      <c r="Z76" s="196">
        <v>0.20074088702041251</v>
      </c>
      <c r="AA76" s="141"/>
      <c r="AB76" s="196">
        <v>0.19615566920641422</v>
      </c>
      <c r="AC76" s="141"/>
      <c r="AD76" s="196">
        <v>0.18999062631929123</v>
      </c>
      <c r="AE76" s="141"/>
      <c r="AF76" s="196">
        <v>0.18275070761564524</v>
      </c>
      <c r="AG76" s="141"/>
      <c r="AH76" s="196" t="e">
        <v>#DIV/0!</v>
      </c>
      <c r="AI76" s="141"/>
      <c r="AJ76" s="196" t="e">
        <v>#DIV/0!</v>
      </c>
      <c r="AK76" s="141"/>
      <c r="AL76" s="196" t="e">
        <v>#DIV/0!</v>
      </c>
      <c r="AM76" s="141"/>
      <c r="AN76" s="196" t="e">
        <v>#DIV/0!</v>
      </c>
      <c r="AO76" s="141"/>
      <c r="AP76" s="196" t="e">
        <v>#DIV/0!</v>
      </c>
      <c r="AQ76" s="141"/>
      <c r="AR76" s="196" t="e">
        <v>#DIV/0!</v>
      </c>
      <c r="AS76" s="141"/>
      <c r="AT76" s="196" t="e">
        <v>#DIV/0!</v>
      </c>
      <c r="AU76" s="141"/>
      <c r="AV76" s="196" t="e">
        <v>#DIV/0!</v>
      </c>
      <c r="XFD76" s="196"/>
    </row>
    <row r="77" spans="1:48 16384:16384" x14ac:dyDescent="0.2">
      <c r="A77" t="s">
        <v>191</v>
      </c>
      <c r="B77" s="196">
        <v>0.19056730598402033</v>
      </c>
      <c r="D77" s="196">
        <v>0.19107849799086132</v>
      </c>
      <c r="E77" s="141"/>
      <c r="F77" s="196">
        <v>0.19162581448343505</v>
      </c>
      <c r="G77" s="141"/>
      <c r="H77" s="196">
        <v>0.19219825903628884</v>
      </c>
      <c r="I77" s="141"/>
      <c r="J77" s="196">
        <v>0.1927791962771169</v>
      </c>
      <c r="K77" s="141"/>
      <c r="L77" s="196">
        <v>0.19334349199132689</v>
      </c>
      <c r="M77" s="141"/>
      <c r="N77" s="196">
        <v>0.19385288615641666</v>
      </c>
      <c r="O77" s="141"/>
      <c r="P77" s="196">
        <v>0.19424861516157171</v>
      </c>
      <c r="Q77" s="141"/>
      <c r="R77" s="196">
        <v>0.19443935695607439</v>
      </c>
      <c r="S77" s="141"/>
      <c r="T77" s="196">
        <v>0.19428211391970412</v>
      </c>
      <c r="U77" s="141"/>
      <c r="V77" s="196">
        <v>0.1935547666547181</v>
      </c>
      <c r="W77" s="141"/>
      <c r="X77" s="196">
        <v>0.19192900404973845</v>
      </c>
      <c r="Y77" s="141"/>
      <c r="Z77" s="196">
        <v>0.18898959409324001</v>
      </c>
      <c r="AA77" s="141"/>
      <c r="AB77" s="196">
        <v>0.18440437635187898</v>
      </c>
      <c r="AC77" s="141"/>
      <c r="AD77" s="196">
        <v>0.17823933345641035</v>
      </c>
      <c r="AE77" s="141"/>
      <c r="AF77" s="196">
        <v>0.17099941474806071</v>
      </c>
      <c r="AG77" s="141"/>
      <c r="AH77" s="196" t="e">
        <v>#DIV/0!</v>
      </c>
      <c r="AI77" s="141"/>
      <c r="AJ77" s="196" t="e">
        <v>#DIV/0!</v>
      </c>
      <c r="AK77" s="141"/>
      <c r="AL77" s="196" t="e">
        <v>#DIV/0!</v>
      </c>
      <c r="AM77" s="141"/>
      <c r="AN77" s="196" t="e">
        <v>#DIV/0!</v>
      </c>
      <c r="AO77" s="141"/>
      <c r="AP77" s="196" t="e">
        <v>#DIV/0!</v>
      </c>
      <c r="AQ77" s="141"/>
      <c r="AR77" s="196" t="e">
        <v>#DIV/0!</v>
      </c>
      <c r="AS77" s="141"/>
      <c r="AT77" s="196" t="e">
        <v>#DIV/0!</v>
      </c>
      <c r="AU77" s="141"/>
      <c r="AV77" s="196" t="e">
        <v>#DIV/0!</v>
      </c>
      <c r="XFD77" s="196"/>
    </row>
    <row r="78" spans="1:48 16384:16384" x14ac:dyDescent="0.2">
      <c r="A78" t="s">
        <v>192</v>
      </c>
      <c r="B78" s="196">
        <v>0.27666372811889955</v>
      </c>
      <c r="D78" s="196">
        <v>0.27143376332362196</v>
      </c>
      <c r="E78" s="141"/>
      <c r="F78" s="196">
        <v>0.26588864379473992</v>
      </c>
      <c r="G78" s="141"/>
      <c r="H78" s="196">
        <v>0.25996054784401584</v>
      </c>
      <c r="I78" s="141"/>
      <c r="J78" s="196">
        <v>0.25355806806723347</v>
      </c>
      <c r="K78" s="141"/>
      <c r="L78" s="196">
        <v>0.24655515943933357</v>
      </c>
      <c r="M78" s="141"/>
      <c r="N78" s="196">
        <v>0.2387734443485664</v>
      </c>
      <c r="O78" s="141"/>
      <c r="P78" s="196">
        <v>0.22995367209927992</v>
      </c>
      <c r="Q78" s="141"/>
      <c r="R78" s="196">
        <v>0.21970834246689008</v>
      </c>
      <c r="S78" s="141"/>
      <c r="T78" s="196">
        <v>0.20744282871207612</v>
      </c>
      <c r="U78" s="141"/>
      <c r="V78" s="196">
        <v>0.19222819377411718</v>
      </c>
      <c r="W78" s="141"/>
      <c r="X78" s="196">
        <v>0.17262086936944954</v>
      </c>
      <c r="Y78" s="141"/>
      <c r="Z78" s="196">
        <v>0.14650292316319649</v>
      </c>
      <c r="AA78" s="141"/>
      <c r="AB78" s="196">
        <v>0.11118045503590662</v>
      </c>
      <c r="AC78" s="141"/>
      <c r="AD78" s="196">
        <v>6.3771248605082362E-2</v>
      </c>
      <c r="AE78" s="141"/>
      <c r="AF78" s="196">
        <v>7.0728340758052192E-4</v>
      </c>
      <c r="AG78" s="141"/>
      <c r="AH78" s="196" t="e">
        <v>#DIV/0!</v>
      </c>
      <c r="AI78" s="141"/>
      <c r="AJ78" s="196" t="e">
        <v>#DIV/0!</v>
      </c>
      <c r="AK78" s="141"/>
      <c r="AL78" s="196" t="e">
        <v>#DIV/0!</v>
      </c>
      <c r="AM78" s="141"/>
      <c r="AN78" s="196" t="e">
        <v>#DIV/0!</v>
      </c>
      <c r="AO78" s="141"/>
      <c r="AP78" s="196" t="e">
        <v>#DIV/0!</v>
      </c>
      <c r="AQ78" s="141"/>
      <c r="AR78" s="196" t="e">
        <v>#DIV/0!</v>
      </c>
      <c r="AS78" s="141"/>
      <c r="AT78" s="196" t="e">
        <v>#DIV/0!</v>
      </c>
      <c r="AU78" s="141"/>
      <c r="AV78" s="196" t="e">
        <v>#DIV/0!</v>
      </c>
      <c r="XFD78" s="196"/>
    </row>
    <row r="79" spans="1:48 16384:16384" x14ac:dyDescent="0.2">
      <c r="A79" t="s">
        <v>193</v>
      </c>
      <c r="B79" s="196">
        <v>0.42990307543833983</v>
      </c>
      <c r="D79" s="196">
        <v>0.43513303326760788</v>
      </c>
      <c r="F79" s="196">
        <v>0.44067815687501793</v>
      </c>
      <c r="H79" s="196">
        <v>0.44660625329718268</v>
      </c>
      <c r="J79" s="196">
        <v>0.45300873030032074</v>
      </c>
      <c r="L79" s="196">
        <v>0.46001164500099379</v>
      </c>
      <c r="N79" s="196">
        <v>0.46779336051062054</v>
      </c>
      <c r="P79" s="196">
        <v>0.47661313093061553</v>
      </c>
      <c r="R79" s="196">
        <v>0.48685845928899762</v>
      </c>
      <c r="T79" s="196">
        <v>0.49912397315647117</v>
      </c>
      <c r="V79" s="196">
        <v>0.51433860988351532</v>
      </c>
      <c r="X79" s="196">
        <v>0.5339459341502768</v>
      </c>
      <c r="Z79" s="196">
        <v>0.56006388050102462</v>
      </c>
      <c r="AB79" s="196">
        <v>0.59538634850879724</v>
      </c>
      <c r="AD79" s="196">
        <v>0.64279555484803585</v>
      </c>
      <c r="AF79" s="196">
        <v>0.70585952040452948</v>
      </c>
      <c r="AH79" s="196" t="e">
        <v>#DIV/0!</v>
      </c>
      <c r="AJ79" s="196" t="e">
        <v>#DIV/0!</v>
      </c>
      <c r="AL79" s="196" t="e">
        <v>#DIV/0!</v>
      </c>
      <c r="AN79" s="196" t="e">
        <v>#DIV/0!</v>
      </c>
      <c r="AP79" s="196" t="e">
        <v>#DIV/0!</v>
      </c>
      <c r="AR79" s="196" t="e">
        <v>#DIV/0!</v>
      </c>
      <c r="AT79" s="196" t="e">
        <v>#DIV/0!</v>
      </c>
      <c r="AV79" s="196" t="e">
        <v>#DIV/0!</v>
      </c>
      <c r="XFD79" s="196"/>
    </row>
    <row r="80" spans="1:48 16384:16384" x14ac:dyDescent="0.2">
      <c r="A80" t="s">
        <v>172</v>
      </c>
      <c r="B80" s="239">
        <v>0.29343319644276039</v>
      </c>
      <c r="D80" s="239">
        <v>0.29343319501824283</v>
      </c>
      <c r="F80" s="239">
        <v>0.29343319930066092</v>
      </c>
      <c r="H80" s="239">
        <v>0.29343320399705403</v>
      </c>
      <c r="J80" s="239">
        <v>0.29343319532752482</v>
      </c>
      <c r="L80" s="239">
        <v>0.29343319720601696</v>
      </c>
      <c r="N80" s="239">
        <v>0.29343319787467281</v>
      </c>
      <c r="P80" s="239">
        <v>0.29343319927593942</v>
      </c>
      <c r="R80" s="239">
        <v>0.29343320607473417</v>
      </c>
      <c r="T80" s="239">
        <v>0.29343319593946049</v>
      </c>
      <c r="V80" s="239">
        <v>0.29343319667429624</v>
      </c>
      <c r="X80" s="239">
        <v>0.29343319682077529</v>
      </c>
      <c r="Z80" s="239">
        <v>0.29343319682914765</v>
      </c>
      <c r="AB80" s="239">
        <v>0.29343319632970827</v>
      </c>
      <c r="AD80" s="239">
        <v>0.29343319677616142</v>
      </c>
      <c r="AF80" s="239">
        <v>0.29343319619936764</v>
      </c>
      <c r="AH80" s="239" t="e">
        <v>#DIV/0!</v>
      </c>
      <c r="AJ80" s="239" t="e">
        <v>#DIV/0!</v>
      </c>
      <c r="AL80" s="239" t="e">
        <v>#DIV/0!</v>
      </c>
      <c r="AN80" s="239" t="e">
        <v>#DIV/0!</v>
      </c>
      <c r="AP80" s="239" t="e">
        <v>#DIV/0!</v>
      </c>
      <c r="AR80" s="239" t="e">
        <v>#DIV/0!</v>
      </c>
      <c r="AT80" s="239" t="e">
        <v>#DIV/0!</v>
      </c>
      <c r="AV80" s="239" t="e">
        <v>#DIV/0!</v>
      </c>
      <c r="XFD80" s="239"/>
    </row>
    <row r="81" spans="1:48 16384:16384" x14ac:dyDescent="0.2">
      <c r="A81" t="s">
        <v>194</v>
      </c>
      <c r="B81" s="239">
        <v>7.6705523473783829E-2</v>
      </c>
      <c r="D81" s="239">
        <v>7.6705522049266256E-2</v>
      </c>
      <c r="F81" s="239">
        <v>7.6705526331684384E-2</v>
      </c>
      <c r="H81" s="239">
        <v>7.6705531028077464E-2</v>
      </c>
      <c r="J81" s="239">
        <v>7.6705522358548273E-2</v>
      </c>
      <c r="L81" s="239">
        <v>7.6705524237040371E-2</v>
      </c>
      <c r="N81" s="239">
        <v>7.6705524905696279E-2</v>
      </c>
      <c r="P81" s="239">
        <v>7.6705526306962882E-2</v>
      </c>
      <c r="R81" s="239">
        <v>7.6705533105757631E-2</v>
      </c>
      <c r="T81" s="239">
        <v>7.67055229704839E-2</v>
      </c>
      <c r="V81" s="239">
        <v>7.6705523705319731E-2</v>
      </c>
      <c r="X81" s="239">
        <v>7.6705523851798782E-2</v>
      </c>
      <c r="Z81" s="239">
        <v>7.6705523860171113E-2</v>
      </c>
      <c r="AB81" s="239">
        <v>7.6705523360731706E-2</v>
      </c>
      <c r="AD81" s="239">
        <v>7.6705523807184886E-2</v>
      </c>
      <c r="AF81" s="239">
        <v>7.6705523230391079E-2</v>
      </c>
      <c r="AH81" s="239" t="e">
        <v>#DIV/0!</v>
      </c>
      <c r="AJ81" s="239" t="e">
        <v>#DIV/0!</v>
      </c>
      <c r="AL81" s="239" t="e">
        <v>#DIV/0!</v>
      </c>
      <c r="AN81" s="239" t="e">
        <v>#DIV/0!</v>
      </c>
      <c r="AP81" s="239" t="e">
        <v>#DIV/0!</v>
      </c>
      <c r="AR81" s="239" t="e">
        <v>#DIV/0!</v>
      </c>
      <c r="AT81" s="239" t="e">
        <v>#DIV/0!</v>
      </c>
      <c r="AV81" s="239" t="e">
        <v>#DIV/0!</v>
      </c>
      <c r="XFD81" s="239"/>
    </row>
    <row r="82" spans="1:48 16384:16384" x14ac:dyDescent="0.2">
      <c r="A82" t="s">
        <v>195</v>
      </c>
      <c r="B82" s="239">
        <v>5.4622536949655895E-2</v>
      </c>
      <c r="D82" s="239">
        <v>5.3589969553785775E-2</v>
      </c>
      <c r="F82" s="239">
        <v>5.249518022807248E-2</v>
      </c>
      <c r="H82" s="239">
        <v>5.1324778736300591E-2</v>
      </c>
      <c r="J82" s="239">
        <v>5.0060718244690279E-2</v>
      </c>
      <c r="L82" s="239">
        <v>4.8678113311678838E-2</v>
      </c>
      <c r="N82" s="239">
        <v>4.714174631855262E-2</v>
      </c>
      <c r="P82" s="239">
        <v>4.5400432634790065E-2</v>
      </c>
      <c r="R82" s="239">
        <v>4.3377666946596519E-2</v>
      </c>
      <c r="T82" s="239">
        <v>4.0956050340639018E-2</v>
      </c>
      <c r="V82" s="239">
        <v>3.7952180029468242E-2</v>
      </c>
      <c r="X82" s="239">
        <v>3.4081048063381338E-2</v>
      </c>
      <c r="Z82" s="239">
        <v>2.8924504806337278E-2</v>
      </c>
      <c r="AB82" s="239">
        <v>2.1950685601505517E-2</v>
      </c>
      <c r="AD82" s="239">
        <v>1.2590545956063286E-2</v>
      </c>
      <c r="AF82" s="239">
        <v>1.39641052071135E-4</v>
      </c>
      <c r="AH82" s="239" t="e">
        <v>#DIV/0!</v>
      </c>
      <c r="AJ82" s="239" t="e">
        <v>#DIV/0!</v>
      </c>
      <c r="AL82" s="239" t="e">
        <v>#DIV/0!</v>
      </c>
      <c r="AN82" s="239" t="e">
        <v>#DIV/0!</v>
      </c>
      <c r="AP82" s="239" t="e">
        <v>#DIV/0!</v>
      </c>
      <c r="AR82" s="239" t="e">
        <v>#DIV/0!</v>
      </c>
      <c r="AT82" s="239" t="e">
        <v>#DIV/0!</v>
      </c>
      <c r="AV82" s="239" t="e">
        <v>#DIV/0!</v>
      </c>
    </row>
    <row r="83" spans="1:48 16384:16384" x14ac:dyDescent="0.2">
      <c r="A83" t="s">
        <v>196</v>
      </c>
      <c r="B83" s="239">
        <v>8.4877033872722163E-2</v>
      </c>
      <c r="D83" s="239">
        <v>8.5909599893272431E-2</v>
      </c>
      <c r="F83" s="239">
        <v>8.700439002422157E-2</v>
      </c>
      <c r="H83" s="239">
        <v>8.8174791609071379E-2</v>
      </c>
      <c r="J83" s="239">
        <v>8.9438851553072907E-2</v>
      </c>
      <c r="L83" s="239">
        <v>9.0821457685049886E-2</v>
      </c>
      <c r="N83" s="239">
        <v>9.2357824760872786E-2</v>
      </c>
      <c r="P83" s="239">
        <v>9.4099138083472922E-2</v>
      </c>
      <c r="R83" s="239">
        <v>9.6121903520135374E-2</v>
      </c>
      <c r="T83" s="239">
        <v>9.8543520148335575E-2</v>
      </c>
      <c r="V83" s="239">
        <v>0.10154739081273072</v>
      </c>
      <c r="X83" s="239">
        <v>0.10541852275159042</v>
      </c>
      <c r="Z83" s="239">
        <v>0.11057506603716251</v>
      </c>
      <c r="AB83" s="239">
        <v>0.11754888521839761</v>
      </c>
      <c r="AD83" s="239">
        <v>0.12690902484575781</v>
      </c>
      <c r="AF83" s="239">
        <v>0.13935992982062681</v>
      </c>
      <c r="AH83" s="239" t="e">
        <v>#DIV/0!</v>
      </c>
      <c r="AJ83" s="239" t="e">
        <v>#DIV/0!</v>
      </c>
      <c r="AL83" s="239" t="e">
        <v>#DIV/0!</v>
      </c>
      <c r="AN83" s="239" t="e">
        <v>#DIV/0!</v>
      </c>
      <c r="AP83" s="239" t="e">
        <v>#DIV/0!</v>
      </c>
      <c r="AR83" s="239" t="e">
        <v>#DIV/0!</v>
      </c>
      <c r="AT83" s="239" t="e">
        <v>#DIV/0!</v>
      </c>
      <c r="AV83" s="239" t="e">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dimension ref="A1:XFD83"/>
  <sheetViews>
    <sheetView showGridLines="0" topLeftCell="S1" workbookViewId="0">
      <pane ySplit="1" topLeftCell="A2" activePane="bottomLeft" state="frozen"/>
      <selection pane="bottomLeft" sqref="A1:XFD1048576"/>
    </sheetView>
  </sheetViews>
  <sheetFormatPr baseColWidth="10" defaultRowHeight="10" x14ac:dyDescent="0.2"/>
  <sheetData>
    <row r="1" spans="1:49" x14ac:dyDescent="0.2">
      <c r="B1" s="97">
        <v>0</v>
      </c>
      <c r="D1" s="97">
        <v>0.05</v>
      </c>
      <c r="F1" s="97">
        <v>0.1</v>
      </c>
      <c r="H1" s="97">
        <v>0.15000000000000002</v>
      </c>
      <c r="J1" s="97">
        <v>0.2</v>
      </c>
      <c r="L1" s="97">
        <v>0.25</v>
      </c>
      <c r="N1" s="97">
        <v>0.3</v>
      </c>
      <c r="P1" s="97">
        <v>0.35</v>
      </c>
      <c r="R1" s="97">
        <v>0.39999999999999997</v>
      </c>
      <c r="T1" s="97">
        <v>0.44999999999999996</v>
      </c>
      <c r="V1" s="97">
        <v>0.49999999999999994</v>
      </c>
      <c r="X1" s="97">
        <v>0.54999999999999993</v>
      </c>
      <c r="Z1" s="97">
        <v>0.6</v>
      </c>
      <c r="AB1" s="97">
        <v>0.65</v>
      </c>
      <c r="AD1" s="97">
        <v>0.70000000000000007</v>
      </c>
      <c r="AF1" s="97"/>
      <c r="AH1" s="97"/>
      <c r="AJ1" s="97"/>
      <c r="AL1" s="97"/>
      <c r="AN1" s="97"/>
      <c r="AP1" s="97"/>
      <c r="AR1" s="97"/>
      <c r="AT1" s="97"/>
      <c r="AV1" s="97"/>
    </row>
    <row r="2" spans="1:49" x14ac:dyDescent="0.2">
      <c r="A2" s="232" t="s">
        <v>158</v>
      </c>
      <c r="B2" s="229">
        <v>0.16485636072655629</v>
      </c>
      <c r="C2" s="230"/>
      <c r="D2" s="229">
        <v>0.18998073911183716</v>
      </c>
      <c r="E2" s="230"/>
      <c r="F2" s="229">
        <v>0.21680259842249255</v>
      </c>
      <c r="G2" s="230"/>
      <c r="H2" s="229">
        <v>0.24543369742108706</v>
      </c>
      <c r="I2" s="230"/>
      <c r="J2" s="229">
        <v>0.27597087161484013</v>
      </c>
      <c r="K2" s="230"/>
      <c r="L2" s="229">
        <v>0.30848153186628324</v>
      </c>
      <c r="M2" s="230"/>
      <c r="N2" s="229">
        <v>0.34298235061950527</v>
      </c>
      <c r="O2" s="230"/>
      <c r="P2" s="229">
        <v>0.37940962218000401</v>
      </c>
      <c r="Q2" s="230"/>
      <c r="R2" s="229">
        <v>0.41758081816513259</v>
      </c>
      <c r="S2" s="230"/>
      <c r="T2" s="229">
        <v>0.45714785049673951</v>
      </c>
      <c r="U2" s="230"/>
      <c r="V2" s="229">
        <v>0.49754700693964687</v>
      </c>
      <c r="W2" s="230"/>
      <c r="X2" s="229">
        <v>0.53795708563210221</v>
      </c>
      <c r="Y2" s="230"/>
      <c r="Z2" s="229">
        <v>0.57727139100185021</v>
      </c>
      <c r="AA2" s="230"/>
      <c r="AB2" s="229">
        <v>0.61405291754472613</v>
      </c>
      <c r="AC2" s="230"/>
      <c r="AD2" s="229">
        <v>0.64591061176624576</v>
      </c>
      <c r="AE2" s="230"/>
      <c r="AF2" s="229"/>
      <c r="AG2" s="230"/>
      <c r="AH2" s="229"/>
      <c r="AI2" s="230"/>
      <c r="AJ2" s="229"/>
      <c r="AK2" s="230"/>
      <c r="AL2" s="229"/>
      <c r="AM2" s="230"/>
      <c r="AN2" s="229"/>
      <c r="AO2" s="230"/>
      <c r="AP2" s="229"/>
      <c r="AQ2" s="230"/>
      <c r="AR2" s="229"/>
      <c r="AS2" s="230"/>
      <c r="AT2" s="229"/>
      <c r="AU2" s="230"/>
      <c r="AV2" s="229"/>
      <c r="AW2" s="230"/>
    </row>
    <row r="3" spans="1:49" x14ac:dyDescent="0.2">
      <c r="A3" t="s">
        <v>12</v>
      </c>
      <c r="B3" s="87">
        <v>1000</v>
      </c>
      <c r="C3" s="88">
        <v>1000</v>
      </c>
      <c r="D3" s="87">
        <v>998.80267945420633</v>
      </c>
      <c r="E3" s="88">
        <v>1017.5834647381694</v>
      </c>
      <c r="F3" s="87">
        <v>997.64543585406716</v>
      </c>
      <c r="G3" s="88">
        <v>1036.173503184425</v>
      </c>
      <c r="H3" s="87">
        <v>996.53295623425777</v>
      </c>
      <c r="I3" s="88">
        <v>1055.8027993258281</v>
      </c>
      <c r="J3" s="87">
        <v>995.47089152701471</v>
      </c>
      <c r="K3" s="88">
        <v>1076.4836263826476</v>
      </c>
      <c r="L3" s="87">
        <v>994.46572745592982</v>
      </c>
      <c r="M3" s="88">
        <v>1098.1987964450539</v>
      </c>
      <c r="N3" s="87">
        <v>993.52468853995799</v>
      </c>
      <c r="O3" s="88">
        <v>1120.8883918189799</v>
      </c>
      <c r="P3" s="87">
        <v>992.65536286759504</v>
      </c>
      <c r="Q3" s="88">
        <v>1144.4352120846224</v>
      </c>
      <c r="R3" s="87">
        <v>991.86492487051203</v>
      </c>
      <c r="S3" s="88">
        <v>1168.6521368731508</v>
      </c>
      <c r="T3" s="87">
        <v>991.15836011043007</v>
      </c>
      <c r="U3" s="88">
        <v>1193.2837541399131</v>
      </c>
      <c r="V3" s="87">
        <v>990.53480796783128</v>
      </c>
      <c r="W3" s="88">
        <v>1218.0491707027031</v>
      </c>
      <c r="X3" s="87">
        <v>989.97912287025213</v>
      </c>
      <c r="Y3" s="88">
        <v>1242.8030976747575</v>
      </c>
      <c r="Z3" s="87">
        <v>989.43774316600468</v>
      </c>
      <c r="AA3" s="88">
        <v>1268.0812646005361</v>
      </c>
      <c r="AB3" s="87">
        <v>988.72685066169686</v>
      </c>
      <c r="AC3" s="88">
        <v>1297.298880583329</v>
      </c>
      <c r="AD3" s="87">
        <v>986.92552411330155</v>
      </c>
      <c r="AE3" s="88">
        <v>1352.1472285651612</v>
      </c>
      <c r="AF3" s="87"/>
      <c r="AG3" s="88"/>
      <c r="AH3" s="87"/>
      <c r="AI3" s="88"/>
      <c r="AJ3" s="87"/>
      <c r="AK3" s="88"/>
      <c r="AL3" s="87"/>
      <c r="AM3" s="88"/>
      <c r="AN3" s="87"/>
      <c r="AO3" s="88"/>
      <c r="AP3" s="87"/>
      <c r="AQ3" s="88"/>
      <c r="AR3" s="87"/>
      <c r="AS3" s="88"/>
      <c r="AT3" s="87"/>
      <c r="AU3" s="88"/>
      <c r="AV3" s="87"/>
      <c r="AW3" s="88"/>
    </row>
    <row r="4" spans="1:49" x14ac:dyDescent="0.2">
      <c r="A4" t="s">
        <v>119</v>
      </c>
      <c r="B4" s="104">
        <v>1000</v>
      </c>
      <c r="C4" s="105">
        <v>1000</v>
      </c>
      <c r="D4" s="104">
        <v>1000</v>
      </c>
      <c r="E4" s="105">
        <v>1000</v>
      </c>
      <c r="F4" s="104">
        <v>1000</v>
      </c>
      <c r="G4" s="105">
        <v>1000</v>
      </c>
      <c r="H4" s="104">
        <v>1000</v>
      </c>
      <c r="I4" s="105">
        <v>1000</v>
      </c>
      <c r="J4" s="104">
        <v>1000</v>
      </c>
      <c r="K4" s="105">
        <v>1000</v>
      </c>
      <c r="L4" s="104">
        <v>1000</v>
      </c>
      <c r="M4" s="105">
        <v>1000</v>
      </c>
      <c r="N4" s="104">
        <v>1000</v>
      </c>
      <c r="O4" s="105">
        <v>1000</v>
      </c>
      <c r="P4" s="104">
        <v>1000</v>
      </c>
      <c r="Q4" s="105">
        <v>1000</v>
      </c>
      <c r="R4" s="104">
        <v>1000</v>
      </c>
      <c r="S4" s="105">
        <v>1000</v>
      </c>
      <c r="T4" s="104">
        <v>1000</v>
      </c>
      <c r="U4" s="105">
        <v>1000</v>
      </c>
      <c r="V4" s="104">
        <v>1000</v>
      </c>
      <c r="W4" s="105">
        <v>1000</v>
      </c>
      <c r="X4" s="104">
        <v>1000</v>
      </c>
      <c r="Y4" s="105">
        <v>1000</v>
      </c>
      <c r="Z4" s="104">
        <v>1000</v>
      </c>
      <c r="AA4" s="105">
        <v>1000</v>
      </c>
      <c r="AB4" s="104">
        <v>1000</v>
      </c>
      <c r="AC4" s="105">
        <v>1000</v>
      </c>
      <c r="AD4" s="104">
        <v>1000</v>
      </c>
      <c r="AE4" s="105">
        <v>1000</v>
      </c>
      <c r="AF4" s="104"/>
      <c r="AG4" s="105"/>
      <c r="AH4" s="104"/>
      <c r="AI4" s="105"/>
      <c r="AJ4" s="104"/>
      <c r="AK4" s="105"/>
      <c r="AL4" s="104"/>
      <c r="AM4" s="105"/>
      <c r="AN4" s="104"/>
      <c r="AO4" s="105"/>
      <c r="AP4" s="104"/>
      <c r="AQ4" s="105"/>
      <c r="AR4" s="104"/>
      <c r="AS4" s="105"/>
      <c r="AT4" s="104"/>
      <c r="AU4" s="105"/>
      <c r="AV4" s="104"/>
      <c r="AW4" s="105"/>
    </row>
    <row r="5" spans="1:49" x14ac:dyDescent="0.2">
      <c r="A5" t="s">
        <v>131</v>
      </c>
      <c r="B5" s="41">
        <v>1000</v>
      </c>
      <c r="C5" s="42">
        <v>1000</v>
      </c>
      <c r="D5" s="41">
        <v>998.77234247746799</v>
      </c>
      <c r="E5" s="42">
        <v>1011.8155890086224</v>
      </c>
      <c r="F5" s="41">
        <v>997.58517308570174</v>
      </c>
      <c r="G5" s="42">
        <v>1023.9151847463514</v>
      </c>
      <c r="H5" s="41">
        <v>996.44336373107342</v>
      </c>
      <c r="I5" s="42">
        <v>1036.2654836907025</v>
      </c>
      <c r="J5" s="41">
        <v>995.35278298543949</v>
      </c>
      <c r="K5" s="42">
        <v>1048.8174633685207</v>
      </c>
      <c r="L5" s="41">
        <v>994.32016537133211</v>
      </c>
      <c r="M5" s="42">
        <v>1061.5046209967102</v>
      </c>
      <c r="N5" s="41">
        <v>993.35301299124512</v>
      </c>
      <c r="O5" s="42">
        <v>1074.2393552476478</v>
      </c>
      <c r="P5" s="41">
        <v>992.4592094036492</v>
      </c>
      <c r="Q5" s="42">
        <v>1086.9108314533646</v>
      </c>
      <c r="R5" s="41">
        <v>991.64621843419138</v>
      </c>
      <c r="S5" s="42">
        <v>1099.3853991486578</v>
      </c>
      <c r="T5" s="41">
        <v>990.91925431554762</v>
      </c>
      <c r="U5" s="42">
        <v>1111.5156961274909</v>
      </c>
      <c r="V5" s="41">
        <v>990.27751132273011</v>
      </c>
      <c r="W5" s="42">
        <v>1123.1673115120495</v>
      </c>
      <c r="X5" s="41">
        <v>989.70546628568957</v>
      </c>
      <c r="Y5" s="42">
        <v>1134.2898567019015</v>
      </c>
      <c r="Z5" s="41">
        <v>989.14801254672773</v>
      </c>
      <c r="AA5" s="42">
        <v>1145.1303047371894</v>
      </c>
      <c r="AB5" s="41">
        <v>988.41580989571048</v>
      </c>
      <c r="AC5" s="42">
        <v>1157.0378332427474</v>
      </c>
      <c r="AD5" s="41">
        <v>986.55944990219155</v>
      </c>
      <c r="AE5" s="42">
        <v>1177.7021366313134</v>
      </c>
      <c r="AF5" s="41"/>
      <c r="AG5" s="42"/>
      <c r="AH5" s="41"/>
      <c r="AI5" s="42"/>
      <c r="AJ5" s="41"/>
      <c r="AK5" s="42"/>
      <c r="AL5" s="41"/>
      <c r="AM5" s="42"/>
      <c r="AN5" s="41"/>
      <c r="AO5" s="42"/>
      <c r="AP5" s="41"/>
      <c r="AQ5" s="42"/>
      <c r="AR5" s="41"/>
      <c r="AS5" s="42"/>
      <c r="AT5" s="41"/>
      <c r="AU5" s="42"/>
      <c r="AV5" s="41"/>
      <c r="AW5" s="42"/>
    </row>
    <row r="6" spans="1:49" x14ac:dyDescent="0.2">
      <c r="A6" t="s">
        <v>79</v>
      </c>
      <c r="B6" s="41">
        <v>999.99999999999886</v>
      </c>
      <c r="C6" s="42">
        <v>999.99999999999909</v>
      </c>
      <c r="D6" s="41">
        <v>998.65848441775893</v>
      </c>
      <c r="E6" s="42">
        <v>1018.9703699621783</v>
      </c>
      <c r="F6" s="41">
        <v>997.36150317146121</v>
      </c>
      <c r="G6" s="42">
        <v>1038.9726671633625</v>
      </c>
      <c r="H6" s="41">
        <v>996.11434727735866</v>
      </c>
      <c r="I6" s="42">
        <v>1060.0374674161351</v>
      </c>
      <c r="J6" s="41">
        <v>994.9233933386264</v>
      </c>
      <c r="K6" s="42">
        <v>1082.1736441759992</v>
      </c>
      <c r="L6" s="41">
        <v>993.79595948315557</v>
      </c>
      <c r="M6" s="42">
        <v>1105.3590129011025</v>
      </c>
      <c r="N6" s="41">
        <v>992.74019794452511</v>
      </c>
      <c r="O6" s="42">
        <v>1129.5265890678909</v>
      </c>
      <c r="P6" s="41">
        <v>991.76467378973382</v>
      </c>
      <c r="Q6" s="42">
        <v>1154.5496168576096</v>
      </c>
      <c r="R6" s="41">
        <v>990.87749152856225</v>
      </c>
      <c r="S6" s="42">
        <v>1180.2287347955662</v>
      </c>
      <c r="T6" s="41">
        <v>990.08430005910373</v>
      </c>
      <c r="U6" s="42">
        <v>1206.2942534953324</v>
      </c>
      <c r="V6" s="41">
        <v>989.38418236954521</v>
      </c>
      <c r="W6" s="42">
        <v>1232.4517081465144</v>
      </c>
      <c r="X6" s="41">
        <v>988.76017283593342</v>
      </c>
      <c r="Y6" s="42">
        <v>1258.5514017463886</v>
      </c>
      <c r="Z6" s="41">
        <v>988.15214379443546</v>
      </c>
      <c r="AA6" s="42">
        <v>1285.1606100150264</v>
      </c>
      <c r="AB6" s="41">
        <v>987.35360720761912</v>
      </c>
      <c r="AC6" s="42">
        <v>1315.8668724581037</v>
      </c>
      <c r="AD6" s="41">
        <v>985.32955625775548</v>
      </c>
      <c r="AE6" s="42">
        <v>1373.3814263054069</v>
      </c>
      <c r="AF6" s="41"/>
      <c r="AG6" s="42"/>
      <c r="AH6" s="41"/>
      <c r="AI6" s="42"/>
      <c r="AJ6" s="41"/>
      <c r="AK6" s="42"/>
      <c r="AL6" s="41"/>
      <c r="AM6" s="42"/>
      <c r="AN6" s="41"/>
      <c r="AO6" s="42"/>
      <c r="AP6" s="41"/>
      <c r="AQ6" s="42"/>
      <c r="AR6" s="41"/>
      <c r="AS6" s="42"/>
      <c r="AT6" s="41"/>
      <c r="AU6" s="42"/>
      <c r="AV6" s="41"/>
      <c r="AW6" s="42"/>
    </row>
    <row r="7" spans="1:49" x14ac:dyDescent="0.2">
      <c r="A7" t="s">
        <v>13</v>
      </c>
      <c r="B7" s="33">
        <v>1059.2664648168009</v>
      </c>
      <c r="C7" s="34">
        <v>1059.2664648168009</v>
      </c>
      <c r="D7" s="33">
        <v>1057.9660483729026</v>
      </c>
      <c r="E7" s="34">
        <v>1057.9660483729026</v>
      </c>
      <c r="F7" s="33">
        <v>1056.7085196481478</v>
      </c>
      <c r="G7" s="34">
        <v>1056.7085196481478</v>
      </c>
      <c r="H7" s="33">
        <v>1055.4990392895759</v>
      </c>
      <c r="I7" s="34">
        <v>1055.4990392895759</v>
      </c>
      <c r="J7" s="33">
        <v>1054.343823678551</v>
      </c>
      <c r="K7" s="34">
        <v>1054.343823678551</v>
      </c>
      <c r="L7" s="33">
        <v>1053.2500064689477</v>
      </c>
      <c r="M7" s="34">
        <v>1053.2500064689477</v>
      </c>
      <c r="N7" s="33">
        <v>1052.225534386354</v>
      </c>
      <c r="O7" s="34">
        <v>1052.225534386354</v>
      </c>
      <c r="P7" s="33">
        <v>1051.2787582198805</v>
      </c>
      <c r="Q7" s="34">
        <v>1051.2787582198805</v>
      </c>
      <c r="R7" s="33">
        <v>1050.4175841497349</v>
      </c>
      <c r="S7" s="34">
        <v>1050.4175841497349</v>
      </c>
      <c r="T7" s="33">
        <v>1049.6475354377305</v>
      </c>
      <c r="U7" s="34">
        <v>1049.6475354377305</v>
      </c>
      <c r="V7" s="33">
        <v>1048.9677586064079</v>
      </c>
      <c r="W7" s="34">
        <v>1048.9677586064079</v>
      </c>
      <c r="X7" s="33">
        <v>1048.3618104823058</v>
      </c>
      <c r="Y7" s="34">
        <v>1048.3618104823058</v>
      </c>
      <c r="Z7" s="33">
        <v>1047.7713184309368</v>
      </c>
      <c r="AA7" s="34">
        <v>1047.7713184309368</v>
      </c>
      <c r="AB7" s="33">
        <v>1046.9957207172642</v>
      </c>
      <c r="AC7" s="34">
        <v>1046.9957207172642</v>
      </c>
      <c r="AD7" s="33">
        <v>1045.0293408295022</v>
      </c>
      <c r="AE7" s="34">
        <v>1045.0293408295022</v>
      </c>
      <c r="AF7" s="33"/>
      <c r="AG7" s="34"/>
      <c r="AH7" s="33"/>
      <c r="AI7" s="34"/>
      <c r="AJ7" s="33"/>
      <c r="AK7" s="34"/>
      <c r="AL7" s="33"/>
      <c r="AM7" s="34"/>
      <c r="AN7" s="33"/>
      <c r="AO7" s="34"/>
      <c r="AP7" s="33"/>
      <c r="AQ7" s="34"/>
      <c r="AR7" s="33"/>
      <c r="AS7" s="34"/>
      <c r="AT7" s="33"/>
      <c r="AU7" s="34"/>
      <c r="AV7" s="33"/>
      <c r="AW7" s="34"/>
    </row>
    <row r="8" spans="1:49" x14ac:dyDescent="0.2">
      <c r="B8" s="35">
        <v>1164.8563607265562</v>
      </c>
      <c r="C8" s="36">
        <v>1164.8563607265562</v>
      </c>
      <c r="D8" s="35">
        <v>1204.0410624533592</v>
      </c>
      <c r="E8" s="36">
        <v>1204.0410624533592</v>
      </c>
      <c r="F8" s="35">
        <v>1245.902657363607</v>
      </c>
      <c r="G8" s="36">
        <v>1245.902657363607</v>
      </c>
      <c r="H8" s="35">
        <v>1290.5999528627628</v>
      </c>
      <c r="I8" s="36">
        <v>1290.5999528627628</v>
      </c>
      <c r="J8" s="35">
        <v>1338.2605328991972</v>
      </c>
      <c r="K8" s="36">
        <v>1338.2605328991972</v>
      </c>
      <c r="L8" s="35">
        <v>1388.9591925649138</v>
      </c>
      <c r="M8" s="36">
        <v>1388.9591925649138</v>
      </c>
      <c r="N8" s="35">
        <v>1442.6844944384679</v>
      </c>
      <c r="O8" s="36">
        <v>1442.6844944384679</v>
      </c>
      <c r="P8" s="35">
        <v>1499.2952593584398</v>
      </c>
      <c r="Q8" s="36">
        <v>1499.2952593584398</v>
      </c>
      <c r="R8" s="35">
        <v>1558.4676536039551</v>
      </c>
      <c r="S8" s="36">
        <v>1558.4676536039551</v>
      </c>
      <c r="T8" s="35">
        <v>1619.6427074055603</v>
      </c>
      <c r="U8" s="36">
        <v>1619.6427074055603</v>
      </c>
      <c r="V8" s="35">
        <v>1681.9958456473198</v>
      </c>
      <c r="W8" s="36">
        <v>1681.9958456473198</v>
      </c>
      <c r="X8" s="35">
        <v>1744.4891222753115</v>
      </c>
      <c r="Y8" s="36">
        <v>1744.4891222753115</v>
      </c>
      <c r="Z8" s="35">
        <v>1806.1812686311991</v>
      </c>
      <c r="AA8" s="36">
        <v>1806.1812686311991</v>
      </c>
      <c r="AB8" s="35">
        <v>1867.5202904550847</v>
      </c>
      <c r="AC8" s="36">
        <v>1867.5202904550847</v>
      </c>
      <c r="AD8" s="35">
        <v>1938.3924441812599</v>
      </c>
      <c r="AE8" s="36">
        <v>1938.3924441812599</v>
      </c>
      <c r="AF8" s="35"/>
      <c r="AG8" s="36"/>
      <c r="AH8" s="35"/>
      <c r="AI8" s="36"/>
      <c r="AJ8" s="35"/>
      <c r="AK8" s="36"/>
      <c r="AL8" s="35"/>
      <c r="AM8" s="36"/>
      <c r="AN8" s="35"/>
      <c r="AO8" s="36"/>
      <c r="AP8" s="35"/>
      <c r="AQ8" s="36"/>
      <c r="AR8" s="35"/>
      <c r="AS8" s="36"/>
      <c r="AT8" s="35"/>
      <c r="AU8" s="36"/>
      <c r="AV8" s="35"/>
      <c r="AW8" s="36"/>
    </row>
    <row r="9" spans="1:49" x14ac:dyDescent="0.2">
      <c r="A9" t="s">
        <v>14</v>
      </c>
      <c r="B9" s="41">
        <v>1059.2664648168009</v>
      </c>
      <c r="C9" s="42">
        <v>1164.8563607265562</v>
      </c>
      <c r="D9" s="41">
        <v>1057.9660483729026</v>
      </c>
      <c r="E9" s="42">
        <v>1204.0410624533592</v>
      </c>
      <c r="F9" s="41">
        <v>1056.7085196481478</v>
      </c>
      <c r="G9" s="42">
        <v>1245.902657363607</v>
      </c>
      <c r="H9" s="41">
        <v>1055.4990392895759</v>
      </c>
      <c r="I9" s="42">
        <v>1290.5999528627628</v>
      </c>
      <c r="J9" s="41">
        <v>1054.343823678551</v>
      </c>
      <c r="K9" s="42">
        <v>1338.2605328991972</v>
      </c>
      <c r="L9" s="41">
        <v>1053.2500064689477</v>
      </c>
      <c r="M9" s="42">
        <v>1388.9591925649138</v>
      </c>
      <c r="N9" s="41">
        <v>1052.225534386354</v>
      </c>
      <c r="O9" s="42">
        <v>1442.6844944384679</v>
      </c>
      <c r="P9" s="41">
        <v>1051.2787582198805</v>
      </c>
      <c r="Q9" s="42">
        <v>1499.2952593584398</v>
      </c>
      <c r="R9" s="41">
        <v>1050.4175841497349</v>
      </c>
      <c r="S9" s="42">
        <v>1558.4676536039551</v>
      </c>
      <c r="T9" s="41">
        <v>1049.6475354377305</v>
      </c>
      <c r="U9" s="42">
        <v>1619.6427074055603</v>
      </c>
      <c r="V9" s="41">
        <v>1048.9677586064079</v>
      </c>
      <c r="W9" s="42">
        <v>1681.9958456473198</v>
      </c>
      <c r="X9" s="41">
        <v>1048.3618104823058</v>
      </c>
      <c r="Y9" s="42">
        <v>1744.4891222753115</v>
      </c>
      <c r="Z9" s="41">
        <v>1047.7713184309368</v>
      </c>
      <c r="AA9" s="42">
        <v>1806.1812686311991</v>
      </c>
      <c r="AB9" s="41">
        <v>1046.9957207172642</v>
      </c>
      <c r="AC9" s="42">
        <v>1867.5202904550847</v>
      </c>
      <c r="AD9" s="41">
        <v>1045.0293408295022</v>
      </c>
      <c r="AE9" s="42">
        <v>1938.3924441812599</v>
      </c>
      <c r="AF9" s="41"/>
      <c r="AG9" s="42"/>
      <c r="AH9" s="41"/>
      <c r="AI9" s="42"/>
      <c r="AJ9" s="41"/>
      <c r="AK9" s="42"/>
      <c r="AL9" s="41"/>
      <c r="AM9" s="42"/>
      <c r="AN9" s="41"/>
      <c r="AO9" s="42"/>
      <c r="AP9" s="41"/>
      <c r="AQ9" s="42"/>
      <c r="AR9" s="41"/>
      <c r="AS9" s="42"/>
      <c r="AT9" s="41"/>
      <c r="AU9" s="42"/>
      <c r="AV9" s="41"/>
      <c r="AW9" s="42"/>
    </row>
    <row r="10" spans="1:49" x14ac:dyDescent="0.2">
      <c r="A10" t="s">
        <v>15</v>
      </c>
      <c r="B10" s="41">
        <v>1059.2664648168009</v>
      </c>
      <c r="C10" s="42">
        <v>1164.8563607265562</v>
      </c>
      <c r="D10" s="41">
        <v>1057.9660483729026</v>
      </c>
      <c r="E10" s="42">
        <v>1204.0410624533592</v>
      </c>
      <c r="F10" s="41">
        <v>1056.7085196481478</v>
      </c>
      <c r="G10" s="42">
        <v>1245.902657363607</v>
      </c>
      <c r="H10" s="41">
        <v>1055.4990392895759</v>
      </c>
      <c r="I10" s="42">
        <v>1290.5999528627628</v>
      </c>
      <c r="J10" s="41">
        <v>1054.343823678551</v>
      </c>
      <c r="K10" s="42">
        <v>1338.2605328991972</v>
      </c>
      <c r="L10" s="41">
        <v>1053.2500064689477</v>
      </c>
      <c r="M10" s="42">
        <v>1388.9591925649138</v>
      </c>
      <c r="N10" s="41">
        <v>1052.225534386354</v>
      </c>
      <c r="O10" s="42">
        <v>1442.6844944384679</v>
      </c>
      <c r="P10" s="41">
        <v>1051.2787582198805</v>
      </c>
      <c r="Q10" s="42">
        <v>1499.2952593584398</v>
      </c>
      <c r="R10" s="41">
        <v>1050.4175841497349</v>
      </c>
      <c r="S10" s="42">
        <v>1558.4676536039551</v>
      </c>
      <c r="T10" s="41">
        <v>1049.6475354377305</v>
      </c>
      <c r="U10" s="42">
        <v>1619.6427074055603</v>
      </c>
      <c r="V10" s="41">
        <v>1048.9677586064079</v>
      </c>
      <c r="W10" s="42">
        <v>1681.9958456473198</v>
      </c>
      <c r="X10" s="41">
        <v>1048.3618104823058</v>
      </c>
      <c r="Y10" s="42">
        <v>1744.4891222753115</v>
      </c>
      <c r="Z10" s="41">
        <v>1047.7713184309368</v>
      </c>
      <c r="AA10" s="42">
        <v>1806.1812686311991</v>
      </c>
      <c r="AB10" s="41">
        <v>1046.9957207172642</v>
      </c>
      <c r="AC10" s="42">
        <v>1867.5202904550847</v>
      </c>
      <c r="AD10" s="41">
        <v>1045.0293408295022</v>
      </c>
      <c r="AE10" s="42">
        <v>1938.3924441812599</v>
      </c>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1059.2664648168009</v>
      </c>
      <c r="C11" s="42">
        <v>1164.8563607265562</v>
      </c>
      <c r="D11" s="41">
        <v>1057.9660483729026</v>
      </c>
      <c r="E11" s="42">
        <v>1204.0410624533592</v>
      </c>
      <c r="F11" s="41">
        <v>1056.7085196481478</v>
      </c>
      <c r="G11" s="42">
        <v>1245.902657363607</v>
      </c>
      <c r="H11" s="41">
        <v>1055.4990392895759</v>
      </c>
      <c r="I11" s="42">
        <v>1290.5999528627628</v>
      </c>
      <c r="J11" s="41">
        <v>1054.343823678551</v>
      </c>
      <c r="K11" s="42">
        <v>1338.2605328991972</v>
      </c>
      <c r="L11" s="41">
        <v>1053.2500064689477</v>
      </c>
      <c r="M11" s="42">
        <v>1388.9591925649138</v>
      </c>
      <c r="N11" s="41">
        <v>1052.225534386354</v>
      </c>
      <c r="O11" s="42">
        <v>1442.6844944384679</v>
      </c>
      <c r="P11" s="41">
        <v>1051.2787582198805</v>
      </c>
      <c r="Q11" s="42">
        <v>1499.2952593584398</v>
      </c>
      <c r="R11" s="41">
        <v>1050.4175841497349</v>
      </c>
      <c r="S11" s="42">
        <v>1558.4676536039551</v>
      </c>
      <c r="T11" s="41">
        <v>1049.6475354377305</v>
      </c>
      <c r="U11" s="42">
        <v>1619.6427074055603</v>
      </c>
      <c r="V11" s="41">
        <v>1048.9677586064079</v>
      </c>
      <c r="W11" s="42">
        <v>1681.9958456473198</v>
      </c>
      <c r="X11" s="41">
        <v>1048.3618104823058</v>
      </c>
      <c r="Y11" s="42">
        <v>1744.4891222753115</v>
      </c>
      <c r="Z11" s="41">
        <v>1047.7713184309368</v>
      </c>
      <c r="AA11" s="42">
        <v>1806.1812686311991</v>
      </c>
      <c r="AB11" s="41">
        <v>1046.9957207172642</v>
      </c>
      <c r="AC11" s="42">
        <v>1867.5202904550847</v>
      </c>
      <c r="AD11" s="41">
        <v>1045.0293408295022</v>
      </c>
      <c r="AE11" s="42">
        <v>1938.3924441812599</v>
      </c>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100">
        <v>1000</v>
      </c>
      <c r="C13" s="101">
        <v>1000</v>
      </c>
      <c r="D13" s="100">
        <v>1000.8343276884033</v>
      </c>
      <c r="E13" s="101">
        <v>1000.8343276884033</v>
      </c>
      <c r="F13" s="100">
        <v>1001.8009315856322</v>
      </c>
      <c r="G13" s="101">
        <v>1001.8009315856322</v>
      </c>
      <c r="H13" s="100">
        <v>1002.9077480150305</v>
      </c>
      <c r="I13" s="101">
        <v>1002.9077480150305</v>
      </c>
      <c r="J13" s="100">
        <v>1004.1619863684058</v>
      </c>
      <c r="K13" s="101">
        <v>1004.1619863684058</v>
      </c>
      <c r="L13" s="100">
        <v>1005.5691787665136</v>
      </c>
      <c r="M13" s="101">
        <v>1005.5691787665136</v>
      </c>
      <c r="N13" s="100">
        <v>1007.1318249921934</v>
      </c>
      <c r="O13" s="101">
        <v>1007.1318249921934</v>
      </c>
      <c r="P13" s="100">
        <v>1008.8474539527425</v>
      </c>
      <c r="Q13" s="101">
        <v>1008.8474539527425</v>
      </c>
      <c r="R13" s="100">
        <v>1010.7060398564395</v>
      </c>
      <c r="S13" s="101">
        <v>1010.7060398564395</v>
      </c>
      <c r="T13" s="100">
        <v>1012.6866111074913</v>
      </c>
      <c r="U13" s="101">
        <v>1012.6866111074913</v>
      </c>
      <c r="V13" s="100">
        <v>1014.7530379321121</v>
      </c>
      <c r="W13" s="101">
        <v>1014.7530379321121</v>
      </c>
      <c r="X13" s="100">
        <v>1016.8485129453908</v>
      </c>
      <c r="Y13" s="101">
        <v>1016.8485129453908</v>
      </c>
      <c r="Z13" s="100">
        <v>1018.8847928209268</v>
      </c>
      <c r="AA13" s="101">
        <v>1018.8847928209268</v>
      </c>
      <c r="AB13" s="100">
        <v>1020.7035197373752</v>
      </c>
      <c r="AC13" s="101">
        <v>1020.7035197373752</v>
      </c>
      <c r="AD13" s="100">
        <v>1021.7964860001277</v>
      </c>
      <c r="AE13" s="101">
        <v>1021.7964860001277</v>
      </c>
      <c r="AF13" s="100"/>
      <c r="AG13" s="101"/>
      <c r="AH13" s="100"/>
      <c r="AI13" s="101"/>
      <c r="AJ13" s="100"/>
      <c r="AK13" s="101"/>
      <c r="AL13" s="100"/>
      <c r="AM13" s="101"/>
      <c r="AN13" s="100"/>
      <c r="AO13" s="101"/>
      <c r="AP13" s="100"/>
      <c r="AQ13" s="101"/>
      <c r="AR13" s="100"/>
      <c r="AS13" s="101"/>
      <c r="AT13" s="100"/>
      <c r="AU13" s="101"/>
      <c r="AV13" s="100"/>
      <c r="AW13" s="101"/>
    </row>
    <row r="14" spans="1:49" x14ac:dyDescent="0.2">
      <c r="A14" t="s">
        <v>36</v>
      </c>
      <c r="B14" s="41">
        <v>1571.7032514685595</v>
      </c>
      <c r="C14" s="42">
        <v>1562.3699911127492</v>
      </c>
      <c r="D14" s="41">
        <v>1573.0145670092134</v>
      </c>
      <c r="E14" s="42">
        <v>1563.6735196558648</v>
      </c>
      <c r="F14" s="41">
        <v>1574.53378149737</v>
      </c>
      <c r="G14" s="42">
        <v>1565.1837125781879</v>
      </c>
      <c r="H14" s="41">
        <v>1576.2733684782343</v>
      </c>
      <c r="I14" s="42">
        <v>1566.9129693531504</v>
      </c>
      <c r="J14" s="41">
        <v>1578.2446589763508</v>
      </c>
      <c r="K14" s="42">
        <v>1568.8725537181667</v>
      </c>
      <c r="L14" s="41">
        <v>1580.4563478438986</v>
      </c>
      <c r="M14" s="42">
        <v>1571.0711088926923</v>
      </c>
      <c r="N14" s="41">
        <v>1582.9123639976947</v>
      </c>
      <c r="O14" s="42">
        <v>1573.51254046242</v>
      </c>
      <c r="P14" s="41">
        <v>1585.6088236133035</v>
      </c>
      <c r="Q14" s="42">
        <v>1576.1929876662659</v>
      </c>
      <c r="R14" s="41">
        <v>1588.5299691212774</v>
      </c>
      <c r="S14" s="42">
        <v>1579.0967865081072</v>
      </c>
      <c r="T14" s="41">
        <v>1591.6428393963208</v>
      </c>
      <c r="U14" s="42">
        <v>1582.1911715960111</v>
      </c>
      <c r="V14" s="41">
        <v>1594.8906491554992</v>
      </c>
      <c r="W14" s="42">
        <v>1585.4196948556291</v>
      </c>
      <c r="X14" s="41">
        <v>1598.1841140472404</v>
      </c>
      <c r="Y14" s="42">
        <v>1588.6936021335023</v>
      </c>
      <c r="Z14" s="41">
        <v>1601.3845417485204</v>
      </c>
      <c r="AA14" s="42">
        <v>1591.8750247045466</v>
      </c>
      <c r="AB14" s="41">
        <v>1604.2430407566358</v>
      </c>
      <c r="AC14" s="42">
        <v>1594.7165490608347</v>
      </c>
      <c r="AD14" s="41">
        <v>1605.9608593855494</v>
      </c>
      <c r="AE14" s="42">
        <v>1596.4241667510578</v>
      </c>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7">
        <v>1000</v>
      </c>
      <c r="C15" s="158">
        <v>1000</v>
      </c>
      <c r="D15" s="157">
        <v>992.14266749505123</v>
      </c>
      <c r="E15" s="158">
        <v>992.14266749505123</v>
      </c>
      <c r="F15" s="157">
        <v>982.42790575870424</v>
      </c>
      <c r="G15" s="158">
        <v>982.42790575870424</v>
      </c>
      <c r="H15" s="157">
        <v>970.53815804741521</v>
      </c>
      <c r="I15" s="158">
        <v>970.53815804741521</v>
      </c>
      <c r="J15" s="157">
        <v>956.09506727980488</v>
      </c>
      <c r="K15" s="158">
        <v>956.09506727980488</v>
      </c>
      <c r="L15" s="157">
        <v>938.65051624663113</v>
      </c>
      <c r="M15" s="158">
        <v>938.65051624663113</v>
      </c>
      <c r="N15" s="157">
        <v>917.67914019493605</v>
      </c>
      <c r="O15" s="158">
        <v>917.67914019493605</v>
      </c>
      <c r="P15" s="157">
        <v>892.57572897915838</v>
      </c>
      <c r="Q15" s="158">
        <v>892.57572897915838</v>
      </c>
      <c r="R15" s="157">
        <v>862.66283819765522</v>
      </c>
      <c r="S15" s="158">
        <v>862.66283819765522</v>
      </c>
      <c r="T15" s="157">
        <v>827.21752267894283</v>
      </c>
      <c r="U15" s="158">
        <v>827.21752267894283</v>
      </c>
      <c r="V15" s="157">
        <v>785.52871954967725</v>
      </c>
      <c r="W15" s="158">
        <v>785.52871954967725</v>
      </c>
      <c r="X15" s="157">
        <v>737.01077859287523</v>
      </c>
      <c r="Y15" s="158">
        <v>737.01077859287523</v>
      </c>
      <c r="Z15" s="157">
        <v>681.42444566528332</v>
      </c>
      <c r="AA15" s="158">
        <v>681.42444566528332</v>
      </c>
      <c r="AB15" s="157">
        <v>619.45157209099727</v>
      </c>
      <c r="AC15" s="158">
        <v>619.45157209099727</v>
      </c>
      <c r="AD15" s="157">
        <v>555.72968671222407</v>
      </c>
      <c r="AE15" s="158">
        <v>555.72968671222407</v>
      </c>
      <c r="AF15" s="157"/>
      <c r="AG15" s="158"/>
      <c r="AH15" s="157"/>
      <c r="AI15" s="158"/>
      <c r="AJ15" s="157"/>
      <c r="AK15" s="158"/>
      <c r="AL15" s="157"/>
      <c r="AM15" s="158"/>
      <c r="AN15" s="157"/>
      <c r="AO15" s="158"/>
      <c r="AP15" s="157"/>
      <c r="AQ15" s="158"/>
      <c r="AR15" s="157"/>
      <c r="AS15" s="158"/>
      <c r="AT15" s="157"/>
      <c r="AU15" s="158"/>
      <c r="AV15" s="157"/>
      <c r="AW15" s="158"/>
    </row>
    <row r="16" spans="1:49" s="29" customFormat="1" x14ac:dyDescent="0.2">
      <c r="A16" t="s">
        <v>63</v>
      </c>
      <c r="B16" s="41">
        <v>1000</v>
      </c>
      <c r="C16" s="42">
        <v>1000</v>
      </c>
      <c r="D16" s="41">
        <v>996.91489233643574</v>
      </c>
      <c r="E16" s="42">
        <v>994.46306089540758</v>
      </c>
      <c r="F16" s="41">
        <v>993.78215086167052</v>
      </c>
      <c r="G16" s="42">
        <v>988.07349098215741</v>
      </c>
      <c r="H16" s="41">
        <v>990.60431371326979</v>
      </c>
      <c r="I16" s="42">
        <v>980.7169249304917</v>
      </c>
      <c r="J16" s="41">
        <v>987.38667039005782</v>
      </c>
      <c r="K16" s="42">
        <v>972.26514921823616</v>
      </c>
      <c r="L16" s="41">
        <v>984.13790473483107</v>
      </c>
      <c r="M16" s="42">
        <v>962.58131712024897</v>
      </c>
      <c r="N16" s="41">
        <v>980.87115189300846</v>
      </c>
      <c r="O16" s="42">
        <v>951.52880647460051</v>
      </c>
      <c r="P16" s="41">
        <v>977.60501750140304</v>
      </c>
      <c r="Q16" s="42">
        <v>938.99182313490962</v>
      </c>
      <c r="R16" s="41">
        <v>974.36436080932674</v>
      </c>
      <c r="S16" s="42">
        <v>924.91713075595715</v>
      </c>
      <c r="T16" s="41">
        <v>971.17983030340031</v>
      </c>
      <c r="U16" s="42">
        <v>909.40545338941627</v>
      </c>
      <c r="V16" s="41">
        <v>968.08447650687754</v>
      </c>
      <c r="W16" s="42">
        <v>892.9124501294699</v>
      </c>
      <c r="X16" s="41">
        <v>965.10239788372962</v>
      </c>
      <c r="Y16" s="42">
        <v>876.7375916172922</v>
      </c>
      <c r="Z16" s="41">
        <v>962.21237133731597</v>
      </c>
      <c r="AA16" s="42">
        <v>864.48240579985895</v>
      </c>
      <c r="AB16" s="41">
        <v>959.20861936786184</v>
      </c>
      <c r="AC16" s="42">
        <v>867.93946377496457</v>
      </c>
      <c r="AD16" s="41">
        <v>954.80522671108781</v>
      </c>
      <c r="AE16" s="42">
        <v>951.0077228936301</v>
      </c>
      <c r="AF16" s="41"/>
      <c r="AG16" s="42"/>
      <c r="AH16" s="41"/>
      <c r="AI16" s="42"/>
      <c r="AJ16" s="41"/>
      <c r="AK16" s="42"/>
      <c r="AL16" s="41"/>
      <c r="AM16" s="42"/>
      <c r="AN16" s="41"/>
      <c r="AO16" s="42"/>
      <c r="AP16" s="41"/>
      <c r="AQ16" s="42"/>
      <c r="AR16" s="41"/>
      <c r="AS16" s="42"/>
      <c r="AT16" s="41"/>
      <c r="AU16" s="42"/>
      <c r="AV16" s="41"/>
      <c r="AW16" s="42"/>
    </row>
    <row r="17" spans="1:49" x14ac:dyDescent="0.2">
      <c r="A17" t="s">
        <v>64</v>
      </c>
      <c r="B17" s="35">
        <v>1000</v>
      </c>
      <c r="C17" s="36">
        <v>999.99999999999977</v>
      </c>
      <c r="D17" s="35">
        <v>998.83419976458833</v>
      </c>
      <c r="E17" s="36">
        <v>1021.7709725244448</v>
      </c>
      <c r="F17" s="35">
        <v>997.70804793030595</v>
      </c>
      <c r="G17" s="36">
        <v>1044.7986515397602</v>
      </c>
      <c r="H17" s="35">
        <v>996.62604339195696</v>
      </c>
      <c r="I17" s="36">
        <v>1069.1262822139915</v>
      </c>
      <c r="J17" s="35">
        <v>995.59360951161909</v>
      </c>
      <c r="K17" s="36">
        <v>1094.7718252372724</v>
      </c>
      <c r="L17" s="35">
        <v>994.61697337080193</v>
      </c>
      <c r="M17" s="36">
        <v>1121.7168136297803</v>
      </c>
      <c r="N17" s="35">
        <v>993.70307091090478</v>
      </c>
      <c r="O17" s="36">
        <v>1149.8896786489936</v>
      </c>
      <c r="P17" s="35">
        <v>992.8591834297232</v>
      </c>
      <c r="Q17" s="36">
        <v>1179.1474591781473</v>
      </c>
      <c r="R17" s="35">
        <v>992.09218360902958</v>
      </c>
      <c r="S17" s="36">
        <v>1209.2597491390497</v>
      </c>
      <c r="T17" s="35">
        <v>991.4068190521632</v>
      </c>
      <c r="U17" s="36">
        <v>1239.9106200419196</v>
      </c>
      <c r="V17" s="35">
        <v>990.80217320630322</v>
      </c>
      <c r="W17" s="36">
        <v>1270.7520976097928</v>
      </c>
      <c r="X17" s="35">
        <v>990.26349201533537</v>
      </c>
      <c r="Y17" s="36">
        <v>1301.6061689923151</v>
      </c>
      <c r="Z17" s="35">
        <v>989.73881925934779</v>
      </c>
      <c r="AA17" s="36">
        <v>1333.1505391989524</v>
      </c>
      <c r="AB17" s="35">
        <v>989.05007606907225</v>
      </c>
      <c r="AC17" s="36">
        <v>1369.6854146345618</v>
      </c>
      <c r="AD17" s="35">
        <v>987.30595414467905</v>
      </c>
      <c r="AE17" s="36">
        <v>1438.5385343159292</v>
      </c>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21498.981358265999</v>
      </c>
      <c r="C18" s="34">
        <v>834.03652123400332</v>
      </c>
      <c r="D18" s="33">
        <v>21173.034248497901</v>
      </c>
      <c r="E18" s="34">
        <v>768.21900536184467</v>
      </c>
      <c r="F18" s="33">
        <v>20807.481991531928</v>
      </c>
      <c r="G18" s="34">
        <v>704.24496861802425</v>
      </c>
      <c r="H18" s="33">
        <v>20396.650959606981</v>
      </c>
      <c r="I18" s="34">
        <v>642.28305239815359</v>
      </c>
      <c r="J18" s="33">
        <v>19933.927077367811</v>
      </c>
      <c r="K18" s="34">
        <v>582.51599251259961</v>
      </c>
      <c r="L18" s="33">
        <v>19411.673771075384</v>
      </c>
      <c r="M18" s="34">
        <v>525.14071462660445</v>
      </c>
      <c r="N18" s="33">
        <v>18821.18871272347</v>
      </c>
      <c r="O18" s="34">
        <v>470.36320806731413</v>
      </c>
      <c r="P18" s="33">
        <v>18152.773067171303</v>
      </c>
      <c r="Q18" s="34">
        <v>418.38961722993918</v>
      </c>
      <c r="R18" s="33">
        <v>17395.996524072478</v>
      </c>
      <c r="S18" s="34">
        <v>369.41079975156816</v>
      </c>
      <c r="T18" s="33">
        <v>16540.320714382935</v>
      </c>
      <c r="U18" s="34">
        <v>323.57727031340619</v>
      </c>
      <c r="V18" s="33">
        <v>15576.269394102133</v>
      </c>
      <c r="W18" s="34">
        <v>280.95907148803946</v>
      </c>
      <c r="X18" s="33">
        <v>14497.613952716008</v>
      </c>
      <c r="Y18" s="34">
        <v>241.4752958928284</v>
      </c>
      <c r="Z18" s="33">
        <v>13305.780624623627</v>
      </c>
      <c r="AA18" s="34">
        <v>204.74553901743224</v>
      </c>
      <c r="AB18" s="33">
        <v>12022.374975096815</v>
      </c>
      <c r="AC18" s="34">
        <v>169.61010381712754</v>
      </c>
      <c r="AD18" s="33">
        <v>10761.256039075484</v>
      </c>
      <c r="AE18" s="34">
        <v>131.14421119979377</v>
      </c>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1782.2320505062355</v>
      </c>
      <c r="C19" s="42">
        <v>450.22976484179424</v>
      </c>
      <c r="D19" s="41">
        <v>1750.0000116075075</v>
      </c>
      <c r="E19" s="42">
        <v>448.29410249509095</v>
      </c>
      <c r="F19" s="41">
        <v>1714.8409976967775</v>
      </c>
      <c r="G19" s="42">
        <v>445.38203146581861</v>
      </c>
      <c r="H19" s="41">
        <v>1676.3267702922551</v>
      </c>
      <c r="I19" s="42">
        <v>441.30345121322944</v>
      </c>
      <c r="J19" s="41">
        <v>1633.9571787223676</v>
      </c>
      <c r="K19" s="42">
        <v>435.83681905063395</v>
      </c>
      <c r="L19" s="41">
        <v>1587.1523501174763</v>
      </c>
      <c r="M19" s="42">
        <v>428.72926715546407</v>
      </c>
      <c r="N19" s="41">
        <v>1535.2479266887713</v>
      </c>
      <c r="O19" s="42">
        <v>419.6977126670796</v>
      </c>
      <c r="P19" s="41">
        <v>1477.4979866870005</v>
      </c>
      <c r="Q19" s="42">
        <v>408.43527587831011</v>
      </c>
      <c r="R19" s="41">
        <v>1413.0920924655027</v>
      </c>
      <c r="S19" s="42">
        <v>394.62565268711921</v>
      </c>
      <c r="T19" s="41">
        <v>1341.1979833954165</v>
      </c>
      <c r="U19" s="42">
        <v>377.97180267602567</v>
      </c>
      <c r="V19" s="41">
        <v>1261.0438396595196</v>
      </c>
      <c r="W19" s="42">
        <v>358.24656974329571</v>
      </c>
      <c r="X19" s="41">
        <v>1172.0730607092169</v>
      </c>
      <c r="Y19" s="42">
        <v>335.38443887247712</v>
      </c>
      <c r="Z19" s="41">
        <v>1074.2492213414394</v>
      </c>
      <c r="AA19" s="42">
        <v>309.68046915452595</v>
      </c>
      <c r="AB19" s="41">
        <v>968.89083467017417</v>
      </c>
      <c r="AC19" s="42">
        <v>282.4180776651545</v>
      </c>
      <c r="AD19" s="41">
        <v>863.30967868924881</v>
      </c>
      <c r="AE19" s="42">
        <v>259.83479716884852</v>
      </c>
      <c r="AF19" s="41"/>
      <c r="AG19" s="42"/>
      <c r="AH19" s="41"/>
      <c r="AI19" s="42"/>
      <c r="AJ19" s="41"/>
      <c r="AK19" s="42"/>
      <c r="AL19" s="41"/>
      <c r="AM19" s="42"/>
      <c r="AN19" s="41"/>
      <c r="AO19" s="42"/>
      <c r="AP19" s="41"/>
      <c r="AQ19" s="42"/>
      <c r="AR19" s="41"/>
      <c r="AS19" s="42"/>
      <c r="AT19" s="41"/>
      <c r="AU19" s="42"/>
      <c r="AV19" s="41"/>
      <c r="AW19" s="42"/>
    </row>
    <row r="20" spans="1:49" x14ac:dyDescent="0.2">
      <c r="A20" t="s">
        <v>130</v>
      </c>
      <c r="B20" s="85">
        <v>20973.127797372959</v>
      </c>
      <c r="C20" s="86">
        <v>1222.2257935314667</v>
      </c>
      <c r="D20" s="85">
        <v>20644.481998880234</v>
      </c>
      <c r="E20" s="86">
        <v>1161.1145038548932</v>
      </c>
      <c r="F20" s="85">
        <v>20277.893612828389</v>
      </c>
      <c r="G20" s="86">
        <v>1100.0032141783201</v>
      </c>
      <c r="H20" s="85">
        <v>19867.919699067512</v>
      </c>
      <c r="I20" s="86">
        <v>1038.8919245017466</v>
      </c>
      <c r="J20" s="85">
        <v>19408.213200312664</v>
      </c>
      <c r="K20" s="86">
        <v>977.78063482517337</v>
      </c>
      <c r="L20" s="85">
        <v>18891.44054076157</v>
      </c>
      <c r="M20" s="86">
        <v>916.66934514860009</v>
      </c>
      <c r="N20" s="85">
        <v>18309.237003945778</v>
      </c>
      <c r="O20" s="86">
        <v>855.55805547202669</v>
      </c>
      <c r="P20" s="85">
        <v>17652.268283199883</v>
      </c>
      <c r="Q20" s="86">
        <v>794.4467657954533</v>
      </c>
      <c r="R20" s="85">
        <v>16910.478620562695</v>
      </c>
      <c r="S20" s="86">
        <v>733.33547611888014</v>
      </c>
      <c r="T20" s="85">
        <v>16073.679745419815</v>
      </c>
      <c r="U20" s="86">
        <v>672.22418644230675</v>
      </c>
      <c r="V20" s="85">
        <v>15132.661080284417</v>
      </c>
      <c r="W20" s="86">
        <v>611.11289676573335</v>
      </c>
      <c r="X20" s="85">
        <v>14081.265915158798</v>
      </c>
      <c r="Y20" s="86">
        <v>550.00160708916007</v>
      </c>
      <c r="Z20" s="85">
        <v>12920.562935478973</v>
      </c>
      <c r="AA20" s="86">
        <v>488.89031741258668</v>
      </c>
      <c r="AB20" s="85">
        <v>11670.633599491051</v>
      </c>
      <c r="AC20" s="86">
        <v>427.77902773601335</v>
      </c>
      <c r="AD20" s="85">
        <v>10438.042043194229</v>
      </c>
      <c r="AE20" s="86">
        <v>366.66773805943996</v>
      </c>
      <c r="AF20" s="85"/>
      <c r="AG20" s="86"/>
      <c r="AH20" s="85"/>
      <c r="AI20" s="86"/>
      <c r="AJ20" s="85"/>
      <c r="AK20" s="86"/>
      <c r="AL20" s="85"/>
      <c r="AM20" s="86"/>
      <c r="AN20" s="85"/>
      <c r="AO20" s="86"/>
      <c r="AP20" s="85"/>
      <c r="AQ20" s="86"/>
      <c r="AR20" s="85"/>
      <c r="AS20" s="86"/>
      <c r="AT20" s="85"/>
      <c r="AU20" s="86"/>
      <c r="AV20" s="85"/>
      <c r="AW20" s="86"/>
    </row>
    <row r="21" spans="1:49" x14ac:dyDescent="0.2">
      <c r="A21" t="s">
        <v>78</v>
      </c>
      <c r="B21" s="85">
        <v>19190.895746866718</v>
      </c>
      <c r="C21" s="86">
        <v>771.99602868967372</v>
      </c>
      <c r="D21" s="85">
        <v>18894.484876804971</v>
      </c>
      <c r="E21" s="86">
        <v>713.01335833201335</v>
      </c>
      <c r="F21" s="85">
        <v>18563.063596686883</v>
      </c>
      <c r="G21" s="86">
        <v>655.38585694923461</v>
      </c>
      <c r="H21" s="85">
        <v>18191.616268745562</v>
      </c>
      <c r="I21" s="86">
        <v>599.28488446581787</v>
      </c>
      <c r="J21" s="85">
        <v>17774.294947651353</v>
      </c>
      <c r="K21" s="86">
        <v>544.90020178027225</v>
      </c>
      <c r="L21" s="85">
        <v>17304.344789213872</v>
      </c>
      <c r="M21" s="86">
        <v>492.43687639192814</v>
      </c>
      <c r="N21" s="85">
        <v>16774.06420302179</v>
      </c>
      <c r="O21" s="86">
        <v>442.11131593570292</v>
      </c>
      <c r="P21" s="85">
        <v>16174.863515264909</v>
      </c>
      <c r="Q21" s="86">
        <v>394.14289450207514</v>
      </c>
      <c r="R21" s="85">
        <v>15497.496123196204</v>
      </c>
      <c r="S21" s="86">
        <v>348.73974046899235</v>
      </c>
      <c r="T21" s="85">
        <v>14732.60485331895</v>
      </c>
      <c r="U21" s="86">
        <v>306.07455688911341</v>
      </c>
      <c r="V21" s="85">
        <v>13871.750083785713</v>
      </c>
      <c r="W21" s="86">
        <v>266.24610289817753</v>
      </c>
      <c r="X21" s="85">
        <v>12909.331441950604</v>
      </c>
      <c r="Y21" s="86">
        <v>229.21336708099466</v>
      </c>
      <c r="Z21" s="85">
        <v>11846.455022871496</v>
      </c>
      <c r="AA21" s="86">
        <v>194.65477219667326</v>
      </c>
      <c r="AB21" s="85">
        <v>10701.8882084792</v>
      </c>
      <c r="AC21" s="86">
        <v>161.51971582721498</v>
      </c>
      <c r="AD21" s="85">
        <v>9574.9074790148952</v>
      </c>
      <c r="AE21" s="86">
        <v>125.23147507770304</v>
      </c>
      <c r="AF21" s="85"/>
      <c r="AG21" s="86"/>
      <c r="AH21" s="85"/>
      <c r="AI21" s="86"/>
      <c r="AJ21" s="85"/>
      <c r="AK21" s="86"/>
      <c r="AL21" s="85"/>
      <c r="AM21" s="86"/>
      <c r="AN21" s="85"/>
      <c r="AO21" s="86"/>
      <c r="AP21" s="85"/>
      <c r="AQ21" s="86"/>
      <c r="AR21" s="85"/>
      <c r="AS21" s="86"/>
      <c r="AT21" s="85"/>
      <c r="AU21" s="86"/>
      <c r="AV21" s="85"/>
      <c r="AW21" s="86"/>
    </row>
    <row r="22" spans="1:49" x14ac:dyDescent="0.2">
      <c r="A22" t="s">
        <v>28</v>
      </c>
      <c r="B22" s="41">
        <v>5896.9295697243897</v>
      </c>
      <c r="C22" s="42">
        <v>340.53228761636649</v>
      </c>
      <c r="D22" s="41">
        <v>5803.9206742472124</v>
      </c>
      <c r="E22" s="42">
        <v>328.33136635874791</v>
      </c>
      <c r="F22" s="41">
        <v>5700.163312724867</v>
      </c>
      <c r="G22" s="42">
        <v>315.691292462749</v>
      </c>
      <c r="H22" s="41">
        <v>5584.1354205003627</v>
      </c>
      <c r="I22" s="42">
        <v>302.58563521722863</v>
      </c>
      <c r="J22" s="41">
        <v>5454.0657493393255</v>
      </c>
      <c r="K22" s="42">
        <v>288.98677497746439</v>
      </c>
      <c r="L22" s="41">
        <v>5307.910576253299</v>
      </c>
      <c r="M22" s="42">
        <v>274.86626080827767</v>
      </c>
      <c r="N22" s="41">
        <v>5143.3422842640084</v>
      </c>
      <c r="O22" s="42">
        <v>260.19596479690529</v>
      </c>
      <c r="P22" s="41">
        <v>4957.7672047054193</v>
      </c>
      <c r="Q22" s="42">
        <v>244.94986796132602</v>
      </c>
      <c r="R22" s="41">
        <v>4748.3955696260518</v>
      </c>
      <c r="S22" s="42">
        <v>229.10683820077421</v>
      </c>
      <c r="T22" s="41">
        <v>4512.4047917478965</v>
      </c>
      <c r="U22" s="42">
        <v>212.6548345336891</v>
      </c>
      <c r="V22" s="41">
        <v>4247.2467815640948</v>
      </c>
      <c r="W22" s="42">
        <v>195.59712860143995</v>
      </c>
      <c r="X22" s="41">
        <v>3951.2206590254273</v>
      </c>
      <c r="Y22" s="42">
        <v>177.96298687018668</v>
      </c>
      <c r="Z22" s="41">
        <v>3624.6178911311949</v>
      </c>
      <c r="AA22" s="42">
        <v>159.82988221873879</v>
      </c>
      <c r="AB22" s="41">
        <v>3272.9475949258508</v>
      </c>
      <c r="AC22" s="42">
        <v>141.39675562762665</v>
      </c>
      <c r="AD22" s="41">
        <v>2925.3406834084976</v>
      </c>
      <c r="AE22" s="42">
        <v>123.44717703243781</v>
      </c>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9">
        <v>2396.8717103698964</v>
      </c>
      <c r="C23" s="8">
        <v>0</v>
      </c>
      <c r="D23" s="119">
        <v>2361.0140110407219</v>
      </c>
      <c r="E23" s="8">
        <v>0</v>
      </c>
      <c r="F23" s="119">
        <v>2320.8041324634291</v>
      </c>
      <c r="G23" s="8">
        <v>0</v>
      </c>
      <c r="H23" s="119">
        <v>2275.6072149064621</v>
      </c>
      <c r="I23" s="8">
        <v>0</v>
      </c>
      <c r="J23" s="119">
        <v>2224.6814818877642</v>
      </c>
      <c r="K23" s="8">
        <v>0</v>
      </c>
      <c r="L23" s="119">
        <v>2167.1675644577144</v>
      </c>
      <c r="M23" s="8">
        <v>0</v>
      </c>
      <c r="N23" s="119">
        <v>2102.082372117362</v>
      </c>
      <c r="O23" s="8">
        <v>0</v>
      </c>
      <c r="P23" s="119">
        <v>2028.3250569434642</v>
      </c>
      <c r="Q23" s="8">
        <v>0</v>
      </c>
      <c r="R23" s="119">
        <v>1944.7046920274881</v>
      </c>
      <c r="S23" s="8">
        <v>0</v>
      </c>
      <c r="T23" s="119">
        <v>1850.0075611355321</v>
      </c>
      <c r="U23" s="8">
        <v>0</v>
      </c>
      <c r="V23" s="119">
        <v>1743.1255996650411</v>
      </c>
      <c r="W23" s="8">
        <v>0</v>
      </c>
      <c r="X23" s="119">
        <v>1623.2979313560309</v>
      </c>
      <c r="Y23" s="8">
        <v>0</v>
      </c>
      <c r="Z23" s="119">
        <v>1490.5953197917477</v>
      </c>
      <c r="AA23" s="8">
        <v>0</v>
      </c>
      <c r="AB23" s="119">
        <v>1347.2809778133806</v>
      </c>
      <c r="AC23" s="8">
        <v>0</v>
      </c>
      <c r="AD23" s="119">
        <v>1205.5505596980345</v>
      </c>
      <c r="AE23" s="8">
        <v>0</v>
      </c>
      <c r="AF23" s="119"/>
      <c r="AG23" s="8"/>
      <c r="AH23" s="119"/>
      <c r="AI23" s="8"/>
      <c r="AJ23" s="119"/>
      <c r="AK23" s="8"/>
      <c r="AL23" s="119"/>
      <c r="AM23" s="8"/>
      <c r="AN23" s="119"/>
      <c r="AO23" s="8"/>
      <c r="AP23" s="119"/>
      <c r="AQ23" s="8"/>
      <c r="AR23" s="119"/>
      <c r="AS23" s="8"/>
      <c r="AT23" s="119"/>
      <c r="AU23" s="8"/>
      <c r="AV23" s="119"/>
      <c r="AW23" s="8"/>
    </row>
    <row r="24" spans="1:49" x14ac:dyDescent="0.2">
      <c r="A24" t="s">
        <v>8</v>
      </c>
      <c r="B24" s="100">
        <v>2261.1304131516072</v>
      </c>
      <c r="C24" s="8">
        <v>0</v>
      </c>
      <c r="D24" s="100">
        <v>2227.3034520247875</v>
      </c>
      <c r="E24" s="8">
        <v>0</v>
      </c>
      <c r="F24" s="100">
        <v>2189.3707451938972</v>
      </c>
      <c r="G24" s="8">
        <v>0</v>
      </c>
      <c r="H24" s="100">
        <v>2146.733449808416</v>
      </c>
      <c r="I24" s="8">
        <v>0</v>
      </c>
      <c r="J24" s="100">
        <v>2098.6917769986458</v>
      </c>
      <c r="K24" s="8">
        <v>0</v>
      </c>
      <c r="L24" s="100">
        <v>2044.4350263199369</v>
      </c>
      <c r="M24" s="8">
        <v>0</v>
      </c>
      <c r="N24" s="100">
        <v>1983.0357827755163</v>
      </c>
      <c r="O24" s="8">
        <v>0</v>
      </c>
      <c r="P24" s="100">
        <v>1913.4555489876466</v>
      </c>
      <c r="Q24" s="8">
        <v>0</v>
      </c>
      <c r="R24" s="100">
        <v>1834.570830277692</v>
      </c>
      <c r="S24" s="8">
        <v>0</v>
      </c>
      <c r="T24" s="100">
        <v>1745.2366469916551</v>
      </c>
      <c r="U24" s="8">
        <v>0</v>
      </c>
      <c r="V24" s="100">
        <v>1644.4077015692003</v>
      </c>
      <c r="W24" s="8">
        <v>0</v>
      </c>
      <c r="X24" s="100">
        <v>1531.3662006715065</v>
      </c>
      <c r="Y24" s="8">
        <v>0</v>
      </c>
      <c r="Z24" s="100">
        <v>1406.1788975043232</v>
      </c>
      <c r="AA24" s="8">
        <v>0</v>
      </c>
      <c r="AB24" s="100">
        <v>1270.9808291566555</v>
      </c>
      <c r="AC24" s="8">
        <v>0</v>
      </c>
      <c r="AD24" s="100">
        <v>1137.2769861893505</v>
      </c>
      <c r="AE24" s="8">
        <v>0</v>
      </c>
      <c r="AF24" s="100"/>
      <c r="AG24" s="8"/>
      <c r="AH24" s="100"/>
      <c r="AI24" s="8"/>
      <c r="AJ24" s="100"/>
      <c r="AK24" s="8"/>
      <c r="AL24" s="100"/>
      <c r="AM24" s="8"/>
      <c r="AN24" s="100"/>
      <c r="AO24" s="8"/>
      <c r="AP24" s="100"/>
      <c r="AQ24" s="8"/>
      <c r="AR24" s="100"/>
      <c r="AS24" s="8"/>
      <c r="AT24" s="100"/>
      <c r="AU24" s="8"/>
      <c r="AV24" s="100"/>
      <c r="AW24" s="8"/>
    </row>
    <row r="25" spans="1:49" x14ac:dyDescent="0.2">
      <c r="A25" t="s">
        <v>0</v>
      </c>
      <c r="B25" s="41">
        <v>2308.08561139929</v>
      </c>
      <c r="C25" s="42">
        <v>62.040492544331705</v>
      </c>
      <c r="D25" s="41">
        <v>2278.5456449154372</v>
      </c>
      <c r="E25" s="42">
        <v>55.186789991957411</v>
      </c>
      <c r="F25" s="41">
        <v>2244.4044331536943</v>
      </c>
      <c r="G25" s="42">
        <v>48.792037820237177</v>
      </c>
      <c r="H25" s="41">
        <v>2205.004920609922</v>
      </c>
      <c r="I25" s="42">
        <v>42.859886167016882</v>
      </c>
      <c r="J25" s="41">
        <v>2159.5823277401937</v>
      </c>
      <c r="K25" s="42">
        <v>37.392384858301916</v>
      </c>
      <c r="L25" s="41">
        <v>2107.2563611056185</v>
      </c>
      <c r="M25" s="42">
        <v>32.389476810812241</v>
      </c>
      <c r="N25" s="41">
        <v>2047.0278560036195</v>
      </c>
      <c r="O25" s="42">
        <v>27.84830517988124</v>
      </c>
      <c r="P25" s="41">
        <v>1977.7892976982941</v>
      </c>
      <c r="Q25" s="42">
        <v>23.762309265580122</v>
      </c>
      <c r="R25" s="41">
        <v>1898.3587018400283</v>
      </c>
      <c r="S25" s="42">
        <v>20.120058623464526</v>
      </c>
      <c r="T25" s="41">
        <v>1807.5564107711405</v>
      </c>
      <c r="U25" s="42">
        <v>16.903658876682741</v>
      </c>
      <c r="V25" s="41">
        <v>1704.3469087479737</v>
      </c>
      <c r="W25" s="42">
        <v>14.086515809022302</v>
      </c>
      <c r="X25" s="41">
        <v>1588.1023534023059</v>
      </c>
      <c r="Y25" s="42">
        <v>11.629424450185951</v>
      </c>
      <c r="Z25" s="41">
        <v>1459.1416136531334</v>
      </c>
      <c r="AA25" s="42">
        <v>9.4713185798201014</v>
      </c>
      <c r="AB25" s="41">
        <v>1320.2970202714546</v>
      </c>
      <c r="AC25" s="42">
        <v>7.4965562177281218</v>
      </c>
      <c r="AD25" s="41">
        <v>1186.11891906905</v>
      </c>
      <c r="AE25" s="42">
        <v>5.3356990922453429</v>
      </c>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3209.4420883953348</v>
      </c>
      <c r="C26" s="34">
        <v>31.623872672841795</v>
      </c>
      <c r="D26" s="33">
        <v>3115.3383028446751</v>
      </c>
      <c r="E26" s="34">
        <v>28.835983698329905</v>
      </c>
      <c r="F26" s="33">
        <v>3015.8769361758827</v>
      </c>
      <c r="G26" s="34">
        <v>26.163741911955757</v>
      </c>
      <c r="H26" s="33">
        <v>2910.5763067938569</v>
      </c>
      <c r="I26" s="34">
        <v>23.612523603451102</v>
      </c>
      <c r="J26" s="33">
        <v>2798.9155864708009</v>
      </c>
      <c r="K26" s="34">
        <v>21.187862528635197</v>
      </c>
      <c r="L26" s="33">
        <v>2680.3451110482033</v>
      </c>
      <c r="M26" s="34">
        <v>18.895508467625163</v>
      </c>
      <c r="N26" s="33">
        <v>2554.3046716714575</v>
      </c>
      <c r="O26" s="34">
        <v>16.741145582971907</v>
      </c>
      <c r="P26" s="33">
        <v>2420.2558768017193</v>
      </c>
      <c r="Q26" s="34">
        <v>14.729990660272739</v>
      </c>
      <c r="R26" s="33">
        <v>2277.7332989302345</v>
      </c>
      <c r="S26" s="34">
        <v>12.866131115707113</v>
      </c>
      <c r="T26" s="33">
        <v>2126.426256689625</v>
      </c>
      <c r="U26" s="34">
        <v>11.151532955680381</v>
      </c>
      <c r="V26" s="33">
        <v>1966.3011292514932</v>
      </c>
      <c r="W26" s="34">
        <v>9.5844572785132378</v>
      </c>
      <c r="X26" s="33">
        <v>1797.805441320985</v>
      </c>
      <c r="Y26" s="34">
        <v>8.1566395937409215</v>
      </c>
      <c r="Z26" s="33">
        <v>1622.2983736854462</v>
      </c>
      <c r="AA26" s="34">
        <v>6.8472363577169384</v>
      </c>
      <c r="AB26" s="33">
        <v>1443.4638528135001</v>
      </c>
      <c r="AC26" s="34">
        <v>5.6028890482228961</v>
      </c>
      <c r="AD26" s="33">
        <v>1276.349579195391</v>
      </c>
      <c r="AE26" s="34">
        <v>4.2173829407929739</v>
      </c>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4880.3032028967582</v>
      </c>
      <c r="C27" s="36">
        <v>155.9342317514201</v>
      </c>
      <c r="D27" s="35">
        <v>4891.091105118312</v>
      </c>
      <c r="E27" s="36">
        <v>145.14720585709591</v>
      </c>
      <c r="F27" s="35">
        <v>4901.5988254259109</v>
      </c>
      <c r="G27" s="36">
        <v>134.63856663449795</v>
      </c>
      <c r="H27" s="35">
        <v>4911.7982950967626</v>
      </c>
      <c r="I27" s="36">
        <v>124.43907786509919</v>
      </c>
      <c r="J27" s="35">
        <v>4921.6535034675962</v>
      </c>
      <c r="K27" s="36">
        <v>114.58385452337217</v>
      </c>
      <c r="L27" s="35">
        <v>4931.1244556519205</v>
      </c>
      <c r="M27" s="36">
        <v>105.11291313502799</v>
      </c>
      <c r="N27" s="35">
        <v>4940.166089275147</v>
      </c>
      <c r="O27" s="36">
        <v>96.07135902689032</v>
      </c>
      <c r="P27" s="35">
        <v>4948.7282715460142</v>
      </c>
      <c r="Q27" s="36">
        <v>87.509342648481081</v>
      </c>
      <c r="R27" s="35">
        <v>4956.7556036250435</v>
      </c>
      <c r="S27" s="36">
        <v>79.481840240578578</v>
      </c>
      <c r="T27" s="35">
        <v>4964.1907988012854</v>
      </c>
      <c r="U27" s="36">
        <v>72.048225271592798</v>
      </c>
      <c r="V27" s="35">
        <v>4970.9660188558155</v>
      </c>
      <c r="W27" s="36">
        <v>65.272927164402745</v>
      </c>
      <c r="X27" s="35">
        <v>4977.004759830711</v>
      </c>
      <c r="Y27" s="36">
        <v>59.231096858188295</v>
      </c>
      <c r="Z27" s="35">
        <v>4982.2009004651063</v>
      </c>
      <c r="AA27" s="36">
        <v>54.031997664823074</v>
      </c>
      <c r="AB27" s="35">
        <v>4986.3178394980814</v>
      </c>
      <c r="AC27" s="36">
        <v>49.919778677964231</v>
      </c>
      <c r="AD27" s="35">
        <v>4988.3895486663187</v>
      </c>
      <c r="AE27" s="36">
        <v>47.847906193774136</v>
      </c>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9924.5937686277575</v>
      </c>
      <c r="C28" s="42">
        <v>205.34242141823867</v>
      </c>
      <c r="D28" s="41">
        <v>9783.3146814871961</v>
      </c>
      <c r="E28" s="42">
        <v>190.14970515672201</v>
      </c>
      <c r="F28" s="41">
        <v>9623.9076406152599</v>
      </c>
      <c r="G28" s="42">
        <v>175.31463001781449</v>
      </c>
      <c r="H28" s="41">
        <v>9443.6815214473627</v>
      </c>
      <c r="I28" s="42">
        <v>160.87376925712195</v>
      </c>
      <c r="J28" s="41">
        <v>9239.4829226223392</v>
      </c>
      <c r="K28" s="42">
        <v>146.86743885993113</v>
      </c>
      <c r="L28" s="41">
        <v>9007.6512181694452</v>
      </c>
      <c r="M28" s="42">
        <v>133.33984841584868</v>
      </c>
      <c r="N28" s="41">
        <v>8743.9902079036619</v>
      </c>
      <c r="O28" s="42">
        <v>120.33796970303165</v>
      </c>
      <c r="P28" s="41">
        <v>8443.7922133713455</v>
      </c>
      <c r="Q28" s="42">
        <v>107.90937292975747</v>
      </c>
      <c r="R28" s="41">
        <v>8101.9552572999064</v>
      </c>
      <c r="S28" s="42">
        <v>96.098226605817189</v>
      </c>
      <c r="T28" s="41">
        <v>7713.2731052383097</v>
      </c>
      <c r="U28" s="42">
        <v>84.938286337026142</v>
      </c>
      <c r="V28" s="41">
        <v>7272.9919492847112</v>
      </c>
      <c r="W28" s="42">
        <v>74.440803724633554</v>
      </c>
      <c r="X28" s="41">
        <v>6777.8626145922835</v>
      </c>
      <c r="Y28" s="42">
        <v>64.571632335540158</v>
      </c>
      <c r="Z28" s="41">
        <v>6228.2718047953831</v>
      </c>
      <c r="AA28" s="42">
        <v>55.199174164179702</v>
      </c>
      <c r="AB28" s="41">
        <v>5634.2791854518864</v>
      </c>
      <c r="AC28" s="42">
        <v>45.922434557579109</v>
      </c>
      <c r="AD28" s="41">
        <v>5050.2065676933553</v>
      </c>
      <c r="AE28" s="42">
        <v>35.039908949859793</v>
      </c>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10476.875482049762</v>
      </c>
      <c r="C29" s="36">
        <v>680.10699657273517</v>
      </c>
      <c r="D29" s="35">
        <v>10317.807138021395</v>
      </c>
      <c r="E29" s="36">
        <v>625.5369869153343</v>
      </c>
      <c r="F29" s="35">
        <v>10139.448830431189</v>
      </c>
      <c r="G29" s="36">
        <v>572.60598664348925</v>
      </c>
      <c r="H29" s="35">
        <v>9939.0383659766612</v>
      </c>
      <c r="I29" s="36">
        <v>521.44975436058928</v>
      </c>
      <c r="J29" s="35">
        <v>9713.3556368043119</v>
      </c>
      <c r="K29" s="36">
        <v>472.21454713080703</v>
      </c>
      <c r="L29" s="35">
        <v>9458.6825747109469</v>
      </c>
      <c r="M29" s="36">
        <v>425.05689986900478</v>
      </c>
      <c r="N29" s="35">
        <v>9170.7820131385124</v>
      </c>
      <c r="O29" s="36">
        <v>380.1392249048962</v>
      </c>
      <c r="P29" s="35">
        <v>8844.9312774127957</v>
      </c>
      <c r="Q29" s="36">
        <v>337.62232419774722</v>
      </c>
      <c r="R29" s="35">
        <v>8476.0510689805669</v>
      </c>
      <c r="S29" s="36">
        <v>297.65264316058335</v>
      </c>
      <c r="T29" s="35">
        <v>8059.0087638682771</v>
      </c>
      <c r="U29" s="36">
        <v>260.34176927223854</v>
      </c>
      <c r="V29" s="35">
        <v>7589.1878483227983</v>
      </c>
      <c r="W29" s="36">
        <v>225.73381842272579</v>
      </c>
      <c r="X29" s="35">
        <v>7063.5515298865957</v>
      </c>
      <c r="Y29" s="36">
        <v>193.74827137514069</v>
      </c>
      <c r="Z29" s="35">
        <v>6482.7872027415233</v>
      </c>
      <c r="AA29" s="36">
        <v>164.059122955097</v>
      </c>
      <c r="AB29" s="35">
        <v>5857.3989089141432</v>
      </c>
      <c r="AC29" s="36">
        <v>135.70336557420671</v>
      </c>
      <c r="AD29" s="35">
        <v>5242.7566663493462</v>
      </c>
      <c r="AE29" s="36">
        <v>104.64709302824139</v>
      </c>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22">
        <v>3437517.2752293102</v>
      </c>
      <c r="D30" s="122">
        <v>3381934.5084908768</v>
      </c>
      <c r="F30" s="122">
        <v>3320385.9946342614</v>
      </c>
      <c r="H30" s="122">
        <v>3251996.1219900465</v>
      </c>
      <c r="J30" s="122">
        <v>3175740.237929903</v>
      </c>
      <c r="L30" s="122">
        <v>3090429.4585709157</v>
      </c>
      <c r="N30" s="122">
        <v>2994700.7934977552</v>
      </c>
      <c r="P30" s="122">
        <v>2887023.5127484254</v>
      </c>
      <c r="R30" s="122">
        <v>2765734.7211202374</v>
      </c>
      <c r="T30" s="122">
        <v>2629128.7486438439</v>
      </c>
      <c r="V30" s="122">
        <v>2475629.7194908112</v>
      </c>
      <c r="X30" s="122">
        <v>2304115.8511842568</v>
      </c>
      <c r="Z30" s="122">
        <v>2114565.5530115995</v>
      </c>
      <c r="AB30" s="122">
        <v>1909844.2902827477</v>
      </c>
      <c r="AD30" s="122">
        <v>1705724.116102878</v>
      </c>
      <c r="AF30" s="122"/>
      <c r="AH30" s="122"/>
      <c r="AJ30" s="122"/>
      <c r="AL30" s="122"/>
      <c r="AN30" s="122"/>
      <c r="AP30" s="122"/>
      <c r="AR30" s="122"/>
      <c r="AT30" s="122"/>
      <c r="AV30" s="122"/>
    </row>
    <row r="31" spans="1:49" x14ac:dyDescent="0.2">
      <c r="A31" t="s">
        <v>47</v>
      </c>
      <c r="B31" s="83">
        <v>0.99999999999999867</v>
      </c>
      <c r="D31" s="83">
        <v>0.98301050187070094</v>
      </c>
      <c r="F31" s="83">
        <v>0.96419048837629029</v>
      </c>
      <c r="H31" s="83">
        <v>0.9432921722611185</v>
      </c>
      <c r="J31" s="83">
        <v>0.92002894599451379</v>
      </c>
      <c r="L31" s="83">
        <v>0.89407218399630217</v>
      </c>
      <c r="N31" s="83">
        <v>0.86505017880362012</v>
      </c>
      <c r="P31" s="83">
        <v>0.83255191706926102</v>
      </c>
      <c r="R31" s="83">
        <v>0.79613930825748946</v>
      </c>
      <c r="T31" s="83">
        <v>0.75537430284127483</v>
      </c>
      <c r="V31" s="83">
        <v>0.70986873834991937</v>
      </c>
      <c r="X31" s="83">
        <v>0.65937607919327457</v>
      </c>
      <c r="Z31" s="83">
        <v>0.6039740445114099</v>
      </c>
      <c r="AB31" s="83">
        <v>0.54458126232001858</v>
      </c>
      <c r="AD31" s="83">
        <v>0.48592060611397714</v>
      </c>
      <c r="AF31" s="83"/>
      <c r="AH31" s="83"/>
      <c r="AJ31" s="83"/>
      <c r="AL31" s="83"/>
      <c r="AN31" s="83"/>
      <c r="AP31" s="83"/>
      <c r="AR31" s="83"/>
      <c r="AT31" s="83"/>
      <c r="AV31" s="83"/>
    </row>
    <row r="32" spans="1:49" x14ac:dyDescent="0.2">
      <c r="A32" t="s">
        <v>66</v>
      </c>
      <c r="B32" s="89">
        <v>11714820.670945669</v>
      </c>
      <c r="D32" s="89">
        <v>11525397.883875063</v>
      </c>
      <c r="F32" s="89">
        <v>11315645.416262943</v>
      </c>
      <c r="H32" s="89">
        <v>11082577.486438559</v>
      </c>
      <c r="J32" s="89">
        <v>10822702.740024198</v>
      </c>
      <c r="L32" s="89">
        <v>10531969.545075674</v>
      </c>
      <c r="N32" s="89">
        <v>10205732.922910785</v>
      </c>
      <c r="P32" s="89">
        <v>9838776.0912978854</v>
      </c>
      <c r="R32" s="89">
        <v>9425432.2786761876</v>
      </c>
      <c r="T32" s="89">
        <v>8959888.9264364708</v>
      </c>
      <c r="V32" s="89">
        <v>8436774.7237881646</v>
      </c>
      <c r="X32" s="89">
        <v>7852267.0176604297</v>
      </c>
      <c r="Z32" s="89">
        <v>7206292.5886199474</v>
      </c>
      <c r="AB32" s="89">
        <v>6508617.0079272734</v>
      </c>
      <c r="AD32" s="89">
        <v>5812989.5895583825</v>
      </c>
      <c r="AF32" s="89"/>
      <c r="AH32" s="89"/>
      <c r="AJ32" s="89"/>
      <c r="AL32" s="89"/>
      <c r="AN32" s="89"/>
      <c r="AP32" s="89"/>
      <c r="AR32" s="89"/>
      <c r="AT32" s="89"/>
      <c r="AV32" s="89"/>
    </row>
    <row r="33" spans="1:49 16319:16321" x14ac:dyDescent="0.2">
      <c r="A33" t="s">
        <v>56</v>
      </c>
      <c r="B33" s="120">
        <v>6643090.9398583025</v>
      </c>
      <c r="D33" s="120">
        <v>6535675.4679904683</v>
      </c>
      <c r="F33" s="120">
        <v>6416731.756128069</v>
      </c>
      <c r="H33" s="120">
        <v>6284566.5781493271</v>
      </c>
      <c r="J33" s="120">
        <v>6137200.1322348081</v>
      </c>
      <c r="L33" s="120">
        <v>5972334.8684509844</v>
      </c>
      <c r="N33" s="120">
        <v>5787336.7675195802</v>
      </c>
      <c r="P33" s="120">
        <v>5579247.5263208551</v>
      </c>
      <c r="R33" s="120">
        <v>5344853.7993892822</v>
      </c>
      <c r="T33" s="120">
        <v>5080859.4205026124</v>
      </c>
      <c r="V33" s="120">
        <v>4784218.4944337364</v>
      </c>
      <c r="X33" s="120">
        <v>4452763.3384736506</v>
      </c>
      <c r="Z33" s="120">
        <v>4086452.4060299103</v>
      </c>
      <c r="AB33" s="120">
        <v>3690823.43615834</v>
      </c>
      <c r="AD33" s="120">
        <v>3296355.9212992908</v>
      </c>
      <c r="AF33" s="120"/>
      <c r="AH33" s="120"/>
      <c r="AJ33" s="120"/>
      <c r="AL33" s="120"/>
      <c r="AN33" s="120"/>
      <c r="AP33" s="120"/>
      <c r="AR33" s="120"/>
      <c r="AT33" s="120"/>
      <c r="AV33" s="120"/>
    </row>
    <row r="34" spans="1:49 16319:16321" x14ac:dyDescent="0.2">
      <c r="A34" t="s">
        <v>77</v>
      </c>
      <c r="B34" s="120">
        <v>137664.28859559208</v>
      </c>
      <c r="D34" s="120">
        <v>135438.3208047963</v>
      </c>
      <c r="F34" s="120">
        <v>132973.44181133545</v>
      </c>
      <c r="H34" s="120">
        <v>130234.58527145447</v>
      </c>
      <c r="J34" s="120">
        <v>127180.71482549416</v>
      </c>
      <c r="L34" s="120">
        <v>123764.22064349026</v>
      </c>
      <c r="N34" s="120">
        <v>119930.52182764991</v>
      </c>
      <c r="P34" s="120">
        <v>115618.34439856349</v>
      </c>
      <c r="R34" s="120">
        <v>110761.01531087107</v>
      </c>
      <c r="T34" s="120">
        <v>105290.28357638093</v>
      </c>
      <c r="V34" s="120">
        <v>99143.015154180699</v>
      </c>
      <c r="X34" s="120">
        <v>92274.278270797862</v>
      </c>
      <c r="Z34" s="120">
        <v>84683.241736988246</v>
      </c>
      <c r="AB34" s="120">
        <v>76484.664153853955</v>
      </c>
      <c r="AD34" s="120">
        <v>68310.142303197848</v>
      </c>
      <c r="AF34" s="120"/>
      <c r="AH34" s="120"/>
      <c r="AJ34" s="120"/>
      <c r="AL34" s="120"/>
      <c r="AN34" s="120"/>
      <c r="AP34" s="120"/>
      <c r="AR34" s="120"/>
      <c r="AT34" s="120"/>
      <c r="AV34" s="120"/>
    </row>
    <row r="35" spans="1:49 16319:16321" x14ac:dyDescent="0.2">
      <c r="A35" t="s">
        <v>80</v>
      </c>
      <c r="B35" s="236">
        <v>1</v>
      </c>
      <c r="D35" s="236">
        <v>1.0008343290556603</v>
      </c>
      <c r="F35" s="236">
        <v>1.0018009315506682</v>
      </c>
      <c r="H35" s="236">
        <v>1.0029077479206714</v>
      </c>
      <c r="J35" s="236">
        <v>1.0041619861841131</v>
      </c>
      <c r="L35" s="236">
        <v>1.0055691784654852</v>
      </c>
      <c r="N35" s="236">
        <v>1.0071318245777854</v>
      </c>
      <c r="P35" s="236">
        <v>1.0088474539881636</v>
      </c>
      <c r="R35" s="236">
        <v>1.0107060398575973</v>
      </c>
      <c r="T35" s="236">
        <v>1.0126866105365955</v>
      </c>
      <c r="V35" s="236">
        <v>1.0147530377363057</v>
      </c>
      <c r="X35" s="236">
        <v>1.0168485130192626</v>
      </c>
      <c r="Z35" s="236">
        <v>1.0188847930343257</v>
      </c>
      <c r="AB35" s="236">
        <v>1.0207035197279195</v>
      </c>
      <c r="AD35" s="236">
        <v>1.0217964860013942</v>
      </c>
      <c r="AF35" s="236"/>
      <c r="AH35" s="236"/>
      <c r="AJ35" s="236"/>
      <c r="AL35" s="236"/>
      <c r="AN35" s="236"/>
      <c r="AP35" s="236"/>
      <c r="AR35" s="236"/>
      <c r="AT35" s="236"/>
      <c r="AV35" s="236"/>
    </row>
    <row r="36" spans="1:49 16319:16321" x14ac:dyDescent="0.2">
      <c r="A36" t="s">
        <v>21</v>
      </c>
      <c r="B36" s="37">
        <v>0.47796858982439155</v>
      </c>
      <c r="C36" s="38">
        <v>0.17068593284758601</v>
      </c>
      <c r="D36" s="37">
        <v>0.47797875255534872</v>
      </c>
      <c r="E36" s="38">
        <v>0.17180427683204269</v>
      </c>
      <c r="F36" s="37">
        <v>0.47798880103667035</v>
      </c>
      <c r="G36" s="38">
        <v>0.17296833429578637</v>
      </c>
      <c r="H36" s="37">
        <v>0.477998672077731</v>
      </c>
      <c r="I36" s="38">
        <v>0.17417799840164983</v>
      </c>
      <c r="J36" s="37">
        <v>0.47800829011271639</v>
      </c>
      <c r="K36" s="38">
        <v>0.17543181893333842</v>
      </c>
      <c r="L36" s="37">
        <v>0.47801756878261653</v>
      </c>
      <c r="M36" s="38">
        <v>0.17672658237923333</v>
      </c>
      <c r="N36" s="37">
        <v>0.47802641148872099</v>
      </c>
      <c r="O36" s="38">
        <v>0.17805668906286695</v>
      </c>
      <c r="P36" s="37">
        <v>0.47803471515890278</v>
      </c>
      <c r="Q36" s="38">
        <v>0.17941354232789242</v>
      </c>
      <c r="R36" s="37">
        <v>0.4780423781807141</v>
      </c>
      <c r="S36" s="38">
        <v>0.18078512927604456</v>
      </c>
      <c r="T36" s="37">
        <v>0.47804931946949336</v>
      </c>
      <c r="U36" s="38">
        <v>0.18215648611893503</v>
      </c>
      <c r="V36" s="37">
        <v>0.47805551738427271</v>
      </c>
      <c r="W36" s="38">
        <v>0.18351243426433891</v>
      </c>
      <c r="X36" s="37">
        <v>0.4780610978530857</v>
      </c>
      <c r="Y36" s="38">
        <v>0.18484659514457702</v>
      </c>
      <c r="Z36" s="37">
        <v>0.47806658656944467</v>
      </c>
      <c r="AA36" s="38">
        <v>0.18619060426160525</v>
      </c>
      <c r="AB36" s="37">
        <v>0.47807387192054224</v>
      </c>
      <c r="AC36" s="38">
        <v>0.18772964373901146</v>
      </c>
      <c r="AD36" s="37">
        <v>0.47809273192904489</v>
      </c>
      <c r="AE36" s="38">
        <v>0.19059564918474994</v>
      </c>
      <c r="AF36" s="37"/>
      <c r="AG36" s="38"/>
      <c r="AH36" s="37"/>
      <c r="AI36" s="38"/>
      <c r="AJ36" s="37"/>
      <c r="AK36" s="38"/>
      <c r="AL36" s="37"/>
      <c r="AM36" s="38"/>
      <c r="AN36" s="37"/>
      <c r="AO36" s="38"/>
      <c r="AP36" s="37"/>
      <c r="AQ36" s="38"/>
      <c r="AR36" s="37"/>
      <c r="AS36" s="38"/>
      <c r="AT36" s="37"/>
      <c r="AU36" s="38"/>
      <c r="AV36" s="37"/>
      <c r="AW36" s="38"/>
    </row>
    <row r="37" spans="1:49 16319:16321" x14ac:dyDescent="0.2">
      <c r="B37" s="39">
        <v>2.2053138497826009E-2</v>
      </c>
      <c r="C37" s="40">
        <v>0.48867583383045654</v>
      </c>
      <c r="D37" s="39">
        <v>2.1678191680675227E-2</v>
      </c>
      <c r="E37" s="40">
        <v>0.4865671607748262</v>
      </c>
      <c r="F37" s="39">
        <v>2.1298410611953585E-2</v>
      </c>
      <c r="G37" s="40">
        <v>0.48441327511788745</v>
      </c>
      <c r="H37" s="39">
        <v>2.0914548324880947E-2</v>
      </c>
      <c r="I37" s="40">
        <v>0.48221656697630394</v>
      </c>
      <c r="J37" s="39">
        <v>2.0527678310535969E-2</v>
      </c>
      <c r="K37" s="40">
        <v>0.47998097804238227</v>
      </c>
      <c r="L37" s="39">
        <v>2.0139261938636938E-2</v>
      </c>
      <c r="M37" s="40">
        <v>0.47771249130622029</v>
      </c>
      <c r="N37" s="39">
        <v>1.9751252845793363E-2</v>
      </c>
      <c r="O37" s="40">
        <v>0.47541986684808557</v>
      </c>
      <c r="P37" s="39">
        <v>1.9366200445691161E-2</v>
      </c>
      <c r="Q37" s="40">
        <v>0.4731156092256566</v>
      </c>
      <c r="R37" s="39">
        <v>1.8987337215402838E-2</v>
      </c>
      <c r="S37" s="40">
        <v>0.47081727429478232</v>
      </c>
      <c r="T37" s="39">
        <v>1.8618587761462715E-2</v>
      </c>
      <c r="U37" s="40">
        <v>0.46854943338245997</v>
      </c>
      <c r="V37" s="39">
        <v>1.8264406406378272E-2</v>
      </c>
      <c r="W37" s="40">
        <v>0.46634715344399624</v>
      </c>
      <c r="X37" s="39">
        <v>1.7929184297478258E-2</v>
      </c>
      <c r="Y37" s="40">
        <v>0.46426371760655055</v>
      </c>
      <c r="Z37" s="39">
        <v>1.7615449751628359E-2</v>
      </c>
      <c r="AA37" s="40">
        <v>0.46239399363956585</v>
      </c>
      <c r="AB37" s="39">
        <v>1.731744040862113E-2</v>
      </c>
      <c r="AC37" s="40">
        <v>0.46097201028715429</v>
      </c>
      <c r="AD37" s="39">
        <v>1.6982219657532938E-2</v>
      </c>
      <c r="AE37" s="40">
        <v>0.46109962960069445</v>
      </c>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0.14928344905798796</v>
      </c>
      <c r="C38" s="38">
        <v>3.7916652170162192E-2</v>
      </c>
      <c r="D38" s="37">
        <v>0.14713707380252736</v>
      </c>
      <c r="E38" s="38">
        <v>3.7536149844076883E-2</v>
      </c>
      <c r="F38" s="37">
        <v>0.1449419462385339</v>
      </c>
      <c r="G38" s="38">
        <v>3.7151478644282261E-2</v>
      </c>
      <c r="H38" s="37">
        <v>0.14269873581490852</v>
      </c>
      <c r="I38" s="38">
        <v>3.6763423097163732E-2</v>
      </c>
      <c r="J38" s="37">
        <v>0.14040964309780077</v>
      </c>
      <c r="K38" s="38">
        <v>3.6373014305142726E-2</v>
      </c>
      <c r="L38" s="37">
        <v>0.13807903134257729</v>
      </c>
      <c r="M38" s="38">
        <v>3.598180057522412E-2</v>
      </c>
      <c r="N38" s="37">
        <v>0.13571431170788381</v>
      </c>
      <c r="O38" s="38">
        <v>3.5591953825980509E-2</v>
      </c>
      <c r="P38" s="37">
        <v>0.13332706071110825</v>
      </c>
      <c r="Q38" s="38">
        <v>3.5206396271964389E-2</v>
      </c>
      <c r="R38" s="37">
        <v>0.13093433858637074</v>
      </c>
      <c r="S38" s="38">
        <v>3.482878985768606E-2</v>
      </c>
      <c r="T38" s="37">
        <v>0.12856015874230012</v>
      </c>
      <c r="U38" s="38">
        <v>3.4463276561049472E-2</v>
      </c>
      <c r="V38" s="37">
        <v>0.12623697494574804</v>
      </c>
      <c r="W38" s="38">
        <v>3.4113357606683478E-2</v>
      </c>
      <c r="X38" s="37">
        <v>0.12400698812815202</v>
      </c>
      <c r="Y38" s="38">
        <v>3.3778360488523854E-2</v>
      </c>
      <c r="Z38" s="37">
        <v>0.12192432894040257</v>
      </c>
      <c r="AA38" s="38">
        <v>3.3442664443760886E-2</v>
      </c>
      <c r="AB38" s="37">
        <v>0.12006478385539428</v>
      </c>
      <c r="AC38" s="38">
        <v>3.3033934430367978E-2</v>
      </c>
      <c r="AD38" s="37">
        <v>0.11860600422114333</v>
      </c>
      <c r="AE38" s="38">
        <v>3.215836141152989E-2</v>
      </c>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0.22700160168381014</v>
      </c>
      <c r="C39" s="40">
        <v>0.18696331369363389</v>
      </c>
      <c r="D39" s="39">
        <v>0.2310056767355064</v>
      </c>
      <c r="E39" s="40">
        <v>0.18893987891998199</v>
      </c>
      <c r="F39" s="39">
        <v>0.23556905287341962</v>
      </c>
      <c r="G39" s="40">
        <v>0.19118143917833885</v>
      </c>
      <c r="H39" s="39">
        <v>0.24081396033221167</v>
      </c>
      <c r="I39" s="40">
        <v>0.19374491884920383</v>
      </c>
      <c r="J39" s="39">
        <v>0.24689833991895385</v>
      </c>
      <c r="K39" s="40">
        <v>0.19670507933890546</v>
      </c>
      <c r="L39" s="39">
        <v>0.25402881347612621</v>
      </c>
      <c r="M39" s="40">
        <v>0.20016142380003307</v>
      </c>
      <c r="N39" s="39">
        <v>0.26247896265635462</v>
      </c>
      <c r="O39" s="40">
        <v>0.2042493064490313</v>
      </c>
      <c r="P39" s="39">
        <v>0.27261555318485348</v>
      </c>
      <c r="Q39" s="40">
        <v>0.20915753891757685</v>
      </c>
      <c r="R39" s="39">
        <v>0.28493657128327854</v>
      </c>
      <c r="S39" s="40">
        <v>0.21515840980835096</v>
      </c>
      <c r="T39" s="39">
        <v>0.30012663505881015</v>
      </c>
      <c r="U39" s="40">
        <v>0.22266157694515837</v>
      </c>
      <c r="V39" s="39">
        <v>0.31913713695386159</v>
      </c>
      <c r="W39" s="40">
        <v>0.23232183541431387</v>
      </c>
      <c r="X39" s="39">
        <v>0.34329819900455483</v>
      </c>
      <c r="Y39" s="40">
        <v>0.24528843267046352</v>
      </c>
      <c r="Z39" s="39">
        <v>0.37443882783134602</v>
      </c>
      <c r="AA39" s="40">
        <v>0.26389829016114846</v>
      </c>
      <c r="AB39" s="39">
        <v>0.41475314568267552</v>
      </c>
      <c r="AC39" s="40">
        <v>0.29432078369451031</v>
      </c>
      <c r="AD39" s="39">
        <v>0.46355086530353373</v>
      </c>
      <c r="AE39" s="40">
        <v>0.36484954811218828</v>
      </c>
      <c r="AF39" s="39"/>
      <c r="AG39" s="40"/>
      <c r="AH39" s="39"/>
      <c r="AI39" s="40"/>
      <c r="AJ39" s="39"/>
      <c r="AK39" s="40"/>
      <c r="AL39" s="39"/>
      <c r="AM39" s="40"/>
      <c r="AN39" s="39"/>
      <c r="AO39" s="40"/>
      <c r="AP39" s="39"/>
      <c r="AQ39" s="40"/>
      <c r="AR39" s="39"/>
      <c r="AS39" s="40"/>
      <c r="AT39" s="39"/>
      <c r="AU39" s="40"/>
      <c r="AV39" s="39"/>
      <c r="AW39" s="40"/>
    </row>
    <row r="40" spans="1:49 16319:16321" x14ac:dyDescent="0.2">
      <c r="B40" s="138"/>
      <c r="C40" s="138"/>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138"/>
      <c r="AB40" s="138"/>
      <c r="AC40" s="138"/>
      <c r="AD40" s="138"/>
      <c r="AE40" s="138"/>
      <c r="AF40" s="138"/>
      <c r="AG40" s="138"/>
      <c r="AH40" s="138"/>
      <c r="AI40" s="138"/>
      <c r="AJ40" s="138"/>
      <c r="AK40" s="138"/>
      <c r="AL40" s="138"/>
      <c r="AM40" s="138"/>
      <c r="AN40" s="138"/>
      <c r="AO40" s="138"/>
      <c r="AP40" s="138"/>
      <c r="AQ40" s="138"/>
      <c r="AR40" s="138"/>
      <c r="AS40" s="138"/>
      <c r="AT40" s="138"/>
      <c r="AU40" s="138"/>
    </row>
    <row r="41" spans="1:49 16319:16321" x14ac:dyDescent="0.2">
      <c r="B41" s="138"/>
      <c r="C41" s="138"/>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138"/>
      <c r="AB41" s="138"/>
      <c r="AC41" s="138"/>
      <c r="AD41" s="138"/>
      <c r="AE41" s="138"/>
      <c r="AF41" s="138"/>
      <c r="AG41" s="138"/>
      <c r="AH41" s="138"/>
      <c r="AI41" s="138"/>
      <c r="AJ41" s="138"/>
      <c r="AK41" s="138"/>
      <c r="AL41" s="138"/>
      <c r="AM41" s="138"/>
      <c r="AN41" s="138"/>
      <c r="AO41" s="138"/>
      <c r="AP41" s="138"/>
      <c r="AQ41" s="138"/>
      <c r="AR41" s="138"/>
      <c r="AS41" s="138"/>
      <c r="AT41" s="138"/>
      <c r="AU41" s="138"/>
    </row>
    <row r="42" spans="1:49 16319:16321" x14ac:dyDescent="0.2">
      <c r="A42" t="s">
        <v>110</v>
      </c>
      <c r="B42" s="180">
        <v>0.10800000000000001</v>
      </c>
      <c r="C42" s="138"/>
      <c r="D42" s="180">
        <v>0.13466634209689718</v>
      </c>
      <c r="E42" s="138"/>
      <c r="F42" s="180">
        <v>0.16277535926481171</v>
      </c>
      <c r="G42" s="138"/>
      <c r="H42" s="180">
        <v>0.19245813934258796</v>
      </c>
      <c r="I42" s="138"/>
      <c r="J42" s="180">
        <v>0.22385650069323521</v>
      </c>
      <c r="K42" s="138"/>
      <c r="L42" s="180">
        <v>0.25712013839588993</v>
      </c>
      <c r="M42" s="138"/>
      <c r="N42" s="180">
        <v>0.29240166768000264</v>
      </c>
      <c r="O42" s="138"/>
      <c r="P42" s="180">
        <v>0.32984782788553418</v>
      </c>
      <c r="Q42" s="138"/>
      <c r="R42" s="180">
        <v>0.3695855881539708</v>
      </c>
      <c r="S42" s="138"/>
      <c r="T42" s="180">
        <v>0.41169991253889682</v>
      </c>
      <c r="U42" s="138"/>
      <c r="V42" s="180">
        <v>0.45620053267786886</v>
      </c>
      <c r="W42" s="138"/>
      <c r="X42" s="180">
        <v>0.50296655621133479</v>
      </c>
      <c r="Y42" s="165"/>
      <c r="Z42" s="180">
        <v>0.55162964851244101</v>
      </c>
      <c r="AA42" s="138"/>
      <c r="AB42" s="180">
        <v>0.60119061158673293</v>
      </c>
      <c r="AC42" s="138"/>
      <c r="AD42" s="180">
        <v>0.64756479999283534</v>
      </c>
      <c r="AE42" s="138"/>
      <c r="AF42" s="180">
        <v>1</v>
      </c>
      <c r="AG42" s="138"/>
      <c r="AH42" s="180">
        <v>1</v>
      </c>
      <c r="AI42" s="138"/>
      <c r="AJ42" s="180">
        <v>1</v>
      </c>
      <c r="AK42" s="138"/>
      <c r="AL42" s="180">
        <v>1</v>
      </c>
      <c r="AM42" s="138"/>
      <c r="AN42" s="180">
        <v>1</v>
      </c>
      <c r="AO42" s="138"/>
      <c r="AP42" s="180">
        <v>1</v>
      </c>
      <c r="AQ42" s="138"/>
      <c r="AR42" s="180">
        <v>1</v>
      </c>
      <c r="AS42" s="138"/>
      <c r="AT42" s="180">
        <v>1</v>
      </c>
      <c r="AU42" s="138"/>
      <c r="AV42" s="180">
        <v>1</v>
      </c>
    </row>
    <row r="43" spans="1:49 16319:16321" x14ac:dyDescent="0.2">
      <c r="A43" t="s">
        <v>111</v>
      </c>
      <c r="B43" s="165">
        <v>0.60327031657597174</v>
      </c>
      <c r="C43" s="138"/>
      <c r="D43" s="165">
        <v>0.61357999783470507</v>
      </c>
      <c r="E43" s="138"/>
      <c r="F43" s="165">
        <v>0.61883422964378065</v>
      </c>
      <c r="G43" s="138"/>
      <c r="H43" s="165">
        <v>0.6242014971692631</v>
      </c>
      <c r="I43" s="138"/>
      <c r="J43" s="165">
        <v>0.62967770186415029</v>
      </c>
      <c r="K43" s="138"/>
      <c r="L43" s="165">
        <v>0.63525383446947525</v>
      </c>
      <c r="M43" s="138"/>
      <c r="N43" s="165">
        <v>0.64091380763571781</v>
      </c>
      <c r="O43" s="138"/>
      <c r="P43" s="165">
        <v>0.64663166539107297</v>
      </c>
      <c r="Q43" s="138"/>
      <c r="R43" s="165">
        <v>0.65236819601867724</v>
      </c>
      <c r="S43" s="138"/>
      <c r="T43" s="165">
        <v>0.65806698270274466</v>
      </c>
      <c r="U43" s="138"/>
      <c r="V43" s="165">
        <v>0.66364926753120745</v>
      </c>
      <c r="W43" s="138"/>
      <c r="X43" s="165">
        <v>0.66900861231968611</v>
      </c>
      <c r="Y43" s="138"/>
      <c r="Z43" s="165">
        <v>0.67399809562604418</v>
      </c>
      <c r="AA43" s="138"/>
      <c r="AB43" s="165">
        <v>0.6783777809384105</v>
      </c>
      <c r="AC43" s="138"/>
      <c r="AD43" s="165">
        <v>0.68142336384672131</v>
      </c>
      <c r="AE43" s="138"/>
      <c r="AF43" s="165" t="e">
        <v>#DIV/0!</v>
      </c>
      <c r="AG43" s="138"/>
      <c r="AH43" s="165" t="e">
        <v>#DIV/0!</v>
      </c>
      <c r="AI43" s="138"/>
      <c r="AJ43" s="165" t="e">
        <v>#DIV/0!</v>
      </c>
      <c r="AK43" s="138"/>
      <c r="AL43" s="165" t="e">
        <v>#DIV/0!</v>
      </c>
      <c r="AM43" s="138"/>
      <c r="AN43" s="165" t="e">
        <v>#DIV/0!</v>
      </c>
      <c r="AO43" s="138"/>
      <c r="AP43" s="165" t="e">
        <v>#DIV/0!</v>
      </c>
      <c r="AQ43" s="138"/>
      <c r="AR43" s="165" t="e">
        <v>#DIV/0!</v>
      </c>
      <c r="AS43" s="138"/>
      <c r="AT43" s="165" t="e">
        <v>#DIV/0!</v>
      </c>
      <c r="AU43" s="138"/>
      <c r="AV43" s="165" t="e">
        <v>#DIV/0!</v>
      </c>
    </row>
    <row r="44" spans="1:49 16319:16321" x14ac:dyDescent="0.2">
      <c r="A44" t="s">
        <v>145</v>
      </c>
      <c r="B44" s="196">
        <v>0.21620509429616297</v>
      </c>
      <c r="D44" s="196">
        <v>0.21620509570060734</v>
      </c>
      <c r="F44" s="196">
        <v>0.21620509223539378</v>
      </c>
      <c r="H44" s="196">
        <v>0.21620509146785458</v>
      </c>
      <c r="J44" s="196">
        <v>0.2162050907169005</v>
      </c>
      <c r="L44" s="196">
        <v>0.21620509018704592</v>
      </c>
      <c r="N44" s="196">
        <v>0.2162050902892482</v>
      </c>
      <c r="P44" s="196">
        <v>0.21620509483173195</v>
      </c>
      <c r="R44" s="196">
        <v>0.21620509431838522</v>
      </c>
      <c r="T44" s="196">
        <v>0.21620509414252675</v>
      </c>
      <c r="V44" s="196">
        <v>0.21620509446118283</v>
      </c>
      <c r="X44" s="196">
        <v>0.21620509301325511</v>
      </c>
      <c r="Z44" s="196">
        <v>0.21620509297461493</v>
      </c>
      <c r="AB44" s="196">
        <v>0.2162050942128928</v>
      </c>
      <c r="AD44" s="196">
        <v>0.21620509415305827</v>
      </c>
      <c r="AF44" s="196" t="e">
        <v>#DIV/0!</v>
      </c>
      <c r="AH44" s="196" t="e">
        <v>#DIV/0!</v>
      </c>
      <c r="AJ44" s="196" t="e">
        <v>#DIV/0!</v>
      </c>
      <c r="AL44" s="196" t="e">
        <v>#DIV/0!</v>
      </c>
      <c r="AN44" s="196" t="e">
        <v>#DIV/0!</v>
      </c>
      <c r="AP44" s="196" t="e">
        <v>#DIV/0!</v>
      </c>
      <c r="AR44" s="196" t="e">
        <v>#DIV/0!</v>
      </c>
      <c r="AT44" s="196" t="e">
        <v>#DIV/0!</v>
      </c>
      <c r="AV44" s="196" t="e">
        <v>#DIV/0!</v>
      </c>
    </row>
    <row r="45" spans="1:49 16319:16321" x14ac:dyDescent="0.2">
      <c r="A45" t="s">
        <v>84</v>
      </c>
      <c r="B45" s="196">
        <v>0.20445380142857192</v>
      </c>
      <c r="D45" s="196">
        <v>0.20445380327934656</v>
      </c>
      <c r="F45" s="196">
        <v>0.20445380126437901</v>
      </c>
      <c r="H45" s="196">
        <v>0.20445380117181838</v>
      </c>
      <c r="J45" s="196">
        <v>0.2044538010547389</v>
      </c>
      <c r="L45" s="196">
        <v>0.20445380092307749</v>
      </c>
      <c r="N45" s="196">
        <v>0.20445380081954057</v>
      </c>
      <c r="P45" s="196">
        <v>0.20445380144669145</v>
      </c>
      <c r="R45" s="196">
        <v>0.20445380142952183</v>
      </c>
      <c r="T45" s="196">
        <v>0.2044538007458287</v>
      </c>
      <c r="V45" s="196">
        <v>0.20445380105819091</v>
      </c>
      <c r="X45" s="196">
        <v>0.20445380156286697</v>
      </c>
      <c r="Z45" s="196">
        <v>0.20445380190565132</v>
      </c>
      <c r="AB45" s="196">
        <v>0.20445380141740366</v>
      </c>
      <c r="AD45" s="196">
        <v>0.20445380142308325</v>
      </c>
      <c r="AF45" s="196" t="e">
        <v>#DIV/0!</v>
      </c>
      <c r="AH45" s="196" t="e">
        <v>#DIV/0!</v>
      </c>
      <c r="AJ45" s="196" t="e">
        <v>#DIV/0!</v>
      </c>
      <c r="AL45" s="196" t="e">
        <v>#DIV/0!</v>
      </c>
      <c r="AN45" s="196" t="e">
        <v>#DIV/0!</v>
      </c>
      <c r="AP45" s="196" t="e">
        <v>#DIV/0!</v>
      </c>
      <c r="AR45" s="196" t="e">
        <v>#DIV/0!</v>
      </c>
      <c r="AT45" s="196" t="e">
        <v>#DIV/0!</v>
      </c>
      <c r="AV45" s="196" t="e">
        <v>#DIV/0!</v>
      </c>
      <c r="XCQ45" s="196"/>
    </row>
    <row r="46" spans="1:49 16319:16321" x14ac:dyDescent="0.2">
      <c r="A46" t="s">
        <v>142</v>
      </c>
      <c r="B46" s="196">
        <v>1.1751292867591055E-2</v>
      </c>
      <c r="D46" s="196">
        <v>1.1751292421260801E-2</v>
      </c>
      <c r="F46" s="196">
        <v>1.1751290971014775E-2</v>
      </c>
      <c r="H46" s="196">
        <v>1.1751290296036179E-2</v>
      </c>
      <c r="J46" s="196">
        <v>1.1751289662161579E-2</v>
      </c>
      <c r="L46" s="196">
        <v>1.1751289263968432E-2</v>
      </c>
      <c r="N46" s="196">
        <v>1.1751289469707623E-2</v>
      </c>
      <c r="P46" s="196">
        <v>1.1751293385040502E-2</v>
      </c>
      <c r="R46" s="196">
        <v>1.1751292888863403E-2</v>
      </c>
      <c r="T46" s="196">
        <v>1.1751293396698056E-2</v>
      </c>
      <c r="V46" s="196">
        <v>1.1751293402991903E-2</v>
      </c>
      <c r="X46" s="196">
        <v>1.1751291450388149E-2</v>
      </c>
      <c r="Z46" s="196">
        <v>1.175129106896361E-2</v>
      </c>
      <c r="AB46" s="196">
        <v>1.1751292795489155E-2</v>
      </c>
      <c r="AD46" s="196">
        <v>1.1751292729975011E-2</v>
      </c>
      <c r="AF46" s="196" t="e">
        <v>#DIV/0!</v>
      </c>
      <c r="AH46" s="196" t="e">
        <v>#DIV/0!</v>
      </c>
      <c r="AJ46" s="196" t="e">
        <v>#DIV/0!</v>
      </c>
      <c r="AL46" s="196" t="e">
        <v>#DIV/0!</v>
      </c>
      <c r="AN46" s="196" t="e">
        <v>#DIV/0!</v>
      </c>
      <c r="AP46" s="196" t="e">
        <v>#DIV/0!</v>
      </c>
      <c r="AR46" s="196" t="e">
        <v>#DIV/0!</v>
      </c>
      <c r="AT46" s="196" t="e">
        <v>#DIV/0!</v>
      </c>
      <c r="AV46" s="196" t="e">
        <v>#DIV/0!</v>
      </c>
      <c r="XCS46" s="196"/>
    </row>
    <row r="48" spans="1:49 16319:16321" x14ac:dyDescent="0.2">
      <c r="A48" t="s">
        <v>162</v>
      </c>
      <c r="B48" s="194">
        <v>1</v>
      </c>
      <c r="C48" s="194"/>
      <c r="D48" s="194">
        <v>0.98503980091989873</v>
      </c>
      <c r="E48" s="194"/>
      <c r="F48" s="194">
        <v>0.96826380842947934</v>
      </c>
      <c r="G48" s="194"/>
      <c r="H48" s="194">
        <v>0.94940718028565962</v>
      </c>
      <c r="I48" s="194"/>
      <c r="J48" s="194">
        <v>0.92816043019537675</v>
      </c>
      <c r="K48" s="194"/>
      <c r="L48" s="194">
        <v>0.90416502048210656</v>
      </c>
      <c r="M48" s="194"/>
      <c r="N48" s="194">
        <v>0.87701079568052109</v>
      </c>
      <c r="O48" s="194"/>
      <c r="P48" s="194">
        <v>0.8462384734017333</v>
      </c>
      <c r="Q48" s="194"/>
      <c r="R48" s="194">
        <v>0.81135118063386347</v>
      </c>
      <c r="S48" s="194"/>
      <c r="T48" s="194">
        <v>0.77184254249143935</v>
      </c>
      <c r="U48" s="194"/>
      <c r="V48" s="194">
        <v>0.72725026915948343</v>
      </c>
      <c r="W48" s="194"/>
      <c r="X48" s="194">
        <v>0.67725691174842884</v>
      </c>
      <c r="Y48" s="194"/>
      <c r="Z48" s="194">
        <v>0.62189199230855685</v>
      </c>
      <c r="AA48" s="194"/>
      <c r="AB48" s="194">
        <v>0.56209974522660899</v>
      </c>
      <c r="AC48" s="194"/>
      <c r="AD48" s="194">
        <v>0.50296832928101298</v>
      </c>
      <c r="AE48" s="194"/>
      <c r="AF48" s="194">
        <v>0</v>
      </c>
      <c r="AG48" s="194"/>
      <c r="AH48" s="194">
        <v>0</v>
      </c>
      <c r="AI48" s="194"/>
      <c r="AJ48" s="194">
        <v>0</v>
      </c>
      <c r="AK48" s="194"/>
      <c r="AL48" s="194">
        <v>0</v>
      </c>
      <c r="AM48" s="194"/>
      <c r="AN48" s="194">
        <v>0</v>
      </c>
      <c r="AO48" s="194"/>
      <c r="AP48" s="194">
        <v>0</v>
      </c>
      <c r="AQ48" s="194"/>
      <c r="AR48" s="194">
        <v>0</v>
      </c>
      <c r="AS48" s="194"/>
      <c r="AT48" s="194">
        <v>0</v>
      </c>
      <c r="AU48" s="194"/>
      <c r="AV48" s="194">
        <v>0</v>
      </c>
    </row>
    <row r="49" spans="1:48 16321:16384" x14ac:dyDescent="0.2">
      <c r="A49" t="s">
        <v>163</v>
      </c>
      <c r="B49" s="194">
        <v>1</v>
      </c>
      <c r="C49" s="194"/>
      <c r="D49" s="194">
        <v>0.99999999863388278</v>
      </c>
      <c r="E49" s="194"/>
      <c r="F49" s="194">
        <v>1.000000000034901</v>
      </c>
      <c r="G49" s="194"/>
      <c r="H49" s="194">
        <v>1.0000000000940856</v>
      </c>
      <c r="I49" s="194"/>
      <c r="J49" s="194">
        <v>1.000000000183529</v>
      </c>
      <c r="K49" s="194"/>
      <c r="L49" s="194">
        <v>1.0000000002993612</v>
      </c>
      <c r="M49" s="194"/>
      <c r="N49" s="194">
        <v>1.0000000004114735</v>
      </c>
      <c r="O49" s="194"/>
      <c r="P49" s="194">
        <v>0.99999999996488964</v>
      </c>
      <c r="Q49" s="194"/>
      <c r="R49" s="194">
        <v>0.99999999999885436</v>
      </c>
      <c r="S49" s="194"/>
      <c r="T49" s="194">
        <v>1.0000000005637437</v>
      </c>
      <c r="U49" s="194"/>
      <c r="V49" s="194">
        <v>1.0000000001929596</v>
      </c>
      <c r="W49" s="194"/>
      <c r="X49" s="194">
        <v>0.99999999992735222</v>
      </c>
      <c r="Y49" s="194"/>
      <c r="Z49" s="194">
        <v>0.99999999979055643</v>
      </c>
      <c r="AA49" s="194"/>
      <c r="AB49" s="194">
        <v>1.0000000000092639</v>
      </c>
      <c r="AC49" s="194"/>
      <c r="AD49" s="194">
        <v>0.99999999999876055</v>
      </c>
      <c r="AE49" s="194"/>
      <c r="AF49" s="194" t="e">
        <v>#DIV/0!</v>
      </c>
      <c r="AG49" s="194"/>
      <c r="AH49" s="194" t="e">
        <v>#DIV/0!</v>
      </c>
      <c r="AI49" s="194"/>
      <c r="AJ49" s="194" t="e">
        <v>#DIV/0!</v>
      </c>
      <c r="AK49" s="194"/>
      <c r="AL49" s="194" t="e">
        <v>#DIV/0!</v>
      </c>
      <c r="AM49" s="194"/>
      <c r="AN49" s="194" t="e">
        <v>#DIV/0!</v>
      </c>
      <c r="AO49" s="194"/>
      <c r="AP49" s="194" t="e">
        <v>#DIV/0!</v>
      </c>
      <c r="AQ49" s="194"/>
      <c r="AR49" s="194" t="e">
        <v>#DIV/0!</v>
      </c>
      <c r="AS49" s="194"/>
      <c r="AT49" s="194" t="e">
        <v>#DIV/0!</v>
      </c>
      <c r="AU49" s="194"/>
      <c r="AV49" s="194" t="e">
        <v>#DIV/0!</v>
      </c>
    </row>
    <row r="51" spans="1:48 16321:16384" x14ac:dyDescent="0.2">
      <c r="A51" t="s">
        <v>169</v>
      </c>
      <c r="B51" s="29">
        <v>898591.45196639095</v>
      </c>
      <c r="D51" s="29">
        <v>884061.84507706761</v>
      </c>
      <c r="F51" s="29">
        <v>867972.49542552745</v>
      </c>
      <c r="H51" s="29">
        <v>850094.89285584819</v>
      </c>
      <c r="J51" s="29">
        <v>830161.05784949241</v>
      </c>
      <c r="L51" s="29">
        <v>807860.20728653437</v>
      </c>
      <c r="N51" s="29">
        <v>782836.04617242934</v>
      </c>
      <c r="P51" s="29">
        <v>754688.4656186318</v>
      </c>
      <c r="R51" s="29">
        <v>722982.71663606912</v>
      </c>
      <c r="T51" s="29">
        <v>687272.8715567661</v>
      </c>
      <c r="V51" s="29">
        <v>647147.16624072241</v>
      </c>
      <c r="X51" s="29">
        <v>602312.29291566648</v>
      </c>
      <c r="Z51" s="29">
        <v>552762.52954641613</v>
      </c>
      <c r="AB51" s="29">
        <v>499246.87190836691</v>
      </c>
      <c r="AD51" s="29">
        <v>445888.4093650037</v>
      </c>
      <c r="AF51" s="29">
        <v>0</v>
      </c>
      <c r="AH51" s="29">
        <v>0</v>
      </c>
      <c r="AJ51" s="29">
        <v>0</v>
      </c>
      <c r="AL51" s="29">
        <v>0</v>
      </c>
      <c r="AN51" s="29">
        <v>0</v>
      </c>
      <c r="AP51" s="29">
        <v>0</v>
      </c>
      <c r="AQ51" s="29"/>
      <c r="AR51" s="29">
        <v>0</v>
      </c>
      <c r="AT51" s="29">
        <v>0</v>
      </c>
      <c r="AV51" s="29">
        <v>0</v>
      </c>
      <c r="XFD51" s="29"/>
    </row>
    <row r="52" spans="1:48 16321:16384" x14ac:dyDescent="0.2">
      <c r="A52" t="s">
        <v>170</v>
      </c>
      <c r="B52" s="29">
        <v>639893.22495732247</v>
      </c>
      <c r="D52" s="29">
        <v>621281.53576533322</v>
      </c>
      <c r="F52" s="29">
        <v>601680.71337656374</v>
      </c>
      <c r="H52" s="29">
        <v>580990.04132033454</v>
      </c>
      <c r="J52" s="29">
        <v>559098.66931701335</v>
      </c>
      <c r="L52" s="29">
        <v>535886.96897483815</v>
      </c>
      <c r="N52" s="29">
        <v>511229.34886462567</v>
      </c>
      <c r="P52" s="29">
        <v>484999.83346646215</v>
      </c>
      <c r="R52" s="29">
        <v>457081.508037552</v>
      </c>
      <c r="T52" s="29">
        <v>427382.40506770369</v>
      </c>
      <c r="V52" s="29">
        <v>395860.15977510589</v>
      </c>
      <c r="X52" s="29">
        <v>362563.87300193176</v>
      </c>
      <c r="Z52" s="29">
        <v>327721.26687036169</v>
      </c>
      <c r="AB52" s="29">
        <v>292016.66953787848</v>
      </c>
      <c r="AD52" s="29">
        <v>258336.83832867767</v>
      </c>
      <c r="AF52" s="29">
        <v>0</v>
      </c>
      <c r="AH52" s="29">
        <v>0</v>
      </c>
      <c r="AJ52" s="29">
        <v>0</v>
      </c>
      <c r="AL52" s="29">
        <v>0</v>
      </c>
      <c r="AN52" s="29">
        <v>0</v>
      </c>
      <c r="AP52" s="29">
        <v>0</v>
      </c>
      <c r="AQ52" s="29"/>
      <c r="AR52" s="29">
        <v>0</v>
      </c>
      <c r="AT52" s="29">
        <v>0</v>
      </c>
      <c r="AV52" s="29">
        <v>0</v>
      </c>
    </row>
    <row r="53" spans="1:48 16321:16384" x14ac:dyDescent="0.2">
      <c r="A53" t="s">
        <v>171</v>
      </c>
      <c r="B53" s="29">
        <v>994319.23090072128</v>
      </c>
      <c r="D53" s="29">
        <v>986506.70574389899</v>
      </c>
      <c r="F53" s="29">
        <v>976846.95140892209</v>
      </c>
      <c r="H53" s="29">
        <v>965024.74304940994</v>
      </c>
      <c r="J53" s="29">
        <v>950663.69749545574</v>
      </c>
      <c r="L53" s="29">
        <v>933318.24719347619</v>
      </c>
      <c r="N53" s="29">
        <v>912466.01936607156</v>
      </c>
      <c r="P53" s="29">
        <v>887505.2439995528</v>
      </c>
      <c r="R53" s="29">
        <v>857762.25137322303</v>
      </c>
      <c r="T53" s="29">
        <v>822518.55052256619</v>
      </c>
      <c r="V53" s="29">
        <v>781066.5466706272</v>
      </c>
      <c r="X53" s="29">
        <v>732823.76092681591</v>
      </c>
      <c r="Z53" s="29">
        <v>677552.82040746498</v>
      </c>
      <c r="AB53" s="29">
        <v>615932.6331872493</v>
      </c>
      <c r="AD53" s="29">
        <v>552572.71689803561</v>
      </c>
      <c r="AF53" s="29">
        <v>0</v>
      </c>
      <c r="AH53" s="29">
        <v>0</v>
      </c>
      <c r="AJ53" s="29">
        <v>0</v>
      </c>
      <c r="AL53" s="29">
        <v>0</v>
      </c>
      <c r="AN53" s="29">
        <v>0</v>
      </c>
      <c r="AP53" s="29">
        <v>0</v>
      </c>
      <c r="AQ53" s="29"/>
      <c r="AR53" s="29">
        <v>0</v>
      </c>
      <c r="AT53" s="29">
        <v>0</v>
      </c>
      <c r="AV53" s="29">
        <v>0</v>
      </c>
      <c r="XFD53" s="29"/>
    </row>
    <row r="55" spans="1:48 16321:16384" x14ac:dyDescent="0.2">
      <c r="A55" t="s">
        <v>172</v>
      </c>
      <c r="B55" s="196">
        <v>0.29343319644276039</v>
      </c>
      <c r="D55" s="196">
        <v>0.29343321094558211</v>
      </c>
      <c r="F55" s="196">
        <v>0.29343319558795772</v>
      </c>
      <c r="H55" s="196">
        <v>0.29343319511814137</v>
      </c>
      <c r="J55" s="196">
        <v>0.29343319448158495</v>
      </c>
      <c r="L55" s="196">
        <v>0.29343319360583192</v>
      </c>
      <c r="N55" s="196">
        <v>0.29343319251231537</v>
      </c>
      <c r="P55" s="196">
        <v>0.29343319595431333</v>
      </c>
      <c r="R55" s="196">
        <v>0.29343319641448717</v>
      </c>
      <c r="T55" s="196">
        <v>0.29343318541444258</v>
      </c>
      <c r="V55" s="196">
        <v>0.29343318987889699</v>
      </c>
      <c r="X55" s="196">
        <v>0.29343320164763886</v>
      </c>
      <c r="Z55" s="196">
        <v>0.29343320813130525</v>
      </c>
      <c r="AB55" s="196">
        <v>0.29343319601639217</v>
      </c>
      <c r="AD55" s="196">
        <v>0.29343319643420579</v>
      </c>
      <c r="AF55" s="196" t="e">
        <v>#DIV/0!</v>
      </c>
      <c r="AH55" s="196" t="e">
        <v>#DIV/0!</v>
      </c>
      <c r="AJ55" s="196" t="e">
        <v>#DIV/0!</v>
      </c>
      <c r="AL55" s="196" t="e">
        <v>#DIV/0!</v>
      </c>
      <c r="AN55" s="196" t="e">
        <v>#DIV/0!</v>
      </c>
      <c r="AP55" s="196" t="e">
        <v>#DIV/0!</v>
      </c>
      <c r="AR55" s="196" t="e">
        <v>#DIV/0!</v>
      </c>
      <c r="AT55" s="196" t="e">
        <v>#DIV/0!</v>
      </c>
      <c r="AV55" s="196" t="e">
        <v>#DIV/0!</v>
      </c>
      <c r="XCS55" s="196"/>
      <c r="XFD55" s="196"/>
    </row>
    <row r="56" spans="1:48 16321:16384" x14ac:dyDescent="0.2">
      <c r="A56" t="s">
        <v>173</v>
      </c>
      <c r="B56" s="196">
        <v>0.12330490389763608</v>
      </c>
      <c r="D56" s="196">
        <v>0.12539429836555516</v>
      </c>
      <c r="F56" s="196">
        <v>0.12752996509946757</v>
      </c>
      <c r="H56" s="196">
        <v>0.12971165305858465</v>
      </c>
      <c r="J56" s="196">
        <v>0.13193770144595907</v>
      </c>
      <c r="L56" s="196">
        <v>0.13420444778235613</v>
      </c>
      <c r="N56" s="196">
        <v>0.13650535092386037</v>
      </c>
      <c r="P56" s="196">
        <v>0.13882986240764192</v>
      </c>
      <c r="R56" s="196">
        <v>0.14116203774470781</v>
      </c>
      <c r="T56" s="196">
        <v>0.14347888239212853</v>
      </c>
      <c r="V56" s="196">
        <v>0.1457484625831767</v>
      </c>
      <c r="X56" s="196">
        <v>0.14792749079229892</v>
      </c>
      <c r="Z56" s="196">
        <v>0.14995609953907579</v>
      </c>
      <c r="AB56" s="196">
        <v>0.15173640868039193</v>
      </c>
      <c r="AD56" s="196">
        <v>0.15297322668366983</v>
      </c>
      <c r="AF56" s="196" t="e">
        <v>#DIV/0!</v>
      </c>
      <c r="AH56" s="196" t="e">
        <v>#DIV/0!</v>
      </c>
      <c r="AJ56" s="196" t="e">
        <v>#DIV/0!</v>
      </c>
      <c r="AL56" s="196" t="e">
        <v>#DIV/0!</v>
      </c>
      <c r="AN56" s="196" t="e">
        <v>#DIV/0!</v>
      </c>
      <c r="AP56" s="196" t="e">
        <v>#DIV/0!</v>
      </c>
      <c r="AR56" s="196" t="e">
        <v>#DIV/0!</v>
      </c>
      <c r="AT56" s="196" t="e">
        <v>#DIV/0!</v>
      </c>
      <c r="AV56" s="196" t="e">
        <v>#DIV/0!</v>
      </c>
      <c r="XFD56" s="196"/>
    </row>
    <row r="57" spans="1:48 16321:16384" x14ac:dyDescent="0.2">
      <c r="A57" t="s">
        <v>174</v>
      </c>
      <c r="B57" s="196">
        <v>0.15814435802029927</v>
      </c>
      <c r="D57" s="196">
        <v>0.1560696694009949</v>
      </c>
      <c r="F57" s="196">
        <v>0.15394897332280844</v>
      </c>
      <c r="H57" s="196">
        <v>0.15178255949124347</v>
      </c>
      <c r="J57" s="196">
        <v>0.14957206060628128</v>
      </c>
      <c r="L57" s="196">
        <v>0.14732111148911611</v>
      </c>
      <c r="N57" s="196">
        <v>0.14503620600627745</v>
      </c>
      <c r="P57" s="196">
        <v>0.14272782262907305</v>
      </c>
      <c r="R57" s="196">
        <v>0.14041178752837893</v>
      </c>
      <c r="T57" s="196">
        <v>0.1381109279748873</v>
      </c>
      <c r="V57" s="196">
        <v>0.13585698418989156</v>
      </c>
      <c r="X57" s="196">
        <v>0.13369293718990893</v>
      </c>
      <c r="Y57" s="196"/>
      <c r="Z57" s="196">
        <v>0.13167822194789749</v>
      </c>
      <c r="AB57" s="196">
        <v>0.12990998480400798</v>
      </c>
      <c r="AD57" s="196">
        <v>0.12868101096777576</v>
      </c>
      <c r="AF57" s="196" t="e">
        <v>#DIV/0!</v>
      </c>
      <c r="AH57" s="196" t="e">
        <v>#DIV/0!</v>
      </c>
      <c r="AJ57" s="196" t="e">
        <v>#DIV/0!</v>
      </c>
      <c r="AL57" s="196" t="e">
        <v>#DIV/0!</v>
      </c>
      <c r="AN57" s="196" t="e">
        <v>#DIV/0!</v>
      </c>
      <c r="AP57" s="196" t="e">
        <v>#DIV/0!</v>
      </c>
      <c r="AR57" s="196" t="e">
        <v>#DIV/0!</v>
      </c>
      <c r="AT57" s="196" t="e">
        <v>#DIV/0!</v>
      </c>
      <c r="AV57" s="196" t="e">
        <v>#DIV/0!</v>
      </c>
      <c r="XFD57" s="196"/>
    </row>
    <row r="58" spans="1:48 16321:16384" x14ac:dyDescent="0.2">
      <c r="A58" t="s">
        <v>175</v>
      </c>
      <c r="B58" s="196">
        <v>1.1983934524824984E-2</v>
      </c>
      <c r="D58" s="196">
        <v>1.1969243179032075E-2</v>
      </c>
      <c r="F58" s="196">
        <v>1.1954257165681685E-2</v>
      </c>
      <c r="H58" s="196">
        <v>1.1938982568313211E-2</v>
      </c>
      <c r="J58" s="196">
        <v>1.192343242934465E-2</v>
      </c>
      <c r="L58" s="196">
        <v>1.1907634334359651E-2</v>
      </c>
      <c r="N58" s="196">
        <v>1.1891635582177556E-2</v>
      </c>
      <c r="P58" s="196">
        <v>1.1875510917598395E-2</v>
      </c>
      <c r="R58" s="196">
        <v>1.1859371141400482E-2</v>
      </c>
      <c r="T58" s="196">
        <v>1.1843375047426769E-2</v>
      </c>
      <c r="V58" s="196">
        <v>1.1827743105828702E-2</v>
      </c>
      <c r="X58" s="196">
        <v>1.1812773665431065E-2</v>
      </c>
      <c r="Y58" s="196"/>
      <c r="Z58" s="196">
        <v>1.1798886644331973E-2</v>
      </c>
      <c r="AB58" s="196">
        <v>1.1786802531992277E-2</v>
      </c>
      <c r="AD58" s="196">
        <v>1.1778958782760161E-2</v>
      </c>
      <c r="AF58" s="196" t="e">
        <v>#DIV/0!</v>
      </c>
      <c r="AH58" s="196" t="e">
        <v>#DIV/0!</v>
      </c>
      <c r="AJ58" s="196" t="e">
        <v>#DIV/0!</v>
      </c>
      <c r="AL58" s="196" t="e">
        <v>#DIV/0!</v>
      </c>
      <c r="AN58" s="196" t="e">
        <v>#DIV/0!</v>
      </c>
      <c r="AP58" s="196" t="e">
        <v>#DIV/0!</v>
      </c>
      <c r="AR58" s="196" t="e">
        <v>#DIV/0!</v>
      </c>
      <c r="AT58" s="196" t="e">
        <v>#DIV/0!</v>
      </c>
      <c r="AV58" s="196" t="e">
        <v>#DIV/0!</v>
      </c>
      <c r="XFD58" s="196"/>
    </row>
    <row r="59" spans="1:48 16321:16384" x14ac:dyDescent="0.2">
      <c r="A59" t="s">
        <v>176</v>
      </c>
      <c r="B59" s="196">
        <v>1.7199725200015354E-2</v>
      </c>
      <c r="D59" s="196">
        <v>1.9365560085290081E-2</v>
      </c>
      <c r="F59" s="196">
        <v>2.1579585114549039E-2</v>
      </c>
      <c r="H59" s="196">
        <v>2.3841568125160223E-2</v>
      </c>
      <c r="J59" s="196">
        <v>2.614982921269985E-2</v>
      </c>
      <c r="L59" s="196">
        <v>2.8500611058611239E-2</v>
      </c>
      <c r="N59" s="196">
        <v>3.0887169908842989E-2</v>
      </c>
      <c r="P59" s="196">
        <v>3.329860055493726E-2</v>
      </c>
      <c r="R59" s="196">
        <v>3.5718393989245117E-2</v>
      </c>
      <c r="T59" s="196">
        <v>3.8122712186524008E-2</v>
      </c>
      <c r="V59" s="196">
        <v>4.047842160913058E-2</v>
      </c>
      <c r="X59" s="196">
        <v>4.2740596563410706E-2</v>
      </c>
      <c r="Z59" s="196">
        <v>4.4847112657401857E-2</v>
      </c>
      <c r="AB59" s="196">
        <v>4.6696478591321575E-2</v>
      </c>
      <c r="AD59" s="196">
        <v>4.7982297256147048E-2</v>
      </c>
      <c r="AF59" s="196" t="e">
        <v>#DIV/0!</v>
      </c>
      <c r="AH59" s="196" t="e">
        <v>#DIV/0!</v>
      </c>
      <c r="AJ59" s="196" t="e">
        <v>#DIV/0!</v>
      </c>
      <c r="AL59" s="196" t="e">
        <v>#DIV/0!</v>
      </c>
      <c r="AN59" s="196" t="e">
        <v>#DIV/0!</v>
      </c>
      <c r="AP59" s="196" t="e">
        <v>#DIV/0!</v>
      </c>
      <c r="AR59" s="196" t="e">
        <v>#DIV/0!</v>
      </c>
      <c r="AT59" s="196" t="e">
        <v>#DIV/0!</v>
      </c>
      <c r="AV59" s="196" t="e">
        <v>#DIV/0!</v>
      </c>
      <c r="XFD59" s="196"/>
    </row>
    <row r="60" spans="1:48 16321:16384" x14ac:dyDescent="0.2">
      <c r="A60" t="s">
        <v>177</v>
      </c>
      <c r="B60" s="196">
        <v>0.10610517869762073</v>
      </c>
      <c r="D60" s="196">
        <v>0.10602873828026506</v>
      </c>
      <c r="F60" s="196">
        <v>0.10595037998491853</v>
      </c>
      <c r="H60" s="196">
        <v>0.10587008493342442</v>
      </c>
      <c r="J60" s="196">
        <v>0.10578787223325922</v>
      </c>
      <c r="L60" s="196">
        <v>0.10570383672374489</v>
      </c>
      <c r="N60" s="196">
        <v>0.10561818101501738</v>
      </c>
      <c r="P60" s="196">
        <v>0.10553126185270466</v>
      </c>
      <c r="R60" s="196">
        <v>0.10544364375546268</v>
      </c>
      <c r="T60" s="196">
        <v>0.10535617020560452</v>
      </c>
      <c r="V60" s="196">
        <v>0.10527004097404613</v>
      </c>
      <c r="X60" s="196">
        <v>0.1051868942288882</v>
      </c>
      <c r="Z60" s="196">
        <v>0.10510898688167394</v>
      </c>
      <c r="AB60" s="196">
        <v>0.10503993008907035</v>
      </c>
      <c r="AD60" s="196">
        <v>0.10499092942752278</v>
      </c>
      <c r="AF60" s="196" t="e">
        <v>#DIV/0!</v>
      </c>
      <c r="AH60" s="196" t="e">
        <v>#DIV/0!</v>
      </c>
      <c r="AJ60" s="196" t="e">
        <v>#DIV/0!</v>
      </c>
      <c r="AL60" s="196" t="e">
        <v>#DIV/0!</v>
      </c>
      <c r="AN60" s="196" t="e">
        <v>#DIV/0!</v>
      </c>
      <c r="AP60" s="196" t="e">
        <v>#DIV/0!</v>
      </c>
      <c r="AR60" s="196" t="e">
        <v>#DIV/0!</v>
      </c>
      <c r="AT60" s="196" t="e">
        <v>#DIV/0!</v>
      </c>
      <c r="AV60" s="196" t="e">
        <v>#DIV/0!</v>
      </c>
      <c r="XFD60" s="196"/>
    </row>
    <row r="62" spans="1:48 16321:16384" x14ac:dyDescent="0.2">
      <c r="A62" t="s">
        <v>178</v>
      </c>
      <c r="B62">
        <v>1</v>
      </c>
      <c r="D62">
        <v>1.0087604943100539</v>
      </c>
      <c r="F62">
        <v>1.019719539432226</v>
      </c>
      <c r="H62">
        <v>1.0333522074317389</v>
      </c>
      <c r="J62">
        <v>1.0502742046618403</v>
      </c>
      <c r="L62">
        <v>1.0712924154002164</v>
      </c>
      <c r="N62">
        <v>1.0974770819986772</v>
      </c>
      <c r="P62">
        <v>1.1302653894774446</v>
      </c>
      <c r="R62">
        <v>1.1716118918117395</v>
      </c>
      <c r="T62">
        <v>1.2242083652047253</v>
      </c>
      <c r="V62">
        <v>1.2918089595932827</v>
      </c>
      <c r="X62">
        <v>1.379692865397153</v>
      </c>
      <c r="Z62">
        <v>1.495227826507129</v>
      </c>
      <c r="AB62">
        <v>1.6477535383305706</v>
      </c>
      <c r="AD62">
        <v>1.8386573732370159</v>
      </c>
      <c r="AF62" t="e">
        <v>#DIV/0!</v>
      </c>
      <c r="AH62" t="e">
        <v>#DIV/0!</v>
      </c>
      <c r="AJ62" t="e">
        <v>#DIV/0!</v>
      </c>
      <c r="AL62" t="e">
        <v>#DIV/0!</v>
      </c>
      <c r="AN62" t="e">
        <v>#DIV/0!</v>
      </c>
      <c r="AP62" t="e">
        <v>#DIV/0!</v>
      </c>
      <c r="AR62" t="e">
        <v>#DIV/0!</v>
      </c>
      <c r="AT62" t="e">
        <v>#DIV/0!</v>
      </c>
      <c r="AV62" t="e">
        <v>#DIV/0!</v>
      </c>
    </row>
    <row r="65" spans="1:48 16384:16384" x14ac:dyDescent="0.2">
      <c r="A65" t="s">
        <v>179</v>
      </c>
      <c r="B65" s="194">
        <v>1</v>
      </c>
      <c r="C65" s="194"/>
      <c r="D65" s="194">
        <v>0.99882803805477116</v>
      </c>
      <c r="E65" s="194"/>
      <c r="F65" s="194">
        <v>0.99769577024092559</v>
      </c>
      <c r="G65" s="194"/>
      <c r="H65" s="194">
        <v>0.99660773076143472</v>
      </c>
      <c r="I65" s="194"/>
      <c r="J65" s="194">
        <v>0.99556939038632242</v>
      </c>
      <c r="K65" s="194"/>
      <c r="L65" s="194">
        <v>0.99458703012072891</v>
      </c>
      <c r="M65" s="194"/>
      <c r="N65" s="194">
        <v>0.99366764703345933</v>
      </c>
      <c r="O65" s="194"/>
      <c r="P65" s="194">
        <v>0.99281858818918867</v>
      </c>
      <c r="Q65" s="194"/>
      <c r="R65" s="194">
        <v>0.99204679309449573</v>
      </c>
      <c r="S65" s="194"/>
      <c r="T65" s="194">
        <v>0.99135706390509448</v>
      </c>
      <c r="U65" s="194"/>
      <c r="V65" s="194">
        <v>0.99074850124220082</v>
      </c>
      <c r="W65" s="194"/>
      <c r="X65" s="194">
        <v>0.99020627863878918</v>
      </c>
      <c r="Y65" s="194"/>
      <c r="Z65" s="194">
        <v>0.98967811800151373</v>
      </c>
      <c r="AA65" s="194"/>
      <c r="AB65" s="194">
        <v>0.98898476779573319</v>
      </c>
      <c r="AC65" s="194"/>
      <c r="AD65" s="194">
        <v>0.98722881503468451</v>
      </c>
      <c r="AE65" s="194"/>
      <c r="AF65" s="194" t="e">
        <v>#DIV/0!</v>
      </c>
      <c r="AG65" s="194"/>
      <c r="AH65" s="194" t="e">
        <v>#DIV/0!</v>
      </c>
      <c r="AI65" s="194"/>
      <c r="AJ65" s="194" t="e">
        <v>#DIV/0!</v>
      </c>
      <c r="AK65" s="194"/>
      <c r="AL65" s="194" t="e">
        <v>#DIV/0!</v>
      </c>
      <c r="AM65" s="194"/>
      <c r="AN65" s="194" t="e">
        <v>#DIV/0!</v>
      </c>
      <c r="AO65" s="194"/>
      <c r="AP65" s="194" t="e">
        <v>#DIV/0!</v>
      </c>
      <c r="AQ65" s="194"/>
      <c r="AR65" s="194" t="e">
        <v>#DIV/0!</v>
      </c>
      <c r="AS65" s="194"/>
      <c r="AT65" s="194" t="e">
        <v>#DIV/0!</v>
      </c>
      <c r="AU65" s="194"/>
      <c r="AV65" s="194" t="e">
        <v>#DIV/0!</v>
      </c>
    </row>
    <row r="66" spans="1:48 16384:16384" x14ac:dyDescent="0.2">
      <c r="A66" t="s">
        <v>185</v>
      </c>
      <c r="B66" s="194">
        <v>1</v>
      </c>
      <c r="C66" s="194"/>
      <c r="D66" s="194">
        <v>0.99877234247746793</v>
      </c>
      <c r="E66" s="194"/>
      <c r="F66" s="194">
        <v>0.99758517308570172</v>
      </c>
      <c r="G66" s="194"/>
      <c r="H66" s="194">
        <v>0.99644336373107356</v>
      </c>
      <c r="I66" s="194"/>
      <c r="J66" s="194">
        <v>0.9953527829854395</v>
      </c>
      <c r="K66" s="194"/>
      <c r="L66" s="194">
        <v>0.99432016537133205</v>
      </c>
      <c r="M66" s="194"/>
      <c r="N66" s="194">
        <v>0.99335301299124523</v>
      </c>
      <c r="O66" s="194"/>
      <c r="P66" s="194">
        <v>0.99245920940364907</v>
      </c>
      <c r="Q66" s="194"/>
      <c r="R66" s="194">
        <v>0.99164621843419121</v>
      </c>
      <c r="S66" s="194"/>
      <c r="T66" s="194">
        <v>0.9909192543155475</v>
      </c>
      <c r="U66" s="194"/>
      <c r="V66" s="194">
        <v>0.99027751132273012</v>
      </c>
      <c r="W66" s="194"/>
      <c r="X66" s="194">
        <v>0.98970546628568945</v>
      </c>
      <c r="Y66" s="194"/>
      <c r="Z66" s="194">
        <v>0.98914801254672768</v>
      </c>
      <c r="AA66" s="194"/>
      <c r="AB66" s="194">
        <v>0.98841580989571032</v>
      </c>
      <c r="AC66" s="194"/>
      <c r="AD66" s="194">
        <v>0.98655944990219147</v>
      </c>
      <c r="AE66" s="194"/>
      <c r="AF66" s="194" t="e">
        <v>#DIV/0!</v>
      </c>
      <c r="AG66" s="194"/>
      <c r="AH66" s="194" t="e">
        <v>#DIV/0!</v>
      </c>
      <c r="AI66" s="194"/>
      <c r="AJ66" s="194" t="e">
        <v>#DIV/0!</v>
      </c>
      <c r="AK66" s="194"/>
      <c r="AL66" s="194" t="e">
        <v>#DIV/0!</v>
      </c>
      <c r="AM66" s="194"/>
      <c r="AN66" s="194" t="e">
        <v>#DIV/0!</v>
      </c>
      <c r="AO66" s="194"/>
      <c r="AP66" s="194" t="e">
        <v>#DIV/0!</v>
      </c>
      <c r="AQ66" s="194"/>
      <c r="AR66" s="194" t="e">
        <v>#DIV/0!</v>
      </c>
      <c r="AS66" s="194"/>
      <c r="AT66" s="194" t="e">
        <v>#DIV/0!</v>
      </c>
      <c r="AU66" s="194"/>
      <c r="AV66" s="194" t="e">
        <v>#DIV/0!</v>
      </c>
      <c r="XFD66" s="194"/>
    </row>
    <row r="67" spans="1:48 16384:16384" x14ac:dyDescent="0.2">
      <c r="A67" t="s">
        <v>186</v>
      </c>
      <c r="B67" s="194">
        <v>1</v>
      </c>
      <c r="C67" s="194"/>
      <c r="D67" s="194">
        <v>1</v>
      </c>
      <c r="E67" s="194"/>
      <c r="F67" s="194">
        <v>1</v>
      </c>
      <c r="G67" s="194"/>
      <c r="H67" s="194">
        <v>1</v>
      </c>
      <c r="I67" s="194"/>
      <c r="J67" s="194">
        <v>1</v>
      </c>
      <c r="K67" s="194"/>
      <c r="L67" s="194">
        <v>1</v>
      </c>
      <c r="M67" s="194"/>
      <c r="N67" s="194">
        <v>1</v>
      </c>
      <c r="O67" s="194"/>
      <c r="P67" s="194">
        <v>1</v>
      </c>
      <c r="Q67" s="194"/>
      <c r="R67" s="194">
        <v>1</v>
      </c>
      <c r="S67" s="194"/>
      <c r="T67" s="194">
        <v>1</v>
      </c>
      <c r="U67" s="194"/>
      <c r="V67" s="194">
        <v>1</v>
      </c>
      <c r="W67" s="194"/>
      <c r="X67" s="194">
        <v>1</v>
      </c>
      <c r="Y67" s="194"/>
      <c r="Z67" s="194">
        <v>1</v>
      </c>
      <c r="AA67" s="194"/>
      <c r="AB67" s="194">
        <v>1</v>
      </c>
      <c r="AC67" s="194"/>
      <c r="AD67" s="194">
        <v>1</v>
      </c>
      <c r="AE67" s="194"/>
      <c r="AF67" s="194" t="e">
        <v>#DIV/0!</v>
      </c>
      <c r="AG67" s="194"/>
      <c r="AH67" s="194" t="e">
        <v>#DIV/0!</v>
      </c>
      <c r="AI67" s="194"/>
      <c r="AJ67" s="194" t="e">
        <v>#DIV/0!</v>
      </c>
      <c r="AK67" s="194"/>
      <c r="AL67" s="194" t="e">
        <v>#DIV/0!</v>
      </c>
      <c r="AM67" s="194"/>
      <c r="AN67" s="194" t="e">
        <v>#DIV/0!</v>
      </c>
      <c r="AO67" s="194"/>
      <c r="AP67" s="194" t="e">
        <v>#DIV/0!</v>
      </c>
      <c r="AQ67" s="194"/>
      <c r="AR67" s="194" t="e">
        <v>#DIV/0!</v>
      </c>
      <c r="AS67" s="194"/>
      <c r="AT67" s="194" t="e">
        <v>#DIV/0!</v>
      </c>
      <c r="AU67" s="194"/>
      <c r="AV67" s="194" t="e">
        <v>#DIV/0!</v>
      </c>
      <c r="XFD67" s="194"/>
    </row>
    <row r="68" spans="1:48 16384:16384" x14ac:dyDescent="0.2">
      <c r="A68" t="s">
        <v>184</v>
      </c>
      <c r="B68" s="194">
        <v>1</v>
      </c>
      <c r="C68" s="194"/>
      <c r="D68" s="194">
        <v>0.99877234247746793</v>
      </c>
      <c r="E68" s="194"/>
      <c r="F68" s="194">
        <v>0.99758517308570172</v>
      </c>
      <c r="G68" s="194"/>
      <c r="H68" s="194">
        <v>0.99644336373107356</v>
      </c>
      <c r="I68" s="194"/>
      <c r="J68" s="194">
        <v>0.9953527829854395</v>
      </c>
      <c r="K68" s="194"/>
      <c r="L68" s="194">
        <v>0.99432016537133205</v>
      </c>
      <c r="M68" s="194"/>
      <c r="N68" s="194">
        <v>0.99335301299124523</v>
      </c>
      <c r="O68" s="194"/>
      <c r="P68" s="194">
        <v>0.99245920940364907</v>
      </c>
      <c r="Q68" s="194"/>
      <c r="R68" s="194">
        <v>0.99164621843419121</v>
      </c>
      <c r="S68" s="194"/>
      <c r="T68" s="194">
        <v>0.9909192543155475</v>
      </c>
      <c r="U68" s="194"/>
      <c r="V68" s="194">
        <v>0.99027751132273012</v>
      </c>
      <c r="W68" s="194"/>
      <c r="X68" s="194">
        <v>0.98970546628568945</v>
      </c>
      <c r="Y68" s="194"/>
      <c r="Z68" s="194">
        <v>0.98914801254672768</v>
      </c>
      <c r="AA68" s="194"/>
      <c r="AB68" s="194">
        <v>0.98841580989571032</v>
      </c>
      <c r="AC68" s="194"/>
      <c r="AD68" s="194">
        <v>0.98655944990219147</v>
      </c>
      <c r="AE68" s="194"/>
      <c r="AF68" s="194" t="e">
        <v>#DIV/0!</v>
      </c>
      <c r="AG68" s="194"/>
      <c r="AH68" s="194" t="e">
        <v>#DIV/0!</v>
      </c>
      <c r="AI68" s="194"/>
      <c r="AJ68" s="194" t="e">
        <v>#DIV/0!</v>
      </c>
      <c r="AK68" s="194"/>
      <c r="AL68" s="194" t="e">
        <v>#DIV/0!</v>
      </c>
      <c r="AM68" s="194"/>
      <c r="AN68" s="194" t="e">
        <v>#DIV/0!</v>
      </c>
      <c r="AO68" s="194"/>
      <c r="AP68" s="194" t="e">
        <v>#DIV/0!</v>
      </c>
      <c r="AQ68" s="194"/>
      <c r="AR68" s="194" t="e">
        <v>#DIV/0!</v>
      </c>
      <c r="AS68" s="194"/>
      <c r="AT68" s="194" t="e">
        <v>#DIV/0!</v>
      </c>
      <c r="AU68" s="194"/>
      <c r="AV68" s="194" t="e">
        <v>#DIV/0!</v>
      </c>
      <c r="XFD68" s="194"/>
    </row>
    <row r="69" spans="1:48 16384:16384" x14ac:dyDescent="0.2">
      <c r="A69" t="s">
        <v>180</v>
      </c>
      <c r="B69" s="194">
        <v>1</v>
      </c>
      <c r="C69" s="194"/>
      <c r="D69" s="194">
        <v>0.98498486527111317</v>
      </c>
      <c r="E69" s="194"/>
      <c r="F69" s="194">
        <v>0.96815647466081312</v>
      </c>
      <c r="G69" s="194"/>
      <c r="H69" s="194">
        <v>0.94925059906921572</v>
      </c>
      <c r="I69" s="194"/>
      <c r="J69" s="194">
        <v>0.9279584907513535</v>
      </c>
      <c r="K69" s="194"/>
      <c r="L69" s="194">
        <v>0.90392241974278065</v>
      </c>
      <c r="M69" s="194"/>
      <c r="N69" s="194">
        <v>0.8767331023718572</v>
      </c>
      <c r="O69" s="194"/>
      <c r="P69" s="194">
        <v>0.84593215336210326</v>
      </c>
      <c r="Q69" s="194"/>
      <c r="R69" s="194">
        <v>0.81102356833818301</v>
      </c>
      <c r="S69" s="194"/>
      <c r="T69" s="194">
        <v>0.77150167891667121</v>
      </c>
      <c r="U69" s="194"/>
      <c r="V69" s="194">
        <v>0.72690454444667685</v>
      </c>
      <c r="W69" s="194"/>
      <c r="X69" s="194">
        <v>0.67691437800044341</v>
      </c>
      <c r="Y69" s="194"/>
      <c r="Z69" s="194">
        <v>0.62155888423350691</v>
      </c>
      <c r="AA69" s="194"/>
      <c r="AB69" s="194">
        <v>0.56177637213663578</v>
      </c>
      <c r="AC69" s="194"/>
      <c r="AD69" s="194">
        <v>0.5026273045419446</v>
      </c>
      <c r="AE69" s="194"/>
      <c r="AF69" s="194" t="e">
        <v>#DIV/0!</v>
      </c>
      <c r="AG69" s="194"/>
      <c r="AH69" s="194" t="e">
        <v>#DIV/0!</v>
      </c>
      <c r="AI69" s="194"/>
      <c r="AJ69" s="194" t="e">
        <v>#DIV/0!</v>
      </c>
      <c r="AK69" s="194"/>
      <c r="AL69" s="194" t="e">
        <v>#DIV/0!</v>
      </c>
      <c r="AM69" s="194"/>
      <c r="AN69" s="194" t="e">
        <v>#DIV/0!</v>
      </c>
      <c r="AO69" s="194"/>
      <c r="AP69" s="194" t="e">
        <v>#DIV/0!</v>
      </c>
      <c r="AQ69" s="194"/>
      <c r="AR69" s="194" t="e">
        <v>#DIV/0!</v>
      </c>
      <c r="AS69" s="194"/>
      <c r="AT69" s="194" t="e">
        <v>#DIV/0!</v>
      </c>
      <c r="AU69" s="194"/>
      <c r="AV69" s="194" t="e">
        <v>#DIV/0!</v>
      </c>
    </row>
    <row r="70" spans="1:48 16384:16384" x14ac:dyDescent="0.2">
      <c r="A70" t="s">
        <v>181</v>
      </c>
      <c r="B70" s="141">
        <v>1</v>
      </c>
      <c r="C70" s="141"/>
      <c r="D70" s="141">
        <v>0.98483895100254237</v>
      </c>
      <c r="E70" s="141"/>
      <c r="F70" s="141">
        <v>0.96783571485501096</v>
      </c>
      <c r="G70" s="141"/>
      <c r="H70" s="141">
        <v>0.94872638939076104</v>
      </c>
      <c r="I70" s="141"/>
      <c r="J70" s="141">
        <v>0.92720332862205812</v>
      </c>
      <c r="K70" s="141"/>
      <c r="L70" s="141">
        <v>0.90291132624346038</v>
      </c>
      <c r="M70" s="141"/>
      <c r="N70" s="141">
        <v>0.87544560363493862</v>
      </c>
      <c r="O70" s="141"/>
      <c r="P70" s="141">
        <v>0.84435503081134888</v>
      </c>
      <c r="Q70" s="141"/>
      <c r="R70" s="141">
        <v>0.80915445407296038</v>
      </c>
      <c r="S70" s="141"/>
      <c r="T70" s="141">
        <v>0.76935369349596916</v>
      </c>
      <c r="U70" s="141"/>
      <c r="V70" s="141">
        <v>0.72451197266205913</v>
      </c>
      <c r="W70" s="141"/>
      <c r="X70" s="141">
        <v>0.67433957503023367</v>
      </c>
      <c r="Y70" s="141"/>
      <c r="Z70" s="141">
        <v>0.61890284022725461</v>
      </c>
      <c r="AA70" s="141"/>
      <c r="AB70" s="141">
        <v>0.55920672587933629</v>
      </c>
      <c r="AC70" s="141"/>
      <c r="AD70" s="141">
        <v>0.50054725197191541</v>
      </c>
      <c r="AE70" s="141"/>
      <c r="AF70" s="141">
        <v>0</v>
      </c>
      <c r="AG70" s="141"/>
      <c r="AH70" s="141">
        <v>0</v>
      </c>
      <c r="AI70" s="141"/>
      <c r="AJ70" s="141">
        <v>0</v>
      </c>
      <c r="AK70" s="141"/>
      <c r="AL70" s="141">
        <v>0</v>
      </c>
      <c r="AM70" s="141"/>
      <c r="AN70" s="141">
        <v>0</v>
      </c>
      <c r="AO70" s="141"/>
      <c r="AP70" s="141">
        <v>0</v>
      </c>
      <c r="AQ70" s="141"/>
      <c r="AR70" s="141">
        <v>0</v>
      </c>
      <c r="AS70" s="141"/>
      <c r="AT70" s="141">
        <v>0</v>
      </c>
      <c r="AU70" s="141"/>
      <c r="AV70" s="141">
        <v>0</v>
      </c>
    </row>
    <row r="71" spans="1:48 16384:16384" x14ac:dyDescent="0.2">
      <c r="A71" t="s">
        <v>182</v>
      </c>
      <c r="B71" s="141">
        <v>1</v>
      </c>
      <c r="D71" s="141">
        <v>0.92108557095943711</v>
      </c>
      <c r="E71" s="141"/>
      <c r="F71" s="141">
        <v>0.84438145175711821</v>
      </c>
      <c r="G71" s="141"/>
      <c r="H71" s="141">
        <v>0.77008984144706294</v>
      </c>
      <c r="I71" s="141"/>
      <c r="J71" s="141">
        <v>0.69842983812115911</v>
      </c>
      <c r="K71" s="141"/>
      <c r="L71" s="141">
        <v>0.62963755334074534</v>
      </c>
      <c r="M71" s="141"/>
      <c r="N71" s="141">
        <v>0.5639599658914044</v>
      </c>
      <c r="O71" s="141"/>
      <c r="P71" s="141">
        <v>0.50164424048350842</v>
      </c>
      <c r="Q71" s="141"/>
      <c r="R71" s="141">
        <v>0.44291921318385963</v>
      </c>
      <c r="S71" s="141"/>
      <c r="T71" s="141">
        <v>0.3879653493286549</v>
      </c>
      <c r="U71" s="141"/>
      <c r="V71" s="141">
        <v>0.33686662914034615</v>
      </c>
      <c r="W71" s="141"/>
      <c r="X71" s="141">
        <v>0.28952604561674627</v>
      </c>
      <c r="Y71" s="141"/>
      <c r="Z71" s="141">
        <v>0.24548749821470628</v>
      </c>
      <c r="AA71" s="141"/>
      <c r="AB71" s="141">
        <v>0.20336052378879041</v>
      </c>
      <c r="AC71" s="141"/>
      <c r="AD71" s="141">
        <v>0.15724037000892796</v>
      </c>
      <c r="AE71" s="141"/>
      <c r="AF71" s="141">
        <v>0</v>
      </c>
      <c r="AG71" s="141"/>
      <c r="AH71" s="141">
        <v>0</v>
      </c>
      <c r="AI71" s="141"/>
      <c r="AJ71" s="141">
        <v>0</v>
      </c>
      <c r="AK71" s="141"/>
      <c r="AL71" s="141">
        <v>0</v>
      </c>
      <c r="AM71" s="141"/>
      <c r="AN71" s="141">
        <v>0</v>
      </c>
      <c r="AO71" s="141"/>
      <c r="AP71" s="141">
        <v>0</v>
      </c>
      <c r="AQ71" s="141"/>
      <c r="AR71" s="141">
        <v>0</v>
      </c>
      <c r="AS71" s="141"/>
      <c r="AT71" s="141">
        <v>0</v>
      </c>
      <c r="AU71" s="141"/>
      <c r="AV71" s="141">
        <v>0</v>
      </c>
      <c r="XFD71" s="141"/>
    </row>
    <row r="72" spans="1:48 16384:16384" x14ac:dyDescent="0.2">
      <c r="A72" t="s">
        <v>183</v>
      </c>
      <c r="B72" s="141">
        <v>1</v>
      </c>
      <c r="D72" s="141">
        <v>0.99570072327984926</v>
      </c>
      <c r="E72" s="141"/>
      <c r="F72" s="141">
        <v>0.98923275679545741</v>
      </c>
      <c r="G72" s="141"/>
      <c r="H72" s="141">
        <v>0.98017387048654725</v>
      </c>
      <c r="I72" s="141"/>
      <c r="J72" s="141">
        <v>0.96803199851476318</v>
      </c>
      <c r="K72" s="141"/>
      <c r="L72" s="141">
        <v>0.95224549915333745</v>
      </c>
      <c r="M72" s="141"/>
      <c r="N72" s="141">
        <v>0.93218562041218389</v>
      </c>
      <c r="O72" s="141"/>
      <c r="P72" s="141">
        <v>0.90717075540714143</v>
      </c>
      <c r="Q72" s="141"/>
      <c r="R72" s="141">
        <v>0.87649836484219634</v>
      </c>
      <c r="S72" s="141"/>
      <c r="T72" s="141">
        <v>0.83950869576301956</v>
      </c>
      <c r="U72" s="141"/>
      <c r="V72" s="141">
        <v>0.79569721444156316</v>
      </c>
      <c r="W72" s="141"/>
      <c r="X72" s="141">
        <v>0.74491840625047856</v>
      </c>
      <c r="Y72" s="141"/>
      <c r="Z72" s="141">
        <v>0.68782762344320847</v>
      </c>
      <c r="AA72" s="141"/>
      <c r="AB72" s="141">
        <v>0.62727544849104566</v>
      </c>
      <c r="AC72" s="141"/>
      <c r="AD72" s="141">
        <v>0.57711599156522142</v>
      </c>
      <c r="AE72" s="141"/>
      <c r="AF72" s="141">
        <v>0</v>
      </c>
      <c r="AG72" s="141"/>
      <c r="AH72" s="141">
        <v>0</v>
      </c>
      <c r="AI72" s="141"/>
      <c r="AJ72" s="141">
        <v>0</v>
      </c>
      <c r="AK72" s="141"/>
      <c r="AL72" s="141">
        <v>0</v>
      </c>
      <c r="AM72" s="141"/>
      <c r="AN72" s="141">
        <v>0</v>
      </c>
      <c r="AO72" s="141"/>
      <c r="AP72" s="141">
        <v>0</v>
      </c>
      <c r="AQ72" s="141"/>
      <c r="AR72" s="141">
        <v>0</v>
      </c>
      <c r="AS72" s="141"/>
      <c r="AT72" s="141">
        <v>0</v>
      </c>
      <c r="AU72" s="141"/>
      <c r="AV72" s="141">
        <v>0</v>
      </c>
      <c r="XFD72" s="141"/>
    </row>
    <row r="73" spans="1:48 16384:16384" x14ac:dyDescent="0.2">
      <c r="A73" t="s">
        <v>187</v>
      </c>
      <c r="B73" s="196">
        <v>0.56706723273486048</v>
      </c>
      <c r="D73" s="196">
        <v>0.56706723133041592</v>
      </c>
      <c r="E73" s="141"/>
      <c r="F73" s="196">
        <v>0.56706723479562937</v>
      </c>
      <c r="G73" s="141"/>
      <c r="H73" s="196">
        <v>0.56706723556316907</v>
      </c>
      <c r="I73" s="141"/>
      <c r="J73" s="196">
        <v>0.56706723631412292</v>
      </c>
      <c r="K73" s="141"/>
      <c r="L73" s="196">
        <v>0.56706723684397753</v>
      </c>
      <c r="M73" s="141"/>
      <c r="N73" s="196">
        <v>0.56706723674177517</v>
      </c>
      <c r="O73" s="141"/>
      <c r="P73" s="196">
        <v>0.56706723219929123</v>
      </c>
      <c r="Q73" s="141"/>
      <c r="R73" s="196">
        <v>0.56706723271263848</v>
      </c>
      <c r="S73" s="141"/>
      <c r="T73" s="196">
        <v>0.56706723288849648</v>
      </c>
      <c r="U73" s="141"/>
      <c r="V73" s="196">
        <v>0.56706723256984048</v>
      </c>
      <c r="W73" s="141"/>
      <c r="X73" s="196">
        <v>0.56706723401776848</v>
      </c>
      <c r="Y73" s="141"/>
      <c r="Z73" s="196">
        <v>0.56706723405640869</v>
      </c>
      <c r="AA73" s="141"/>
      <c r="AB73" s="196">
        <v>0.56706723281813054</v>
      </c>
      <c r="AC73" s="141"/>
      <c r="AD73" s="196">
        <v>0.56706723287796534</v>
      </c>
      <c r="AE73" s="141"/>
      <c r="AF73" s="196" t="e">
        <v>#DIV/0!</v>
      </c>
      <c r="AG73" s="141"/>
      <c r="AH73" s="196" t="e">
        <v>#DIV/0!</v>
      </c>
      <c r="AI73" s="141"/>
      <c r="AJ73" s="196" t="e">
        <v>#DIV/0!</v>
      </c>
      <c r="AK73" s="141"/>
      <c r="AL73" s="196" t="e">
        <v>#DIV/0!</v>
      </c>
      <c r="AM73" s="141"/>
      <c r="AN73" s="196" t="e">
        <v>#DIV/0!</v>
      </c>
      <c r="AO73" s="141"/>
      <c r="AP73" s="196" t="e">
        <v>#DIV/0!</v>
      </c>
      <c r="AQ73" s="141"/>
      <c r="AR73" s="196" t="e">
        <v>#DIV/0!</v>
      </c>
      <c r="AS73" s="141"/>
      <c r="AT73" s="196" t="e">
        <v>#DIV/0!</v>
      </c>
      <c r="AU73" s="141"/>
      <c r="AV73" s="196" t="e">
        <v>#DIV/0!</v>
      </c>
      <c r="XFD73" s="196"/>
    </row>
    <row r="74" spans="1:48 16384:16384" x14ac:dyDescent="0.2">
      <c r="A74" t="s">
        <v>188</v>
      </c>
      <c r="B74" s="196">
        <v>0.21672767296897655</v>
      </c>
      <c r="D74" s="196">
        <v>0.21672767296897658</v>
      </c>
      <c r="E74" s="141"/>
      <c r="F74" s="196">
        <v>0.21672767296897658</v>
      </c>
      <c r="G74" s="141"/>
      <c r="H74" s="196">
        <v>0.21672767296897655</v>
      </c>
      <c r="I74" s="141"/>
      <c r="J74" s="196">
        <v>0.21672767296897652</v>
      </c>
      <c r="K74" s="141"/>
      <c r="L74" s="196">
        <v>0.21672767296897655</v>
      </c>
      <c r="M74" s="141"/>
      <c r="N74" s="196">
        <v>0.21672767296897655</v>
      </c>
      <c r="O74" s="141"/>
      <c r="P74" s="196">
        <v>0.21672767296897655</v>
      </c>
      <c r="Q74" s="141"/>
      <c r="R74" s="196">
        <v>0.21672767296897655</v>
      </c>
      <c r="S74" s="141"/>
      <c r="T74" s="196">
        <v>0.21672767296897655</v>
      </c>
      <c r="U74" s="141"/>
      <c r="V74" s="196">
        <v>0.21672767296897655</v>
      </c>
      <c r="W74" s="141"/>
      <c r="X74" s="196">
        <v>0.21672767296897655</v>
      </c>
      <c r="Y74" s="141"/>
      <c r="Z74" s="196">
        <v>0.21672767296897655</v>
      </c>
      <c r="AA74" s="141"/>
      <c r="AB74" s="196">
        <v>0.21672767296897655</v>
      </c>
      <c r="AC74" s="141"/>
      <c r="AD74" s="196">
        <v>0.21672767296897655</v>
      </c>
      <c r="AE74" s="141"/>
      <c r="AF74" s="196" t="e">
        <v>#DIV/0!</v>
      </c>
      <c r="AG74" s="141"/>
      <c r="AH74" s="196" t="e">
        <v>#DIV/0!</v>
      </c>
      <c r="AI74" s="141"/>
      <c r="AJ74" s="196" t="e">
        <v>#DIV/0!</v>
      </c>
      <c r="AK74" s="141"/>
      <c r="AL74" s="196" t="e">
        <v>#DIV/0!</v>
      </c>
      <c r="AM74" s="141"/>
      <c r="AN74" s="196" t="e">
        <v>#DIV/0!</v>
      </c>
      <c r="AO74" s="141"/>
      <c r="AP74" s="196" t="e">
        <v>#DIV/0!</v>
      </c>
      <c r="AQ74" s="141"/>
      <c r="AR74" s="196" t="e">
        <v>#DIV/0!</v>
      </c>
      <c r="AS74" s="141"/>
      <c r="AT74" s="196" t="e">
        <v>#DIV/0!</v>
      </c>
      <c r="AU74" s="141"/>
      <c r="AV74" s="196" t="e">
        <v>#DIV/0!</v>
      </c>
      <c r="XFD74" s="196"/>
    </row>
    <row r="75" spans="1:48 16384:16384" x14ac:dyDescent="0.2">
      <c r="A75" t="s">
        <v>189</v>
      </c>
      <c r="B75" s="196">
        <v>0.20445380142857192</v>
      </c>
      <c r="D75" s="196">
        <v>0.20445380327934656</v>
      </c>
      <c r="E75" s="141"/>
      <c r="F75" s="196">
        <v>0.20445380126437901</v>
      </c>
      <c r="G75" s="141"/>
      <c r="H75" s="196">
        <v>0.20445380117181838</v>
      </c>
      <c r="I75" s="141"/>
      <c r="J75" s="196">
        <v>0.2044538010547389</v>
      </c>
      <c r="K75" s="141"/>
      <c r="L75" s="196">
        <v>0.20445380092307749</v>
      </c>
      <c r="M75" s="141"/>
      <c r="N75" s="196">
        <v>0.20445380081954057</v>
      </c>
      <c r="O75" s="141"/>
      <c r="P75" s="196">
        <v>0.20445380144669145</v>
      </c>
      <c r="Q75" s="141"/>
      <c r="R75" s="196">
        <v>0.20445380142952183</v>
      </c>
      <c r="S75" s="141"/>
      <c r="T75" s="196">
        <v>0.2044538007458287</v>
      </c>
      <c r="U75" s="141"/>
      <c r="V75" s="196">
        <v>0.20445380105819091</v>
      </c>
      <c r="W75" s="141"/>
      <c r="X75" s="196">
        <v>0.20445380156286697</v>
      </c>
      <c r="Y75" s="141"/>
      <c r="Z75" s="196">
        <v>0.20445380190565132</v>
      </c>
      <c r="AA75" s="141"/>
      <c r="AB75" s="196">
        <v>0.20445380141740366</v>
      </c>
      <c r="AC75" s="141"/>
      <c r="AD75" s="196">
        <v>0.20445380142308325</v>
      </c>
      <c r="AE75" s="141"/>
      <c r="AF75" s="196" t="e">
        <v>#DIV/0!</v>
      </c>
      <c r="AG75" s="141"/>
      <c r="AH75" s="196" t="e">
        <v>#DIV/0!</v>
      </c>
      <c r="AI75" s="141"/>
      <c r="AJ75" s="196" t="e">
        <v>#DIV/0!</v>
      </c>
      <c r="AK75" s="141"/>
      <c r="AL75" s="196" t="e">
        <v>#DIV/0!</v>
      </c>
      <c r="AM75" s="141"/>
      <c r="AN75" s="196" t="e">
        <v>#DIV/0!</v>
      </c>
      <c r="AO75" s="141"/>
      <c r="AP75" s="196" t="e">
        <v>#DIV/0!</v>
      </c>
      <c r="AQ75" s="141"/>
      <c r="AR75" s="196" t="e">
        <v>#DIV/0!</v>
      </c>
      <c r="AS75" s="141"/>
      <c r="AT75" s="196" t="e">
        <v>#DIV/0!</v>
      </c>
      <c r="AU75" s="141"/>
      <c r="AV75" s="196" t="e">
        <v>#DIV/0!</v>
      </c>
      <c r="XFD75" s="196"/>
    </row>
    <row r="76" spans="1:48 16384:16384" x14ac:dyDescent="0.2">
      <c r="A76" t="s">
        <v>190</v>
      </c>
      <c r="B76" s="196">
        <v>0.20231859885161138</v>
      </c>
      <c r="D76" s="196">
        <v>0.20248606238336206</v>
      </c>
      <c r="E76" s="141"/>
      <c r="F76" s="196">
        <v>0.20265715181196203</v>
      </c>
      <c r="G76" s="141"/>
      <c r="H76" s="196">
        <v>0.20282870203502645</v>
      </c>
      <c r="I76" s="141"/>
      <c r="J76" s="196">
        <v>0.20299686366453631</v>
      </c>
      <c r="K76" s="141"/>
      <c r="L76" s="196">
        <v>0.20315723747196393</v>
      </c>
      <c r="M76" s="141"/>
      <c r="N76" s="196">
        <v>0.20330496367640821</v>
      </c>
      <c r="O76" s="141"/>
      <c r="P76" s="196">
        <v>0.20343501959905247</v>
      </c>
      <c r="Q76" s="141"/>
      <c r="R76" s="196">
        <v>0.20354278761344466</v>
      </c>
      <c r="S76" s="141"/>
      <c r="T76" s="196">
        <v>0.20362529989235567</v>
      </c>
      <c r="U76" s="141"/>
      <c r="V76" s="196">
        <v>0.20368369202886677</v>
      </c>
      <c r="W76" s="141"/>
      <c r="X76" s="196">
        <v>0.20372865240758575</v>
      </c>
      <c r="Y76" s="141"/>
      <c r="Z76" s="196">
        <v>0.20379590672631884</v>
      </c>
      <c r="AA76" s="141"/>
      <c r="AB76" s="196">
        <v>0.20400548609204927</v>
      </c>
      <c r="AC76" s="141"/>
      <c r="AD76" s="196">
        <v>0.2049641754565418</v>
      </c>
      <c r="AE76" s="141"/>
      <c r="AF76" s="196" t="e">
        <v>#DIV/0!</v>
      </c>
      <c r="AG76" s="141"/>
      <c r="AH76" s="196" t="e">
        <v>#DIV/0!</v>
      </c>
      <c r="AI76" s="141"/>
      <c r="AJ76" s="196" t="e">
        <v>#DIV/0!</v>
      </c>
      <c r="AK76" s="141"/>
      <c r="AL76" s="196" t="e">
        <v>#DIV/0!</v>
      </c>
      <c r="AM76" s="141"/>
      <c r="AN76" s="196" t="e">
        <v>#DIV/0!</v>
      </c>
      <c r="AO76" s="141"/>
      <c r="AP76" s="196" t="e">
        <v>#DIV/0!</v>
      </c>
      <c r="AQ76" s="141"/>
      <c r="AR76" s="196" t="e">
        <v>#DIV/0!</v>
      </c>
      <c r="AS76" s="141"/>
      <c r="AT76" s="196" t="e">
        <v>#DIV/0!</v>
      </c>
      <c r="AU76" s="141"/>
      <c r="AV76" s="196" t="e">
        <v>#DIV/0!</v>
      </c>
      <c r="XFD76" s="196"/>
    </row>
    <row r="77" spans="1:48 16384:16384" x14ac:dyDescent="0.2">
      <c r="A77" t="s">
        <v>191</v>
      </c>
      <c r="B77" s="196">
        <v>0.19056730598402033</v>
      </c>
      <c r="D77" s="196">
        <v>0.19073476996210123</v>
      </c>
      <c r="E77" s="141"/>
      <c r="F77" s="196">
        <v>0.19090586084094724</v>
      </c>
      <c r="G77" s="141"/>
      <c r="H77" s="196">
        <v>0.19107741173899029</v>
      </c>
      <c r="I77" s="141"/>
      <c r="J77" s="196">
        <v>0.19124557400237471</v>
      </c>
      <c r="K77" s="141"/>
      <c r="L77" s="196">
        <v>0.1914059482079955</v>
      </c>
      <c r="M77" s="141"/>
      <c r="N77" s="196">
        <v>0.19155367420670061</v>
      </c>
      <c r="O77" s="141"/>
      <c r="P77" s="196">
        <v>0.19168372621401195</v>
      </c>
      <c r="Q77" s="141"/>
      <c r="R77" s="196">
        <v>0.19179149472458126</v>
      </c>
      <c r="S77" s="141"/>
      <c r="T77" s="196">
        <v>0.19187400649565761</v>
      </c>
      <c r="U77" s="141"/>
      <c r="V77" s="196">
        <v>0.19193239862587486</v>
      </c>
      <c r="W77" s="141"/>
      <c r="X77" s="196">
        <v>0.19197736095719761</v>
      </c>
      <c r="Y77" s="141"/>
      <c r="Z77" s="196">
        <v>0.19204461565735523</v>
      </c>
      <c r="AA77" s="141"/>
      <c r="AB77" s="196">
        <v>0.19225419329656013</v>
      </c>
      <c r="AC77" s="141"/>
      <c r="AD77" s="196">
        <v>0.19321288272656681</v>
      </c>
      <c r="AE77" s="141"/>
      <c r="AF77" s="196" t="e">
        <v>#DIV/0!</v>
      </c>
      <c r="AG77" s="141"/>
      <c r="AH77" s="196" t="e">
        <v>#DIV/0!</v>
      </c>
      <c r="AI77" s="141"/>
      <c r="AJ77" s="196" t="e">
        <v>#DIV/0!</v>
      </c>
      <c r="AK77" s="141"/>
      <c r="AL77" s="196" t="e">
        <v>#DIV/0!</v>
      </c>
      <c r="AM77" s="141"/>
      <c r="AN77" s="196" t="e">
        <v>#DIV/0!</v>
      </c>
      <c r="AO77" s="141"/>
      <c r="AP77" s="196" t="e">
        <v>#DIV/0!</v>
      </c>
      <c r="AQ77" s="141"/>
      <c r="AR77" s="196" t="e">
        <v>#DIV/0!</v>
      </c>
      <c r="AS77" s="141"/>
      <c r="AT77" s="196" t="e">
        <v>#DIV/0!</v>
      </c>
      <c r="AU77" s="141"/>
      <c r="AV77" s="196" t="e">
        <v>#DIV/0!</v>
      </c>
      <c r="XFD77" s="196"/>
    </row>
    <row r="78" spans="1:48 16384:16384" x14ac:dyDescent="0.2">
      <c r="A78" t="s">
        <v>192</v>
      </c>
      <c r="B78" s="196">
        <v>0.27666372811889955</v>
      </c>
      <c r="D78" s="196">
        <v>0.27303157686296026</v>
      </c>
      <c r="E78" s="141"/>
      <c r="F78" s="196">
        <v>0.26931907753576867</v>
      </c>
      <c r="G78" s="141"/>
      <c r="H78" s="196">
        <v>0.26552674373317453</v>
      </c>
      <c r="I78" s="141"/>
      <c r="J78" s="196">
        <v>0.26165743891671689</v>
      </c>
      <c r="K78" s="141"/>
      <c r="L78" s="196">
        <v>0.25771752960763472</v>
      </c>
      <c r="M78" s="141"/>
      <c r="N78" s="196">
        <v>0.25371838413065967</v>
      </c>
      <c r="O78" s="141"/>
      <c r="P78" s="196">
        <v>0.2496783410868218</v>
      </c>
      <c r="Q78" s="141"/>
      <c r="R78" s="196">
        <v>0.24562509287524295</v>
      </c>
      <c r="S78" s="141"/>
      <c r="T78" s="196">
        <v>0.24159857622649014</v>
      </c>
      <c r="U78" s="141"/>
      <c r="V78" s="196">
        <v>0.23765431307348261</v>
      </c>
      <c r="W78" s="141"/>
      <c r="X78" s="196">
        <v>0.23386747448650211</v>
      </c>
      <c r="Y78" s="141"/>
      <c r="Z78" s="196">
        <v>0.23034197778553353</v>
      </c>
      <c r="AA78" s="141"/>
      <c r="AB78" s="196">
        <v>0.22724758915007248</v>
      </c>
      <c r="AC78" s="141"/>
      <c r="AD78" s="196">
        <v>0.22509567613005441</v>
      </c>
      <c r="AE78" s="141"/>
      <c r="AF78" s="196" t="e">
        <v>#DIV/0!</v>
      </c>
      <c r="AG78" s="141"/>
      <c r="AH78" s="196" t="e">
        <v>#DIV/0!</v>
      </c>
      <c r="AI78" s="141"/>
      <c r="AJ78" s="196" t="e">
        <v>#DIV/0!</v>
      </c>
      <c r="AK78" s="141"/>
      <c r="AL78" s="196" t="e">
        <v>#DIV/0!</v>
      </c>
      <c r="AM78" s="141"/>
      <c r="AN78" s="196" t="e">
        <v>#DIV/0!</v>
      </c>
      <c r="AO78" s="141"/>
      <c r="AP78" s="196" t="e">
        <v>#DIV/0!</v>
      </c>
      <c r="AQ78" s="141"/>
      <c r="AR78" s="196" t="e">
        <v>#DIV/0!</v>
      </c>
      <c r="AS78" s="141"/>
      <c r="AT78" s="196" t="e">
        <v>#DIV/0!</v>
      </c>
      <c r="AU78" s="141"/>
      <c r="AV78" s="196" t="e">
        <v>#DIV/0!</v>
      </c>
      <c r="XFD78" s="196"/>
    </row>
    <row r="79" spans="1:48 16384:16384" x14ac:dyDescent="0.2">
      <c r="A79" t="s">
        <v>193</v>
      </c>
      <c r="B79" s="196">
        <v>0.42990307543833983</v>
      </c>
      <c r="D79" s="196">
        <v>0.433535307182986</v>
      </c>
      <c r="F79" s="196">
        <v>0.43724771959314412</v>
      </c>
      <c r="H79" s="196">
        <v>0.44104005132606533</v>
      </c>
      <c r="J79" s="196">
        <v>0.4449093550188995</v>
      </c>
      <c r="L79" s="196">
        <v>0.44884926659921121</v>
      </c>
      <c r="N79" s="196">
        <v>0.45284842218438226</v>
      </c>
      <c r="P79" s="196">
        <v>0.45688848064931625</v>
      </c>
      <c r="R79" s="196">
        <v>0.46094171160631608</v>
      </c>
      <c r="T79" s="196">
        <v>0.46496839450994304</v>
      </c>
      <c r="V79" s="196">
        <v>0.46891264258353454</v>
      </c>
      <c r="X79" s="196">
        <v>0.47269917102507741</v>
      </c>
      <c r="Z79" s="196">
        <v>0.47622437871436263</v>
      </c>
      <c r="AB79" s="196">
        <v>0.47931923267312798</v>
      </c>
      <c r="AD79" s="196">
        <v>0.48147112942109954</v>
      </c>
      <c r="AF79" s="196" t="e">
        <v>#DIV/0!</v>
      </c>
      <c r="AH79" s="196" t="e">
        <v>#DIV/0!</v>
      </c>
      <c r="AJ79" s="196" t="e">
        <v>#DIV/0!</v>
      </c>
      <c r="AL79" s="196" t="e">
        <v>#DIV/0!</v>
      </c>
      <c r="AN79" s="196" t="e">
        <v>#DIV/0!</v>
      </c>
      <c r="AP79" s="196" t="e">
        <v>#DIV/0!</v>
      </c>
      <c r="AR79" s="196" t="e">
        <v>#DIV/0!</v>
      </c>
      <c r="AT79" s="196" t="e">
        <v>#DIV/0!</v>
      </c>
      <c r="AV79" s="196" t="e">
        <v>#DIV/0!</v>
      </c>
      <c r="XFD79" s="196"/>
    </row>
    <row r="80" spans="1:48 16384:16384" x14ac:dyDescent="0.2">
      <c r="A80" t="s">
        <v>172</v>
      </c>
      <c r="B80" s="239">
        <v>0.29343319644276039</v>
      </c>
      <c r="D80" s="239">
        <v>0.29343321094558211</v>
      </c>
      <c r="F80" s="239">
        <v>0.29343319558795772</v>
      </c>
      <c r="H80" s="239">
        <v>0.29343319511814137</v>
      </c>
      <c r="J80" s="239">
        <v>0.29343319448158495</v>
      </c>
      <c r="L80" s="239">
        <v>0.29343319360583192</v>
      </c>
      <c r="N80" s="239">
        <v>0.29343319251231537</v>
      </c>
      <c r="P80" s="239">
        <v>0.29343319595431333</v>
      </c>
      <c r="R80" s="239">
        <v>0.29343319641448717</v>
      </c>
      <c r="T80" s="239">
        <v>0.29343318541444258</v>
      </c>
      <c r="V80" s="239">
        <v>0.29343318987889699</v>
      </c>
      <c r="X80" s="239">
        <v>0.29343320164763886</v>
      </c>
      <c r="Z80" s="239">
        <v>0.29343320813130525</v>
      </c>
      <c r="AB80" s="239">
        <v>0.29343319601639217</v>
      </c>
      <c r="AD80" s="239">
        <v>0.29343319643420579</v>
      </c>
      <c r="AF80" s="239" t="e">
        <v>#DIV/0!</v>
      </c>
      <c r="AH80" s="239" t="e">
        <v>#DIV/0!</v>
      </c>
      <c r="AJ80" s="239" t="e">
        <v>#DIV/0!</v>
      </c>
      <c r="AL80" s="239" t="e">
        <v>#DIV/0!</v>
      </c>
      <c r="AN80" s="239" t="e">
        <v>#DIV/0!</v>
      </c>
      <c r="AP80" s="239" t="e">
        <v>#DIV/0!</v>
      </c>
      <c r="AR80" s="239" t="e">
        <v>#DIV/0!</v>
      </c>
      <c r="AT80" s="239" t="e">
        <v>#DIV/0!</v>
      </c>
      <c r="AV80" s="239" t="e">
        <v>#DIV/0!</v>
      </c>
      <c r="XFD80" s="239"/>
    </row>
    <row r="81" spans="1:48 16384:16384" x14ac:dyDescent="0.2">
      <c r="A81" t="s">
        <v>194</v>
      </c>
      <c r="B81" s="239">
        <v>7.6705523473783829E-2</v>
      </c>
      <c r="D81" s="239">
        <v>7.6705537976605523E-2</v>
      </c>
      <c r="F81" s="239">
        <v>7.6705522618981142E-2</v>
      </c>
      <c r="H81" s="239">
        <v>7.6705522149164804E-2</v>
      </c>
      <c r="J81" s="239">
        <v>7.6705521512608441E-2</v>
      </c>
      <c r="L81" s="239">
        <v>7.6705520636855373E-2</v>
      </c>
      <c r="N81" s="239">
        <v>7.670551954333879E-2</v>
      </c>
      <c r="P81" s="239">
        <v>7.6705522985336769E-2</v>
      </c>
      <c r="R81" s="239">
        <v>7.670552344551064E-2</v>
      </c>
      <c r="T81" s="239">
        <v>7.6705512445466043E-2</v>
      </c>
      <c r="V81" s="239">
        <v>7.6705516909920446E-2</v>
      </c>
      <c r="X81" s="239">
        <v>7.6705528678662344E-2</v>
      </c>
      <c r="Z81" s="239">
        <v>7.6705535162328711E-2</v>
      </c>
      <c r="AB81" s="239">
        <v>7.6705523047415639E-2</v>
      </c>
      <c r="AD81" s="239">
        <v>7.6705523465229228E-2</v>
      </c>
      <c r="AF81" s="239" t="e">
        <v>#DIV/0!</v>
      </c>
      <c r="AH81" s="239" t="e">
        <v>#DIV/0!</v>
      </c>
      <c r="AJ81" s="239" t="e">
        <v>#DIV/0!</v>
      </c>
      <c r="AL81" s="239" t="e">
        <v>#DIV/0!</v>
      </c>
      <c r="AN81" s="239" t="e">
        <v>#DIV/0!</v>
      </c>
      <c r="AP81" s="239" t="e">
        <v>#DIV/0!</v>
      </c>
      <c r="AR81" s="239" t="e">
        <v>#DIV/0!</v>
      </c>
      <c r="AT81" s="239" t="e">
        <v>#DIV/0!</v>
      </c>
      <c r="AV81" s="239" t="e">
        <v>#DIV/0!</v>
      </c>
      <c r="XFD81" s="239"/>
    </row>
    <row r="82" spans="1:48 16384:16384" x14ac:dyDescent="0.2">
      <c r="A82" t="s">
        <v>195</v>
      </c>
      <c r="B82" s="239">
        <v>5.4622536949655895E-2</v>
      </c>
      <c r="D82" s="239">
        <v>5.3905430599888872E-2</v>
      </c>
      <c r="F82" s="239">
        <v>5.3172460893112027E-2</v>
      </c>
      <c r="H82" s="239">
        <v>5.2423729230070874E-2</v>
      </c>
      <c r="J82" s="239">
        <v>5.1659800952434116E-2</v>
      </c>
      <c r="L82" s="239">
        <v>5.0881933021292999E-2</v>
      </c>
      <c r="N82" s="239">
        <v>5.0092369918574894E-2</v>
      </c>
      <c r="P82" s="239">
        <v>4.9294732288442923E-2</v>
      </c>
      <c r="R82" s="239">
        <v>4.8494487523043306E-2</v>
      </c>
      <c r="T82" s="239">
        <v>4.7699520449042257E-2</v>
      </c>
      <c r="V82" s="239">
        <v>4.6920792925636182E-2</v>
      </c>
      <c r="X82" s="239">
        <v>4.617314619924337E-2</v>
      </c>
      <c r="Z82" s="239">
        <v>4.5477096973261043E-2</v>
      </c>
      <c r="AB82" s="239">
        <v>4.4866162685899651E-2</v>
      </c>
      <c r="AD82" s="239">
        <v>4.444130414283156E-2</v>
      </c>
      <c r="AF82" s="239" t="e">
        <v>#DIV/0!</v>
      </c>
      <c r="AH82" s="239" t="e">
        <v>#DIV/0!</v>
      </c>
      <c r="AJ82" s="239" t="e">
        <v>#DIV/0!</v>
      </c>
      <c r="AL82" s="239" t="e">
        <v>#DIV/0!</v>
      </c>
      <c r="AN82" s="239" t="e">
        <v>#DIV/0!</v>
      </c>
      <c r="AP82" s="239" t="e">
        <v>#DIV/0!</v>
      </c>
      <c r="AR82" s="239" t="e">
        <v>#DIV/0!</v>
      </c>
      <c r="AT82" s="239" t="e">
        <v>#DIV/0!</v>
      </c>
      <c r="AV82" s="239" t="e">
        <v>#DIV/0!</v>
      </c>
    </row>
    <row r="83" spans="1:48 16384:16384" x14ac:dyDescent="0.2">
      <c r="A83" t="s">
        <v>196</v>
      </c>
      <c r="B83" s="239">
        <v>8.4877033872722163E-2</v>
      </c>
      <c r="D83" s="239">
        <v>8.5594156113612305E-2</v>
      </c>
      <c r="F83" s="239">
        <v>8.6327108660102514E-2</v>
      </c>
      <c r="H83" s="239">
        <v>8.707583991452203E-2</v>
      </c>
      <c r="J83" s="239">
        <v>8.7839767970318491E-2</v>
      </c>
      <c r="L83" s="239">
        <v>8.8617636349875156E-2</v>
      </c>
      <c r="N83" s="239">
        <v>8.9407201448284263E-2</v>
      </c>
      <c r="P83" s="239">
        <v>9.0204842123048787E-2</v>
      </c>
      <c r="R83" s="239">
        <v>9.1005083481825899E-2</v>
      </c>
      <c r="T83" s="239">
        <v>9.18000833800178E-2</v>
      </c>
      <c r="V83" s="239">
        <v>9.2578807926250214E-2</v>
      </c>
      <c r="X83" s="239">
        <v>9.3326393419713272E-2</v>
      </c>
      <c r="Z83" s="239">
        <v>9.4022385585265392E-2</v>
      </c>
      <c r="AB83" s="239">
        <v>9.4633411742781046E-2</v>
      </c>
      <c r="AD83" s="239">
        <v>9.5058267073210953E-2</v>
      </c>
      <c r="AF83" s="239" t="e">
        <v>#DIV/0!</v>
      </c>
      <c r="AH83" s="239" t="e">
        <v>#DIV/0!</v>
      </c>
      <c r="AJ83" s="239" t="e">
        <v>#DIV/0!</v>
      </c>
      <c r="AL83" s="239" t="e">
        <v>#DIV/0!</v>
      </c>
      <c r="AN83" s="239" t="e">
        <v>#DIV/0!</v>
      </c>
      <c r="AP83" s="239" t="e">
        <v>#DIV/0!</v>
      </c>
      <c r="AR83" s="239" t="e">
        <v>#DIV/0!</v>
      </c>
      <c r="AT83" s="239" t="e">
        <v>#DIV/0!</v>
      </c>
      <c r="AV83" s="239" t="e">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XFD83"/>
  <sheetViews>
    <sheetView showGridLines="0" topLeftCell="O1" workbookViewId="0">
      <pane ySplit="1" topLeftCell="A2" activePane="bottomLeft" state="frozen"/>
      <selection pane="bottomLeft" sqref="A1:XFD1048576"/>
    </sheetView>
  </sheetViews>
  <sheetFormatPr baseColWidth="10" defaultRowHeight="10" x14ac:dyDescent="0.2"/>
  <sheetData>
    <row r="1" spans="1:49" x14ac:dyDescent="0.2">
      <c r="B1" s="97">
        <v>0</v>
      </c>
      <c r="D1" s="97">
        <v>0.05</v>
      </c>
      <c r="F1" s="97">
        <v>0.1</v>
      </c>
      <c r="H1" s="97">
        <v>0.15000000000000002</v>
      </c>
      <c r="J1" s="97">
        <v>0.2</v>
      </c>
      <c r="L1" s="97">
        <v>0.25</v>
      </c>
      <c r="N1" s="97">
        <v>0.3</v>
      </c>
      <c r="P1" s="97">
        <v>0.35</v>
      </c>
      <c r="R1" s="97">
        <v>0.39999999999999997</v>
      </c>
      <c r="T1" s="97">
        <v>0.44999999999999996</v>
      </c>
      <c r="V1" s="97">
        <v>0.49999999999999994</v>
      </c>
      <c r="X1" s="97">
        <v>0.55000000000000004</v>
      </c>
      <c r="Z1" s="97">
        <v>0.6</v>
      </c>
      <c r="AB1" s="97"/>
      <c r="AD1" s="97"/>
      <c r="AF1" s="97"/>
      <c r="AH1" s="97"/>
      <c r="AJ1" s="97"/>
      <c r="AL1" s="97"/>
      <c r="AN1" s="97"/>
      <c r="AP1" s="97"/>
      <c r="AR1" s="97"/>
      <c r="AT1" s="97"/>
      <c r="AV1" s="97"/>
    </row>
    <row r="2" spans="1:49" x14ac:dyDescent="0.2">
      <c r="A2" s="232" t="s">
        <v>158</v>
      </c>
      <c r="B2" s="229">
        <v>0.16485636072655629</v>
      </c>
      <c r="C2" s="230"/>
      <c r="D2" s="229">
        <v>0.17477922709378654</v>
      </c>
      <c r="E2" s="230"/>
      <c r="F2" s="229">
        <v>0.18402421141393205</v>
      </c>
      <c r="G2" s="230"/>
      <c r="H2" s="229">
        <v>0.19245087599124663</v>
      </c>
      <c r="I2" s="230"/>
      <c r="J2" s="229">
        <v>0.19996700984853005</v>
      </c>
      <c r="K2" s="230"/>
      <c r="L2" s="229">
        <v>0.20653571717043412</v>
      </c>
      <c r="M2" s="230"/>
      <c r="N2" s="229">
        <v>0.212177416633031</v>
      </c>
      <c r="O2" s="230"/>
      <c r="P2" s="229">
        <v>0.21697350386172054</v>
      </c>
      <c r="Q2" s="230"/>
      <c r="R2" s="229">
        <v>0.22108313273884603</v>
      </c>
      <c r="S2" s="230"/>
      <c r="T2" s="229">
        <v>0.22479025594929442</v>
      </c>
      <c r="U2" s="230"/>
      <c r="V2" s="229">
        <v>0.22861654867425679</v>
      </c>
      <c r="W2" s="230"/>
      <c r="X2" s="229">
        <v>0.23351237748947548</v>
      </c>
      <c r="Y2" s="230"/>
      <c r="Z2" s="229">
        <v>0.24069937532453589</v>
      </c>
      <c r="AA2" s="230"/>
      <c r="AB2" s="229"/>
      <c r="AC2" s="230"/>
      <c r="AD2" s="229"/>
      <c r="AE2" s="230"/>
      <c r="AF2" s="229"/>
      <c r="AG2" s="230"/>
      <c r="AH2" s="229"/>
      <c r="AI2" s="230"/>
      <c r="AJ2" s="229"/>
      <c r="AK2" s="230"/>
      <c r="AL2" s="229"/>
      <c r="AM2" s="230"/>
      <c r="AN2" s="229"/>
      <c r="AO2" s="230"/>
      <c r="AP2" s="229"/>
      <c r="AQ2" s="230"/>
      <c r="AR2" s="229"/>
      <c r="AS2" s="230"/>
      <c r="AT2" s="229"/>
      <c r="AU2" s="230"/>
      <c r="AV2" s="229"/>
      <c r="AW2" s="230"/>
    </row>
    <row r="3" spans="1:49" x14ac:dyDescent="0.2">
      <c r="A3" t="s">
        <v>12</v>
      </c>
      <c r="B3" s="87">
        <v>1000</v>
      </c>
      <c r="C3" s="88">
        <v>1000</v>
      </c>
      <c r="D3" s="87">
        <v>999.58220793961937</v>
      </c>
      <c r="E3" s="88">
        <v>1006.282023176845</v>
      </c>
      <c r="F3" s="87">
        <v>999.34619527031691</v>
      </c>
      <c r="G3" s="88">
        <v>1010.7118198928315</v>
      </c>
      <c r="H3" s="87">
        <v>999.28111308425218</v>
      </c>
      <c r="I3" s="88">
        <v>1013.2781713720888</v>
      </c>
      <c r="J3" s="87">
        <v>999.36751496673901</v>
      </c>
      <c r="K3" s="88">
        <v>1014.1039622178904</v>
      </c>
      <c r="L3" s="87">
        <v>999.57488078565416</v>
      </c>
      <c r="M3" s="88">
        <v>1013.470585480656</v>
      </c>
      <c r="N3" s="87">
        <v>999.85617915555224</v>
      </c>
      <c r="O3" s="88">
        <v>1011.8635439246372</v>
      </c>
      <c r="P3" s="87">
        <v>1000.1356935626104</v>
      </c>
      <c r="Q3" s="88">
        <v>1010.0802871019448</v>
      </c>
      <c r="R3" s="87">
        <v>1000.2824115006445</v>
      </c>
      <c r="S3" s="88">
        <v>1009.4878964754637</v>
      </c>
      <c r="T3" s="87">
        <v>1000.0521311533771</v>
      </c>
      <c r="U3" s="88">
        <v>1012.6426872205237</v>
      </c>
      <c r="V3" s="87">
        <v>998.96441718917242</v>
      </c>
      <c r="W3" s="88">
        <v>1024.8294637002821</v>
      </c>
      <c r="X3" s="87">
        <v>996.11207966103223</v>
      </c>
      <c r="Y3" s="88">
        <v>1057.567267965273</v>
      </c>
      <c r="Z3" s="87">
        <v>990.36066237889384</v>
      </c>
      <c r="AA3" s="88">
        <v>1132.3701913468717</v>
      </c>
      <c r="AB3" s="87"/>
      <c r="AC3" s="88"/>
      <c r="AD3" s="87"/>
      <c r="AE3" s="88"/>
      <c r="AF3" s="87"/>
      <c r="AG3" s="88"/>
      <c r="AH3" s="87"/>
      <c r="AI3" s="88"/>
      <c r="AJ3" s="87"/>
      <c r="AK3" s="88"/>
      <c r="AL3" s="87"/>
      <c r="AM3" s="88"/>
      <c r="AN3" s="87"/>
      <c r="AO3" s="88"/>
      <c r="AP3" s="87"/>
      <c r="AQ3" s="88"/>
      <c r="AR3" s="87"/>
      <c r="AS3" s="88"/>
      <c r="AT3" s="87"/>
      <c r="AU3" s="88"/>
      <c r="AV3" s="87"/>
      <c r="AW3" s="88"/>
    </row>
    <row r="4" spans="1:49" x14ac:dyDescent="0.2">
      <c r="A4" t="s">
        <v>119</v>
      </c>
      <c r="B4" s="104">
        <v>1000</v>
      </c>
      <c r="C4" s="105">
        <v>1000</v>
      </c>
      <c r="D4" s="104">
        <v>1000</v>
      </c>
      <c r="E4" s="105">
        <v>1000</v>
      </c>
      <c r="F4" s="104">
        <v>1000</v>
      </c>
      <c r="G4" s="105">
        <v>1000</v>
      </c>
      <c r="H4" s="104">
        <v>1000</v>
      </c>
      <c r="I4" s="105">
        <v>1000</v>
      </c>
      <c r="J4" s="104">
        <v>1000</v>
      </c>
      <c r="K4" s="105">
        <v>1000</v>
      </c>
      <c r="L4" s="104">
        <v>1000</v>
      </c>
      <c r="M4" s="105">
        <v>1000</v>
      </c>
      <c r="N4" s="104">
        <v>1000</v>
      </c>
      <c r="O4" s="105">
        <v>1000</v>
      </c>
      <c r="P4" s="104">
        <v>1000</v>
      </c>
      <c r="Q4" s="105">
        <v>1000</v>
      </c>
      <c r="R4" s="104">
        <v>1000</v>
      </c>
      <c r="S4" s="105">
        <v>1000</v>
      </c>
      <c r="T4" s="104">
        <v>1000</v>
      </c>
      <c r="U4" s="105">
        <v>1000</v>
      </c>
      <c r="V4" s="104">
        <v>1000</v>
      </c>
      <c r="W4" s="105">
        <v>1000</v>
      </c>
      <c r="X4" s="104">
        <v>1000</v>
      </c>
      <c r="Y4" s="105">
        <v>1000</v>
      </c>
      <c r="Z4" s="104">
        <v>1000</v>
      </c>
      <c r="AA4" s="105">
        <v>1000</v>
      </c>
      <c r="AB4" s="104"/>
      <c r="AC4" s="105"/>
      <c r="AD4" s="104"/>
      <c r="AE4" s="105"/>
      <c r="AF4" s="104"/>
      <c r="AG4" s="105"/>
      <c r="AH4" s="104"/>
      <c r="AI4" s="105"/>
      <c r="AJ4" s="104"/>
      <c r="AK4" s="105"/>
      <c r="AL4" s="104"/>
      <c r="AM4" s="105"/>
      <c r="AN4" s="104"/>
      <c r="AO4" s="105"/>
      <c r="AP4" s="104"/>
      <c r="AQ4" s="105"/>
      <c r="AR4" s="104"/>
      <c r="AS4" s="105"/>
      <c r="AT4" s="104"/>
      <c r="AU4" s="105"/>
      <c r="AV4" s="104"/>
      <c r="AW4" s="105"/>
    </row>
    <row r="5" spans="1:49" x14ac:dyDescent="0.2">
      <c r="A5" t="s">
        <v>131</v>
      </c>
      <c r="B5" s="41">
        <v>1000</v>
      </c>
      <c r="C5" s="42">
        <v>1000</v>
      </c>
      <c r="D5" s="41">
        <v>999.57169420500543</v>
      </c>
      <c r="E5" s="42">
        <v>1004.2632697977039</v>
      </c>
      <c r="F5" s="41">
        <v>999.32970812055612</v>
      </c>
      <c r="G5" s="42">
        <v>1007.2413843611553</v>
      </c>
      <c r="H5" s="41">
        <v>999.26297440014685</v>
      </c>
      <c r="I5" s="42">
        <v>1008.9561369616488</v>
      </c>
      <c r="J5" s="41">
        <v>999.35156842750371</v>
      </c>
      <c r="K5" s="42">
        <v>1009.5062578933071</v>
      </c>
      <c r="L5" s="41">
        <v>999.56418195334822</v>
      </c>
      <c r="M5" s="42">
        <v>1009.0843896359182</v>
      </c>
      <c r="N5" s="41">
        <v>999.85256860533912</v>
      </c>
      <c r="O5" s="42">
        <v>1008.0118870392747</v>
      </c>
      <c r="P5" s="41">
        <v>1000.1390917040889</v>
      </c>
      <c r="Q5" s="42">
        <v>1006.8182269703318</v>
      </c>
      <c r="R5" s="41">
        <v>1000.2894747167106</v>
      </c>
      <c r="S5" s="42">
        <v>1006.4208688270789</v>
      </c>
      <c r="T5" s="41">
        <v>1000.0534376219584</v>
      </c>
      <c r="U5" s="42">
        <v>1008.5322478721203</v>
      </c>
      <c r="V5" s="41">
        <v>998.93821517337619</v>
      </c>
      <c r="W5" s="42">
        <v>1016.5790337066077</v>
      </c>
      <c r="X5" s="41">
        <v>996.0112471045461</v>
      </c>
      <c r="Y5" s="42">
        <v>1037.3546582946083</v>
      </c>
      <c r="Z5" s="41">
        <v>990.09825381670669</v>
      </c>
      <c r="AA5" s="42">
        <v>1080.4862547187024</v>
      </c>
      <c r="AB5" s="41"/>
      <c r="AC5" s="42"/>
      <c r="AD5" s="41"/>
      <c r="AE5" s="42"/>
      <c r="AF5" s="41"/>
      <c r="AG5" s="42"/>
      <c r="AH5" s="41"/>
      <c r="AI5" s="42"/>
      <c r="AJ5" s="41"/>
      <c r="AK5" s="42"/>
      <c r="AL5" s="41"/>
      <c r="AM5" s="42"/>
      <c r="AN5" s="41"/>
      <c r="AO5" s="42"/>
      <c r="AP5" s="41"/>
      <c r="AQ5" s="42"/>
      <c r="AR5" s="41"/>
      <c r="AS5" s="42"/>
      <c r="AT5" s="41"/>
      <c r="AU5" s="42"/>
      <c r="AV5" s="41"/>
      <c r="AW5" s="42"/>
    </row>
    <row r="6" spans="1:49" x14ac:dyDescent="0.2">
      <c r="A6" t="s">
        <v>79</v>
      </c>
      <c r="B6" s="41">
        <v>999.99999999999886</v>
      </c>
      <c r="C6" s="42">
        <v>999.99999999999909</v>
      </c>
      <c r="D6" s="41">
        <v>999.53193662993215</v>
      </c>
      <c r="E6" s="42">
        <v>1006.7834750614976</v>
      </c>
      <c r="F6" s="41">
        <v>999.26750464042425</v>
      </c>
      <c r="G6" s="42">
        <v>1011.5628538545341</v>
      </c>
      <c r="H6" s="41">
        <v>999.19458297549829</v>
      </c>
      <c r="I6" s="42">
        <v>1014.3302400703825</v>
      </c>
      <c r="J6" s="41">
        <v>999.29139215327984</v>
      </c>
      <c r="K6" s="42">
        <v>1015.2204890202412</v>
      </c>
      <c r="L6" s="41">
        <v>999.52372740751673</v>
      </c>
      <c r="M6" s="42">
        <v>1014.5376832657525</v>
      </c>
      <c r="N6" s="41">
        <v>999.83887906069606</v>
      </c>
      <c r="O6" s="42">
        <v>1012.8049322669809</v>
      </c>
      <c r="P6" s="41">
        <v>1000.1520109228836</v>
      </c>
      <c r="Q6" s="42">
        <v>1010.8816831877001</v>
      </c>
      <c r="R6" s="41">
        <v>1000.3163663402183</v>
      </c>
      <c r="S6" s="42">
        <v>1010.2426709907718</v>
      </c>
      <c r="T6" s="41">
        <v>1000.0584005917691</v>
      </c>
      <c r="U6" s="42">
        <v>1013.6450763700044</v>
      </c>
      <c r="V6" s="41">
        <v>998.83972310548143</v>
      </c>
      <c r="W6" s="42">
        <v>1026.7732098153501</v>
      </c>
      <c r="X6" s="41">
        <v>995.64243131924172</v>
      </c>
      <c r="Y6" s="42">
        <v>1061.9283226489549</v>
      </c>
      <c r="Z6" s="41">
        <v>989.18863401908993</v>
      </c>
      <c r="AA6" s="42">
        <v>1141.7352267895137</v>
      </c>
      <c r="AB6" s="41"/>
      <c r="AC6" s="42"/>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1059.2664648168009</v>
      </c>
      <c r="C7" s="34">
        <v>1059.2664648168009</v>
      </c>
      <c r="D7" s="33">
        <v>1058.8127748514764</v>
      </c>
      <c r="E7" s="34">
        <v>1058.8127748514764</v>
      </c>
      <c r="F7" s="33">
        <v>1058.5564471072669</v>
      </c>
      <c r="G7" s="34">
        <v>1058.5564471072669</v>
      </c>
      <c r="H7" s="33">
        <v>1058.485758315165</v>
      </c>
      <c r="I7" s="34">
        <v>1058.485758315165</v>
      </c>
      <c r="J7" s="33">
        <v>1058.5796029973271</v>
      </c>
      <c r="K7" s="34">
        <v>1058.5796029973271</v>
      </c>
      <c r="L7" s="33">
        <v>1058.8048173752206</v>
      </c>
      <c r="M7" s="34">
        <v>1058.8048173752206</v>
      </c>
      <c r="N7" s="33">
        <v>1059.1102956845755</v>
      </c>
      <c r="O7" s="34">
        <v>1059.1102956845755</v>
      </c>
      <c r="P7" s="33">
        <v>1059.4137999944764</v>
      </c>
      <c r="Q7" s="34">
        <v>1059.4137999944764</v>
      </c>
      <c r="R7" s="33">
        <v>1059.5730956766247</v>
      </c>
      <c r="S7" s="34">
        <v>1059.5730956766247</v>
      </c>
      <c r="T7" s="33">
        <v>1059.323069497701</v>
      </c>
      <c r="U7" s="34">
        <v>1059.323069497701</v>
      </c>
      <c r="V7" s="33">
        <v>1058.1417517571069</v>
      </c>
      <c r="W7" s="34">
        <v>1058.1417517571069</v>
      </c>
      <c r="X7" s="33">
        <v>1055.0413126382057</v>
      </c>
      <c r="Y7" s="34">
        <v>1055.0413126382057</v>
      </c>
      <c r="Z7" s="33">
        <v>1048.7778771417104</v>
      </c>
      <c r="AA7" s="34">
        <v>1048.7778771417104</v>
      </c>
      <c r="AB7" s="33"/>
      <c r="AC7" s="34"/>
      <c r="AD7" s="33"/>
      <c r="AE7" s="34"/>
      <c r="AF7" s="33"/>
      <c r="AG7" s="34"/>
      <c r="AH7" s="33"/>
      <c r="AI7" s="34"/>
      <c r="AJ7" s="33"/>
      <c r="AK7" s="34"/>
      <c r="AL7" s="33"/>
      <c r="AM7" s="34"/>
      <c r="AN7" s="33"/>
      <c r="AO7" s="34"/>
      <c r="AP7" s="33"/>
      <c r="AQ7" s="34"/>
      <c r="AR7" s="33"/>
      <c r="AS7" s="34"/>
      <c r="AT7" s="33"/>
      <c r="AU7" s="34"/>
      <c r="AV7" s="33"/>
      <c r="AW7" s="34"/>
    </row>
    <row r="8" spans="1:49" x14ac:dyDescent="0.2">
      <c r="B8" s="35">
        <v>1164.8563607265562</v>
      </c>
      <c r="C8" s="36">
        <v>1164.8563607265562</v>
      </c>
      <c r="D8" s="35">
        <v>1179.7876278916253</v>
      </c>
      <c r="E8" s="36">
        <v>1179.7876278916253</v>
      </c>
      <c r="F8" s="35">
        <v>1192.5981858216942</v>
      </c>
      <c r="G8" s="36">
        <v>1192.5981858216942</v>
      </c>
      <c r="H8" s="35">
        <v>1203.1306293566624</v>
      </c>
      <c r="I8" s="36">
        <v>1203.1306293566624</v>
      </c>
      <c r="J8" s="35">
        <v>1211.3742057076106</v>
      </c>
      <c r="K8" s="36">
        <v>1211.3742057076106</v>
      </c>
      <c r="L8" s="35">
        <v>1217.4963577348624</v>
      </c>
      <c r="M8" s="36">
        <v>1217.4963577348624</v>
      </c>
      <c r="N8" s="35">
        <v>1221.8892451666547</v>
      </c>
      <c r="O8" s="36">
        <v>1221.8892451666547</v>
      </c>
      <c r="P8" s="35">
        <v>1225.2711054279298</v>
      </c>
      <c r="Q8" s="36">
        <v>1225.2711054279298</v>
      </c>
      <c r="R8" s="35">
        <v>1228.9235473611209</v>
      </c>
      <c r="S8" s="36">
        <v>1228.9235473611209</v>
      </c>
      <c r="T8" s="35">
        <v>1235.2404700044115</v>
      </c>
      <c r="U8" s="36">
        <v>1235.2404700044115</v>
      </c>
      <c r="V8" s="35">
        <v>1248.9858238472234</v>
      </c>
      <c r="W8" s="36">
        <v>1248.9858238472234</v>
      </c>
      <c r="X8" s="35">
        <v>1279.5898108527647</v>
      </c>
      <c r="Y8" s="36">
        <v>1279.5898108527647</v>
      </c>
      <c r="Z8" s="35">
        <v>1340.5586212762414</v>
      </c>
      <c r="AA8" s="36">
        <v>1340.5586212762414</v>
      </c>
      <c r="AB8" s="35"/>
      <c r="AC8" s="36"/>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1059.2664648168009</v>
      </c>
      <c r="C9" s="42">
        <v>1164.8563607265562</v>
      </c>
      <c r="D9" s="41">
        <v>1058.8127748514764</v>
      </c>
      <c r="E9" s="42">
        <v>1179.7876278916253</v>
      </c>
      <c r="F9" s="41">
        <v>1058.5564471072669</v>
      </c>
      <c r="G9" s="42">
        <v>1192.5981858216942</v>
      </c>
      <c r="H9" s="41">
        <v>1058.485758315165</v>
      </c>
      <c r="I9" s="42">
        <v>1203.1306293566624</v>
      </c>
      <c r="J9" s="41">
        <v>1058.5796029973271</v>
      </c>
      <c r="K9" s="42">
        <v>1211.3742057076106</v>
      </c>
      <c r="L9" s="41">
        <v>1058.8048173752206</v>
      </c>
      <c r="M9" s="42">
        <v>1217.4963577348624</v>
      </c>
      <c r="N9" s="41">
        <v>1059.1102956845755</v>
      </c>
      <c r="O9" s="42">
        <v>1221.8892451666547</v>
      </c>
      <c r="P9" s="41">
        <v>1059.4137999944764</v>
      </c>
      <c r="Q9" s="42">
        <v>1225.2711054279298</v>
      </c>
      <c r="R9" s="41">
        <v>1059.5730956766247</v>
      </c>
      <c r="S9" s="42">
        <v>1228.9235473611209</v>
      </c>
      <c r="T9" s="41">
        <v>1059.323069497701</v>
      </c>
      <c r="U9" s="42">
        <v>1235.2404700044115</v>
      </c>
      <c r="V9" s="41">
        <v>1058.1417517571069</v>
      </c>
      <c r="W9" s="42">
        <v>1248.9858238472234</v>
      </c>
      <c r="X9" s="41">
        <v>1055.0413126382057</v>
      </c>
      <c r="Y9" s="42">
        <v>1279.5898108527647</v>
      </c>
      <c r="Z9" s="41">
        <v>1048.7778771417104</v>
      </c>
      <c r="AA9" s="42">
        <v>1340.5586212762414</v>
      </c>
      <c r="AB9" s="41"/>
      <c r="AC9" s="42"/>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1059.2664648168009</v>
      </c>
      <c r="C10" s="42">
        <v>1164.8563607265562</v>
      </c>
      <c r="D10" s="41">
        <v>1058.8127748514764</v>
      </c>
      <c r="E10" s="42">
        <v>1179.7876278916253</v>
      </c>
      <c r="F10" s="41">
        <v>1058.5564471072669</v>
      </c>
      <c r="G10" s="42">
        <v>1192.5981858216942</v>
      </c>
      <c r="H10" s="41">
        <v>1058.485758315165</v>
      </c>
      <c r="I10" s="42">
        <v>1203.1306293566624</v>
      </c>
      <c r="J10" s="41">
        <v>1058.5796029973271</v>
      </c>
      <c r="K10" s="42">
        <v>1211.3742057076106</v>
      </c>
      <c r="L10" s="41">
        <v>1058.8048173752206</v>
      </c>
      <c r="M10" s="42">
        <v>1217.4963577348624</v>
      </c>
      <c r="N10" s="41">
        <v>1059.1102956845755</v>
      </c>
      <c r="O10" s="42">
        <v>1221.8892451666547</v>
      </c>
      <c r="P10" s="41">
        <v>1059.4137999944764</v>
      </c>
      <c r="Q10" s="42">
        <v>1225.2711054279298</v>
      </c>
      <c r="R10" s="41">
        <v>1059.5730956766247</v>
      </c>
      <c r="S10" s="42">
        <v>1228.9235473611209</v>
      </c>
      <c r="T10" s="41">
        <v>1059.323069497701</v>
      </c>
      <c r="U10" s="42">
        <v>1235.2404700044115</v>
      </c>
      <c r="V10" s="41">
        <v>1058.1417517571069</v>
      </c>
      <c r="W10" s="42">
        <v>1248.9858238472234</v>
      </c>
      <c r="X10" s="41">
        <v>1055.0413126382057</v>
      </c>
      <c r="Y10" s="42">
        <v>1279.5898108527647</v>
      </c>
      <c r="Z10" s="41">
        <v>1048.7778771417104</v>
      </c>
      <c r="AA10" s="42">
        <v>1340.5586212762414</v>
      </c>
      <c r="AB10" s="41"/>
      <c r="AC10" s="42"/>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1059.2664648168009</v>
      </c>
      <c r="C11" s="42">
        <v>1164.8563607265562</v>
      </c>
      <c r="D11" s="41">
        <v>1058.8127748514764</v>
      </c>
      <c r="E11" s="42">
        <v>1179.7876278916253</v>
      </c>
      <c r="F11" s="41">
        <v>1058.5564471072669</v>
      </c>
      <c r="G11" s="42">
        <v>1192.5981858216942</v>
      </c>
      <c r="H11" s="41">
        <v>1058.485758315165</v>
      </c>
      <c r="I11" s="42">
        <v>1203.1306293566624</v>
      </c>
      <c r="J11" s="41">
        <v>1058.5796029973271</v>
      </c>
      <c r="K11" s="42">
        <v>1211.3742057076106</v>
      </c>
      <c r="L11" s="41">
        <v>1058.8048173752206</v>
      </c>
      <c r="M11" s="42">
        <v>1217.4963577348624</v>
      </c>
      <c r="N11" s="41">
        <v>1059.1102956845755</v>
      </c>
      <c r="O11" s="42">
        <v>1221.8892451666547</v>
      </c>
      <c r="P11" s="41">
        <v>1059.4137999944764</v>
      </c>
      <c r="Q11" s="42">
        <v>1225.2711054279298</v>
      </c>
      <c r="R11" s="41">
        <v>1059.5730956766247</v>
      </c>
      <c r="S11" s="42">
        <v>1228.9235473611209</v>
      </c>
      <c r="T11" s="41">
        <v>1059.323069497701</v>
      </c>
      <c r="U11" s="42">
        <v>1235.2404700044115</v>
      </c>
      <c r="V11" s="41">
        <v>1058.1417517571069</v>
      </c>
      <c r="W11" s="42">
        <v>1248.9858238472234</v>
      </c>
      <c r="X11" s="41">
        <v>1055.0413126382057</v>
      </c>
      <c r="Y11" s="42">
        <v>1279.5898108527647</v>
      </c>
      <c r="Z11" s="41">
        <v>1048.7778771417104</v>
      </c>
      <c r="AA11" s="42">
        <v>1340.5586212762414</v>
      </c>
      <c r="AB11" s="41"/>
      <c r="AC11" s="42"/>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c r="AC12" s="42"/>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100">
        <v>1000</v>
      </c>
      <c r="C13" s="101">
        <v>1000</v>
      </c>
      <c r="D13" s="100">
        <v>1000.3597355148544</v>
      </c>
      <c r="E13" s="101">
        <v>1000.3597355148544</v>
      </c>
      <c r="F13" s="100">
        <v>1000.7818891314683</v>
      </c>
      <c r="G13" s="101">
        <v>1000.7818891314683</v>
      </c>
      <c r="H13" s="100">
        <v>1001.250416819942</v>
      </c>
      <c r="I13" s="101">
        <v>1001.250416819942</v>
      </c>
      <c r="J13" s="100">
        <v>1001.7479179163747</v>
      </c>
      <c r="K13" s="101">
        <v>1001.7479179163747</v>
      </c>
      <c r="L13" s="100">
        <v>1002.2546892672711</v>
      </c>
      <c r="M13" s="101">
        <v>1002.2546892672711</v>
      </c>
      <c r="N13" s="100">
        <v>1002.7457779228158</v>
      </c>
      <c r="O13" s="101">
        <v>1002.7457779228158</v>
      </c>
      <c r="P13" s="100">
        <v>1003.1843602388319</v>
      </c>
      <c r="Q13" s="101">
        <v>1003.1843602388319</v>
      </c>
      <c r="R13" s="100">
        <v>1003.507955796865</v>
      </c>
      <c r="S13" s="101">
        <v>1003.507955796865</v>
      </c>
      <c r="T13" s="100">
        <v>1003.5995255510094</v>
      </c>
      <c r="U13" s="101">
        <v>1003.5995255510094</v>
      </c>
      <c r="V13" s="100">
        <v>1003.2284089530588</v>
      </c>
      <c r="W13" s="101">
        <v>1003.2284089530588</v>
      </c>
      <c r="X13" s="100">
        <v>1001.9660192282477</v>
      </c>
      <c r="Y13" s="101">
        <v>1001.9660192282477</v>
      </c>
      <c r="Z13" s="100">
        <v>999.30463946314012</v>
      </c>
      <c r="AA13" s="101">
        <v>999.30463946314012</v>
      </c>
      <c r="AB13" s="100"/>
      <c r="AC13" s="101"/>
      <c r="AD13" s="100"/>
      <c r="AE13" s="101"/>
      <c r="AF13" s="100"/>
      <c r="AG13" s="101"/>
      <c r="AH13" s="100"/>
      <c r="AI13" s="101"/>
      <c r="AJ13" s="100"/>
      <c r="AK13" s="101"/>
      <c r="AL13" s="100"/>
      <c r="AM13" s="101"/>
      <c r="AN13" s="100"/>
      <c r="AO13" s="101"/>
      <c r="AP13" s="100"/>
      <c r="AQ13" s="101"/>
      <c r="AR13" s="100"/>
      <c r="AS13" s="101"/>
      <c r="AT13" s="100"/>
      <c r="AU13" s="101"/>
      <c r="AV13" s="100"/>
      <c r="AW13" s="101"/>
    </row>
    <row r="14" spans="1:49" x14ac:dyDescent="0.2">
      <c r="A14" t="s">
        <v>36</v>
      </c>
      <c r="B14" s="41">
        <v>1571.7032514685595</v>
      </c>
      <c r="C14" s="42">
        <v>1562.3699911127492</v>
      </c>
      <c r="D14" s="41">
        <v>1572.2686489469249</v>
      </c>
      <c r="E14" s="42">
        <v>1562.932031085895</v>
      </c>
      <c r="F14" s="41">
        <v>1572.9321491587764</v>
      </c>
      <c r="G14" s="42">
        <v>1563.5915912281325</v>
      </c>
      <c r="H14" s="41">
        <v>1573.6685356501534</v>
      </c>
      <c r="I14" s="42">
        <v>1564.3236048286089</v>
      </c>
      <c r="J14" s="41">
        <v>1574.450459741026</v>
      </c>
      <c r="K14" s="42">
        <v>1565.1008856122212</v>
      </c>
      <c r="L14" s="41">
        <v>1575.246953920981</v>
      </c>
      <c r="M14" s="42">
        <v>1565.8926499632175</v>
      </c>
      <c r="N14" s="41">
        <v>1576.0187995576598</v>
      </c>
      <c r="O14" s="42">
        <v>1566.6599121416164</v>
      </c>
      <c r="P14" s="41">
        <v>1576.7081208097788</v>
      </c>
      <c r="Q14" s="42">
        <v>1567.3451399907926</v>
      </c>
      <c r="R14" s="41">
        <v>1577.2167170005002</v>
      </c>
      <c r="S14" s="42">
        <v>1567.850715979921</v>
      </c>
      <c r="T14" s="41">
        <v>1577.3606374808253</v>
      </c>
      <c r="U14" s="42">
        <v>1567.9937818158896</v>
      </c>
      <c r="V14" s="41">
        <v>1576.7773523171522</v>
      </c>
      <c r="W14" s="42">
        <v>1567.4139603800479</v>
      </c>
      <c r="X14" s="41">
        <v>1574.7932502820461</v>
      </c>
      <c r="Y14" s="42">
        <v>1565.4416405569139</v>
      </c>
      <c r="Z14" s="41">
        <v>1570.610351051834</v>
      </c>
      <c r="AA14" s="42">
        <v>1561.2835806769551</v>
      </c>
      <c r="AB14" s="41"/>
      <c r="AC14" s="42"/>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7">
        <v>1000</v>
      </c>
      <c r="C15" s="158">
        <v>1000</v>
      </c>
      <c r="D15" s="157">
        <v>993.04002856571799</v>
      </c>
      <c r="E15" s="158">
        <v>993.04002856571799</v>
      </c>
      <c r="F15" s="157">
        <v>977.85160397934533</v>
      </c>
      <c r="G15" s="158">
        <v>977.85160397934533</v>
      </c>
      <c r="H15" s="157">
        <v>954.44992390671268</v>
      </c>
      <c r="I15" s="158">
        <v>954.44992390671268</v>
      </c>
      <c r="J15" s="157">
        <v>923.25070111731316</v>
      </c>
      <c r="K15" s="158">
        <v>923.25070111731316</v>
      </c>
      <c r="L15" s="157">
        <v>885.04458019356969</v>
      </c>
      <c r="M15" s="158">
        <v>885.04458019356969</v>
      </c>
      <c r="N15" s="157">
        <v>840.94305727898256</v>
      </c>
      <c r="O15" s="158">
        <v>840.94305727898256</v>
      </c>
      <c r="P15" s="157">
        <v>792.34728647879638</v>
      </c>
      <c r="Q15" s="158">
        <v>792.34728647879638</v>
      </c>
      <c r="R15" s="157">
        <v>741.00091317273098</v>
      </c>
      <c r="S15" s="158">
        <v>741.00091317273098</v>
      </c>
      <c r="T15" s="157">
        <v>689.20277185591613</v>
      </c>
      <c r="U15" s="158">
        <v>689.20277185591613</v>
      </c>
      <c r="V15" s="157">
        <v>640.3356193806444</v>
      </c>
      <c r="W15" s="158">
        <v>640.3356193806444</v>
      </c>
      <c r="X15" s="157">
        <v>599.63299608486625</v>
      </c>
      <c r="Y15" s="158">
        <v>599.63299608486625</v>
      </c>
      <c r="Z15" s="157">
        <v>572.41382753010464</v>
      </c>
      <c r="AA15" s="158">
        <v>572.41382753010464</v>
      </c>
      <c r="AB15" s="157"/>
      <c r="AC15" s="158"/>
      <c r="AD15" s="157"/>
      <c r="AE15" s="158"/>
      <c r="AF15" s="157"/>
      <c r="AG15" s="158"/>
      <c r="AH15" s="157"/>
      <c r="AI15" s="158"/>
      <c r="AJ15" s="157"/>
      <c r="AK15" s="158"/>
      <c r="AL15" s="157"/>
      <c r="AM15" s="158"/>
      <c r="AN15" s="157"/>
      <c r="AO15" s="158"/>
      <c r="AP15" s="157"/>
      <c r="AQ15" s="158"/>
      <c r="AR15" s="157"/>
      <c r="AS15" s="158"/>
      <c r="AT15" s="157"/>
      <c r="AU15" s="158"/>
      <c r="AV15" s="157"/>
      <c r="AW15" s="158"/>
    </row>
    <row r="16" spans="1:49" s="29" customFormat="1" x14ac:dyDescent="0.2">
      <c r="A16" t="s">
        <v>63</v>
      </c>
      <c r="B16" s="41">
        <v>1000</v>
      </c>
      <c r="C16" s="42">
        <v>1000</v>
      </c>
      <c r="D16" s="41">
        <v>998.85974255974509</v>
      </c>
      <c r="E16" s="42">
        <v>996.12920606670991</v>
      </c>
      <c r="F16" s="41">
        <v>998.01128693230169</v>
      </c>
      <c r="G16" s="42">
        <v>988.89929907974124</v>
      </c>
      <c r="H16" s="41">
        <v>997.44883282278579</v>
      </c>
      <c r="I16" s="42">
        <v>978.58748371315835</v>
      </c>
      <c r="J16" s="41">
        <v>997.15123239663751</v>
      </c>
      <c r="K16" s="42">
        <v>965.72796491923191</v>
      </c>
      <c r="L16" s="41">
        <v>997.07810582407569</v>
      </c>
      <c r="M16" s="42">
        <v>951.14661815767363</v>
      </c>
      <c r="N16" s="41">
        <v>997.16211611831886</v>
      </c>
      <c r="O16" s="42">
        <v>936.05152405371484</v>
      </c>
      <c r="P16" s="41">
        <v>997.29168410561465</v>
      </c>
      <c r="Q16" s="42">
        <v>922.26805826015197</v>
      </c>
      <c r="R16" s="41">
        <v>997.27255496518967</v>
      </c>
      <c r="S16" s="42">
        <v>912.81553079689525</v>
      </c>
      <c r="T16" s="41">
        <v>996.74316131349872</v>
      </c>
      <c r="U16" s="42">
        <v>913.34697003509814</v>
      </c>
      <c r="V16" s="41">
        <v>994.99254975513941</v>
      </c>
      <c r="W16" s="42">
        <v>935.97749912807546</v>
      </c>
      <c r="X16" s="41">
        <v>990.67202130497003</v>
      </c>
      <c r="Y16" s="42">
        <v>1009.3753236888674</v>
      </c>
      <c r="Z16" s="41">
        <v>982.07092911626796</v>
      </c>
      <c r="AA16" s="42">
        <v>1197.2850088562514</v>
      </c>
      <c r="AB16" s="41"/>
      <c r="AC16" s="42"/>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64</v>
      </c>
      <c r="B17" s="35">
        <v>1000</v>
      </c>
      <c r="C17" s="36">
        <v>999.99999999999977</v>
      </c>
      <c r="D17" s="35">
        <v>999.59313110760752</v>
      </c>
      <c r="E17" s="36">
        <v>1007.7719901224169</v>
      </c>
      <c r="F17" s="35">
        <v>999.36332467035743</v>
      </c>
      <c r="G17" s="36">
        <v>1013.2415993077949</v>
      </c>
      <c r="H17" s="35">
        <v>999.29995833448584</v>
      </c>
      <c r="I17" s="36">
        <v>1016.3949081745493</v>
      </c>
      <c r="J17" s="35">
        <v>999.38408265125292</v>
      </c>
      <c r="K17" s="36">
        <v>1017.3851455241007</v>
      </c>
      <c r="L17" s="35">
        <v>999.58599632493986</v>
      </c>
      <c r="M17" s="36">
        <v>1016.5630542398526</v>
      </c>
      <c r="N17" s="35">
        <v>999.85993031501687</v>
      </c>
      <c r="O17" s="36">
        <v>1014.5334468138242</v>
      </c>
      <c r="P17" s="35">
        <v>1000.1321631104702</v>
      </c>
      <c r="Q17" s="36">
        <v>1012.2891369123427</v>
      </c>
      <c r="R17" s="35">
        <v>1000.2750732853602</v>
      </c>
      <c r="S17" s="36">
        <v>1011.5313875166134</v>
      </c>
      <c r="T17" s="35">
        <v>1000.0507738144028</v>
      </c>
      <c r="U17" s="36">
        <v>1015.4414726300776</v>
      </c>
      <c r="V17" s="35">
        <v>998.99164007946752</v>
      </c>
      <c r="W17" s="36">
        <v>1030.6014980270727</v>
      </c>
      <c r="X17" s="35">
        <v>996.21684634966311</v>
      </c>
      <c r="Y17" s="36">
        <v>1071.389880118644</v>
      </c>
      <c r="Z17" s="35">
        <v>990.63334087167004</v>
      </c>
      <c r="AA17" s="36">
        <v>1164.8117031641762</v>
      </c>
      <c r="AB17" s="35"/>
      <c r="AC17" s="36"/>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21498.981358265999</v>
      </c>
      <c r="C18" s="34">
        <v>834.03652123400332</v>
      </c>
      <c r="D18" s="33">
        <v>20702.763265232807</v>
      </c>
      <c r="E18" s="34">
        <v>783.64947671445975</v>
      </c>
      <c r="F18" s="33">
        <v>19823.126789319314</v>
      </c>
      <c r="G18" s="34">
        <v>736.64682799921991</v>
      </c>
      <c r="H18" s="33">
        <v>18867.652317331402</v>
      </c>
      <c r="I18" s="34">
        <v>692.58687734334501</v>
      </c>
      <c r="J18" s="33">
        <v>17847.505707317883</v>
      </c>
      <c r="K18" s="34">
        <v>650.899309686675</v>
      </c>
      <c r="L18" s="33">
        <v>16777.063671925822</v>
      </c>
      <c r="M18" s="34">
        <v>610.89910618724946</v>
      </c>
      <c r="N18" s="33">
        <v>15673.682734317215</v>
      </c>
      <c r="O18" s="34">
        <v>571.78765730470741</v>
      </c>
      <c r="P18" s="33">
        <v>14558.233747935314</v>
      </c>
      <c r="Q18" s="34">
        <v>532.61393835248396</v>
      </c>
      <c r="R18" s="33">
        <v>13457.294981611281</v>
      </c>
      <c r="S18" s="34">
        <v>492.15604756002995</v>
      </c>
      <c r="T18" s="33">
        <v>12408.654982806926</v>
      </c>
      <c r="U18" s="34">
        <v>448.64609756244687</v>
      </c>
      <c r="V18" s="33">
        <v>11473.562375362193</v>
      </c>
      <c r="W18" s="34">
        <v>399.18639313626971</v>
      </c>
      <c r="X18" s="33">
        <v>10754.994594594767</v>
      </c>
      <c r="Y18" s="34">
        <v>338.96233506510504</v>
      </c>
      <c r="Z18" s="33">
        <v>10364.770041892585</v>
      </c>
      <c r="AA18" s="34">
        <v>263.21250524280089</v>
      </c>
      <c r="AB18" s="33"/>
      <c r="AC18" s="34"/>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1782.2320505062355</v>
      </c>
      <c r="C19" s="42">
        <v>450.22976484179424</v>
      </c>
      <c r="D19" s="41">
        <v>1714.4481179101579</v>
      </c>
      <c r="E19" s="42">
        <v>435.05896741931451</v>
      </c>
      <c r="F19" s="41">
        <v>1640.6413680988185</v>
      </c>
      <c r="G19" s="42">
        <v>417.07192676631212</v>
      </c>
      <c r="H19" s="41">
        <v>1561.3100534862242</v>
      </c>
      <c r="I19" s="42">
        <v>396.59046932982955</v>
      </c>
      <c r="J19" s="41">
        <v>1477.2092707460611</v>
      </c>
      <c r="K19" s="42">
        <v>374.07634964577431</v>
      </c>
      <c r="L19" s="41">
        <v>1389.3257474787131</v>
      </c>
      <c r="M19" s="42">
        <v>350.11072704764666</v>
      </c>
      <c r="N19" s="41">
        <v>1298.8602615507625</v>
      </c>
      <c r="O19" s="42">
        <v>325.38299871298426</v>
      </c>
      <c r="P19" s="41">
        <v>1207.261220448466</v>
      </c>
      <c r="Q19" s="42">
        <v>300.71274601195819</v>
      </c>
      <c r="R19" s="41">
        <v>1116.3705497262433</v>
      </c>
      <c r="S19" s="42">
        <v>277.14304717683399</v>
      </c>
      <c r="T19" s="41">
        <v>1028.7912118474185</v>
      </c>
      <c r="U19" s="42">
        <v>256.18638795454353</v>
      </c>
      <c r="V19" s="41">
        <v>948.69766529372646</v>
      </c>
      <c r="W19" s="42">
        <v>240.41900799493277</v>
      </c>
      <c r="X19" s="41">
        <v>882.98583373795714</v>
      </c>
      <c r="Y19" s="42">
        <v>234.61500184282147</v>
      </c>
      <c r="Z19" s="41">
        <v>838.7562018839327</v>
      </c>
      <c r="AA19" s="42">
        <v>245.45460846196463</v>
      </c>
      <c r="AB19" s="41"/>
      <c r="AC19" s="42"/>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130</v>
      </c>
      <c r="B20" s="85">
        <v>20973.127797372959</v>
      </c>
      <c r="C20" s="86">
        <v>1222.2257935314667</v>
      </c>
      <c r="D20" s="85">
        <v>20192.74692313973</v>
      </c>
      <c r="E20" s="86">
        <v>1161.1145038548932</v>
      </c>
      <c r="F20" s="85">
        <v>19332.811432177517</v>
      </c>
      <c r="G20" s="86">
        <v>1100.0032141783201</v>
      </c>
      <c r="H20" s="85">
        <v>18400.453136371223</v>
      </c>
      <c r="I20" s="86">
        <v>1038.8919245017466</v>
      </c>
      <c r="J20" s="85">
        <v>17406.216517739897</v>
      </c>
      <c r="K20" s="86">
        <v>977.78063482517348</v>
      </c>
      <c r="L20" s="85">
        <v>16363.705967956232</v>
      </c>
      <c r="M20" s="86">
        <v>916.66934514859997</v>
      </c>
      <c r="N20" s="85">
        <v>15289.365057979086</v>
      </c>
      <c r="O20" s="86">
        <v>855.55805547202669</v>
      </c>
      <c r="P20" s="85">
        <v>14202.977500751716</v>
      </c>
      <c r="Q20" s="86">
        <v>794.4467657954533</v>
      </c>
      <c r="R20" s="85">
        <v>13129.733970202307</v>
      </c>
      <c r="S20" s="86">
        <v>733.33547611888014</v>
      </c>
      <c r="T20" s="85">
        <v>12105.417864998395</v>
      </c>
      <c r="U20" s="86">
        <v>672.22418644230675</v>
      </c>
      <c r="V20" s="85">
        <v>11187.92457998096</v>
      </c>
      <c r="W20" s="86">
        <v>611.11289676573335</v>
      </c>
      <c r="X20" s="85">
        <v>10474.280607690172</v>
      </c>
      <c r="Y20" s="86">
        <v>550.00160708915996</v>
      </c>
      <c r="Z20" s="85">
        <v>10068.809148005834</v>
      </c>
      <c r="AA20" s="86">
        <v>488.89031741258668</v>
      </c>
      <c r="AB20" s="85"/>
      <c r="AC20" s="86"/>
      <c r="AD20" s="85"/>
      <c r="AE20" s="86"/>
      <c r="AF20" s="85"/>
      <c r="AG20" s="86"/>
      <c r="AH20" s="85"/>
      <c r="AI20" s="86"/>
      <c r="AJ20" s="85"/>
      <c r="AK20" s="86"/>
      <c r="AL20" s="85"/>
      <c r="AM20" s="86"/>
      <c r="AN20" s="85"/>
      <c r="AO20" s="86"/>
      <c r="AP20" s="85"/>
      <c r="AQ20" s="86"/>
      <c r="AR20" s="85"/>
      <c r="AS20" s="86"/>
      <c r="AT20" s="85"/>
      <c r="AU20" s="86"/>
      <c r="AV20" s="85"/>
      <c r="AW20" s="86"/>
    </row>
    <row r="21" spans="1:49" x14ac:dyDescent="0.2">
      <c r="A21" t="s">
        <v>78</v>
      </c>
      <c r="B21" s="85">
        <v>19190.895746866718</v>
      </c>
      <c r="C21" s="86">
        <v>771.99602868967372</v>
      </c>
      <c r="D21" s="85">
        <v>18478.299149240596</v>
      </c>
      <c r="E21" s="86">
        <v>726.08033338812766</v>
      </c>
      <c r="F21" s="85">
        <v>17692.170870741302</v>
      </c>
      <c r="G21" s="86">
        <v>682.99941169321414</v>
      </c>
      <c r="H21" s="85">
        <v>16839.144011130102</v>
      </c>
      <c r="I21" s="86">
        <v>642.40016464710686</v>
      </c>
      <c r="J21" s="85">
        <v>15929.007926669443</v>
      </c>
      <c r="K21" s="86">
        <v>603.80905086018834</v>
      </c>
      <c r="L21" s="85">
        <v>14974.38050912056</v>
      </c>
      <c r="M21" s="86">
        <v>566.64824681550226</v>
      </c>
      <c r="N21" s="85">
        <v>13990.504827291346</v>
      </c>
      <c r="O21" s="86">
        <v>530.24000389952346</v>
      </c>
      <c r="P21" s="85">
        <v>12995.716305821494</v>
      </c>
      <c r="Q21" s="86">
        <v>493.77760668296952</v>
      </c>
      <c r="R21" s="85">
        <v>12013.363522651433</v>
      </c>
      <c r="S21" s="86">
        <v>456.22808566258266</v>
      </c>
      <c r="T21" s="85">
        <v>11076.626656361252</v>
      </c>
      <c r="U21" s="86">
        <v>416.09572416931064</v>
      </c>
      <c r="V21" s="85">
        <v>10239.228086050365</v>
      </c>
      <c r="W21" s="86">
        <v>370.8954873468544</v>
      </c>
      <c r="X21" s="85">
        <v>9591.3102502638922</v>
      </c>
      <c r="Y21" s="86">
        <v>316.34124953517312</v>
      </c>
      <c r="Z21" s="85">
        <v>9230.1446252956212</v>
      </c>
      <c r="AA21" s="86">
        <v>247.67972128577003</v>
      </c>
      <c r="AB21" s="85"/>
      <c r="AC21" s="86"/>
      <c r="AD21" s="85"/>
      <c r="AE21" s="86"/>
      <c r="AF21" s="85"/>
      <c r="AG21" s="86"/>
      <c r="AH21" s="85"/>
      <c r="AI21" s="86"/>
      <c r="AJ21" s="85"/>
      <c r="AK21" s="86"/>
      <c r="AL21" s="85"/>
      <c r="AM21" s="86"/>
      <c r="AN21" s="85"/>
      <c r="AO21" s="86"/>
      <c r="AP21" s="85"/>
      <c r="AQ21" s="86"/>
      <c r="AR21" s="85"/>
      <c r="AS21" s="86"/>
      <c r="AT21" s="85"/>
      <c r="AU21" s="86"/>
      <c r="AV21" s="85"/>
      <c r="AW21" s="86"/>
    </row>
    <row r="22" spans="1:49" x14ac:dyDescent="0.2">
      <c r="A22" t="s">
        <v>28</v>
      </c>
      <c r="B22" s="41">
        <v>5896.9295697243897</v>
      </c>
      <c r="C22" s="42">
        <v>340.53228761636649</v>
      </c>
      <c r="D22" s="41">
        <v>5677.3568929899802</v>
      </c>
      <c r="E22" s="42">
        <v>325.2730211142391</v>
      </c>
      <c r="F22" s="41">
        <v>5435.5689780138064</v>
      </c>
      <c r="G22" s="42">
        <v>309.36386445867129</v>
      </c>
      <c r="H22" s="41">
        <v>5173.5496574229319</v>
      </c>
      <c r="I22" s="42">
        <v>292.89004443074941</v>
      </c>
      <c r="J22" s="41">
        <v>4894.2309014738576</v>
      </c>
      <c r="K22" s="42">
        <v>275.95878307824688</v>
      </c>
      <c r="L22" s="41">
        <v>4601.3943859771898</v>
      </c>
      <c r="M22" s="42">
        <v>258.69679455363655</v>
      </c>
      <c r="N22" s="41">
        <v>4299.610858638187</v>
      </c>
      <c r="O22" s="42">
        <v>241.25004668650763</v>
      </c>
      <c r="P22" s="41">
        <v>3994.3796610425388</v>
      </c>
      <c r="Q22" s="42">
        <v>223.79070704394076</v>
      </c>
      <c r="R22" s="41">
        <v>3692.7018691072681</v>
      </c>
      <c r="S22" s="42">
        <v>206.53826601519373</v>
      </c>
      <c r="T22" s="41">
        <v>3404.5158402165575</v>
      </c>
      <c r="U22" s="42">
        <v>189.80784421999411</v>
      </c>
      <c r="V22" s="41">
        <v>3145.8750423571678</v>
      </c>
      <c r="W22" s="42">
        <v>174.11088360475637</v>
      </c>
      <c r="X22" s="41">
        <v>2943.5877731647861</v>
      </c>
      <c r="Y22" s="42">
        <v>160.2835129473855</v>
      </c>
      <c r="Z22" s="41">
        <v>2826.1306800154348</v>
      </c>
      <c r="AA22" s="42">
        <v>149.11574782065142</v>
      </c>
      <c r="AB22" s="41"/>
      <c r="AC22" s="42"/>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9">
        <v>2396.8717103698964</v>
      </c>
      <c r="C23" s="8">
        <v>0</v>
      </c>
      <c r="D23" s="119">
        <v>2308.3515505819892</v>
      </c>
      <c r="E23" s="8">
        <v>0</v>
      </c>
      <c r="F23" s="119">
        <v>2210.6302218095802</v>
      </c>
      <c r="G23" s="8">
        <v>0</v>
      </c>
      <c r="H23" s="119">
        <v>2104.517843483738</v>
      </c>
      <c r="I23" s="8">
        <v>0</v>
      </c>
      <c r="J23" s="119">
        <v>1991.2203469481944</v>
      </c>
      <c r="K23" s="8">
        <v>0</v>
      </c>
      <c r="L23" s="119">
        <v>1872.2990185849555</v>
      </c>
      <c r="M23" s="8">
        <v>0</v>
      </c>
      <c r="N23" s="119">
        <v>1749.6447322899216</v>
      </c>
      <c r="O23" s="8">
        <v>0</v>
      </c>
      <c r="P23" s="119">
        <v>1625.5346890329806</v>
      </c>
      <c r="Q23" s="8">
        <v>0</v>
      </c>
      <c r="R23" s="119">
        <v>1502.8686988641343</v>
      </c>
      <c r="S23" s="8">
        <v>0</v>
      </c>
      <c r="T23" s="119">
        <v>1385.7630080029983</v>
      </c>
      <c r="U23" s="8">
        <v>0</v>
      </c>
      <c r="V23" s="119">
        <v>1280.8685028607679</v>
      </c>
      <c r="W23" s="8">
        <v>0</v>
      </c>
      <c r="X23" s="119">
        <v>1199.3078669269592</v>
      </c>
      <c r="Y23" s="8">
        <v>0</v>
      </c>
      <c r="Z23" s="119">
        <v>1152.9660993482039</v>
      </c>
      <c r="AA23" s="8">
        <v>0</v>
      </c>
      <c r="AB23" s="119"/>
      <c r="AC23" s="8"/>
      <c r="AD23" s="119"/>
      <c r="AE23" s="8"/>
      <c r="AF23" s="119"/>
      <c r="AG23" s="8"/>
      <c r="AH23" s="119"/>
      <c r="AI23" s="8"/>
      <c r="AJ23" s="119"/>
      <c r="AK23" s="8"/>
      <c r="AL23" s="119"/>
      <c r="AM23" s="8"/>
      <c r="AN23" s="119"/>
      <c r="AO23" s="8"/>
      <c r="AP23" s="119"/>
      <c r="AQ23" s="8"/>
      <c r="AR23" s="119"/>
      <c r="AS23" s="8"/>
      <c r="AT23" s="119"/>
      <c r="AU23" s="8"/>
      <c r="AV23" s="119"/>
      <c r="AW23" s="8"/>
    </row>
    <row r="24" spans="1:49" x14ac:dyDescent="0.2">
      <c r="A24" t="s">
        <v>8</v>
      </c>
      <c r="B24" s="100">
        <v>2261.1304131516072</v>
      </c>
      <c r="C24" s="8">
        <v>0</v>
      </c>
      <c r="D24" s="100">
        <v>2177.6233993697988</v>
      </c>
      <c r="E24" s="8">
        <v>0</v>
      </c>
      <c r="F24" s="100">
        <v>2085.4362748935682</v>
      </c>
      <c r="G24" s="8">
        <v>0</v>
      </c>
      <c r="H24" s="100">
        <v>1985.3333350897974</v>
      </c>
      <c r="I24" s="8">
        <v>0</v>
      </c>
      <c r="J24" s="100">
        <v>1878.4521822122611</v>
      </c>
      <c r="K24" s="8">
        <v>0</v>
      </c>
      <c r="L24" s="100">
        <v>1766.2656836908116</v>
      </c>
      <c r="M24" s="8">
        <v>0</v>
      </c>
      <c r="N24" s="100">
        <v>1650.5576409039661</v>
      </c>
      <c r="O24" s="8">
        <v>0</v>
      </c>
      <c r="P24" s="100">
        <v>1533.4762840615447</v>
      </c>
      <c r="Q24" s="8">
        <v>0</v>
      </c>
      <c r="R24" s="100">
        <v>1417.7572005706093</v>
      </c>
      <c r="S24" s="8">
        <v>0</v>
      </c>
      <c r="T24" s="100">
        <v>1307.2835172991799</v>
      </c>
      <c r="U24" s="8">
        <v>0</v>
      </c>
      <c r="V24" s="100">
        <v>1208.329469826278</v>
      </c>
      <c r="W24" s="8">
        <v>0</v>
      </c>
      <c r="X24" s="100">
        <v>1131.3878338226182</v>
      </c>
      <c r="Y24" s="8">
        <v>0</v>
      </c>
      <c r="Z24" s="100">
        <v>1087.6705257230365</v>
      </c>
      <c r="AA24" s="8">
        <v>0</v>
      </c>
      <c r="AB24" s="100"/>
      <c r="AC24" s="8"/>
      <c r="AD24" s="100"/>
      <c r="AE24" s="8"/>
      <c r="AF24" s="100"/>
      <c r="AG24" s="8"/>
      <c r="AH24" s="100"/>
      <c r="AI24" s="8"/>
      <c r="AJ24" s="100"/>
      <c r="AK24" s="8"/>
      <c r="AL24" s="100"/>
      <c r="AM24" s="8"/>
      <c r="AN24" s="100"/>
      <c r="AO24" s="8"/>
      <c r="AP24" s="100"/>
      <c r="AQ24" s="8"/>
      <c r="AR24" s="100"/>
      <c r="AS24" s="8"/>
      <c r="AT24" s="100"/>
      <c r="AU24" s="8"/>
      <c r="AV24" s="100"/>
      <c r="AW24" s="8"/>
    </row>
    <row r="25" spans="1:49" x14ac:dyDescent="0.2">
      <c r="A25" t="s">
        <v>0</v>
      </c>
      <c r="B25" s="41">
        <v>2308.08561139929</v>
      </c>
      <c r="C25" s="42">
        <v>62.040492544331705</v>
      </c>
      <c r="D25" s="41">
        <v>2224.463642737931</v>
      </c>
      <c r="E25" s="42">
        <v>57.566866215657768</v>
      </c>
      <c r="F25" s="41">
        <v>2130.95492068052</v>
      </c>
      <c r="G25" s="42">
        <v>53.640745211833838</v>
      </c>
      <c r="H25" s="41">
        <v>2028.5071227192384</v>
      </c>
      <c r="I25" s="42">
        <v>50.177272852677795</v>
      </c>
      <c r="J25" s="41">
        <v>1918.4969068124033</v>
      </c>
      <c r="K25" s="42">
        <v>47.080278229135835</v>
      </c>
      <c r="L25" s="41">
        <v>1802.6828025261395</v>
      </c>
      <c r="M25" s="42">
        <v>44.242265913598921</v>
      </c>
      <c r="N25" s="41">
        <v>1683.1778688812303</v>
      </c>
      <c r="O25" s="42">
        <v>41.541392177509813</v>
      </c>
      <c r="P25" s="41">
        <v>1562.5174086998343</v>
      </c>
      <c r="Q25" s="42">
        <v>38.832102527107331</v>
      </c>
      <c r="R25" s="41">
        <v>1443.9313236324861</v>
      </c>
      <c r="S25" s="42">
        <v>35.924502495910879</v>
      </c>
      <c r="T25" s="41">
        <v>1332.0283264410925</v>
      </c>
      <c r="U25" s="42">
        <v>32.544799609171534</v>
      </c>
      <c r="V25" s="41">
        <v>1234.3328104642189</v>
      </c>
      <c r="W25" s="42">
        <v>28.272401034887917</v>
      </c>
      <c r="X25" s="41">
        <v>1163.6645750081668</v>
      </c>
      <c r="Y25" s="42">
        <v>22.543721471726929</v>
      </c>
      <c r="Z25" s="41">
        <v>1134.5063689521648</v>
      </c>
      <c r="AA25" s="42">
        <v>15.269324714847363</v>
      </c>
      <c r="AB25" s="41"/>
      <c r="AC25" s="42"/>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3209.4420883953348</v>
      </c>
      <c r="C26" s="34">
        <v>31.623872672841795</v>
      </c>
      <c r="D26" s="33">
        <v>2986.8063078834234</v>
      </c>
      <c r="E26" s="34">
        <v>28.773943498079763</v>
      </c>
      <c r="F26" s="33">
        <v>2767.7006991686403</v>
      </c>
      <c r="G26" s="34">
        <v>26.241955850965716</v>
      </c>
      <c r="H26" s="33">
        <v>2554.2343108365085</v>
      </c>
      <c r="I26" s="34">
        <v>23.993158205970921</v>
      </c>
      <c r="J26" s="33">
        <v>2348.1706619052748</v>
      </c>
      <c r="K26" s="34">
        <v>21.987214015296733</v>
      </c>
      <c r="L26" s="33">
        <v>2150.9222728880009</v>
      </c>
      <c r="M26" s="34">
        <v>20.179624269057335</v>
      </c>
      <c r="N26" s="33">
        <v>1963.6682152106528</v>
      </c>
      <c r="O26" s="34">
        <v>18.522760438856654</v>
      </c>
      <c r="P26" s="33">
        <v>1787.6084242344632</v>
      </c>
      <c r="Q26" s="34">
        <v>16.965071585161141</v>
      </c>
      <c r="R26" s="33">
        <v>1624.4040915017279</v>
      </c>
      <c r="S26" s="34">
        <v>15.446999232372184</v>
      </c>
      <c r="T26" s="33">
        <v>1476.9976778392283</v>
      </c>
      <c r="U26" s="34">
        <v>13.891295942950523</v>
      </c>
      <c r="V26" s="33">
        <v>1351.2211286988197</v>
      </c>
      <c r="W26" s="34">
        <v>12.183220865476573</v>
      </c>
      <c r="X26" s="33">
        <v>1258.0957289984456</v>
      </c>
      <c r="Y26" s="34">
        <v>10.148295999699952</v>
      </c>
      <c r="Z26" s="33">
        <v>1209.7207563664847</v>
      </c>
      <c r="AA26" s="34">
        <v>7.6413474965391481</v>
      </c>
      <c r="AB26" s="33"/>
      <c r="AC26" s="34"/>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4880.3032028967582</v>
      </c>
      <c r="C27" s="36">
        <v>155.9342317514201</v>
      </c>
      <c r="D27" s="35">
        <v>4887.5283751810766</v>
      </c>
      <c r="E27" s="36">
        <v>148.71294645401736</v>
      </c>
      <c r="F27" s="35">
        <v>4893.8240994912421</v>
      </c>
      <c r="G27" s="36">
        <v>142.40970012368572</v>
      </c>
      <c r="H27" s="35">
        <v>4899.2589617758749</v>
      </c>
      <c r="I27" s="36">
        <v>136.9801939694909</v>
      </c>
      <c r="J27" s="35">
        <v>4903.8813842695199</v>
      </c>
      <c r="K27" s="36">
        <v>132.35976108129458</v>
      </c>
      <c r="L27" s="35">
        <v>4907.765025497908</v>
      </c>
      <c r="M27" s="36">
        <v>128.47039673045754</v>
      </c>
      <c r="N27" s="35">
        <v>4911.0079295109736</v>
      </c>
      <c r="O27" s="36">
        <v>125.22839450509761</v>
      </c>
      <c r="P27" s="35">
        <v>4913.6854014950541</v>
      </c>
      <c r="Q27" s="36">
        <v>122.55014205684381</v>
      </c>
      <c r="R27" s="35">
        <v>4915.8787829359298</v>
      </c>
      <c r="S27" s="36">
        <v>120.35540141652635</v>
      </c>
      <c r="T27" s="35">
        <v>4917.6765679755308</v>
      </c>
      <c r="U27" s="36">
        <v>118.56215921557374</v>
      </c>
      <c r="V27" s="35">
        <v>4919.1920264466571</v>
      </c>
      <c r="W27" s="36">
        <v>117.0467406279315</v>
      </c>
      <c r="X27" s="35">
        <v>4920.7890400983542</v>
      </c>
      <c r="Y27" s="36">
        <v>115.44858125904432</v>
      </c>
      <c r="Z27" s="35">
        <v>4923.7861805952416</v>
      </c>
      <c r="AA27" s="36">
        <v>112.45130643515733</v>
      </c>
      <c r="AB27" s="35"/>
      <c r="AC27" s="36"/>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9924.5937686277575</v>
      </c>
      <c r="C28" s="42">
        <v>205.34242141823867</v>
      </c>
      <c r="D28" s="41">
        <v>9560.4696412664034</v>
      </c>
      <c r="E28" s="42">
        <v>193.3981042204386</v>
      </c>
      <c r="F28" s="41">
        <v>9157.054128683114</v>
      </c>
      <c r="G28" s="42">
        <v>182.31113120231086</v>
      </c>
      <c r="H28" s="41">
        <v>8717.8543552719329</v>
      </c>
      <c r="I28" s="42">
        <v>171.9557677859614</v>
      </c>
      <c r="J28" s="41">
        <v>8248.083421627347</v>
      </c>
      <c r="K28" s="42">
        <v>162.17131883047813</v>
      </c>
      <c r="L28" s="41">
        <v>7754.4842818896113</v>
      </c>
      <c r="M28" s="42">
        <v>152.76423980437295</v>
      </c>
      <c r="N28" s="41">
        <v>7245.2181114481482</v>
      </c>
      <c r="O28" s="42">
        <v>143.50581311309134</v>
      </c>
      <c r="P28" s="41">
        <v>6730.110821899143</v>
      </c>
      <c r="Q28" s="42">
        <v>134.11765529485646</v>
      </c>
      <c r="R28" s="41">
        <v>6221.6796831815536</v>
      </c>
      <c r="S28" s="42">
        <v>124.23333276834305</v>
      </c>
      <c r="T28" s="41">
        <v>5737.7202653925115</v>
      </c>
      <c r="U28" s="42">
        <v>113.31378547786613</v>
      </c>
      <c r="V28" s="41">
        <v>5307.0828232399454</v>
      </c>
      <c r="W28" s="42">
        <v>100.4782290788374</v>
      </c>
      <c r="X28" s="41">
        <v>4978.3459426489098</v>
      </c>
      <c r="Y28" s="42">
        <v>84.322782535919188</v>
      </c>
      <c r="Z28" s="41">
        <v>4804.5849726088309</v>
      </c>
      <c r="AA28" s="42">
        <v>63.726654688332729</v>
      </c>
      <c r="AB28" s="41"/>
      <c r="AC28" s="42"/>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10476.875482049762</v>
      </c>
      <c r="C29" s="36">
        <v>680.10699657273517</v>
      </c>
      <c r="D29" s="35">
        <v>10088.785608066346</v>
      </c>
      <c r="E29" s="36">
        <v>638.68854024289146</v>
      </c>
      <c r="F29" s="35">
        <v>9660.0827605824998</v>
      </c>
      <c r="G29" s="36">
        <v>600.16617307221395</v>
      </c>
      <c r="H29" s="35">
        <v>9194.4558296417545</v>
      </c>
      <c r="I29" s="36">
        <v>564.15651175513653</v>
      </c>
      <c r="J29" s="35">
        <v>8697.3388159022888</v>
      </c>
      <c r="K29" s="36">
        <v>530.16977634020486</v>
      </c>
      <c r="L29" s="35">
        <v>8175.7286958570958</v>
      </c>
      <c r="M29" s="36">
        <v>497.62083257322951</v>
      </c>
      <c r="N29" s="35">
        <v>7638.0730960184928</v>
      </c>
      <c r="O29" s="36">
        <v>465.82887337570565</v>
      </c>
      <c r="P29" s="35">
        <v>7094.5305064149661</v>
      </c>
      <c r="Q29" s="36">
        <v>433.9829461865188</v>
      </c>
      <c r="R29" s="35">
        <v>6558.0375893660985</v>
      </c>
      <c r="S29" s="36">
        <v>401.03992840845814</v>
      </c>
      <c r="T29" s="35">
        <v>6046.9868085176313</v>
      </c>
      <c r="U29" s="36">
        <v>365.49087264578475</v>
      </c>
      <c r="V29" s="35">
        <v>5591.1854310870431</v>
      </c>
      <c r="W29" s="36">
        <v>324.87343133886253</v>
      </c>
      <c r="X29" s="35">
        <v>5240.7340751281681</v>
      </c>
      <c r="Y29" s="36">
        <v>275.15016575103363</v>
      </c>
      <c r="Z29" s="35">
        <v>5049.9825684652087</v>
      </c>
      <c r="AA29" s="36">
        <v>212.52260930460093</v>
      </c>
      <c r="AB29" s="35"/>
      <c r="AC29" s="36"/>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22">
        <v>3437517.2752293102</v>
      </c>
      <c r="D30" s="122">
        <v>3259492.8999625128</v>
      </c>
      <c r="F30" s="122">
        <v>3076493.8140804181</v>
      </c>
      <c r="H30" s="122">
        <v>2890059.2034322508</v>
      </c>
      <c r="J30" s="122">
        <v>2701860.2730506235</v>
      </c>
      <c r="L30" s="122">
        <v>2513667.5140454331</v>
      </c>
      <c r="N30" s="122">
        <v>2327385.706883959</v>
      </c>
      <c r="P30" s="122">
        <v>2145211.5386728682</v>
      </c>
      <c r="R30" s="122">
        <v>1970005.9049015981</v>
      </c>
      <c r="T30" s="122">
        <v>1806098.0938728303</v>
      </c>
      <c r="V30" s="122">
        <v>1660968.4145622596</v>
      </c>
      <c r="X30" s="122">
        <v>1547660.0161666276</v>
      </c>
      <c r="Z30" s="122">
        <v>1480049.2067779643</v>
      </c>
      <c r="AB30" s="122"/>
      <c r="AD30" s="122"/>
      <c r="AF30" s="122"/>
      <c r="AH30" s="122"/>
      <c r="AJ30" s="122"/>
      <c r="AL30" s="122"/>
      <c r="AN30" s="122"/>
      <c r="AP30" s="122"/>
      <c r="AR30" s="122"/>
      <c r="AT30" s="122"/>
      <c r="AV30" s="122"/>
    </row>
    <row r="31" spans="1:49" x14ac:dyDescent="0.2">
      <c r="A31" t="s">
        <v>47</v>
      </c>
      <c r="B31" s="83">
        <v>0.99999999999999867</v>
      </c>
      <c r="D31" s="83">
        <v>0.96230979264375294</v>
      </c>
      <c r="F31" s="83">
        <v>0.92095985969695981</v>
      </c>
      <c r="H31" s="83">
        <v>0.87628417787460644</v>
      </c>
      <c r="J31" s="83">
        <v>0.82877089187515629</v>
      </c>
      <c r="L31" s="83">
        <v>0.77904610911775662</v>
      </c>
      <c r="N31" s="83">
        <v>0.72786426751985944</v>
      </c>
      <c r="P31" s="83">
        <v>0.676131740224718</v>
      </c>
      <c r="R31" s="83">
        <v>0.62500197516140277</v>
      </c>
      <c r="T31" s="83">
        <v>0.57611248052086217</v>
      </c>
      <c r="V31" s="83">
        <v>0.53210725503589174</v>
      </c>
      <c r="X31" s="83">
        <v>0.49739198398607887</v>
      </c>
      <c r="Z31" s="83">
        <v>0.47660448342443268</v>
      </c>
      <c r="AB31" s="83"/>
      <c r="AD31" s="83"/>
      <c r="AF31" s="83"/>
      <c r="AH31" s="83"/>
      <c r="AJ31" s="83"/>
      <c r="AL31" s="83"/>
      <c r="AN31" s="83"/>
      <c r="AP31" s="83"/>
      <c r="AR31" s="83"/>
      <c r="AT31" s="83"/>
      <c r="AV31" s="83"/>
    </row>
    <row r="32" spans="1:49" x14ac:dyDescent="0.2">
      <c r="A32" t="s">
        <v>66</v>
      </c>
      <c r="B32" s="89">
        <v>11714820.670945669</v>
      </c>
      <c r="D32" s="89">
        <v>11277342.099983171</v>
      </c>
      <c r="F32" s="89">
        <v>10797314.627198847</v>
      </c>
      <c r="H32" s="89">
        <v>10278346.714711186</v>
      </c>
      <c r="J32" s="89">
        <v>9725870.330616938</v>
      </c>
      <c r="L32" s="89">
        <v>9146959.376657078</v>
      </c>
      <c r="N32" s="89">
        <v>8550208.3069188669</v>
      </c>
      <c r="P32" s="89">
        <v>7945980.5863267919</v>
      </c>
      <c r="R32" s="89">
        <v>7347466.144200772</v>
      </c>
      <c r="T32" s="89">
        <v>6773342.3384481026</v>
      </c>
      <c r="V32" s="89">
        <v>6253656.5950283883</v>
      </c>
      <c r="X32" s="89">
        <v>5838291.5704588834</v>
      </c>
      <c r="Z32" s="89">
        <v>5579376.742829971</v>
      </c>
      <c r="AB32" s="89"/>
      <c r="AD32" s="89"/>
      <c r="AF32" s="89"/>
      <c r="AH32" s="89"/>
      <c r="AJ32" s="89"/>
      <c r="AL32" s="89"/>
      <c r="AN32" s="89"/>
      <c r="AP32" s="89"/>
      <c r="AR32" s="89"/>
      <c r="AT32" s="89"/>
      <c r="AV32" s="89"/>
    </row>
    <row r="33" spans="1:49 16319:16321" x14ac:dyDescent="0.2">
      <c r="A33" t="s">
        <v>56</v>
      </c>
      <c r="B33" s="120">
        <v>6643090.9398583025</v>
      </c>
      <c r="D33" s="120">
        <v>6395011.0916863885</v>
      </c>
      <c r="F33" s="120">
        <v>6122803.3688849751</v>
      </c>
      <c r="H33" s="120">
        <v>5828513.6158067426</v>
      </c>
      <c r="J33" s="120">
        <v>5515222.3563188966</v>
      </c>
      <c r="L33" s="120">
        <v>5186940.9476426812</v>
      </c>
      <c r="N33" s="120">
        <v>4848542.9652631003</v>
      </c>
      <c r="P33" s="120">
        <v>4505905.2223299546</v>
      </c>
      <c r="R33" s="120">
        <v>4166507.2893980546</v>
      </c>
      <c r="T33" s="120">
        <v>3840940.5007165791</v>
      </c>
      <c r="V33" s="120">
        <v>3546243.7535286308</v>
      </c>
      <c r="X33" s="120">
        <v>3310703.8580807117</v>
      </c>
      <c r="Z33" s="120">
        <v>3163881.7364206742</v>
      </c>
      <c r="AB33" s="120"/>
      <c r="AD33" s="120"/>
      <c r="AF33" s="120"/>
      <c r="AH33" s="120"/>
      <c r="AJ33" s="120"/>
      <c r="AL33" s="120"/>
      <c r="AN33" s="120"/>
      <c r="AP33" s="120"/>
      <c r="AR33" s="120"/>
      <c r="AT33" s="120"/>
      <c r="AV33" s="120"/>
    </row>
    <row r="34" spans="1:49 16319:16321" x14ac:dyDescent="0.2">
      <c r="A34" t="s">
        <v>77</v>
      </c>
      <c r="B34" s="120">
        <v>137664.28859559208</v>
      </c>
      <c r="D34" s="120">
        <v>132523.42362411652</v>
      </c>
      <c r="F34" s="120">
        <v>126882.37102722342</v>
      </c>
      <c r="H34" s="120">
        <v>120783.87275586248</v>
      </c>
      <c r="J34" s="120">
        <v>114291.5646497038</v>
      </c>
      <c r="L34" s="120">
        <v>107488.59391337889</v>
      </c>
      <c r="N34" s="120">
        <v>100476.00079499336</v>
      </c>
      <c r="P34" s="120">
        <v>93375.544766517414</v>
      </c>
      <c r="R34" s="120">
        <v>86342.229225319723</v>
      </c>
      <c r="T34" s="120">
        <v>79595.526248301961</v>
      </c>
      <c r="V34" s="120">
        <v>73488.538210447616</v>
      </c>
      <c r="X34" s="120">
        <v>68607.460899114987</v>
      </c>
      <c r="Z34" s="120">
        <v>65564.883321114961</v>
      </c>
      <c r="AB34" s="120"/>
      <c r="AD34" s="120"/>
      <c r="AF34" s="120"/>
      <c r="AH34" s="120"/>
      <c r="AJ34" s="120"/>
      <c r="AL34" s="120"/>
      <c r="AN34" s="120"/>
      <c r="AP34" s="120"/>
      <c r="AR34" s="120"/>
      <c r="AT34" s="120"/>
      <c r="AV34" s="120"/>
    </row>
    <row r="35" spans="1:49 16319:16321" x14ac:dyDescent="0.2">
      <c r="A35" t="s">
        <v>80</v>
      </c>
      <c r="B35" s="236">
        <v>1</v>
      </c>
      <c r="D35" s="236">
        <v>1.0003597354080407</v>
      </c>
      <c r="F35" s="236">
        <v>1.0007818891825866</v>
      </c>
      <c r="H35" s="236">
        <v>1.0012504168073286</v>
      </c>
      <c r="J35" s="236">
        <v>1.001747917901296</v>
      </c>
      <c r="L35" s="236">
        <v>1.0022546892727822</v>
      </c>
      <c r="N35" s="236">
        <v>1.0027457779262225</v>
      </c>
      <c r="P35" s="236">
        <v>1.0031843602458166</v>
      </c>
      <c r="R35" s="236">
        <v>1.0035079558069382</v>
      </c>
      <c r="T35" s="236">
        <v>1.0035995255546946</v>
      </c>
      <c r="V35" s="236">
        <v>1.0032284090054422</v>
      </c>
      <c r="X35" s="236">
        <v>1.0019660193336677</v>
      </c>
      <c r="Z35" s="236">
        <v>0.99930463951393467</v>
      </c>
      <c r="AB35" s="236"/>
      <c r="AD35" s="236"/>
      <c r="AF35" s="236"/>
      <c r="AH35" s="236"/>
      <c r="AJ35" s="236"/>
      <c r="AL35" s="236"/>
      <c r="AN35" s="236"/>
      <c r="AP35" s="236"/>
      <c r="AR35" s="236"/>
      <c r="AT35" s="236"/>
      <c r="AV35" s="236"/>
    </row>
    <row r="36" spans="1:49 16319:16321" x14ac:dyDescent="0.2">
      <c r="A36" t="s">
        <v>21</v>
      </c>
      <c r="B36" s="37">
        <v>0.47796858982439155</v>
      </c>
      <c r="C36" s="38">
        <v>0.17068593284758601</v>
      </c>
      <c r="D36" s="37">
        <v>0.47797210898089765</v>
      </c>
      <c r="E36" s="38">
        <v>0.17108610865493751</v>
      </c>
      <c r="F36" s="37">
        <v>0.47797410975352117</v>
      </c>
      <c r="G36" s="38">
        <v>0.17136385399148624</v>
      </c>
      <c r="H36" s="37">
        <v>0.47797466308764763</v>
      </c>
      <c r="I36" s="38">
        <v>0.1715200292213333</v>
      </c>
      <c r="J36" s="37">
        <v>0.47797392863327648</v>
      </c>
      <c r="K36" s="38">
        <v>0.17156361693395472</v>
      </c>
      <c r="L36" s="37">
        <v>0.47797217097409356</v>
      </c>
      <c r="M36" s="38">
        <v>0.17151333515999842</v>
      </c>
      <c r="N36" s="37">
        <v>0.47796979801305467</v>
      </c>
      <c r="O36" s="38">
        <v>0.17140079182481996</v>
      </c>
      <c r="P36" s="37">
        <v>0.47796745303951471</v>
      </c>
      <c r="Q36" s="38">
        <v>0.17127783020453222</v>
      </c>
      <c r="R36" s="37">
        <v>0.4779662273104664</v>
      </c>
      <c r="S36" s="38">
        <v>0.17123365469934165</v>
      </c>
      <c r="T36" s="37">
        <v>0.47796815273247595</v>
      </c>
      <c r="U36" s="38">
        <v>0.17143491969540847</v>
      </c>
      <c r="V36" s="37">
        <v>0.47797736573379324</v>
      </c>
      <c r="W36" s="38">
        <v>0.17222146187248583</v>
      </c>
      <c r="X36" s="37">
        <v>0.47800246078658826</v>
      </c>
      <c r="Y36" s="38">
        <v>0.17430628449239788</v>
      </c>
      <c r="Z36" s="37">
        <v>0.47805726047178293</v>
      </c>
      <c r="AA36" s="38">
        <v>0.17889832609457651</v>
      </c>
      <c r="AB36" s="37"/>
      <c r="AC36" s="38"/>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2.2053138497826009E-2</v>
      </c>
      <c r="C37" s="40">
        <v>0.48867583383045654</v>
      </c>
      <c r="D37" s="39">
        <v>2.1908517124789324E-2</v>
      </c>
      <c r="E37" s="40">
        <v>0.48781333649177894</v>
      </c>
      <c r="F37" s="39">
        <v>2.1787932110512807E-2</v>
      </c>
      <c r="G37" s="40">
        <v>0.48698287533991441</v>
      </c>
      <c r="H37" s="39">
        <v>2.1691640720036931E-2</v>
      </c>
      <c r="I37" s="40">
        <v>0.48619395317159286</v>
      </c>
      <c r="J37" s="39">
        <v>2.1618651767813267E-2</v>
      </c>
      <c r="K37" s="40">
        <v>0.48545581185515113</v>
      </c>
      <c r="L37" s="39">
        <v>2.1566489504764572E-2</v>
      </c>
      <c r="M37" s="40">
        <v>0.48477756022178475</v>
      </c>
      <c r="N37" s="39">
        <v>2.1530747763322755E-2</v>
      </c>
      <c r="O37" s="40">
        <v>0.48416906905934826</v>
      </c>
      <c r="P37" s="39">
        <v>2.1504050276866186E-2</v>
      </c>
      <c r="Q37" s="40">
        <v>0.48364312019758648</v>
      </c>
      <c r="R37" s="39">
        <v>2.1473662013268318E-2</v>
      </c>
      <c r="S37" s="40">
        <v>0.4832203265461118</v>
      </c>
      <c r="T37" s="39">
        <v>2.1416193119900999E-2</v>
      </c>
      <c r="U37" s="40">
        <v>0.48294232619023297</v>
      </c>
      <c r="V37" s="39">
        <v>2.128631480586337E-2</v>
      </c>
      <c r="W37" s="40">
        <v>0.4829126292847053</v>
      </c>
      <c r="X37" s="39">
        <v>2.0999849123659247E-2</v>
      </c>
      <c r="Y37" s="40">
        <v>0.48343079253184468</v>
      </c>
      <c r="Z37" s="39">
        <v>2.0456741944783443E-2</v>
      </c>
      <c r="AA37" s="40">
        <v>0.48533083157248141</v>
      </c>
      <c r="AB37" s="39"/>
      <c r="AC37" s="40"/>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0.14928344905798796</v>
      </c>
      <c r="C38" s="38">
        <v>3.7916652170162192E-2</v>
      </c>
      <c r="D38" s="37">
        <v>0.1442709009236133</v>
      </c>
      <c r="E38" s="38">
        <v>3.6717874959500796E-2</v>
      </c>
      <c r="F38" s="37">
        <v>0.13961978494027871</v>
      </c>
      <c r="G38" s="38">
        <v>3.5623523856392017E-2</v>
      </c>
      <c r="H38" s="37">
        <v>0.13537637157380975</v>
      </c>
      <c r="I38" s="38">
        <v>3.4642813762231425E-2</v>
      </c>
      <c r="J38" s="37">
        <v>0.13156856203959477</v>
      </c>
      <c r="K38" s="38">
        <v>3.3779747017831027E-2</v>
      </c>
      <c r="L38" s="37">
        <v>0.12820612205741833</v>
      </c>
      <c r="M38" s="38">
        <v>3.3032662946591358E-2</v>
      </c>
      <c r="N38" s="37">
        <v>0.12528441774001464</v>
      </c>
      <c r="O38" s="38">
        <v>3.2394474071317382E-2</v>
      </c>
      <c r="P38" s="37">
        <v>0.12279019935972565</v>
      </c>
      <c r="Q38" s="38">
        <v>3.1852473928186339E-2</v>
      </c>
      <c r="R38" s="37">
        <v>0.12070806902289015</v>
      </c>
      <c r="S38" s="38">
        <v>3.1386385088538533E-2</v>
      </c>
      <c r="T38" s="37">
        <v>0.11902963535417124</v>
      </c>
      <c r="U38" s="38">
        <v>3.0962703160517292E-2</v>
      </c>
      <c r="V38" s="37">
        <v>0.11776822964769605</v>
      </c>
      <c r="W38" s="38">
        <v>3.0520130633104027E-2</v>
      </c>
      <c r="X38" s="37">
        <v>0.1169778113724704</v>
      </c>
      <c r="Y38" s="38">
        <v>2.9939302836554844E-2</v>
      </c>
      <c r="Z38" s="37">
        <v>0.11671467398475849</v>
      </c>
      <c r="AA38" s="38">
        <v>2.9031095956061709E-2</v>
      </c>
      <c r="AB38" s="37"/>
      <c r="AC38" s="38"/>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0.22700160168381014</v>
      </c>
      <c r="C39" s="40">
        <v>0.18696331369363389</v>
      </c>
      <c r="D39" s="39">
        <v>0.23608096719093288</v>
      </c>
      <c r="E39" s="40">
        <v>0.18976972597176153</v>
      </c>
      <c r="F39" s="39">
        <v>0.24687447906190213</v>
      </c>
      <c r="G39" s="40">
        <v>0.19332154122007097</v>
      </c>
      <c r="H39" s="39">
        <v>0.2596644712005598</v>
      </c>
      <c r="I39" s="40">
        <v>0.19778052176634578</v>
      </c>
      <c r="J39" s="39">
        <v>0.27476564314860069</v>
      </c>
      <c r="K39" s="40">
        <v>0.203349057391087</v>
      </c>
      <c r="L39" s="39">
        <v>0.29252824698462571</v>
      </c>
      <c r="M39" s="40">
        <v>0.21029724127813584</v>
      </c>
      <c r="N39" s="39">
        <v>0.31332827215893683</v>
      </c>
      <c r="O39" s="40">
        <v>0.21901206314141022</v>
      </c>
      <c r="P39" s="39">
        <v>0.33751933693137232</v>
      </c>
      <c r="Q39" s="40">
        <v>0.23009187937500072</v>
      </c>
      <c r="R39" s="39">
        <v>0.36529471856366613</v>
      </c>
      <c r="S39" s="40">
        <v>0.24454723661979627</v>
      </c>
      <c r="T39" s="39">
        <v>0.39631020241833798</v>
      </c>
      <c r="U39" s="40">
        <v>0.26426655633412954</v>
      </c>
      <c r="V39" s="39">
        <v>0.42874147239656857</v>
      </c>
      <c r="W39" s="40">
        <v>0.29321325235646351</v>
      </c>
      <c r="X39" s="39">
        <v>0.45753524065660051</v>
      </c>
      <c r="Y39" s="40">
        <v>0.34059412895202629</v>
      </c>
      <c r="Z39" s="39">
        <v>0.47505020957475758</v>
      </c>
      <c r="AA39" s="40">
        <v>0.42722630648352522</v>
      </c>
      <c r="AB39" s="39"/>
      <c r="AC39" s="40"/>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8"/>
      <c r="C40" s="138"/>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138"/>
      <c r="AB40" s="138"/>
      <c r="AC40" s="138"/>
      <c r="AD40" s="138"/>
      <c r="AE40" s="138"/>
      <c r="AF40" s="138"/>
      <c r="AG40" s="138"/>
      <c r="AH40" s="138"/>
      <c r="AI40" s="138"/>
      <c r="AJ40" s="138"/>
      <c r="AK40" s="138"/>
      <c r="AL40" s="138"/>
      <c r="AM40" s="138"/>
      <c r="AN40" s="138"/>
      <c r="AO40" s="138"/>
      <c r="AP40" s="138"/>
      <c r="AQ40" s="138"/>
      <c r="AR40" s="138"/>
      <c r="AS40" s="138"/>
      <c r="AT40" s="138"/>
      <c r="AU40" s="138"/>
    </row>
    <row r="41" spans="1:49 16319:16321" x14ac:dyDescent="0.2">
      <c r="B41" s="138"/>
      <c r="C41" s="138"/>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138"/>
      <c r="AB41" s="138"/>
      <c r="AC41" s="138"/>
      <c r="AD41" s="138"/>
      <c r="AE41" s="138"/>
      <c r="AF41" s="138"/>
      <c r="AG41" s="138"/>
      <c r="AH41" s="138"/>
      <c r="AI41" s="138"/>
      <c r="AJ41" s="138"/>
      <c r="AK41" s="138"/>
      <c r="AL41" s="138"/>
      <c r="AM41" s="138"/>
      <c r="AN41" s="138"/>
      <c r="AO41" s="138"/>
      <c r="AP41" s="138"/>
      <c r="AQ41" s="138"/>
      <c r="AR41" s="138"/>
      <c r="AS41" s="138"/>
      <c r="AT41" s="138"/>
      <c r="AU41" s="138"/>
    </row>
    <row r="42" spans="1:49 16319:16321" x14ac:dyDescent="0.2">
      <c r="A42" t="s">
        <v>110</v>
      </c>
      <c r="B42" s="180">
        <v>0.10800000000000001</v>
      </c>
      <c r="C42" s="138"/>
      <c r="D42" s="180">
        <v>0.17005774749928995</v>
      </c>
      <c r="E42" s="138"/>
      <c r="F42" s="180">
        <v>0.23105642457948589</v>
      </c>
      <c r="G42" s="138"/>
      <c r="H42" s="180">
        <v>0.29042514715499945</v>
      </c>
      <c r="I42" s="138"/>
      <c r="J42" s="180">
        <v>0.34768966422875047</v>
      </c>
      <c r="K42" s="138"/>
      <c r="L42" s="180">
        <v>0.40247347152853619</v>
      </c>
      <c r="M42" s="138"/>
      <c r="N42" s="180">
        <v>0.4544651754953376</v>
      </c>
      <c r="O42" s="138"/>
      <c r="P42" s="180">
        <v>0.50334871995613639</v>
      </c>
      <c r="Q42" s="138"/>
      <c r="R42" s="180">
        <v>0.54868330650921671</v>
      </c>
      <c r="S42" s="138"/>
      <c r="T42" s="180">
        <v>0.58968037658344674</v>
      </c>
      <c r="U42" s="138"/>
      <c r="V42" s="180">
        <v>0.62476645201921877</v>
      </c>
      <c r="W42" s="138"/>
      <c r="X42" s="180">
        <v>0.65095629527838872</v>
      </c>
      <c r="Y42" s="165"/>
      <c r="Z42" s="180">
        <v>0.66495992068981669</v>
      </c>
      <c r="AA42" s="138"/>
      <c r="AB42" s="180">
        <v>1</v>
      </c>
      <c r="AC42" s="138"/>
      <c r="AD42" s="180">
        <v>1</v>
      </c>
      <c r="AE42" s="138"/>
      <c r="AF42" s="180">
        <v>1</v>
      </c>
      <c r="AG42" s="138"/>
      <c r="AH42" s="180">
        <v>1</v>
      </c>
      <c r="AI42" s="138"/>
      <c r="AJ42" s="180">
        <v>1</v>
      </c>
      <c r="AK42" s="138"/>
      <c r="AL42" s="180">
        <v>1</v>
      </c>
      <c r="AM42" s="138"/>
      <c r="AN42" s="180">
        <v>1</v>
      </c>
      <c r="AO42" s="138"/>
      <c r="AP42" s="180">
        <v>1</v>
      </c>
      <c r="AQ42" s="138"/>
      <c r="AR42" s="180">
        <v>1</v>
      </c>
      <c r="AS42" s="138"/>
      <c r="AT42" s="180">
        <v>1</v>
      </c>
      <c r="AU42" s="138"/>
      <c r="AV42" s="180">
        <v>1</v>
      </c>
    </row>
    <row r="43" spans="1:49 16319:16321" x14ac:dyDescent="0.2">
      <c r="A43" t="s">
        <v>111</v>
      </c>
      <c r="B43" s="165">
        <v>0.60327031657597174</v>
      </c>
      <c r="C43" s="138"/>
      <c r="D43" s="165">
        <v>0.62375656202851792</v>
      </c>
      <c r="E43" s="138"/>
      <c r="F43" s="165">
        <v>0.63784565975096319</v>
      </c>
      <c r="G43" s="138"/>
      <c r="H43" s="165">
        <v>0.65060229968993533</v>
      </c>
      <c r="I43" s="138"/>
      <c r="J43" s="165">
        <v>0.66197380074317658</v>
      </c>
      <c r="K43" s="138"/>
      <c r="L43" s="165">
        <v>0.67195809578905119</v>
      </c>
      <c r="M43" s="138"/>
      <c r="N43" s="165">
        <v>0.68058964910807274</v>
      </c>
      <c r="O43" s="138"/>
      <c r="P43" s="165">
        <v>0.68791717376395833</v>
      </c>
      <c r="Q43" s="138"/>
      <c r="R43" s="165">
        <v>0.69398111639796345</v>
      </c>
      <c r="S43" s="138"/>
      <c r="T43" s="165">
        <v>0.69877559504898179</v>
      </c>
      <c r="U43" s="138"/>
      <c r="V43" s="165">
        <v>0.70217753423241902</v>
      </c>
      <c r="W43" s="138"/>
      <c r="X43" s="165">
        <v>0.70383442006496844</v>
      </c>
      <c r="Y43" s="138"/>
      <c r="Z43" s="165">
        <v>0.70324020801971421</v>
      </c>
      <c r="AA43" s="138"/>
      <c r="AB43" s="165" t="e">
        <v>#DIV/0!</v>
      </c>
      <c r="AC43" s="138"/>
      <c r="AD43" s="165" t="e">
        <v>#DIV/0!</v>
      </c>
      <c r="AE43" s="138"/>
      <c r="AF43" s="165" t="e">
        <v>#DIV/0!</v>
      </c>
      <c r="AG43" s="138"/>
      <c r="AH43" s="165" t="e">
        <v>#DIV/0!</v>
      </c>
      <c r="AI43" s="138"/>
      <c r="AJ43" s="165" t="e">
        <v>#DIV/0!</v>
      </c>
      <c r="AK43" s="138"/>
      <c r="AL43" s="165" t="e">
        <v>#DIV/0!</v>
      </c>
      <c r="AM43" s="138"/>
      <c r="AN43" s="165" t="e">
        <v>#DIV/0!</v>
      </c>
      <c r="AO43" s="138"/>
      <c r="AP43" s="165" t="e">
        <v>#DIV/0!</v>
      </c>
      <c r="AQ43" s="138"/>
      <c r="AR43" s="165" t="e">
        <v>#DIV/0!</v>
      </c>
      <c r="AS43" s="138"/>
      <c r="AT43" s="165" t="e">
        <v>#DIV/0!</v>
      </c>
      <c r="AU43" s="138"/>
      <c r="AV43" s="165" t="e">
        <v>#DIV/0!</v>
      </c>
    </row>
    <row r="44" spans="1:49 16319:16321" x14ac:dyDescent="0.2">
      <c r="A44" t="s">
        <v>145</v>
      </c>
      <c r="B44" s="196">
        <v>0.21620509429616297</v>
      </c>
      <c r="D44" s="196">
        <v>0.21620510188264988</v>
      </c>
      <c r="F44" s="196">
        <v>0.21620509038114377</v>
      </c>
      <c r="H44" s="196">
        <v>0.21620509554091311</v>
      </c>
      <c r="J44" s="196">
        <v>0.21620509614711639</v>
      </c>
      <c r="L44" s="196">
        <v>0.21620509364200374</v>
      </c>
      <c r="N44" s="196">
        <v>0.21620509413803801</v>
      </c>
      <c r="P44" s="196">
        <v>0.21620509431168064</v>
      </c>
      <c r="R44" s="196">
        <v>0.21620509492317541</v>
      </c>
      <c r="T44" s="196">
        <v>0.21620509363372123</v>
      </c>
      <c r="V44" s="196">
        <v>0.21620509210356217</v>
      </c>
      <c r="X44" s="196">
        <v>0.21620509201444582</v>
      </c>
      <c r="Z44" s="196">
        <v>0.21620509313495026</v>
      </c>
      <c r="AB44" s="196" t="e">
        <v>#DIV/0!</v>
      </c>
      <c r="AD44" s="196" t="e">
        <v>#DIV/0!</v>
      </c>
      <c r="AF44" s="196" t="e">
        <v>#DIV/0!</v>
      </c>
      <c r="AH44" s="196" t="e">
        <v>#DIV/0!</v>
      </c>
      <c r="AJ44" s="196" t="e">
        <v>#DIV/0!</v>
      </c>
      <c r="AL44" s="196" t="e">
        <v>#DIV/0!</v>
      </c>
      <c r="AN44" s="196" t="e">
        <v>#DIV/0!</v>
      </c>
      <c r="AP44" s="196" t="e">
        <v>#DIV/0!</v>
      </c>
      <c r="AR44" s="196" t="e">
        <v>#DIV/0!</v>
      </c>
      <c r="AT44" s="196" t="e">
        <v>#DIV/0!</v>
      </c>
      <c r="AV44" s="196" t="e">
        <v>#DIV/0!</v>
      </c>
    </row>
    <row r="45" spans="1:49 16319:16321" x14ac:dyDescent="0.2">
      <c r="A45" t="s">
        <v>84</v>
      </c>
      <c r="B45" s="196">
        <v>0.20445380142857192</v>
      </c>
      <c r="D45" s="196">
        <v>0.20445380246748765</v>
      </c>
      <c r="F45" s="196">
        <v>0.2044538007866365</v>
      </c>
      <c r="H45" s="196">
        <v>0.20445380166959556</v>
      </c>
      <c r="J45" s="196">
        <v>0.20445380183981773</v>
      </c>
      <c r="L45" s="196">
        <v>0.20445380127399693</v>
      </c>
      <c r="N45" s="196">
        <v>0.20445380139892569</v>
      </c>
      <c r="P45" s="196">
        <v>0.2044538014722298</v>
      </c>
      <c r="R45" s="196">
        <v>0.2044538016840132</v>
      </c>
      <c r="T45" s="196">
        <v>0.20445380124790941</v>
      </c>
      <c r="V45" s="196">
        <v>0.20445380114382664</v>
      </c>
      <c r="X45" s="196">
        <v>0.20445380140637456</v>
      </c>
      <c r="Z45" s="196">
        <v>0.20445380148658254</v>
      </c>
      <c r="AB45" s="196" t="e">
        <v>#DIV/0!</v>
      </c>
      <c r="AD45" s="196" t="e">
        <v>#DIV/0!</v>
      </c>
      <c r="AF45" s="196" t="e">
        <v>#DIV/0!</v>
      </c>
      <c r="AH45" s="196" t="e">
        <v>#DIV/0!</v>
      </c>
      <c r="AJ45" s="196" t="e">
        <v>#DIV/0!</v>
      </c>
      <c r="AL45" s="196" t="e">
        <v>#DIV/0!</v>
      </c>
      <c r="AN45" s="196" t="e">
        <v>#DIV/0!</v>
      </c>
      <c r="AP45" s="196" t="e">
        <v>#DIV/0!</v>
      </c>
      <c r="AR45" s="196" t="e">
        <v>#DIV/0!</v>
      </c>
      <c r="AT45" s="196" t="e">
        <v>#DIV/0!</v>
      </c>
      <c r="AV45" s="196" t="e">
        <v>#DIV/0!</v>
      </c>
      <c r="XCQ45" s="196"/>
    </row>
    <row r="46" spans="1:49 16319:16321" x14ac:dyDescent="0.2">
      <c r="A46" t="s">
        <v>142</v>
      </c>
      <c r="B46" s="196">
        <v>1.1751292867591055E-2</v>
      </c>
      <c r="D46" s="196">
        <v>1.175129941516222E-2</v>
      </c>
      <c r="F46" s="196">
        <v>1.1751289594507313E-2</v>
      </c>
      <c r="H46" s="196">
        <v>1.1751293871317556E-2</v>
      </c>
      <c r="J46" s="196">
        <v>1.1751294307298665E-2</v>
      </c>
      <c r="L46" s="196">
        <v>1.1751292368006837E-2</v>
      </c>
      <c r="N46" s="196">
        <v>1.1751292739112301E-2</v>
      </c>
      <c r="P46" s="196">
        <v>1.175129283945084E-2</v>
      </c>
      <c r="R46" s="196">
        <v>1.1751293239162205E-2</v>
      </c>
      <c r="T46" s="196">
        <v>1.1751292385811811E-2</v>
      </c>
      <c r="V46" s="196">
        <v>1.1751290959735537E-2</v>
      </c>
      <c r="X46" s="196">
        <v>1.1751290608071244E-2</v>
      </c>
      <c r="Z46" s="196">
        <v>1.1751291648367726E-2</v>
      </c>
      <c r="AB46" s="196" t="e">
        <v>#DIV/0!</v>
      </c>
      <c r="AD46" s="196" t="e">
        <v>#DIV/0!</v>
      </c>
      <c r="AF46" s="196" t="e">
        <v>#DIV/0!</v>
      </c>
      <c r="AH46" s="196" t="e">
        <v>#DIV/0!</v>
      </c>
      <c r="AJ46" s="196" t="e">
        <v>#DIV/0!</v>
      </c>
      <c r="AL46" s="196" t="e">
        <v>#DIV/0!</v>
      </c>
      <c r="AN46" s="196" t="e">
        <v>#DIV/0!</v>
      </c>
      <c r="AP46" s="196" t="e">
        <v>#DIV/0!</v>
      </c>
      <c r="AR46" s="196" t="e">
        <v>#DIV/0!</v>
      </c>
      <c r="AT46" s="196" t="e">
        <v>#DIV/0!</v>
      </c>
      <c r="AV46" s="196" t="e">
        <v>#DIV/0!</v>
      </c>
      <c r="XCS46" s="196"/>
    </row>
    <row r="48" spans="1:49 16319:16321" x14ac:dyDescent="0.2">
      <c r="A48" t="s">
        <v>162</v>
      </c>
      <c r="B48" s="194">
        <v>1</v>
      </c>
      <c r="C48" s="194"/>
      <c r="D48" s="194">
        <v>0.96306846642011479</v>
      </c>
      <c r="E48" s="194"/>
      <c r="F48" s="194">
        <v>0.92229809601598656</v>
      </c>
      <c r="G48" s="194"/>
      <c r="H48" s="194">
        <v>0.87802690350911761</v>
      </c>
      <c r="I48" s="194"/>
      <c r="J48" s="194">
        <v>0.8307580010805472</v>
      </c>
      <c r="K48" s="194"/>
      <c r="L48" s="194">
        <v>0.78114277417062217</v>
      </c>
      <c r="M48" s="194"/>
      <c r="N48" s="194">
        <v>0.72997012083145929</v>
      </c>
      <c r="O48" s="194"/>
      <c r="P48" s="194">
        <v>0.67819011019543796</v>
      </c>
      <c r="Q48" s="194"/>
      <c r="R48" s="194">
        <v>0.62701257403128374</v>
      </c>
      <c r="S48" s="194"/>
      <c r="T48" s="194">
        <v>0.57815485108488851</v>
      </c>
      <c r="U48" s="194"/>
      <c r="V48" s="194">
        <v>0.5343917638709238</v>
      </c>
      <c r="W48" s="194"/>
      <c r="X48" s="194">
        <v>0.50036381238429672</v>
      </c>
      <c r="Y48" s="194"/>
      <c r="Z48" s="194">
        <v>0.48102954141730386</v>
      </c>
      <c r="AA48" s="194"/>
      <c r="AB48" s="194">
        <v>0</v>
      </c>
      <c r="AC48" s="194"/>
      <c r="AD48" s="194">
        <v>0</v>
      </c>
      <c r="AE48" s="194"/>
      <c r="AF48" s="194">
        <v>0</v>
      </c>
      <c r="AG48" s="194"/>
      <c r="AH48" s="194">
        <v>0</v>
      </c>
      <c r="AI48" s="194"/>
      <c r="AJ48" s="194">
        <v>0</v>
      </c>
      <c r="AK48" s="194"/>
      <c r="AL48" s="194">
        <v>0</v>
      </c>
      <c r="AM48" s="194"/>
      <c r="AN48" s="194">
        <v>0</v>
      </c>
      <c r="AO48" s="194"/>
      <c r="AP48" s="194">
        <v>0</v>
      </c>
      <c r="AQ48" s="194"/>
      <c r="AR48" s="194">
        <v>0</v>
      </c>
      <c r="AS48" s="194"/>
      <c r="AT48" s="194">
        <v>0</v>
      </c>
      <c r="AU48" s="194"/>
      <c r="AV48" s="194">
        <v>0</v>
      </c>
    </row>
    <row r="49" spans="1:48 16321:16384" x14ac:dyDescent="0.2">
      <c r="A49" t="s">
        <v>163</v>
      </c>
      <c r="B49" s="194">
        <v>1</v>
      </c>
      <c r="C49" s="194"/>
      <c r="D49" s="194">
        <v>1.0000000001067753</v>
      </c>
      <c r="E49" s="194"/>
      <c r="F49" s="194">
        <v>0.99999999994892164</v>
      </c>
      <c r="G49" s="194"/>
      <c r="H49" s="194">
        <v>1.0000000000125977</v>
      </c>
      <c r="I49" s="194"/>
      <c r="J49" s="194">
        <v>1.0000000000150524</v>
      </c>
      <c r="K49" s="194"/>
      <c r="L49" s="194">
        <v>0.9999999999945014</v>
      </c>
      <c r="M49" s="194"/>
      <c r="N49" s="194">
        <v>0.99999999999660261</v>
      </c>
      <c r="O49" s="194"/>
      <c r="P49" s="194">
        <v>0.99999999999303746</v>
      </c>
      <c r="Q49" s="194"/>
      <c r="R49" s="194">
        <v>0.99999999998996203</v>
      </c>
      <c r="S49" s="194"/>
      <c r="T49" s="194">
        <v>0.99999999999632805</v>
      </c>
      <c r="U49" s="194"/>
      <c r="V49" s="194">
        <v>0.9999999999477851</v>
      </c>
      <c r="W49" s="194"/>
      <c r="X49" s="194">
        <v>0.99999999989478683</v>
      </c>
      <c r="Y49" s="194"/>
      <c r="Z49" s="194">
        <v>0.99999999994917022</v>
      </c>
      <c r="AA49" s="194"/>
      <c r="AB49" s="194" t="e">
        <v>#DIV/0!</v>
      </c>
      <c r="AC49" s="194"/>
      <c r="AD49" s="194" t="e">
        <v>#DIV/0!</v>
      </c>
      <c r="AE49" s="194"/>
      <c r="AF49" s="194" t="e">
        <v>#DIV/0!</v>
      </c>
      <c r="AG49" s="194"/>
      <c r="AH49" s="194" t="e">
        <v>#DIV/0!</v>
      </c>
      <c r="AI49" s="194"/>
      <c r="AJ49" s="194" t="e">
        <v>#DIV/0!</v>
      </c>
      <c r="AK49" s="194"/>
      <c r="AL49" s="194" t="e">
        <v>#DIV/0!</v>
      </c>
      <c r="AM49" s="194"/>
      <c r="AN49" s="194" t="e">
        <v>#DIV/0!</v>
      </c>
      <c r="AO49" s="194"/>
      <c r="AP49" s="194" t="e">
        <v>#DIV/0!</v>
      </c>
      <c r="AQ49" s="194"/>
      <c r="AR49" s="194" t="e">
        <v>#DIV/0!</v>
      </c>
      <c r="AS49" s="194"/>
      <c r="AT49" s="194" t="e">
        <v>#DIV/0!</v>
      </c>
      <c r="AU49" s="194"/>
      <c r="AV49" s="194" t="e">
        <v>#DIV/0!</v>
      </c>
    </row>
    <row r="51" spans="1:48 16321:16384" x14ac:dyDescent="0.2">
      <c r="A51" t="s">
        <v>169</v>
      </c>
      <c r="B51" s="29">
        <v>898591.45196639095</v>
      </c>
      <c r="D51" s="29">
        <v>815380.78935808875</v>
      </c>
      <c r="F51" s="29">
        <v>736416.94061371963</v>
      </c>
      <c r="H51" s="29">
        <v>662457.03798457049</v>
      </c>
      <c r="J51" s="29">
        <v>593995.02869800385</v>
      </c>
      <c r="L51" s="29">
        <v>531268.29360078438</v>
      </c>
      <c r="N51" s="29">
        <v>474318.95712542022</v>
      </c>
      <c r="P51" s="29">
        <v>423097.65674159862</v>
      </c>
      <c r="R51" s="29">
        <v>377606.66525062616</v>
      </c>
      <c r="T51" s="29">
        <v>338127.37063872698</v>
      </c>
      <c r="V51" s="29">
        <v>305627.97317466373</v>
      </c>
      <c r="X51" s="29">
        <v>282340.66998668225</v>
      </c>
      <c r="Z51" s="29">
        <v>270843.86868719663</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170</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171</v>
      </c>
      <c r="B53" s="29">
        <v>1634212.4558580429</v>
      </c>
      <c r="D53" s="29">
        <v>1622839.6363604662</v>
      </c>
      <c r="F53" s="29">
        <v>1598016.1177939521</v>
      </c>
      <c r="H53" s="29">
        <v>1559774.4871824144</v>
      </c>
      <c r="J53" s="29">
        <v>1508788.9073212992</v>
      </c>
      <c r="L53" s="29">
        <v>1446350.2989975964</v>
      </c>
      <c r="N53" s="29">
        <v>1374279.3158053197</v>
      </c>
      <c r="P53" s="29">
        <v>1294863.3187104077</v>
      </c>
      <c r="R53" s="29">
        <v>1210952.1405821466</v>
      </c>
      <c r="T53" s="29">
        <v>1126304.0434430283</v>
      </c>
      <c r="V53" s="29">
        <v>1046444.7219769601</v>
      </c>
      <c r="X53" s="29">
        <v>979927.74747437926</v>
      </c>
      <c r="Z53" s="29">
        <v>935445.81658470491</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172</v>
      </c>
      <c r="B55" s="196">
        <v>0.29343319644276039</v>
      </c>
      <c r="D55" s="196">
        <v>0.28903024055352344</v>
      </c>
      <c r="F55" s="196">
        <v>0.28493138528450518</v>
      </c>
      <c r="H55" s="196">
        <v>0.28117938454982927</v>
      </c>
      <c r="J55" s="196">
        <v>0.27780138755759426</v>
      </c>
      <c r="L55" s="196">
        <v>0.27480908250891328</v>
      </c>
      <c r="N55" s="196">
        <v>0.27220222283948664</v>
      </c>
      <c r="P55" s="196">
        <v>0.26997442485126188</v>
      </c>
      <c r="R55" s="196">
        <v>0.26812044672794982</v>
      </c>
      <c r="T55" s="196">
        <v>0.26664798612358942</v>
      </c>
      <c r="V55" s="196">
        <v>0.26559955592744211</v>
      </c>
      <c r="X55" s="196">
        <v>0.26508782534904868</v>
      </c>
      <c r="Z55" s="196">
        <v>0.26527142277674082</v>
      </c>
      <c r="AB55" s="196" t="e">
        <v>#DIV/0!</v>
      </c>
      <c r="AD55" s="196" t="e">
        <v>#DIV/0!</v>
      </c>
      <c r="AF55" s="196" t="e">
        <v>#DIV/0!</v>
      </c>
      <c r="AH55" s="196" t="e">
        <v>#DIV/0!</v>
      </c>
      <c r="AJ55" s="196" t="e">
        <v>#DIV/0!</v>
      </c>
      <c r="AL55" s="196" t="e">
        <v>#DIV/0!</v>
      </c>
      <c r="AN55" s="196" t="e">
        <v>#DIV/0!</v>
      </c>
      <c r="AP55" s="196" t="e">
        <v>#DIV/0!</v>
      </c>
      <c r="AR55" s="196" t="e">
        <v>#DIV/0!</v>
      </c>
      <c r="AT55" s="196" t="e">
        <v>#DIV/0!</v>
      </c>
      <c r="AV55" s="196" t="e">
        <v>#DIV/0!</v>
      </c>
      <c r="XCS55" s="196"/>
      <c r="XFD55" s="196"/>
    </row>
    <row r="56" spans="1:48 16321:16384" x14ac:dyDescent="0.2">
      <c r="A56" t="s">
        <v>173</v>
      </c>
      <c r="B56" s="196">
        <v>0.12330490389763608</v>
      </c>
      <c r="D56" s="196">
        <v>0.12414663087255814</v>
      </c>
      <c r="F56" s="196">
        <v>0.12493036468079935</v>
      </c>
      <c r="H56" s="196">
        <v>0.12564787002939926</v>
      </c>
      <c r="J56" s="196">
        <v>0.12629394820744416</v>
      </c>
      <c r="L56" s="196">
        <v>0.12686633381998322</v>
      </c>
      <c r="N56" s="196">
        <v>0.12736502776993977</v>
      </c>
      <c r="P56" s="196">
        <v>0.12779121720088979</v>
      </c>
      <c r="R56" s="196">
        <v>0.1281458479992611</v>
      </c>
      <c r="T56" s="196">
        <v>0.12842735052757703</v>
      </c>
      <c r="V56" s="196">
        <v>0.12862738410632676</v>
      </c>
      <c r="X56" s="196">
        <v>0.12872382011426228</v>
      </c>
      <c r="Z56" s="196">
        <v>0.12868476589173972</v>
      </c>
      <c r="AB56" s="196" t="e">
        <v>#DIV/0!</v>
      </c>
      <c r="AD56" s="196" t="e">
        <v>#DIV/0!</v>
      </c>
      <c r="AF56" s="196" t="e">
        <v>#DIV/0!</v>
      </c>
      <c r="AH56" s="196" t="e">
        <v>#DIV/0!</v>
      </c>
      <c r="AJ56" s="196" t="e">
        <v>#DIV/0!</v>
      </c>
      <c r="AL56" s="196" t="e">
        <v>#DIV/0!</v>
      </c>
      <c r="AN56" s="196" t="e">
        <v>#DIV/0!</v>
      </c>
      <c r="AP56" s="196" t="e">
        <v>#DIV/0!</v>
      </c>
      <c r="AR56" s="196" t="e">
        <v>#DIV/0!</v>
      </c>
      <c r="AT56" s="196" t="e">
        <v>#DIV/0!</v>
      </c>
      <c r="AV56" s="196" t="e">
        <v>#DIV/0!</v>
      </c>
      <c r="XFD56" s="196"/>
    </row>
    <row r="57" spans="1:48 16321:16384" x14ac:dyDescent="0.2">
      <c r="A57" t="s">
        <v>174</v>
      </c>
      <c r="B57" s="196">
        <v>0.15814435802029927</v>
      </c>
      <c r="D57" s="196">
        <v>0.15290558345503971</v>
      </c>
      <c r="F57" s="196">
        <v>0.14802846422904195</v>
      </c>
      <c r="H57" s="196">
        <v>0.14356393535840278</v>
      </c>
      <c r="J57" s="196">
        <v>0.13954431046707319</v>
      </c>
      <c r="L57" s="196">
        <v>0.13598353018611578</v>
      </c>
      <c r="N57" s="196">
        <v>0.1328813540974135</v>
      </c>
      <c r="P57" s="196">
        <v>0.1302302368684303</v>
      </c>
      <c r="R57" s="196">
        <v>0.12802403478311447</v>
      </c>
      <c r="T57" s="196">
        <v>0.12627207586159447</v>
      </c>
      <c r="V57" s="196">
        <v>0.12502526096814601</v>
      </c>
      <c r="X57" s="196">
        <v>0.12441821403920642</v>
      </c>
      <c r="Y57" s="196"/>
      <c r="Z57" s="196">
        <v>0.12464020373042445</v>
      </c>
      <c r="AB57" s="196" t="e">
        <v>#DIV/0!</v>
      </c>
      <c r="AD57" s="196" t="e">
        <v>#DIV/0!</v>
      </c>
      <c r="AF57" s="196" t="e">
        <v>#DIV/0!</v>
      </c>
      <c r="AH57" s="196" t="e">
        <v>#DIV/0!</v>
      </c>
      <c r="AJ57" s="196" t="e">
        <v>#DIV/0!</v>
      </c>
      <c r="AL57" s="196" t="e">
        <v>#DIV/0!</v>
      </c>
      <c r="AN57" s="196" t="e">
        <v>#DIV/0!</v>
      </c>
      <c r="AP57" s="196" t="e">
        <v>#DIV/0!</v>
      </c>
      <c r="AR57" s="196" t="e">
        <v>#DIV/0!</v>
      </c>
      <c r="AT57" s="196" t="e">
        <v>#DIV/0!</v>
      </c>
      <c r="AV57" s="196" t="e">
        <v>#DIV/0!</v>
      </c>
      <c r="XFD57" s="196"/>
    </row>
    <row r="58" spans="1:48 16321:16384" x14ac:dyDescent="0.2">
      <c r="A58" t="s">
        <v>175</v>
      </c>
      <c r="B58" s="196">
        <v>1.1983934524824984E-2</v>
      </c>
      <c r="D58" s="196">
        <v>1.1978026225925517E-2</v>
      </c>
      <c r="F58" s="196">
        <v>1.1972556374663917E-2</v>
      </c>
      <c r="H58" s="196">
        <v>1.1967579162027215E-2</v>
      </c>
      <c r="J58" s="196">
        <v>1.1963128883076891E-2</v>
      </c>
      <c r="L58" s="196">
        <v>1.1959218502814253E-2</v>
      </c>
      <c r="N58" s="196">
        <v>1.1955840972133362E-2</v>
      </c>
      <c r="P58" s="196">
        <v>1.1952970781941795E-2</v>
      </c>
      <c r="R58" s="196">
        <v>1.1950563945574292E-2</v>
      </c>
      <c r="T58" s="196">
        <v>1.1948559734417882E-2</v>
      </c>
      <c r="V58" s="196">
        <v>1.1946910852969353E-2</v>
      </c>
      <c r="X58" s="196">
        <v>1.1945791195579957E-2</v>
      </c>
      <c r="Y58" s="196"/>
      <c r="Z58" s="196">
        <v>1.1946453154576596E-2</v>
      </c>
      <c r="AB58" s="196" t="e">
        <v>#DIV/0!</v>
      </c>
      <c r="AD58" s="196" t="e">
        <v>#DIV/0!</v>
      </c>
      <c r="AF58" s="196" t="e">
        <v>#DIV/0!</v>
      </c>
      <c r="AH58" s="196" t="e">
        <v>#DIV/0!</v>
      </c>
      <c r="AJ58" s="196" t="e">
        <v>#DIV/0!</v>
      </c>
      <c r="AL58" s="196" t="e">
        <v>#DIV/0!</v>
      </c>
      <c r="AN58" s="196" t="e">
        <v>#DIV/0!</v>
      </c>
      <c r="AP58" s="196" t="e">
        <v>#DIV/0!</v>
      </c>
      <c r="AR58" s="196" t="e">
        <v>#DIV/0!</v>
      </c>
      <c r="AT58" s="196" t="e">
        <v>#DIV/0!</v>
      </c>
      <c r="AV58" s="196" t="e">
        <v>#DIV/0!</v>
      </c>
      <c r="XFD58" s="196"/>
    </row>
    <row r="59" spans="1:48 16321:16384" x14ac:dyDescent="0.2">
      <c r="A59" t="s">
        <v>176</v>
      </c>
      <c r="B59" s="196">
        <v>1.7199725200015354E-2</v>
      </c>
      <c r="D59" s="196">
        <v>1.8071977967483704E-2</v>
      </c>
      <c r="F59" s="196">
        <v>1.8883683991461269E-2</v>
      </c>
      <c r="H59" s="196">
        <v>1.9626338524334722E-2</v>
      </c>
      <c r="J59" s="196">
        <v>2.029459199588201E-2</v>
      </c>
      <c r="L59" s="196">
        <v>2.0886160575495073E-2</v>
      </c>
      <c r="N59" s="196">
        <v>2.1401174107171586E-2</v>
      </c>
      <c r="P59" s="196">
        <v>2.184112846537584E-2</v>
      </c>
      <c r="R59" s="196">
        <v>2.2207534474898434E-2</v>
      </c>
      <c r="T59" s="196">
        <v>2.2499785566364644E-2</v>
      </c>
      <c r="V59" s="196">
        <v>2.2710998692152005E-2</v>
      </c>
      <c r="X59" s="196">
        <v>2.2819984509612659E-2</v>
      </c>
      <c r="Z59" s="196">
        <v>2.2788721338804312E-2</v>
      </c>
      <c r="AB59" s="196" t="e">
        <v>#DIV/0!</v>
      </c>
      <c r="AD59" s="196" t="e">
        <v>#DIV/0!</v>
      </c>
      <c r="AF59" s="196" t="e">
        <v>#DIV/0!</v>
      </c>
      <c r="AH59" s="196" t="e">
        <v>#DIV/0!</v>
      </c>
      <c r="AJ59" s="196" t="e">
        <v>#DIV/0!</v>
      </c>
      <c r="AL59" s="196" t="e">
        <v>#DIV/0!</v>
      </c>
      <c r="AN59" s="196" t="e">
        <v>#DIV/0!</v>
      </c>
      <c r="AP59" s="196" t="e">
        <v>#DIV/0!</v>
      </c>
      <c r="AR59" s="196" t="e">
        <v>#DIV/0!</v>
      </c>
      <c r="AT59" s="196" t="e">
        <v>#DIV/0!</v>
      </c>
      <c r="AV59" s="196" t="e">
        <v>#DIV/0!</v>
      </c>
      <c r="XFD59" s="196"/>
    </row>
    <row r="60" spans="1:48 16321:16384" x14ac:dyDescent="0.2">
      <c r="A60" t="s">
        <v>177</v>
      </c>
      <c r="B60" s="196">
        <v>0.10610517869762073</v>
      </c>
      <c r="D60" s="196">
        <v>0.10607465290507445</v>
      </c>
      <c r="F60" s="196">
        <v>0.10604668068933808</v>
      </c>
      <c r="H60" s="196">
        <v>0.10602153150506455</v>
      </c>
      <c r="J60" s="196">
        <v>0.10599935621156216</v>
      </c>
      <c r="L60" s="196">
        <v>0.10598017324448815</v>
      </c>
      <c r="N60" s="196">
        <v>0.10596385366276817</v>
      </c>
      <c r="P60" s="196">
        <v>0.10595008873551395</v>
      </c>
      <c r="R60" s="196">
        <v>0.10593831352436267</v>
      </c>
      <c r="T60" s="196">
        <v>0.10592756496121238</v>
      </c>
      <c r="V60" s="196">
        <v>0.10591638541417475</v>
      </c>
      <c r="X60" s="196">
        <v>0.10590383560464965</v>
      </c>
      <c r="Z60" s="196">
        <v>0.10589604455293541</v>
      </c>
      <c r="AB60" s="196" t="e">
        <v>#DIV/0!</v>
      </c>
      <c r="AD60" s="196" t="e">
        <v>#DIV/0!</v>
      </c>
      <c r="AF60" s="196" t="e">
        <v>#DIV/0!</v>
      </c>
      <c r="AH60" s="196" t="e">
        <v>#DIV/0!</v>
      </c>
      <c r="AJ60" s="196" t="e">
        <v>#DIV/0!</v>
      </c>
      <c r="AL60" s="196" t="e">
        <v>#DIV/0!</v>
      </c>
      <c r="AN60" s="196" t="e">
        <v>#DIV/0!</v>
      </c>
      <c r="AP60" s="196" t="e">
        <v>#DIV/0!</v>
      </c>
      <c r="AR60" s="196" t="e">
        <v>#DIV/0!</v>
      </c>
      <c r="AT60" s="196" t="e">
        <v>#DIV/0!</v>
      </c>
      <c r="AV60" s="196" t="e">
        <v>#DIV/0!</v>
      </c>
      <c r="XFD60" s="196"/>
    </row>
    <row r="62" spans="1:48 16321:16384" x14ac:dyDescent="0.2">
      <c r="A62" t="s">
        <v>178</v>
      </c>
      <c r="B62">
        <v>1</v>
      </c>
      <c r="D62">
        <v>1.0073710089609464</v>
      </c>
      <c r="F62">
        <v>1.0234496574519167</v>
      </c>
      <c r="H62">
        <v>1.0490339951222036</v>
      </c>
      <c r="J62">
        <v>1.085022645207921</v>
      </c>
      <c r="L62">
        <v>1.132434130095533</v>
      </c>
      <c r="N62">
        <v>1.1924062744121748</v>
      </c>
      <c r="P62">
        <v>1.2660917470885762</v>
      </c>
      <c r="R62">
        <v>1.3542600797887847</v>
      </c>
      <c r="T62">
        <v>1.4561745345981003</v>
      </c>
      <c r="V62">
        <v>1.566722791281574</v>
      </c>
      <c r="X62">
        <v>1.6709654501508437</v>
      </c>
      <c r="Z62">
        <v>1.7457730603312238</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179</v>
      </c>
      <c r="B65" s="194">
        <v>1</v>
      </c>
      <c r="C65" s="194"/>
      <c r="D65" s="194">
        <v>0.99959100048028937</v>
      </c>
      <c r="E65" s="194"/>
      <c r="F65" s="194">
        <v>0.99935998025937289</v>
      </c>
      <c r="G65" s="194"/>
      <c r="H65" s="194">
        <v>0.99929627665704823</v>
      </c>
      <c r="I65" s="194"/>
      <c r="J65" s="194">
        <v>0.99938084476120148</v>
      </c>
      <c r="K65" s="194"/>
      <c r="L65" s="194">
        <v>0.99958382366565213</v>
      </c>
      <c r="M65" s="194"/>
      <c r="N65" s="194">
        <v>0.99985919712004434</v>
      </c>
      <c r="O65" s="194"/>
      <c r="P65" s="194">
        <v>1.0001328531124354</v>
      </c>
      <c r="Q65" s="194"/>
      <c r="R65" s="194">
        <v>1.00027650757908</v>
      </c>
      <c r="S65" s="194"/>
      <c r="T65" s="194">
        <v>1.0000510392477213</v>
      </c>
      <c r="U65" s="194"/>
      <c r="V65" s="194">
        <v>0.99898630757388718</v>
      </c>
      <c r="W65" s="194"/>
      <c r="X65" s="194">
        <v>0.99619623781636801</v>
      </c>
      <c r="Y65" s="194"/>
      <c r="Z65" s="194">
        <v>0.99057921657492753</v>
      </c>
      <c r="AA65" s="194"/>
      <c r="AB65" s="194" t="e">
        <v>#DIV/0!</v>
      </c>
      <c r="AC65" s="194"/>
      <c r="AD65" s="194" t="e">
        <v>#DIV/0!</v>
      </c>
      <c r="AE65" s="194"/>
      <c r="AF65" s="194" t="e">
        <v>#DIV/0!</v>
      </c>
      <c r="AG65" s="194"/>
      <c r="AH65" s="194" t="e">
        <v>#DIV/0!</v>
      </c>
      <c r="AI65" s="194"/>
      <c r="AJ65" s="194" t="e">
        <v>#DIV/0!</v>
      </c>
      <c r="AK65" s="194"/>
      <c r="AL65" s="194" t="e">
        <v>#DIV/0!</v>
      </c>
      <c r="AM65" s="194"/>
      <c r="AN65" s="194" t="e">
        <v>#DIV/0!</v>
      </c>
      <c r="AO65" s="194"/>
      <c r="AP65" s="194" t="e">
        <v>#DIV/0!</v>
      </c>
      <c r="AQ65" s="194"/>
      <c r="AR65" s="194" t="e">
        <v>#DIV/0!</v>
      </c>
      <c r="AS65" s="194"/>
      <c r="AT65" s="194" t="e">
        <v>#DIV/0!</v>
      </c>
      <c r="AU65" s="194"/>
      <c r="AV65" s="194" t="e">
        <v>#DIV/0!</v>
      </c>
    </row>
    <row r="66" spans="1:48 16384:16384" x14ac:dyDescent="0.2">
      <c r="A66" t="s">
        <v>185</v>
      </c>
      <c r="B66" s="194">
        <v>1</v>
      </c>
      <c r="C66" s="194"/>
      <c r="D66" s="194">
        <v>0.99957169420500547</v>
      </c>
      <c r="E66" s="194"/>
      <c r="F66" s="194">
        <v>0.9993297081205561</v>
      </c>
      <c r="G66" s="194"/>
      <c r="H66" s="194">
        <v>0.99926297440014689</v>
      </c>
      <c r="I66" s="194"/>
      <c r="J66" s="194">
        <v>0.99935156842750372</v>
      </c>
      <c r="K66" s="194"/>
      <c r="L66" s="194">
        <v>0.99956418195334817</v>
      </c>
      <c r="M66" s="194"/>
      <c r="N66" s="194">
        <v>0.99985256860533922</v>
      </c>
      <c r="O66" s="194"/>
      <c r="P66" s="194">
        <v>1.0001390917040889</v>
      </c>
      <c r="Q66" s="194"/>
      <c r="R66" s="194">
        <v>1.0002894747167104</v>
      </c>
      <c r="S66" s="194"/>
      <c r="T66" s="194">
        <v>1.0000534376219583</v>
      </c>
      <c r="U66" s="194"/>
      <c r="V66" s="194">
        <v>0.99893821517337611</v>
      </c>
      <c r="W66" s="194"/>
      <c r="X66" s="194">
        <v>0.99601124710454614</v>
      </c>
      <c r="Y66" s="194"/>
      <c r="Z66" s="194">
        <v>0.99009825381670657</v>
      </c>
      <c r="AA66" s="194"/>
      <c r="AB66" s="194" t="e">
        <v>#DIV/0!</v>
      </c>
      <c r="AC66" s="194"/>
      <c r="AD66" s="194" t="e">
        <v>#DIV/0!</v>
      </c>
      <c r="AE66" s="194"/>
      <c r="AF66" s="194" t="e">
        <v>#DIV/0!</v>
      </c>
      <c r="AG66" s="194"/>
      <c r="AH66" s="194" t="e">
        <v>#DIV/0!</v>
      </c>
      <c r="AI66" s="194"/>
      <c r="AJ66" s="194" t="e">
        <v>#DIV/0!</v>
      </c>
      <c r="AK66" s="194"/>
      <c r="AL66" s="194" t="e">
        <v>#DIV/0!</v>
      </c>
      <c r="AM66" s="194"/>
      <c r="AN66" s="194" t="e">
        <v>#DIV/0!</v>
      </c>
      <c r="AO66" s="194"/>
      <c r="AP66" s="194" t="e">
        <v>#DIV/0!</v>
      </c>
      <c r="AQ66" s="194"/>
      <c r="AR66" s="194" t="e">
        <v>#DIV/0!</v>
      </c>
      <c r="AS66" s="194"/>
      <c r="AT66" s="194" t="e">
        <v>#DIV/0!</v>
      </c>
      <c r="AU66" s="194"/>
      <c r="AV66" s="194" t="e">
        <v>#DIV/0!</v>
      </c>
      <c r="XFD66" s="194"/>
    </row>
    <row r="67" spans="1:48 16384:16384" x14ac:dyDescent="0.2">
      <c r="A67" t="s">
        <v>186</v>
      </c>
      <c r="B67" s="194">
        <v>1</v>
      </c>
      <c r="C67" s="194"/>
      <c r="D67" s="194">
        <v>1</v>
      </c>
      <c r="E67" s="194"/>
      <c r="F67" s="194">
        <v>1</v>
      </c>
      <c r="G67" s="194"/>
      <c r="H67" s="194">
        <v>1</v>
      </c>
      <c r="I67" s="194"/>
      <c r="J67" s="194">
        <v>1</v>
      </c>
      <c r="K67" s="194"/>
      <c r="L67" s="194">
        <v>1</v>
      </c>
      <c r="M67" s="194"/>
      <c r="N67" s="194">
        <v>1</v>
      </c>
      <c r="O67" s="194"/>
      <c r="P67" s="194">
        <v>1</v>
      </c>
      <c r="Q67" s="194"/>
      <c r="R67" s="194">
        <v>1</v>
      </c>
      <c r="S67" s="194"/>
      <c r="T67" s="194">
        <v>1</v>
      </c>
      <c r="U67" s="194"/>
      <c r="V67" s="194">
        <v>1</v>
      </c>
      <c r="W67" s="194"/>
      <c r="X67" s="194">
        <v>1</v>
      </c>
      <c r="Y67" s="194"/>
      <c r="Z67" s="194">
        <v>1</v>
      </c>
      <c r="AA67" s="194"/>
      <c r="AB67" s="194" t="e">
        <v>#DIV/0!</v>
      </c>
      <c r="AC67" s="194"/>
      <c r="AD67" s="194" t="e">
        <v>#DIV/0!</v>
      </c>
      <c r="AE67" s="194"/>
      <c r="AF67" s="194" t="e">
        <v>#DIV/0!</v>
      </c>
      <c r="AG67" s="194"/>
      <c r="AH67" s="194" t="e">
        <v>#DIV/0!</v>
      </c>
      <c r="AI67" s="194"/>
      <c r="AJ67" s="194" t="e">
        <v>#DIV/0!</v>
      </c>
      <c r="AK67" s="194"/>
      <c r="AL67" s="194" t="e">
        <v>#DIV/0!</v>
      </c>
      <c r="AM67" s="194"/>
      <c r="AN67" s="194" t="e">
        <v>#DIV/0!</v>
      </c>
      <c r="AO67" s="194"/>
      <c r="AP67" s="194" t="e">
        <v>#DIV/0!</v>
      </c>
      <c r="AQ67" s="194"/>
      <c r="AR67" s="194" t="e">
        <v>#DIV/0!</v>
      </c>
      <c r="AS67" s="194"/>
      <c r="AT67" s="194" t="e">
        <v>#DIV/0!</v>
      </c>
      <c r="AU67" s="194"/>
      <c r="AV67" s="194" t="e">
        <v>#DIV/0!</v>
      </c>
      <c r="XFD67" s="194"/>
    </row>
    <row r="68" spans="1:48 16384:16384" x14ac:dyDescent="0.2">
      <c r="A68" t="s">
        <v>184</v>
      </c>
      <c r="B68" s="194">
        <v>1</v>
      </c>
      <c r="C68" s="194"/>
      <c r="D68" s="194">
        <v>0.99957169420500547</v>
      </c>
      <c r="E68" s="194"/>
      <c r="F68" s="194">
        <v>0.9993297081205561</v>
      </c>
      <c r="G68" s="194"/>
      <c r="H68" s="194">
        <v>0.99926297440014689</v>
      </c>
      <c r="I68" s="194"/>
      <c r="J68" s="194">
        <v>0.99935156842750372</v>
      </c>
      <c r="K68" s="194"/>
      <c r="L68" s="194">
        <v>0.99956418195334817</v>
      </c>
      <c r="M68" s="194"/>
      <c r="N68" s="194">
        <v>0.99985256860533922</v>
      </c>
      <c r="O68" s="194"/>
      <c r="P68" s="194">
        <v>1.0001390917040889</v>
      </c>
      <c r="Q68" s="194"/>
      <c r="R68" s="194">
        <v>1.0002894747167104</v>
      </c>
      <c r="S68" s="194"/>
      <c r="T68" s="194">
        <v>1.0000534376219583</v>
      </c>
      <c r="U68" s="194"/>
      <c r="V68" s="194">
        <v>0.99893821517337611</v>
      </c>
      <c r="W68" s="194"/>
      <c r="X68" s="194">
        <v>0.99601124710454614</v>
      </c>
      <c r="Y68" s="194"/>
      <c r="Z68" s="194">
        <v>0.99009825381670657</v>
      </c>
      <c r="AA68" s="194"/>
      <c r="AB68" s="194" t="e">
        <v>#DIV/0!</v>
      </c>
      <c r="AC68" s="194"/>
      <c r="AD68" s="194" t="e">
        <v>#DIV/0!</v>
      </c>
      <c r="AE68" s="194"/>
      <c r="AF68" s="194" t="e">
        <v>#DIV/0!</v>
      </c>
      <c r="AG68" s="194"/>
      <c r="AH68" s="194" t="e">
        <v>#DIV/0!</v>
      </c>
      <c r="AI68" s="194"/>
      <c r="AJ68" s="194" t="e">
        <v>#DIV/0!</v>
      </c>
      <c r="AK68" s="194"/>
      <c r="AL68" s="194" t="e">
        <v>#DIV/0!</v>
      </c>
      <c r="AM68" s="194"/>
      <c r="AN68" s="194" t="e">
        <v>#DIV/0!</v>
      </c>
      <c r="AO68" s="194"/>
      <c r="AP68" s="194" t="e">
        <v>#DIV/0!</v>
      </c>
      <c r="AQ68" s="194"/>
      <c r="AR68" s="194" t="e">
        <v>#DIV/0!</v>
      </c>
      <c r="AS68" s="194"/>
      <c r="AT68" s="194" t="e">
        <v>#DIV/0!</v>
      </c>
      <c r="AU68" s="194"/>
      <c r="AV68" s="194" t="e">
        <v>#DIV/0!</v>
      </c>
      <c r="XFD68" s="194"/>
    </row>
    <row r="69" spans="1:48 16384:16384" x14ac:dyDescent="0.2">
      <c r="A69" t="s">
        <v>180</v>
      </c>
      <c r="B69" s="194">
        <v>1</v>
      </c>
      <c r="C69" s="194"/>
      <c r="D69" s="194">
        <v>0.96304986065377551</v>
      </c>
      <c r="E69" s="194"/>
      <c r="F69" s="194">
        <v>0.9222701610949442</v>
      </c>
      <c r="G69" s="194"/>
      <c r="H69" s="194">
        <v>0.87799764160501248</v>
      </c>
      <c r="I69" s="194"/>
      <c r="J69" s="194">
        <v>0.83073366279297389</v>
      </c>
      <c r="K69" s="194"/>
      <c r="L69" s="194">
        <v>0.78112742539150182</v>
      </c>
      <c r="M69" s="194"/>
      <c r="N69" s="194">
        <v>0.72996528163823815</v>
      </c>
      <c r="O69" s="194"/>
      <c r="P69" s="194">
        <v>0.67819434043976079</v>
      </c>
      <c r="Q69" s="194"/>
      <c r="R69" s="194">
        <v>0.62702070155869816</v>
      </c>
      <c r="S69" s="194"/>
      <c r="T69" s="194">
        <v>0.57815623815669848</v>
      </c>
      <c r="U69" s="194"/>
      <c r="V69" s="194">
        <v>0.53436603835388774</v>
      </c>
      <c r="W69" s="194"/>
      <c r="X69" s="194">
        <v>0.50027089635008404</v>
      </c>
      <c r="Y69" s="194"/>
      <c r="Z69" s="194">
        <v>0.48079598369038218</v>
      </c>
      <c r="AA69" s="194"/>
      <c r="AB69" s="194" t="e">
        <v>#DIV/0!</v>
      </c>
      <c r="AC69" s="194"/>
      <c r="AD69" s="194" t="e">
        <v>#DIV/0!</v>
      </c>
      <c r="AE69" s="194"/>
      <c r="AF69" s="194" t="e">
        <v>#DIV/0!</v>
      </c>
      <c r="AG69" s="194"/>
      <c r="AH69" s="194" t="e">
        <v>#DIV/0!</v>
      </c>
      <c r="AI69" s="194"/>
      <c r="AJ69" s="194" t="e">
        <v>#DIV/0!</v>
      </c>
      <c r="AK69" s="194"/>
      <c r="AL69" s="194" t="e">
        <v>#DIV/0!</v>
      </c>
      <c r="AM69" s="194"/>
      <c r="AN69" s="194" t="e">
        <v>#DIV/0!</v>
      </c>
      <c r="AO69" s="194"/>
      <c r="AP69" s="194" t="e">
        <v>#DIV/0!</v>
      </c>
      <c r="AQ69" s="194"/>
      <c r="AR69" s="194" t="e">
        <v>#DIV/0!</v>
      </c>
      <c r="AS69" s="194"/>
      <c r="AT69" s="194" t="e">
        <v>#DIV/0!</v>
      </c>
      <c r="AU69" s="194"/>
      <c r="AV69" s="194" t="e">
        <v>#DIV/0!</v>
      </c>
    </row>
    <row r="70" spans="1:48 16384:16384" x14ac:dyDescent="0.2">
      <c r="A70" t="s">
        <v>181</v>
      </c>
      <c r="B70" s="141">
        <v>1</v>
      </c>
      <c r="C70" s="141"/>
      <c r="D70" s="141">
        <v>0.96296484564711438</v>
      </c>
      <c r="E70" s="141"/>
      <c r="F70" s="141">
        <v>0.92204958267465331</v>
      </c>
      <c r="G70" s="141"/>
      <c r="H70" s="141">
        <v>0.87760680391850776</v>
      </c>
      <c r="I70" s="141"/>
      <c r="J70" s="141">
        <v>0.83015587622042453</v>
      </c>
      <c r="K70" s="141"/>
      <c r="L70" s="141">
        <v>0.78036551557245393</v>
      </c>
      <c r="M70" s="141"/>
      <c r="N70" s="141">
        <v>0.72904304037134982</v>
      </c>
      <c r="O70" s="141"/>
      <c r="P70" s="141">
        <v>0.67715923398100519</v>
      </c>
      <c r="Q70" s="141"/>
      <c r="R70" s="141">
        <v>0.6259503535239439</v>
      </c>
      <c r="S70" s="141"/>
      <c r="T70" s="141">
        <v>0.57717408913590251</v>
      </c>
      <c r="U70" s="141"/>
      <c r="V70" s="141">
        <v>0.53367934899626301</v>
      </c>
      <c r="W70" s="141"/>
      <c r="X70" s="141">
        <v>0.50025600819732108</v>
      </c>
      <c r="Y70" s="141"/>
      <c r="Z70" s="141">
        <v>0.48210516903897421</v>
      </c>
      <c r="AA70" s="141"/>
      <c r="AB70" s="141">
        <v>0</v>
      </c>
      <c r="AC70" s="141"/>
      <c r="AD70" s="141">
        <v>0</v>
      </c>
      <c r="AE70" s="141"/>
      <c r="AF70" s="141">
        <v>0</v>
      </c>
      <c r="AG70" s="141"/>
      <c r="AH70" s="141">
        <v>0</v>
      </c>
      <c r="AI70" s="141"/>
      <c r="AJ70" s="141">
        <v>0</v>
      </c>
      <c r="AK70" s="141"/>
      <c r="AL70" s="141">
        <v>0</v>
      </c>
      <c r="AM70" s="141"/>
      <c r="AN70" s="141">
        <v>0</v>
      </c>
      <c r="AO70" s="141"/>
      <c r="AP70" s="141">
        <v>0</v>
      </c>
      <c r="AQ70" s="141"/>
      <c r="AR70" s="141">
        <v>0</v>
      </c>
      <c r="AS70" s="141"/>
      <c r="AT70" s="141">
        <v>0</v>
      </c>
      <c r="AU70" s="141"/>
      <c r="AV70" s="141">
        <v>0</v>
      </c>
    </row>
    <row r="71" spans="1:48 16384:16384" x14ac:dyDescent="0.2">
      <c r="A71" t="s">
        <v>182</v>
      </c>
      <c r="B71" s="141">
        <v>1</v>
      </c>
      <c r="D71" s="141">
        <v>0.93958652500613149</v>
      </c>
      <c r="E71" s="141"/>
      <c r="F71" s="141">
        <v>0.88323090085948519</v>
      </c>
      <c r="G71" s="141"/>
      <c r="H71" s="141">
        <v>0.83040353714801873</v>
      </c>
      <c r="I71" s="141"/>
      <c r="J71" s="141">
        <v>0.78042063280830121</v>
      </c>
      <c r="K71" s="141"/>
      <c r="L71" s="141">
        <v>0.73246085828878371</v>
      </c>
      <c r="M71" s="141"/>
      <c r="N71" s="141">
        <v>0.68556669012373206</v>
      </c>
      <c r="O71" s="141"/>
      <c r="P71" s="141">
        <v>0.63859786087598669</v>
      </c>
      <c r="Q71" s="141"/>
      <c r="R71" s="141">
        <v>0.59008932466393405</v>
      </c>
      <c r="S71" s="141"/>
      <c r="T71" s="141">
        <v>0.53792140528648558</v>
      </c>
      <c r="U71" s="141"/>
      <c r="V71" s="141">
        <v>0.47861980018051403</v>
      </c>
      <c r="W71" s="141"/>
      <c r="X71" s="141">
        <v>0.40641186139378099</v>
      </c>
      <c r="Y71" s="141"/>
      <c r="Z71" s="141">
        <v>0.31558870450104914</v>
      </c>
      <c r="AA71" s="141"/>
      <c r="AB71" s="141">
        <v>0</v>
      </c>
      <c r="AC71" s="141"/>
      <c r="AD71" s="141">
        <v>0</v>
      </c>
      <c r="AE71" s="141"/>
      <c r="AF71" s="141">
        <v>0</v>
      </c>
      <c r="AG71" s="141"/>
      <c r="AH71" s="141">
        <v>0</v>
      </c>
      <c r="AI71" s="141"/>
      <c r="AJ71" s="141">
        <v>0</v>
      </c>
      <c r="AK71" s="141"/>
      <c r="AL71" s="141">
        <v>0</v>
      </c>
      <c r="AM71" s="141"/>
      <c r="AN71" s="141">
        <v>0</v>
      </c>
      <c r="AO71" s="141"/>
      <c r="AP71" s="141">
        <v>0</v>
      </c>
      <c r="AQ71" s="141"/>
      <c r="AR71" s="141">
        <v>0</v>
      </c>
      <c r="AS71" s="141"/>
      <c r="AT71" s="141">
        <v>0</v>
      </c>
      <c r="AU71" s="141"/>
      <c r="AV71" s="141">
        <v>0</v>
      </c>
      <c r="XFD71" s="141"/>
    </row>
    <row r="72" spans="1:48 16384:16384" x14ac:dyDescent="0.2">
      <c r="A72" t="s">
        <v>183</v>
      </c>
      <c r="B72" s="141">
        <v>1</v>
      </c>
      <c r="D72" s="141">
        <v>0.96630432146615053</v>
      </c>
      <c r="E72" s="141"/>
      <c r="F72" s="141">
        <v>0.92635351843711755</v>
      </c>
      <c r="G72" s="141"/>
      <c r="H72" s="141">
        <v>0.88086239582402348</v>
      </c>
      <c r="I72" s="141"/>
      <c r="J72" s="141">
        <v>0.83085655115942991</v>
      </c>
      <c r="K72" s="141"/>
      <c r="L72" s="141">
        <v>0.77762679055808692</v>
      </c>
      <c r="M72" s="141"/>
      <c r="N72" s="141">
        <v>0.72270432592860723</v>
      </c>
      <c r="O72" s="141"/>
      <c r="P72" s="141">
        <v>0.66790951974848956</v>
      </c>
      <c r="Q72" s="141"/>
      <c r="R72" s="141">
        <v>0.61555914072944284</v>
      </c>
      <c r="S72" s="141"/>
      <c r="T72" s="141">
        <v>0.56901255305624809</v>
      </c>
      <c r="U72" s="141"/>
      <c r="V72" s="141">
        <v>0.53399181211267399</v>
      </c>
      <c r="W72" s="141"/>
      <c r="X72" s="141">
        <v>0.52110060276726167</v>
      </c>
      <c r="Y72" s="141"/>
      <c r="Z72" s="141">
        <v>0.54517632468882782</v>
      </c>
      <c r="AA72" s="141"/>
      <c r="AB72" s="141">
        <v>0</v>
      </c>
      <c r="AC72" s="141"/>
      <c r="AD72" s="141">
        <v>0</v>
      </c>
      <c r="AE72" s="141"/>
      <c r="AF72" s="141">
        <v>0</v>
      </c>
      <c r="AG72" s="141"/>
      <c r="AH72" s="141">
        <v>0</v>
      </c>
      <c r="AI72" s="141"/>
      <c r="AJ72" s="141">
        <v>0</v>
      </c>
      <c r="AK72" s="141"/>
      <c r="AL72" s="141">
        <v>0</v>
      </c>
      <c r="AM72" s="141"/>
      <c r="AN72" s="141">
        <v>0</v>
      </c>
      <c r="AO72" s="141"/>
      <c r="AP72" s="141">
        <v>0</v>
      </c>
      <c r="AQ72" s="141"/>
      <c r="AR72" s="141">
        <v>0</v>
      </c>
      <c r="AS72" s="141"/>
      <c r="AT72" s="141">
        <v>0</v>
      </c>
      <c r="AU72" s="141"/>
      <c r="AV72" s="141">
        <v>0</v>
      </c>
      <c r="XFD72" s="141"/>
    </row>
    <row r="73" spans="1:48 16384:16384" x14ac:dyDescent="0.2">
      <c r="A73" t="s">
        <v>187</v>
      </c>
      <c r="B73" s="196">
        <v>0.56706723273486048</v>
      </c>
      <c r="D73" s="196">
        <v>0.5670672251483736</v>
      </c>
      <c r="E73" s="141"/>
      <c r="F73" s="196">
        <v>0.56706723664987935</v>
      </c>
      <c r="G73" s="141"/>
      <c r="H73" s="196">
        <v>0.56706723149011029</v>
      </c>
      <c r="I73" s="141"/>
      <c r="J73" s="196">
        <v>0.56706723088390709</v>
      </c>
      <c r="K73" s="141"/>
      <c r="L73" s="196">
        <v>0.56706723338901954</v>
      </c>
      <c r="M73" s="141"/>
      <c r="N73" s="196">
        <v>0.56706723289298533</v>
      </c>
      <c r="O73" s="141"/>
      <c r="P73" s="196">
        <v>0.56706723271934245</v>
      </c>
      <c r="Q73" s="141"/>
      <c r="R73" s="196">
        <v>0.56706723210784782</v>
      </c>
      <c r="S73" s="141"/>
      <c r="T73" s="196">
        <v>0.56706723339730203</v>
      </c>
      <c r="U73" s="141"/>
      <c r="V73" s="196">
        <v>0.56706723492746136</v>
      </c>
      <c r="W73" s="141"/>
      <c r="X73" s="196">
        <v>0.56706723501657741</v>
      </c>
      <c r="Y73" s="141"/>
      <c r="Z73" s="196">
        <v>0.56706723389607316</v>
      </c>
      <c r="AA73" s="141"/>
      <c r="AB73" s="196" t="e">
        <v>#DIV/0!</v>
      </c>
      <c r="AC73" s="141"/>
      <c r="AD73" s="196" t="e">
        <v>#DIV/0!</v>
      </c>
      <c r="AE73" s="141"/>
      <c r="AF73" s="196" t="e">
        <v>#DIV/0!</v>
      </c>
      <c r="AG73" s="141"/>
      <c r="AH73" s="196" t="e">
        <v>#DIV/0!</v>
      </c>
      <c r="AI73" s="141"/>
      <c r="AJ73" s="196" t="e">
        <v>#DIV/0!</v>
      </c>
      <c r="AK73" s="141"/>
      <c r="AL73" s="196" t="e">
        <v>#DIV/0!</v>
      </c>
      <c r="AM73" s="141"/>
      <c r="AN73" s="196" t="e">
        <v>#DIV/0!</v>
      </c>
      <c r="AO73" s="141"/>
      <c r="AP73" s="196" t="e">
        <v>#DIV/0!</v>
      </c>
      <c r="AQ73" s="141"/>
      <c r="AR73" s="196" t="e">
        <v>#DIV/0!</v>
      </c>
      <c r="AS73" s="141"/>
      <c r="AT73" s="196" t="e">
        <v>#DIV/0!</v>
      </c>
      <c r="AU73" s="141"/>
      <c r="AV73" s="196" t="e">
        <v>#DIV/0!</v>
      </c>
      <c r="XFD73" s="196"/>
    </row>
    <row r="74" spans="1:48 16384:16384" x14ac:dyDescent="0.2">
      <c r="A74" t="s">
        <v>188</v>
      </c>
      <c r="B74" s="196">
        <v>0.21672767296897655</v>
      </c>
      <c r="D74" s="196">
        <v>0.21672767296897658</v>
      </c>
      <c r="E74" s="141"/>
      <c r="F74" s="196">
        <v>0.21672767296897652</v>
      </c>
      <c r="G74" s="141"/>
      <c r="H74" s="196">
        <v>0.21672767296897655</v>
      </c>
      <c r="I74" s="141"/>
      <c r="J74" s="196">
        <v>0.21672767296897655</v>
      </c>
      <c r="K74" s="141"/>
      <c r="L74" s="196">
        <v>0.21672767296897655</v>
      </c>
      <c r="M74" s="141"/>
      <c r="N74" s="196">
        <v>0.21672767296897655</v>
      </c>
      <c r="O74" s="141"/>
      <c r="P74" s="196">
        <v>0.21672767296897655</v>
      </c>
      <c r="Q74" s="141"/>
      <c r="R74" s="196">
        <v>0.21672767296897655</v>
      </c>
      <c r="S74" s="141"/>
      <c r="T74" s="196">
        <v>0.21672767296897655</v>
      </c>
      <c r="U74" s="141"/>
      <c r="V74" s="196">
        <v>0.21672767296897652</v>
      </c>
      <c r="W74" s="141"/>
      <c r="X74" s="196">
        <v>0.21672767296897655</v>
      </c>
      <c r="Y74" s="141"/>
      <c r="Z74" s="196">
        <v>0.21672767296897658</v>
      </c>
      <c r="AA74" s="141"/>
      <c r="AB74" s="196" t="e">
        <v>#DIV/0!</v>
      </c>
      <c r="AC74" s="141"/>
      <c r="AD74" s="196" t="e">
        <v>#DIV/0!</v>
      </c>
      <c r="AE74" s="141"/>
      <c r="AF74" s="196" t="e">
        <v>#DIV/0!</v>
      </c>
      <c r="AG74" s="141"/>
      <c r="AH74" s="196" t="e">
        <v>#DIV/0!</v>
      </c>
      <c r="AI74" s="141"/>
      <c r="AJ74" s="196" t="e">
        <v>#DIV/0!</v>
      </c>
      <c r="AK74" s="141"/>
      <c r="AL74" s="196" t="e">
        <v>#DIV/0!</v>
      </c>
      <c r="AM74" s="141"/>
      <c r="AN74" s="196" t="e">
        <v>#DIV/0!</v>
      </c>
      <c r="AO74" s="141"/>
      <c r="AP74" s="196" t="e">
        <v>#DIV/0!</v>
      </c>
      <c r="AQ74" s="141"/>
      <c r="AR74" s="196" t="e">
        <v>#DIV/0!</v>
      </c>
      <c r="AS74" s="141"/>
      <c r="AT74" s="196" t="e">
        <v>#DIV/0!</v>
      </c>
      <c r="AU74" s="141"/>
      <c r="AV74" s="196" t="e">
        <v>#DIV/0!</v>
      </c>
      <c r="XFD74" s="196"/>
    </row>
    <row r="75" spans="1:48 16384:16384" x14ac:dyDescent="0.2">
      <c r="A75" t="s">
        <v>189</v>
      </c>
      <c r="B75" s="196">
        <v>0.20445380142857192</v>
      </c>
      <c r="D75" s="196">
        <v>0.20445380246748765</v>
      </c>
      <c r="E75" s="141"/>
      <c r="F75" s="196">
        <v>0.2044538007866365</v>
      </c>
      <c r="G75" s="141"/>
      <c r="H75" s="196">
        <v>0.20445380166959556</v>
      </c>
      <c r="I75" s="141"/>
      <c r="J75" s="196">
        <v>0.20445380183981773</v>
      </c>
      <c r="K75" s="141"/>
      <c r="L75" s="196">
        <v>0.20445380127399693</v>
      </c>
      <c r="M75" s="141"/>
      <c r="N75" s="196">
        <v>0.20445380139892569</v>
      </c>
      <c r="O75" s="141"/>
      <c r="P75" s="196">
        <v>0.2044538014722298</v>
      </c>
      <c r="Q75" s="141"/>
      <c r="R75" s="196">
        <v>0.2044538016840132</v>
      </c>
      <c r="S75" s="141"/>
      <c r="T75" s="196">
        <v>0.20445380124790941</v>
      </c>
      <c r="U75" s="141"/>
      <c r="V75" s="196">
        <v>0.20445380114382664</v>
      </c>
      <c r="W75" s="141"/>
      <c r="X75" s="196">
        <v>0.20445380140637456</v>
      </c>
      <c r="Y75" s="141"/>
      <c r="Z75" s="196">
        <v>0.20445380148658254</v>
      </c>
      <c r="AA75" s="141"/>
      <c r="AB75" s="196" t="e">
        <v>#DIV/0!</v>
      </c>
      <c r="AC75" s="141"/>
      <c r="AD75" s="196" t="e">
        <v>#DIV/0!</v>
      </c>
      <c r="AE75" s="141"/>
      <c r="AF75" s="196" t="e">
        <v>#DIV/0!</v>
      </c>
      <c r="AG75" s="141"/>
      <c r="AH75" s="196" t="e">
        <v>#DIV/0!</v>
      </c>
      <c r="AI75" s="141"/>
      <c r="AJ75" s="196" t="e">
        <v>#DIV/0!</v>
      </c>
      <c r="AK75" s="141"/>
      <c r="AL75" s="196" t="e">
        <v>#DIV/0!</v>
      </c>
      <c r="AM75" s="141"/>
      <c r="AN75" s="196" t="e">
        <v>#DIV/0!</v>
      </c>
      <c r="AO75" s="141"/>
      <c r="AP75" s="196" t="e">
        <v>#DIV/0!</v>
      </c>
      <c r="AQ75" s="141"/>
      <c r="AR75" s="196" t="e">
        <v>#DIV/0!</v>
      </c>
      <c r="AS75" s="141"/>
      <c r="AT75" s="196" t="e">
        <v>#DIV/0!</v>
      </c>
      <c r="AU75" s="141"/>
      <c r="AV75" s="196" t="e">
        <v>#DIV/0!</v>
      </c>
      <c r="XFD75" s="196"/>
    </row>
    <row r="76" spans="1:48 16384:16384" x14ac:dyDescent="0.2">
      <c r="A76" t="s">
        <v>190</v>
      </c>
      <c r="B76" s="196">
        <v>0.20231859885161138</v>
      </c>
      <c r="D76" s="196">
        <v>0.20235535011011102</v>
      </c>
      <c r="E76" s="141"/>
      <c r="F76" s="196">
        <v>0.20232768436600654</v>
      </c>
      <c r="G76" s="141"/>
      <c r="H76" s="196">
        <v>0.20223917846600156</v>
      </c>
      <c r="I76" s="141"/>
      <c r="J76" s="196">
        <v>0.20209781934413856</v>
      </c>
      <c r="K76" s="141"/>
      <c r="L76" s="196">
        <v>0.20191683294812346</v>
      </c>
      <c r="M76" s="141"/>
      <c r="N76" s="196">
        <v>0.20171663650148611</v>
      </c>
      <c r="O76" s="141"/>
      <c r="P76" s="196">
        <v>0.20152950209600265</v>
      </c>
      <c r="Q76" s="141"/>
      <c r="R76" s="196">
        <v>0.20141036339397381</v>
      </c>
      <c r="S76" s="141"/>
      <c r="T76" s="196">
        <v>0.2014622999792024</v>
      </c>
      <c r="U76" s="141"/>
      <c r="V76" s="196">
        <v>0.20189871194764178</v>
      </c>
      <c r="W76" s="141"/>
      <c r="X76" s="196">
        <v>0.2031772963313408</v>
      </c>
      <c r="Y76" s="141"/>
      <c r="Z76" s="196">
        <v>0.20607600932211348</v>
      </c>
      <c r="AA76" s="141"/>
      <c r="AB76" s="196" t="e">
        <v>#DIV/0!</v>
      </c>
      <c r="AC76" s="141"/>
      <c r="AD76" s="196" t="e">
        <v>#DIV/0!</v>
      </c>
      <c r="AE76" s="141"/>
      <c r="AF76" s="196" t="e">
        <v>#DIV/0!</v>
      </c>
      <c r="AG76" s="141"/>
      <c r="AH76" s="196" t="e">
        <v>#DIV/0!</v>
      </c>
      <c r="AI76" s="141"/>
      <c r="AJ76" s="196" t="e">
        <v>#DIV/0!</v>
      </c>
      <c r="AK76" s="141"/>
      <c r="AL76" s="196" t="e">
        <v>#DIV/0!</v>
      </c>
      <c r="AM76" s="141"/>
      <c r="AN76" s="196" t="e">
        <v>#DIV/0!</v>
      </c>
      <c r="AO76" s="141"/>
      <c r="AP76" s="196" t="e">
        <v>#DIV/0!</v>
      </c>
      <c r="AQ76" s="141"/>
      <c r="AR76" s="196" t="e">
        <v>#DIV/0!</v>
      </c>
      <c r="AS76" s="141"/>
      <c r="AT76" s="196" t="e">
        <v>#DIV/0!</v>
      </c>
      <c r="AU76" s="141"/>
      <c r="AV76" s="196" t="e">
        <v>#DIV/0!</v>
      </c>
      <c r="XFD76" s="196"/>
    </row>
    <row r="77" spans="1:48 16384:16384" x14ac:dyDescent="0.2">
      <c r="A77" t="s">
        <v>191</v>
      </c>
      <c r="B77" s="196">
        <v>0.19056730598402033</v>
      </c>
      <c r="D77" s="196">
        <v>0.19060405069494879</v>
      </c>
      <c r="E77" s="141"/>
      <c r="F77" s="196">
        <v>0.19057639477149924</v>
      </c>
      <c r="G77" s="141"/>
      <c r="H77" s="196">
        <v>0.19048788459468402</v>
      </c>
      <c r="I77" s="141"/>
      <c r="J77" s="196">
        <v>0.19034652503683991</v>
      </c>
      <c r="K77" s="141"/>
      <c r="L77" s="196">
        <v>0.19016554058011662</v>
      </c>
      <c r="M77" s="141"/>
      <c r="N77" s="196">
        <v>0.18996534376237378</v>
      </c>
      <c r="O77" s="141"/>
      <c r="P77" s="196">
        <v>0.18977820925655181</v>
      </c>
      <c r="Q77" s="141"/>
      <c r="R77" s="196">
        <v>0.18965907015481159</v>
      </c>
      <c r="S77" s="141"/>
      <c r="T77" s="196">
        <v>0.1897110075933906</v>
      </c>
      <c r="U77" s="141"/>
      <c r="V77" s="196">
        <v>0.19014742098790624</v>
      </c>
      <c r="W77" s="141"/>
      <c r="X77" s="196">
        <v>0.19142600572326959</v>
      </c>
      <c r="Y77" s="141"/>
      <c r="Z77" s="196">
        <v>0.19432471767374573</v>
      </c>
      <c r="AA77" s="141"/>
      <c r="AB77" s="196" t="e">
        <v>#DIV/0!</v>
      </c>
      <c r="AC77" s="141"/>
      <c r="AD77" s="196" t="e">
        <v>#DIV/0!</v>
      </c>
      <c r="AE77" s="141"/>
      <c r="AF77" s="196" t="e">
        <v>#DIV/0!</v>
      </c>
      <c r="AG77" s="141"/>
      <c r="AH77" s="196" t="e">
        <v>#DIV/0!</v>
      </c>
      <c r="AI77" s="141"/>
      <c r="AJ77" s="196" t="e">
        <v>#DIV/0!</v>
      </c>
      <c r="AK77" s="141"/>
      <c r="AL77" s="196" t="e">
        <v>#DIV/0!</v>
      </c>
      <c r="AM77" s="141"/>
      <c r="AN77" s="196" t="e">
        <v>#DIV/0!</v>
      </c>
      <c r="AO77" s="141"/>
      <c r="AP77" s="196" t="e">
        <v>#DIV/0!</v>
      </c>
      <c r="AQ77" s="141"/>
      <c r="AR77" s="196" t="e">
        <v>#DIV/0!</v>
      </c>
      <c r="AS77" s="141"/>
      <c r="AT77" s="196" t="e">
        <v>#DIV/0!</v>
      </c>
      <c r="AU77" s="141"/>
      <c r="AV77" s="196" t="e">
        <v>#DIV/0!</v>
      </c>
      <c r="XFD77" s="196"/>
    </row>
    <row r="78" spans="1:48 16384:16384" x14ac:dyDescent="0.2">
      <c r="A78" t="s">
        <v>192</v>
      </c>
      <c r="B78" s="196">
        <v>0.27666372811889955</v>
      </c>
      <c r="D78" s="196">
        <v>0.26749787635690508</v>
      </c>
      <c r="E78" s="141"/>
      <c r="F78" s="196">
        <v>0.25896505797580083</v>
      </c>
      <c r="G78" s="141"/>
      <c r="H78" s="196">
        <v>0.25115433441650969</v>
      </c>
      <c r="I78" s="141"/>
      <c r="J78" s="196">
        <v>0.24412218512334635</v>
      </c>
      <c r="K78" s="141"/>
      <c r="L78" s="196">
        <v>0.23789293990480012</v>
      </c>
      <c r="M78" s="141"/>
      <c r="N78" s="196">
        <v>0.23246610614864793</v>
      </c>
      <c r="O78" s="141"/>
      <c r="P78" s="196">
        <v>0.22782838294658145</v>
      </c>
      <c r="Q78" s="141"/>
      <c r="R78" s="196">
        <v>0.22396885995489516</v>
      </c>
      <c r="S78" s="141"/>
      <c r="T78" s="196">
        <v>0.22090356458785543</v>
      </c>
      <c r="U78" s="141"/>
      <c r="V78" s="196">
        <v>0.21872099236476539</v>
      </c>
      <c r="W78" s="141"/>
      <c r="X78" s="196">
        <v>0.21765569632856202</v>
      </c>
      <c r="Y78" s="141"/>
      <c r="Z78" s="196">
        <v>0.21803790178898871</v>
      </c>
      <c r="AA78" s="141"/>
      <c r="AB78" s="196" t="e">
        <v>#DIV/0!</v>
      </c>
      <c r="AC78" s="141"/>
      <c r="AD78" s="196" t="e">
        <v>#DIV/0!</v>
      </c>
      <c r="AE78" s="141"/>
      <c r="AF78" s="196" t="e">
        <v>#DIV/0!</v>
      </c>
      <c r="AG78" s="141"/>
      <c r="AH78" s="196" t="e">
        <v>#DIV/0!</v>
      </c>
      <c r="AI78" s="141"/>
      <c r="AJ78" s="196" t="e">
        <v>#DIV/0!</v>
      </c>
      <c r="AK78" s="141"/>
      <c r="AL78" s="196" t="e">
        <v>#DIV/0!</v>
      </c>
      <c r="AM78" s="141"/>
      <c r="AN78" s="196" t="e">
        <v>#DIV/0!</v>
      </c>
      <c r="AO78" s="141"/>
      <c r="AP78" s="196" t="e">
        <v>#DIV/0!</v>
      </c>
      <c r="AQ78" s="141"/>
      <c r="AR78" s="196" t="e">
        <v>#DIV/0!</v>
      </c>
      <c r="AS78" s="141"/>
      <c r="AT78" s="196" t="e">
        <v>#DIV/0!</v>
      </c>
      <c r="AU78" s="141"/>
      <c r="AV78" s="196" t="e">
        <v>#DIV/0!</v>
      </c>
      <c r="XFD78" s="196"/>
    </row>
    <row r="79" spans="1:48 16384:16384" x14ac:dyDescent="0.2">
      <c r="A79" t="s">
        <v>193</v>
      </c>
      <c r="B79" s="196">
        <v>0.42990307543833983</v>
      </c>
      <c r="D79" s="196">
        <v>0.4434723343107439</v>
      </c>
      <c r="F79" s="196">
        <v>0.4561031579614222</v>
      </c>
      <c r="H79" s="196">
        <v>0.46766646547321111</v>
      </c>
      <c r="J79" s="196">
        <v>0.47807682093023091</v>
      </c>
      <c r="L79" s="196">
        <v>0.48729776546259113</v>
      </c>
      <c r="N79" s="196">
        <v>0.49533155444533511</v>
      </c>
      <c r="P79" s="196">
        <v>0.50219699427255793</v>
      </c>
      <c r="R79" s="196">
        <v>0.50791035389831385</v>
      </c>
      <c r="T79" s="196">
        <v>0.51244858403295879</v>
      </c>
      <c r="V79" s="196">
        <v>0.5156795902140322</v>
      </c>
      <c r="X79" s="196">
        <v>0.51725649831710907</v>
      </c>
      <c r="Z79" s="196">
        <v>0.51669068234303295</v>
      </c>
      <c r="AB79" s="196" t="e">
        <v>#DIV/0!</v>
      </c>
      <c r="AD79" s="196" t="e">
        <v>#DIV/0!</v>
      </c>
      <c r="AF79" s="196" t="e">
        <v>#DIV/0!</v>
      </c>
      <c r="AH79" s="196" t="e">
        <v>#DIV/0!</v>
      </c>
      <c r="AJ79" s="196" t="e">
        <v>#DIV/0!</v>
      </c>
      <c r="AL79" s="196" t="e">
        <v>#DIV/0!</v>
      </c>
      <c r="AN79" s="196" t="e">
        <v>#DIV/0!</v>
      </c>
      <c r="AP79" s="196" t="e">
        <v>#DIV/0!</v>
      </c>
      <c r="AR79" s="196" t="e">
        <v>#DIV/0!</v>
      </c>
      <c r="AT79" s="196" t="e">
        <v>#DIV/0!</v>
      </c>
      <c r="AV79" s="196" t="e">
        <v>#DIV/0!</v>
      </c>
      <c r="XFD79" s="196"/>
    </row>
    <row r="80" spans="1:48 16384:16384" x14ac:dyDescent="0.2">
      <c r="A80" t="s">
        <v>172</v>
      </c>
      <c r="B80" s="239">
        <v>0.29343319644276039</v>
      </c>
      <c r="D80" s="239">
        <v>0.28903024055352344</v>
      </c>
      <c r="F80" s="239">
        <v>0.28493138528450518</v>
      </c>
      <c r="H80" s="239">
        <v>0.28117938454982927</v>
      </c>
      <c r="J80" s="239">
        <v>0.27780138755759426</v>
      </c>
      <c r="L80" s="239">
        <v>0.27480908250891328</v>
      </c>
      <c r="N80" s="239">
        <v>0.27220222283948664</v>
      </c>
      <c r="P80" s="239">
        <v>0.26997442485126188</v>
      </c>
      <c r="R80" s="239">
        <v>0.26812044672794982</v>
      </c>
      <c r="T80" s="239">
        <v>0.26664798612358942</v>
      </c>
      <c r="V80" s="239">
        <v>0.26559955592744211</v>
      </c>
      <c r="X80" s="239">
        <v>0.26508782534904868</v>
      </c>
      <c r="Z80" s="239">
        <v>0.26527142277674082</v>
      </c>
      <c r="AB80" s="239" t="e">
        <v>#DIV/0!</v>
      </c>
      <c r="AD80" s="239" t="e">
        <v>#DIV/0!</v>
      </c>
      <c r="AF80" s="239" t="e">
        <v>#DIV/0!</v>
      </c>
      <c r="AH80" s="239" t="e">
        <v>#DIV/0!</v>
      </c>
      <c r="AJ80" s="239" t="e">
        <v>#DIV/0!</v>
      </c>
      <c r="AL80" s="239" t="e">
        <v>#DIV/0!</v>
      </c>
      <c r="AN80" s="239" t="e">
        <v>#DIV/0!</v>
      </c>
      <c r="AP80" s="239" t="e">
        <v>#DIV/0!</v>
      </c>
      <c r="AR80" s="239" t="e">
        <v>#DIV/0!</v>
      </c>
      <c r="AT80" s="239" t="e">
        <v>#DIV/0!</v>
      </c>
      <c r="AV80" s="239" t="e">
        <v>#DIV/0!</v>
      </c>
      <c r="XFD80" s="239"/>
    </row>
    <row r="81" spans="1:48 16384:16384" x14ac:dyDescent="0.2">
      <c r="A81" t="s">
        <v>194</v>
      </c>
      <c r="B81" s="239">
        <v>7.6705523473783829E-2</v>
      </c>
      <c r="D81" s="239">
        <v>7.2302567584546854E-2</v>
      </c>
      <c r="F81" s="239">
        <v>6.8203712315528645E-2</v>
      </c>
      <c r="H81" s="239">
        <v>6.4451711580852722E-2</v>
      </c>
      <c r="J81" s="239">
        <v>6.1073714588617711E-2</v>
      </c>
      <c r="L81" s="239">
        <v>5.8081409539936756E-2</v>
      </c>
      <c r="N81" s="239">
        <v>5.5474549870510079E-2</v>
      </c>
      <c r="P81" s="239">
        <v>5.3246751882285309E-2</v>
      </c>
      <c r="R81" s="239">
        <v>5.1392773758973297E-2</v>
      </c>
      <c r="T81" s="239">
        <v>4.9920313154612851E-2</v>
      </c>
      <c r="V81" s="239">
        <v>4.8871882958465569E-2</v>
      </c>
      <c r="X81" s="239">
        <v>4.8360152380072137E-2</v>
      </c>
      <c r="Z81" s="239">
        <v>4.8543749807764235E-2</v>
      </c>
      <c r="AB81" s="239" t="e">
        <v>#DIV/0!</v>
      </c>
      <c r="AD81" s="239" t="e">
        <v>#DIV/0!</v>
      </c>
      <c r="AF81" s="239" t="e">
        <v>#DIV/0!</v>
      </c>
      <c r="AH81" s="239" t="e">
        <v>#DIV/0!</v>
      </c>
      <c r="AJ81" s="239" t="e">
        <v>#DIV/0!</v>
      </c>
      <c r="AL81" s="239" t="e">
        <v>#DIV/0!</v>
      </c>
      <c r="AN81" s="239" t="e">
        <v>#DIV/0!</v>
      </c>
      <c r="AP81" s="239" t="e">
        <v>#DIV/0!</v>
      </c>
      <c r="AR81" s="239" t="e">
        <v>#DIV/0!</v>
      </c>
      <c r="AT81" s="239" t="e">
        <v>#DIV/0!</v>
      </c>
      <c r="AV81" s="239" t="e">
        <v>#DIV/0!</v>
      </c>
      <c r="XFD81" s="239"/>
    </row>
    <row r="82" spans="1:48 16384:16384" x14ac:dyDescent="0.2">
      <c r="A82" t="s">
        <v>195</v>
      </c>
      <c r="B82" s="239">
        <v>0</v>
      </c>
      <c r="D82" s="239">
        <v>0</v>
      </c>
      <c r="F82" s="239">
        <v>0</v>
      </c>
      <c r="H82" s="239">
        <v>0</v>
      </c>
      <c r="J82" s="239">
        <v>0</v>
      </c>
      <c r="L82" s="239">
        <v>0</v>
      </c>
      <c r="N82" s="239">
        <v>0</v>
      </c>
      <c r="P82" s="239">
        <v>0</v>
      </c>
      <c r="R82" s="239">
        <v>0</v>
      </c>
      <c r="T82" s="239">
        <v>0</v>
      </c>
      <c r="V82" s="239">
        <v>0</v>
      </c>
      <c r="X82" s="239">
        <v>0</v>
      </c>
      <c r="Z82" s="239">
        <v>0</v>
      </c>
      <c r="AB82" s="239" t="e">
        <v>#DIV/0!</v>
      </c>
      <c r="AD82" s="239" t="e">
        <v>#DIV/0!</v>
      </c>
      <c r="AF82" s="239" t="e">
        <v>#DIV/0!</v>
      </c>
      <c r="AH82" s="239" t="e">
        <v>#DIV/0!</v>
      </c>
      <c r="AJ82" s="239" t="e">
        <v>#DIV/0!</v>
      </c>
      <c r="AL82" s="239" t="e">
        <v>#DIV/0!</v>
      </c>
      <c r="AN82" s="239" t="e">
        <v>#DIV/0!</v>
      </c>
      <c r="AP82" s="239" t="e">
        <v>#DIV/0!</v>
      </c>
      <c r="AR82" s="239" t="e">
        <v>#DIV/0!</v>
      </c>
      <c r="AT82" s="239" t="e">
        <v>#DIV/0!</v>
      </c>
      <c r="AV82" s="239" t="e">
        <v>#DIV/0!</v>
      </c>
    </row>
    <row r="83" spans="1:48 16384:16384" x14ac:dyDescent="0.2">
      <c r="A83" t="s">
        <v>196</v>
      </c>
      <c r="B83" s="239">
        <v>0.13949957082237799</v>
      </c>
      <c r="D83" s="239">
        <v>0.14390266979334501</v>
      </c>
      <c r="F83" s="239">
        <v>0.14800125521659696</v>
      </c>
      <c r="H83" s="239">
        <v>0.15175344152867906</v>
      </c>
      <c r="J83" s="239">
        <v>0.15513150556528063</v>
      </c>
      <c r="L83" s="239">
        <v>0.1581236167604137</v>
      </c>
      <c r="N83" s="239">
        <v>0.16073050696241478</v>
      </c>
      <c r="P83" s="239">
        <v>0.16295827867218429</v>
      </c>
      <c r="R83" s="239">
        <v>0.16481221101480409</v>
      </c>
      <c r="T83" s="239">
        <v>0.16628482470902028</v>
      </c>
      <c r="V83" s="239">
        <v>0.16733325632380838</v>
      </c>
      <c r="X83" s="239">
        <v>0.16784494841482506</v>
      </c>
      <c r="Z83" s="239">
        <v>0.16766134636576419</v>
      </c>
      <c r="AB83" s="239" t="e">
        <v>#DIV/0!</v>
      </c>
      <c r="AD83" s="239" t="e">
        <v>#DIV/0!</v>
      </c>
      <c r="AF83" s="239" t="e">
        <v>#DIV/0!</v>
      </c>
      <c r="AH83" s="239" t="e">
        <v>#DIV/0!</v>
      </c>
      <c r="AJ83" s="239" t="e">
        <v>#DIV/0!</v>
      </c>
      <c r="AL83" s="239" t="e">
        <v>#DIV/0!</v>
      </c>
      <c r="AN83" s="239" t="e">
        <v>#DIV/0!</v>
      </c>
      <c r="AP83" s="239" t="e">
        <v>#DIV/0!</v>
      </c>
      <c r="AR83" s="239" t="e">
        <v>#DIV/0!</v>
      </c>
      <c r="AT83" s="239" t="e">
        <v>#DIV/0!</v>
      </c>
      <c r="AV83" s="239" t="e">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dimension ref="A1:XFD83"/>
  <sheetViews>
    <sheetView showGridLines="0" workbookViewId="0">
      <pane xSplit="1" ySplit="1" topLeftCell="AJ2" activePane="bottomRight" state="frozen"/>
      <selection pane="topRight" activeCell="B1" sqref="B1"/>
      <selection pane="bottomLeft" activeCell="A2" sqref="A2"/>
      <selection pane="bottomRight" activeCell="AY16" sqref="AY16"/>
    </sheetView>
  </sheetViews>
  <sheetFormatPr baseColWidth="10" defaultRowHeight="10" x14ac:dyDescent="0.2"/>
  <sheetData>
    <row r="1" spans="1:49" x14ac:dyDescent="0.2">
      <c r="B1" s="97">
        <v>0</v>
      </c>
      <c r="D1" s="97">
        <v>0.05</v>
      </c>
      <c r="F1" s="97">
        <v>0.1</v>
      </c>
      <c r="H1" s="97">
        <v>0.15000000000000002</v>
      </c>
      <c r="J1" s="97">
        <v>0.2</v>
      </c>
      <c r="L1" s="97">
        <v>0.25</v>
      </c>
      <c r="N1" s="97">
        <v>0.3</v>
      </c>
      <c r="P1" s="97">
        <v>0.35</v>
      </c>
      <c r="R1" s="97">
        <v>0.39999999999999997</v>
      </c>
      <c r="T1" s="97">
        <v>0.44999999999999996</v>
      </c>
      <c r="V1" s="97">
        <v>0.49999999999999994</v>
      </c>
      <c r="X1" s="97">
        <v>0.54999999999999993</v>
      </c>
      <c r="Z1" s="97">
        <v>0.6</v>
      </c>
      <c r="AB1" s="97">
        <v>0.65</v>
      </c>
      <c r="AD1" s="97">
        <v>0.70000000000000007</v>
      </c>
      <c r="AF1" s="97">
        <v>0.75000000000000011</v>
      </c>
      <c r="AH1" s="97">
        <v>0.80000000000000016</v>
      </c>
      <c r="AJ1" s="97">
        <v>0.8500000000000002</v>
      </c>
      <c r="AL1" s="97">
        <v>0.90000000000000024</v>
      </c>
      <c r="AN1" s="97">
        <v>0.95000000000000029</v>
      </c>
      <c r="AP1" s="97">
        <v>0.9600000000000003</v>
      </c>
      <c r="AR1" s="97">
        <v>0.97000000000000031</v>
      </c>
      <c r="AT1" s="97">
        <v>0.98000000000000032</v>
      </c>
      <c r="AV1" s="97">
        <v>0.99000000000000032</v>
      </c>
    </row>
    <row r="2" spans="1:49" x14ac:dyDescent="0.2">
      <c r="A2" s="232" t="s">
        <v>158</v>
      </c>
      <c r="B2" s="229">
        <v>0.16485636072655629</v>
      </c>
      <c r="C2" s="230"/>
      <c r="D2" s="229">
        <v>0.1949809261336094</v>
      </c>
      <c r="E2" s="230"/>
      <c r="F2" s="229">
        <v>0.22801410735669464</v>
      </c>
      <c r="G2" s="230"/>
      <c r="H2" s="229">
        <v>0.26444282816247611</v>
      </c>
      <c r="I2" s="230"/>
      <c r="J2" s="229">
        <v>0.30486810861335162</v>
      </c>
      <c r="K2" s="230"/>
      <c r="L2" s="229">
        <v>0.35003788549468162</v>
      </c>
      <c r="M2" s="230"/>
      <c r="N2" s="229">
        <v>0.40088978478280035</v>
      </c>
      <c r="O2" s="230"/>
      <c r="P2" s="229">
        <v>0.45860527884210633</v>
      </c>
      <c r="Q2" s="230"/>
      <c r="R2" s="229">
        <v>0.52467696830773236</v>
      </c>
      <c r="S2" s="230"/>
      <c r="T2" s="229">
        <v>0.60098475278566266</v>
      </c>
      <c r="U2" s="230"/>
      <c r="V2" s="229">
        <v>0.68986945705750791</v>
      </c>
      <c r="W2" s="230"/>
      <c r="X2" s="229">
        <v>0.79417035044470652</v>
      </c>
      <c r="Y2" s="230"/>
      <c r="Z2" s="229">
        <v>0.91716095638048178</v>
      </c>
      <c r="AA2" s="230"/>
      <c r="AB2" s="229">
        <v>1.0622757370218741</v>
      </c>
      <c r="AC2" s="230"/>
      <c r="AD2" s="229">
        <v>1.2325117547189579</v>
      </c>
      <c r="AE2" s="230"/>
      <c r="AF2" s="229">
        <v>1.4295040482672881</v>
      </c>
      <c r="AG2" s="230"/>
      <c r="AH2" s="229">
        <v>1.6525539925600159</v>
      </c>
      <c r="AI2" s="230"/>
      <c r="AJ2" s="229">
        <v>1.8981742843172353</v>
      </c>
      <c r="AK2" s="230"/>
      <c r="AL2" s="229">
        <v>2.1605798642974592</v>
      </c>
      <c r="AM2" s="230"/>
      <c r="AN2" s="229">
        <v>2.4329438843559075</v>
      </c>
      <c r="AO2" s="230"/>
      <c r="AP2" s="229">
        <v>2.4880206892790668</v>
      </c>
      <c r="AQ2" s="230"/>
      <c r="AR2" s="229">
        <v>2.5431836547857123</v>
      </c>
      <c r="AS2" s="230"/>
      <c r="AT2" s="229">
        <v>2.5983875886456049</v>
      </c>
      <c r="AU2" s="230"/>
      <c r="AV2" s="229">
        <v>2.653589636527097</v>
      </c>
      <c r="AW2" s="230"/>
    </row>
    <row r="3" spans="1:49" x14ac:dyDescent="0.2">
      <c r="A3" t="s">
        <v>12</v>
      </c>
      <c r="B3" s="87">
        <v>1000</v>
      </c>
      <c r="C3" s="88">
        <v>1000</v>
      </c>
      <c r="D3" s="87">
        <v>998.53043634030507</v>
      </c>
      <c r="E3" s="88">
        <v>1022.1389557102303</v>
      </c>
      <c r="F3" s="87">
        <v>997.07891080873708</v>
      </c>
      <c r="G3" s="88">
        <v>1046.5024263485159</v>
      </c>
      <c r="H3" s="87">
        <v>995.65035956985855</v>
      </c>
      <c r="I3" s="88">
        <v>1073.4363148367097</v>
      </c>
      <c r="J3" s="87">
        <v>994.25154023544178</v>
      </c>
      <c r="K3" s="88">
        <v>1103.360848399921</v>
      </c>
      <c r="L3" s="87">
        <v>992.89161427119006</v>
      </c>
      <c r="M3" s="88">
        <v>1136.7903091497785</v>
      </c>
      <c r="N3" s="87">
        <v>991.58299354115252</v>
      </c>
      <c r="O3" s="88">
        <v>1174.3573366527144</v>
      </c>
      <c r="P3" s="87">
        <v>990.3423454271059</v>
      </c>
      <c r="Q3" s="88">
        <v>1216.8433053229187</v>
      </c>
      <c r="R3" s="87">
        <v>989.19188887918176</v>
      </c>
      <c r="S3" s="88">
        <v>1265.2131521000106</v>
      </c>
      <c r="T3" s="87">
        <v>988.16075635618404</v>
      </c>
      <c r="U3" s="88">
        <v>1320.651933663336</v>
      </c>
      <c r="V3" s="87">
        <v>987.2862326081538</v>
      </c>
      <c r="W3" s="88">
        <v>1384.5922315778016</v>
      </c>
      <c r="X3" s="87">
        <v>986.61402635396371</v>
      </c>
      <c r="Y3" s="88">
        <v>1458.7110032672176</v>
      </c>
      <c r="Z3" s="87">
        <v>986.1962713132001</v>
      </c>
      <c r="AA3" s="88">
        <v>1544.8545082494891</v>
      </c>
      <c r="AB3" s="87">
        <v>986.08527663046846</v>
      </c>
      <c r="AC3" s="88">
        <v>1644.83182064527</v>
      </c>
      <c r="AD3" s="87">
        <v>986.32149249056363</v>
      </c>
      <c r="AE3" s="88">
        <v>1760.025252381115</v>
      </c>
      <c r="AF3" s="87">
        <v>986.91732171609192</v>
      </c>
      <c r="AG3" s="88">
        <v>1890.8466601292409</v>
      </c>
      <c r="AH3" s="87">
        <v>987.84387017483982</v>
      </c>
      <c r="AI3" s="88">
        <v>2036.2381809036747</v>
      </c>
      <c r="AJ3" s="87">
        <v>989.03088779785219</v>
      </c>
      <c r="AK3" s="88">
        <v>2193.5414688688224</v>
      </c>
      <c r="AL3" s="87">
        <v>990.38342429919089</v>
      </c>
      <c r="AM3" s="88">
        <v>2358.9259853415365</v>
      </c>
      <c r="AN3" s="87">
        <v>991.8062652147936</v>
      </c>
      <c r="AO3" s="88">
        <v>2528.1960721249739</v>
      </c>
      <c r="AP3" s="87">
        <v>992.09207793329279</v>
      </c>
      <c r="AQ3" s="88">
        <v>2562.1693438697403</v>
      </c>
      <c r="AR3" s="87">
        <v>992.37705696739602</v>
      </c>
      <c r="AS3" s="88">
        <v>2596.1168497951735</v>
      </c>
      <c r="AT3" s="87">
        <v>992.66075266716371</v>
      </c>
      <c r="AU3" s="88">
        <v>2630.0134258256248</v>
      </c>
      <c r="AV3" s="87">
        <v>992.94275760580172</v>
      </c>
      <c r="AW3" s="88">
        <v>2663.8354472857291</v>
      </c>
    </row>
    <row r="4" spans="1:49" x14ac:dyDescent="0.2">
      <c r="A4" t="s">
        <v>119</v>
      </c>
      <c r="B4" s="104">
        <v>1000</v>
      </c>
      <c r="C4" s="105">
        <v>1000</v>
      </c>
      <c r="D4" s="104">
        <v>1000</v>
      </c>
      <c r="E4" s="105">
        <v>1000</v>
      </c>
      <c r="F4" s="104">
        <v>1000</v>
      </c>
      <c r="G4" s="105">
        <v>1000</v>
      </c>
      <c r="H4" s="104">
        <v>1000</v>
      </c>
      <c r="I4" s="105">
        <v>1000</v>
      </c>
      <c r="J4" s="104">
        <v>1000</v>
      </c>
      <c r="K4" s="105">
        <v>1000</v>
      </c>
      <c r="L4" s="104">
        <v>1000</v>
      </c>
      <c r="M4" s="105">
        <v>1000</v>
      </c>
      <c r="N4" s="104">
        <v>1000</v>
      </c>
      <c r="O4" s="105">
        <v>1000</v>
      </c>
      <c r="P4" s="104">
        <v>1000</v>
      </c>
      <c r="Q4" s="105">
        <v>1000</v>
      </c>
      <c r="R4" s="104">
        <v>1000</v>
      </c>
      <c r="S4" s="105">
        <v>1000</v>
      </c>
      <c r="T4" s="104">
        <v>1000</v>
      </c>
      <c r="U4" s="105">
        <v>1000</v>
      </c>
      <c r="V4" s="104">
        <v>1000</v>
      </c>
      <c r="W4" s="105">
        <v>1000</v>
      </c>
      <c r="X4" s="104">
        <v>1000</v>
      </c>
      <c r="Y4" s="105">
        <v>1000</v>
      </c>
      <c r="Z4" s="104">
        <v>1000</v>
      </c>
      <c r="AA4" s="105">
        <v>1000</v>
      </c>
      <c r="AB4" s="104">
        <v>1000</v>
      </c>
      <c r="AC4" s="105">
        <v>1000</v>
      </c>
      <c r="AD4" s="104">
        <v>1000</v>
      </c>
      <c r="AE4" s="105">
        <v>1000</v>
      </c>
      <c r="AF4" s="104">
        <v>1000</v>
      </c>
      <c r="AG4" s="105">
        <v>1000</v>
      </c>
      <c r="AH4" s="104">
        <v>1000</v>
      </c>
      <c r="AI4" s="105">
        <v>1000</v>
      </c>
      <c r="AJ4" s="104">
        <v>1000</v>
      </c>
      <c r="AK4" s="105">
        <v>1000</v>
      </c>
      <c r="AL4" s="104">
        <v>1000</v>
      </c>
      <c r="AM4" s="105">
        <v>1000</v>
      </c>
      <c r="AN4" s="104">
        <v>1000</v>
      </c>
      <c r="AO4" s="105">
        <v>1000</v>
      </c>
      <c r="AP4" s="104">
        <v>1000</v>
      </c>
      <c r="AQ4" s="105">
        <v>1000</v>
      </c>
      <c r="AR4" s="104">
        <v>1000</v>
      </c>
      <c r="AS4" s="105">
        <v>1000</v>
      </c>
      <c r="AT4" s="104">
        <v>1000</v>
      </c>
      <c r="AU4" s="105">
        <v>1000</v>
      </c>
      <c r="AV4" s="104">
        <v>1000</v>
      </c>
      <c r="AW4" s="105">
        <v>1000</v>
      </c>
    </row>
    <row r="5" spans="1:49" x14ac:dyDescent="0.2">
      <c r="A5" t="s">
        <v>131</v>
      </c>
      <c r="B5" s="41">
        <v>1000</v>
      </c>
      <c r="C5" s="42">
        <v>1000</v>
      </c>
      <c r="D5" s="41">
        <v>998.49311283433542</v>
      </c>
      <c r="E5" s="42">
        <v>1014.8174251338253</v>
      </c>
      <c r="F5" s="41">
        <v>997.00378094138694</v>
      </c>
      <c r="G5" s="42">
        <v>1030.4676915382979</v>
      </c>
      <c r="H5" s="41">
        <v>995.53710511228212</v>
      </c>
      <c r="I5" s="42">
        <v>1046.9970505641736</v>
      </c>
      <c r="J5" s="41">
        <v>994.10006955025017</v>
      </c>
      <c r="K5" s="42">
        <v>1064.448078678477</v>
      </c>
      <c r="L5" s="41">
        <v>992.70214677699994</v>
      </c>
      <c r="M5" s="42">
        <v>1082.8564347511326</v>
      </c>
      <c r="N5" s="41">
        <v>991.35617456077068</v>
      </c>
      <c r="O5" s="42">
        <v>1102.2443231696545</v>
      </c>
      <c r="P5" s="41">
        <v>990.07939841034215</v>
      </c>
      <c r="Q5" s="42">
        <v>1122.6123715972706</v>
      </c>
      <c r="R5" s="41">
        <v>988.89481448371555</v>
      </c>
      <c r="S5" s="42">
        <v>1143.9258966750454</v>
      </c>
      <c r="T5" s="41">
        <v>987.83258075334163</v>
      </c>
      <c r="U5" s="42">
        <v>1166.0970791242287</v>
      </c>
      <c r="V5" s="41">
        <v>986.93129783191182</v>
      </c>
      <c r="W5" s="42">
        <v>1188.9594598063402</v>
      </c>
      <c r="X5" s="41">
        <v>986.23828429977971</v>
      </c>
      <c r="Y5" s="42">
        <v>1212.2386978880184</v>
      </c>
      <c r="Z5" s="41">
        <v>985.80749342439015</v>
      </c>
      <c r="AA5" s="42">
        <v>1235.5245957781954</v>
      </c>
      <c r="AB5" s="41">
        <v>985.69302168630725</v>
      </c>
      <c r="AC5" s="42">
        <v>1258.260506547047</v>
      </c>
      <c r="AD5" s="41">
        <v>985.93663049977306</v>
      </c>
      <c r="AE5" s="42">
        <v>1279.7764057424677</v>
      </c>
      <c r="AF5" s="41">
        <v>986.55099350272189</v>
      </c>
      <c r="AG5" s="42">
        <v>1299.3850487051222</v>
      </c>
      <c r="AH5" s="41">
        <v>987.50603883418376</v>
      </c>
      <c r="AI5" s="42">
        <v>1316.5332842103551</v>
      </c>
      <c r="AJ5" s="41">
        <v>988.728989283592</v>
      </c>
      <c r="AK5" s="42">
        <v>1330.939964621394</v>
      </c>
      <c r="AL5" s="41">
        <v>990.12168469146627</v>
      </c>
      <c r="AM5" s="42">
        <v>1342.6402503340867</v>
      </c>
      <c r="AN5" s="41">
        <v>991.58587381803613</v>
      </c>
      <c r="AO5" s="42">
        <v>1351.9171503419366</v>
      </c>
      <c r="AP5" s="41">
        <v>991.87988162399802</v>
      </c>
      <c r="AQ5" s="42">
        <v>1353.5166141241598</v>
      </c>
      <c r="AR5" s="41">
        <v>992.17299503742913</v>
      </c>
      <c r="AS5" s="42">
        <v>1355.0387948350553</v>
      </c>
      <c r="AT5" s="41">
        <v>992.46475201508645</v>
      </c>
      <c r="AU5" s="42">
        <v>1356.4871441183386</v>
      </c>
      <c r="AV5" s="41">
        <v>992.75473415649139</v>
      </c>
      <c r="AW5" s="42">
        <v>1357.8650638121703</v>
      </c>
    </row>
    <row r="6" spans="1:49" x14ac:dyDescent="0.2">
      <c r="A6" t="s">
        <v>79</v>
      </c>
      <c r="B6" s="41">
        <v>999.99999999999886</v>
      </c>
      <c r="C6" s="42">
        <v>999.99999999999909</v>
      </c>
      <c r="D6" s="41">
        <v>998.35340054824223</v>
      </c>
      <c r="E6" s="42">
        <v>1023.8769107879676</v>
      </c>
      <c r="F6" s="41">
        <v>996.72643709989666</v>
      </c>
      <c r="G6" s="42">
        <v>1050.0637993636572</v>
      </c>
      <c r="H6" s="41">
        <v>995.12466287701295</v>
      </c>
      <c r="I6" s="42">
        <v>1078.9153815950681</v>
      </c>
      <c r="J6" s="41">
        <v>993.55568212674791</v>
      </c>
      <c r="K6" s="42">
        <v>1110.8623600722974</v>
      </c>
      <c r="L6" s="41">
        <v>992.02980692774054</v>
      </c>
      <c r="M6" s="42">
        <v>1146.4315595464809</v>
      </c>
      <c r="N6" s="41">
        <v>990.56101144689683</v>
      </c>
      <c r="O6" s="42">
        <v>1186.2706699995647</v>
      </c>
      <c r="P6" s="41">
        <v>989.16806538911248</v>
      </c>
      <c r="Q6" s="42">
        <v>1231.1791514810122</v>
      </c>
      <c r="R6" s="41">
        <v>987.8759949756693</v>
      </c>
      <c r="S6" s="42">
        <v>1282.1435576349486</v>
      </c>
      <c r="T6" s="41">
        <v>986.71761800656407</v>
      </c>
      <c r="U6" s="42">
        <v>1340.3744714619263</v>
      </c>
      <c r="V6" s="41">
        <v>985.73493857765675</v>
      </c>
      <c r="W6" s="42">
        <v>1407.3338245466584</v>
      </c>
      <c r="X6" s="41">
        <v>984.97944945714187</v>
      </c>
      <c r="Y6" s="42">
        <v>1484.7306801707464</v>
      </c>
      <c r="Z6" s="41">
        <v>984.50987147427156</v>
      </c>
      <c r="AA6" s="42">
        <v>1574.4431922558219</v>
      </c>
      <c r="AB6" s="41">
        <v>984.38509935982859</v>
      </c>
      <c r="AC6" s="42">
        <v>1678.3061855429057</v>
      </c>
      <c r="AD6" s="41">
        <v>984.65063172544899</v>
      </c>
      <c r="AE6" s="42">
        <v>1797.7122088931915</v>
      </c>
      <c r="AF6" s="41">
        <v>985.32033755888813</v>
      </c>
      <c r="AG6" s="42">
        <v>1933.0567257023636</v>
      </c>
      <c r="AH6" s="41">
        <v>986.3615665052132</v>
      </c>
      <c r="AI6" s="42">
        <v>2083.2311615778372</v>
      </c>
      <c r="AJ6" s="41">
        <v>987.69514582284455</v>
      </c>
      <c r="AK6" s="42">
        <v>2245.4943474984034</v>
      </c>
      <c r="AL6" s="41">
        <v>989.21419389982805</v>
      </c>
      <c r="AM6" s="42">
        <v>2415.9147807200166</v>
      </c>
      <c r="AN6" s="41">
        <v>990.81164536734093</v>
      </c>
      <c r="AO6" s="42">
        <v>2590.1972381441415</v>
      </c>
      <c r="AP6" s="41">
        <v>991.13246446252253</v>
      </c>
      <c r="AQ6" s="42">
        <v>2625.1624928961405</v>
      </c>
      <c r="AR6" s="41">
        <v>991.45232503016075</v>
      </c>
      <c r="AS6" s="42">
        <v>2660.0971141869486</v>
      </c>
      <c r="AT6" s="41">
        <v>991.77072266568598</v>
      </c>
      <c r="AU6" s="42">
        <v>2694.9754317755892</v>
      </c>
      <c r="AV6" s="41">
        <v>992.08720048792759</v>
      </c>
      <c r="AW6" s="42">
        <v>2729.7733553812359</v>
      </c>
    </row>
    <row r="7" spans="1:49" x14ac:dyDescent="0.2">
      <c r="A7" t="s">
        <v>13</v>
      </c>
      <c r="B7" s="33">
        <v>1059.2664648168009</v>
      </c>
      <c r="C7" s="34">
        <v>1059.2664648168009</v>
      </c>
      <c r="D7" s="33">
        <v>1057.6702697759495</v>
      </c>
      <c r="E7" s="34">
        <v>1057.6702697759495</v>
      </c>
      <c r="F7" s="33">
        <v>1056.092670446767</v>
      </c>
      <c r="G7" s="34">
        <v>1056.092670446767</v>
      </c>
      <c r="H7" s="33">
        <v>1054.5390699262389</v>
      </c>
      <c r="I7" s="34">
        <v>1054.5390699262389</v>
      </c>
      <c r="J7" s="33">
        <v>1053.0168663466293</v>
      </c>
      <c r="K7" s="34">
        <v>1053.0168663466293</v>
      </c>
      <c r="L7" s="33">
        <v>1051.5360936325217</v>
      </c>
      <c r="M7" s="34">
        <v>1051.5360936325217</v>
      </c>
      <c r="N7" s="33">
        <v>1050.1103504012949</v>
      </c>
      <c r="O7" s="34">
        <v>1050.1103504012949</v>
      </c>
      <c r="P7" s="33">
        <v>1048.757904242068</v>
      </c>
      <c r="Q7" s="34">
        <v>1048.757904242068</v>
      </c>
      <c r="R7" s="33">
        <v>1047.5031142138314</v>
      </c>
      <c r="S7" s="34">
        <v>1047.5031142138314</v>
      </c>
      <c r="T7" s="33">
        <v>1046.3779256454491</v>
      </c>
      <c r="U7" s="34">
        <v>1046.3779256454491</v>
      </c>
      <c r="V7" s="33">
        <v>1045.4232268714663</v>
      </c>
      <c r="W7" s="34">
        <v>1045.4232268714663</v>
      </c>
      <c r="X7" s="33">
        <v>1044.6891408772146</v>
      </c>
      <c r="Y7" s="34">
        <v>1044.6891408772146</v>
      </c>
      <c r="Z7" s="33">
        <v>1044.2328185495653</v>
      </c>
      <c r="AA7" s="34">
        <v>1044.2328185495653</v>
      </c>
      <c r="AB7" s="33">
        <v>1044.1115624762449</v>
      </c>
      <c r="AC7" s="34">
        <v>1044.1115624762449</v>
      </c>
      <c r="AD7" s="33">
        <v>1044.369609122883</v>
      </c>
      <c r="AE7" s="34">
        <v>1044.369609122883</v>
      </c>
      <c r="AF7" s="33">
        <v>1045.0203832491309</v>
      </c>
      <c r="AG7" s="34">
        <v>1045.0203832491309</v>
      </c>
      <c r="AH7" s="33">
        <v>1046.0320307411282</v>
      </c>
      <c r="AI7" s="34">
        <v>1046.0320307411282</v>
      </c>
      <c r="AJ7" s="33">
        <v>1047.3274611403192</v>
      </c>
      <c r="AK7" s="34">
        <v>1047.3274611403192</v>
      </c>
      <c r="AL7" s="33">
        <v>1048.8026966815846</v>
      </c>
      <c r="AM7" s="34">
        <v>1048.8026966815846</v>
      </c>
      <c r="AN7" s="33">
        <v>1050.3536631215095</v>
      </c>
      <c r="AO7" s="34">
        <v>1050.3536631215095</v>
      </c>
      <c r="AP7" s="33">
        <v>1050.6650957307593</v>
      </c>
      <c r="AQ7" s="34">
        <v>1050.6650957307593</v>
      </c>
      <c r="AR7" s="33">
        <v>1050.9755809399949</v>
      </c>
      <c r="AS7" s="34">
        <v>1050.9755809399949</v>
      </c>
      <c r="AT7" s="33">
        <v>1051.2846293223035</v>
      </c>
      <c r="AU7" s="34">
        <v>1051.2846293223035</v>
      </c>
      <c r="AV7" s="33">
        <v>1051.5917976800895</v>
      </c>
      <c r="AW7" s="34">
        <v>1051.5917976800895</v>
      </c>
    </row>
    <row r="8" spans="1:49" x14ac:dyDescent="0.2">
      <c r="B8" s="35">
        <v>1164.8563607265562</v>
      </c>
      <c r="C8" s="36">
        <v>1164.8563607265562</v>
      </c>
      <c r="D8" s="35">
        <v>1212.6874665429434</v>
      </c>
      <c r="E8" s="36">
        <v>1212.6874665429434</v>
      </c>
      <c r="F8" s="35">
        <v>1265.4288623843165</v>
      </c>
      <c r="G8" s="36">
        <v>1265.4288623843165</v>
      </c>
      <c r="H8" s="35">
        <v>1323.8679116931348</v>
      </c>
      <c r="I8" s="36">
        <v>1323.8679116931348</v>
      </c>
      <c r="J8" s="35">
        <v>1388.9643511423003</v>
      </c>
      <c r="K8" s="36">
        <v>1388.9643511423003</v>
      </c>
      <c r="L8" s="35">
        <v>1461.8972114657286</v>
      </c>
      <c r="M8" s="36">
        <v>1461.8972114657286</v>
      </c>
      <c r="N8" s="35">
        <v>1544.1228126632009</v>
      </c>
      <c r="O8" s="36">
        <v>1544.1228126632009</v>
      </c>
      <c r="P8" s="35">
        <v>1637.4483313052351</v>
      </c>
      <c r="Q8" s="36">
        <v>1637.4483313052351</v>
      </c>
      <c r="R8" s="35">
        <v>1744.1174681112125</v>
      </c>
      <c r="S8" s="36">
        <v>1744.1174681112125</v>
      </c>
      <c r="T8" s="35">
        <v>1866.9036439457866</v>
      </c>
      <c r="U8" s="36">
        <v>1866.9036439457866</v>
      </c>
      <c r="V8" s="35">
        <v>2009.1862768063279</v>
      </c>
      <c r="W8" s="36">
        <v>2009.1862768063279</v>
      </c>
      <c r="X8" s="35">
        <v>2174.9627294123807</v>
      </c>
      <c r="Y8" s="36">
        <v>2174.9627294123807</v>
      </c>
      <c r="Z8" s="35">
        <v>2368.6995156737335</v>
      </c>
      <c r="AA8" s="36">
        <v>2368.6995156737335</v>
      </c>
      <c r="AB8" s="35">
        <v>2594.8801135048284</v>
      </c>
      <c r="AC8" s="36">
        <v>2594.8801135048284</v>
      </c>
      <c r="AD8" s="35">
        <v>2857.1158692320378</v>
      </c>
      <c r="AE8" s="36">
        <v>2857.1158692320378</v>
      </c>
      <c r="AF8" s="35">
        <v>3156.8612360870816</v>
      </c>
      <c r="AG8" s="36">
        <v>3156.8612360870816</v>
      </c>
      <c r="AH8" s="35">
        <v>3492.1756193703272</v>
      </c>
      <c r="AI8" s="36">
        <v>3492.1756193703272</v>
      </c>
      <c r="AJ8" s="35">
        <v>3857.2959794358153</v>
      </c>
      <c r="AK8" s="36">
        <v>3857.2959794358153</v>
      </c>
      <c r="AL8" s="35">
        <v>4243.521740201214</v>
      </c>
      <c r="AM8" s="36">
        <v>4243.521740201214</v>
      </c>
      <c r="AN8" s="35">
        <v>4641.0557134222172</v>
      </c>
      <c r="AO8" s="36">
        <v>4641.0557134222172</v>
      </c>
      <c r="AP8" s="35">
        <v>4721.0939533480205</v>
      </c>
      <c r="AQ8" s="36">
        <v>4721.0939533480205</v>
      </c>
      <c r="AR8" s="35">
        <v>4801.1513094600987</v>
      </c>
      <c r="AS8" s="36">
        <v>4801.1513094600987</v>
      </c>
      <c r="AT8" s="35">
        <v>4881.1665035527512</v>
      </c>
      <c r="AU8" s="36">
        <v>4881.1665035527512</v>
      </c>
      <c r="AV8" s="35">
        <v>4961.0817249463507</v>
      </c>
      <c r="AW8" s="36">
        <v>4961.0817249463507</v>
      </c>
    </row>
    <row r="9" spans="1:49" x14ac:dyDescent="0.2">
      <c r="A9" t="s">
        <v>14</v>
      </c>
      <c r="B9" s="41">
        <v>1059.2664648168009</v>
      </c>
      <c r="C9" s="42">
        <v>1164.8563607265562</v>
      </c>
      <c r="D9" s="41">
        <v>1057.6702697759495</v>
      </c>
      <c r="E9" s="42">
        <v>1212.6874665429434</v>
      </c>
      <c r="F9" s="41">
        <v>1056.092670446767</v>
      </c>
      <c r="G9" s="42">
        <v>1265.4288623843165</v>
      </c>
      <c r="H9" s="41">
        <v>1054.5390699262389</v>
      </c>
      <c r="I9" s="42">
        <v>1323.8679116931348</v>
      </c>
      <c r="J9" s="41">
        <v>1053.0168663466293</v>
      </c>
      <c r="K9" s="42">
        <v>1388.9643511423003</v>
      </c>
      <c r="L9" s="41">
        <v>1051.5360936325217</v>
      </c>
      <c r="M9" s="42">
        <v>1461.8972114657286</v>
      </c>
      <c r="N9" s="41">
        <v>1050.1103504012949</v>
      </c>
      <c r="O9" s="42">
        <v>1544.1228126632009</v>
      </c>
      <c r="P9" s="41">
        <v>1048.757904242068</v>
      </c>
      <c r="Q9" s="42">
        <v>1637.4483313052351</v>
      </c>
      <c r="R9" s="41">
        <v>1047.5031142138314</v>
      </c>
      <c r="S9" s="42">
        <v>1744.1174681112125</v>
      </c>
      <c r="T9" s="41">
        <v>1046.3779256454491</v>
      </c>
      <c r="U9" s="42">
        <v>1866.9036439457866</v>
      </c>
      <c r="V9" s="41">
        <v>1045.4232268714663</v>
      </c>
      <c r="W9" s="42">
        <v>2009.1862768063279</v>
      </c>
      <c r="X9" s="41">
        <v>1044.6891408772146</v>
      </c>
      <c r="Y9" s="42">
        <v>2174.9627294123807</v>
      </c>
      <c r="Z9" s="41">
        <v>1044.2328185495653</v>
      </c>
      <c r="AA9" s="42">
        <v>2368.6995156737335</v>
      </c>
      <c r="AB9" s="41">
        <v>1044.1115624762449</v>
      </c>
      <c r="AC9" s="42">
        <v>2594.8801135048284</v>
      </c>
      <c r="AD9" s="41">
        <v>1044.369609122883</v>
      </c>
      <c r="AE9" s="42">
        <v>2857.1158692320378</v>
      </c>
      <c r="AF9" s="41">
        <v>1045.0203832491309</v>
      </c>
      <c r="AG9" s="42">
        <v>3156.8612360870816</v>
      </c>
      <c r="AH9" s="41">
        <v>1046.0320307411282</v>
      </c>
      <c r="AI9" s="42">
        <v>3492.1756193703272</v>
      </c>
      <c r="AJ9" s="41">
        <v>1047.3274611403192</v>
      </c>
      <c r="AK9" s="42">
        <v>3857.2959794358153</v>
      </c>
      <c r="AL9" s="41">
        <v>1048.8026966815846</v>
      </c>
      <c r="AM9" s="42">
        <v>4243.521740201214</v>
      </c>
      <c r="AN9" s="41">
        <v>1050.3536631215095</v>
      </c>
      <c r="AO9" s="42">
        <v>4641.0557134222172</v>
      </c>
      <c r="AP9" s="41">
        <v>1050.6650957307593</v>
      </c>
      <c r="AQ9" s="42">
        <v>4721.0939533480205</v>
      </c>
      <c r="AR9" s="41">
        <v>1050.9755809399949</v>
      </c>
      <c r="AS9" s="42">
        <v>4801.1513094600987</v>
      </c>
      <c r="AT9" s="41">
        <v>1051.2846293223035</v>
      </c>
      <c r="AU9" s="42">
        <v>4881.1665035527512</v>
      </c>
      <c r="AV9" s="41">
        <v>1051.5917976800895</v>
      </c>
      <c r="AW9" s="42">
        <v>4961.0817249463507</v>
      </c>
    </row>
    <row r="10" spans="1:49" x14ac:dyDescent="0.2">
      <c r="A10" t="s">
        <v>15</v>
      </c>
      <c r="B10" s="41">
        <v>1059.2664648168009</v>
      </c>
      <c r="C10" s="42">
        <v>1164.8563607265562</v>
      </c>
      <c r="D10" s="41">
        <v>1057.6702697759495</v>
      </c>
      <c r="E10" s="42">
        <v>1212.6874665429434</v>
      </c>
      <c r="F10" s="41">
        <v>1056.092670446767</v>
      </c>
      <c r="G10" s="42">
        <v>1265.4288623843165</v>
      </c>
      <c r="H10" s="41">
        <v>1054.5390699262389</v>
      </c>
      <c r="I10" s="42">
        <v>1323.8679116931348</v>
      </c>
      <c r="J10" s="41">
        <v>1053.0168663466293</v>
      </c>
      <c r="K10" s="42">
        <v>1388.9643511423003</v>
      </c>
      <c r="L10" s="41">
        <v>1051.5360936325217</v>
      </c>
      <c r="M10" s="42">
        <v>1461.8972114657286</v>
      </c>
      <c r="N10" s="41">
        <v>1050.1103504012949</v>
      </c>
      <c r="O10" s="42">
        <v>1544.1228126632009</v>
      </c>
      <c r="P10" s="41">
        <v>1048.757904242068</v>
      </c>
      <c r="Q10" s="42">
        <v>1637.4483313052351</v>
      </c>
      <c r="R10" s="41">
        <v>1047.5031142138314</v>
      </c>
      <c r="S10" s="42">
        <v>1744.1174681112125</v>
      </c>
      <c r="T10" s="41">
        <v>1046.3779256454491</v>
      </c>
      <c r="U10" s="42">
        <v>1866.9036439457866</v>
      </c>
      <c r="V10" s="41">
        <v>1045.4232268714663</v>
      </c>
      <c r="W10" s="42">
        <v>2009.1862768063279</v>
      </c>
      <c r="X10" s="41">
        <v>1044.6891408772146</v>
      </c>
      <c r="Y10" s="42">
        <v>2174.9627294123807</v>
      </c>
      <c r="Z10" s="41">
        <v>1044.2328185495653</v>
      </c>
      <c r="AA10" s="42">
        <v>2368.6995156737335</v>
      </c>
      <c r="AB10" s="41">
        <v>1044.1115624762449</v>
      </c>
      <c r="AC10" s="42">
        <v>2594.8801135048284</v>
      </c>
      <c r="AD10" s="41">
        <v>1044.369609122883</v>
      </c>
      <c r="AE10" s="42">
        <v>2857.1158692320378</v>
      </c>
      <c r="AF10" s="41">
        <v>1045.0203832491309</v>
      </c>
      <c r="AG10" s="42">
        <v>3156.8612360870816</v>
      </c>
      <c r="AH10" s="41">
        <v>1046.0320307411282</v>
      </c>
      <c r="AI10" s="42">
        <v>3492.1756193703272</v>
      </c>
      <c r="AJ10" s="41">
        <v>1047.3274611403192</v>
      </c>
      <c r="AK10" s="42">
        <v>3857.2959794358153</v>
      </c>
      <c r="AL10" s="41">
        <v>1048.8026966815846</v>
      </c>
      <c r="AM10" s="42">
        <v>4243.521740201214</v>
      </c>
      <c r="AN10" s="41">
        <v>1050.3536631215095</v>
      </c>
      <c r="AO10" s="42">
        <v>4641.0557134222172</v>
      </c>
      <c r="AP10" s="41">
        <v>1050.6650957307593</v>
      </c>
      <c r="AQ10" s="42">
        <v>4721.0939533480205</v>
      </c>
      <c r="AR10" s="41">
        <v>1050.9755809399949</v>
      </c>
      <c r="AS10" s="42">
        <v>4801.1513094600987</v>
      </c>
      <c r="AT10" s="41">
        <v>1051.2846293223035</v>
      </c>
      <c r="AU10" s="42">
        <v>4881.1665035527512</v>
      </c>
      <c r="AV10" s="41">
        <v>1051.5917976800895</v>
      </c>
      <c r="AW10" s="42">
        <v>4961.0817249463507</v>
      </c>
    </row>
    <row r="11" spans="1:49" x14ac:dyDescent="0.2">
      <c r="A11" t="s">
        <v>29</v>
      </c>
      <c r="B11" s="41">
        <v>1059.2664648168009</v>
      </c>
      <c r="C11" s="42">
        <v>1164.8563607265562</v>
      </c>
      <c r="D11" s="41">
        <v>1057.6702697759495</v>
      </c>
      <c r="E11" s="42">
        <v>1212.6874665429434</v>
      </c>
      <c r="F11" s="41">
        <v>1056.092670446767</v>
      </c>
      <c r="G11" s="42">
        <v>1265.4288623843165</v>
      </c>
      <c r="H11" s="41">
        <v>1054.5390699262389</v>
      </c>
      <c r="I11" s="42">
        <v>1323.8679116931348</v>
      </c>
      <c r="J11" s="41">
        <v>1053.0168663466293</v>
      </c>
      <c r="K11" s="42">
        <v>1388.9643511423003</v>
      </c>
      <c r="L11" s="41">
        <v>1051.5360936325217</v>
      </c>
      <c r="M11" s="42">
        <v>1461.8972114657286</v>
      </c>
      <c r="N11" s="41">
        <v>1050.1103504012949</v>
      </c>
      <c r="O11" s="42">
        <v>1544.1228126632009</v>
      </c>
      <c r="P11" s="41">
        <v>1048.757904242068</v>
      </c>
      <c r="Q11" s="42">
        <v>1637.4483313052351</v>
      </c>
      <c r="R11" s="41">
        <v>1047.5031142138314</v>
      </c>
      <c r="S11" s="42">
        <v>1744.1174681112125</v>
      </c>
      <c r="T11" s="41">
        <v>1046.3779256454491</v>
      </c>
      <c r="U11" s="42">
        <v>1866.9036439457866</v>
      </c>
      <c r="V11" s="41">
        <v>1045.4232268714663</v>
      </c>
      <c r="W11" s="42">
        <v>2009.1862768063279</v>
      </c>
      <c r="X11" s="41">
        <v>1044.6891408772146</v>
      </c>
      <c r="Y11" s="42">
        <v>2174.9627294123807</v>
      </c>
      <c r="Z11" s="41">
        <v>1044.2328185495653</v>
      </c>
      <c r="AA11" s="42">
        <v>2368.6995156737335</v>
      </c>
      <c r="AB11" s="41">
        <v>1044.1115624762449</v>
      </c>
      <c r="AC11" s="42">
        <v>2594.8801135048284</v>
      </c>
      <c r="AD11" s="41">
        <v>1044.369609122883</v>
      </c>
      <c r="AE11" s="42">
        <v>2857.1158692320378</v>
      </c>
      <c r="AF11" s="41">
        <v>1045.0203832491309</v>
      </c>
      <c r="AG11" s="42">
        <v>3156.8612360870816</v>
      </c>
      <c r="AH11" s="41">
        <v>1046.0320307411282</v>
      </c>
      <c r="AI11" s="42">
        <v>3492.1756193703272</v>
      </c>
      <c r="AJ11" s="41">
        <v>1047.3274611403192</v>
      </c>
      <c r="AK11" s="42">
        <v>3857.2959794358153</v>
      </c>
      <c r="AL11" s="41">
        <v>1048.8026966815846</v>
      </c>
      <c r="AM11" s="42">
        <v>4243.521740201214</v>
      </c>
      <c r="AN11" s="41">
        <v>1050.3536631215095</v>
      </c>
      <c r="AO11" s="42">
        <v>4641.0557134222172</v>
      </c>
      <c r="AP11" s="41">
        <v>1050.6650957307593</v>
      </c>
      <c r="AQ11" s="42">
        <v>4721.0939533480205</v>
      </c>
      <c r="AR11" s="41">
        <v>1050.9755809399949</v>
      </c>
      <c r="AS11" s="42">
        <v>4801.1513094600987</v>
      </c>
      <c r="AT11" s="41">
        <v>1051.2846293223035</v>
      </c>
      <c r="AU11" s="42">
        <v>4881.1665035527512</v>
      </c>
      <c r="AV11" s="41">
        <v>1051.5917976800895</v>
      </c>
      <c r="AW11" s="42">
        <v>4961.0817249463507</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100">
        <v>1000</v>
      </c>
      <c r="C13" s="101">
        <v>1000</v>
      </c>
      <c r="D13" s="100">
        <v>996.63017976037509</v>
      </c>
      <c r="E13" s="101">
        <v>996.63017976037509</v>
      </c>
      <c r="F13" s="100">
        <v>993.10749143861608</v>
      </c>
      <c r="G13" s="101">
        <v>993.10749143861608</v>
      </c>
      <c r="H13" s="100">
        <v>989.41940933311298</v>
      </c>
      <c r="I13" s="101">
        <v>989.41940933311298</v>
      </c>
      <c r="J13" s="100">
        <v>985.5528146661901</v>
      </c>
      <c r="K13" s="101">
        <v>985.5528146661901</v>
      </c>
      <c r="L13" s="100">
        <v>981.49422888112474</v>
      </c>
      <c r="M13" s="101">
        <v>981.49422888112474</v>
      </c>
      <c r="N13" s="100">
        <v>977.23046031238255</v>
      </c>
      <c r="O13" s="101">
        <v>977.23046031238255</v>
      </c>
      <c r="P13" s="100">
        <v>972.74950890824698</v>
      </c>
      <c r="Q13" s="101">
        <v>972.74950890824698</v>
      </c>
      <c r="R13" s="100">
        <v>968.04225069567485</v>
      </c>
      <c r="S13" s="101">
        <v>968.04225069567485</v>
      </c>
      <c r="T13" s="100">
        <v>963.10492375139813</v>
      </c>
      <c r="U13" s="101">
        <v>963.10492375139813</v>
      </c>
      <c r="V13" s="100">
        <v>957.94300636910486</v>
      </c>
      <c r="W13" s="101">
        <v>957.94300636910486</v>
      </c>
      <c r="X13" s="100">
        <v>952.57646543902513</v>
      </c>
      <c r="Y13" s="101">
        <v>952.57646543902513</v>
      </c>
      <c r="Z13" s="100">
        <v>947.04615276007269</v>
      </c>
      <c r="AA13" s="101">
        <v>947.04615276007269</v>
      </c>
      <c r="AB13" s="100">
        <v>941.41963749567685</v>
      </c>
      <c r="AC13" s="101">
        <v>941.41963749567685</v>
      </c>
      <c r="AD13" s="100">
        <v>935.79275606073952</v>
      </c>
      <c r="AE13" s="101">
        <v>935.79275606073952</v>
      </c>
      <c r="AF13" s="100">
        <v>930.28211491918876</v>
      </c>
      <c r="AG13" s="101">
        <v>930.28211491918876</v>
      </c>
      <c r="AH13" s="100">
        <v>925.00630185372052</v>
      </c>
      <c r="AI13" s="101">
        <v>925.00630185372052</v>
      </c>
      <c r="AJ13" s="100">
        <v>920.06174560441696</v>
      </c>
      <c r="AK13" s="101">
        <v>920.06174560441696</v>
      </c>
      <c r="AL13" s="100">
        <v>915.50534034479142</v>
      </c>
      <c r="AM13" s="101">
        <v>915.50534034479142</v>
      </c>
      <c r="AN13" s="100">
        <v>911.3521037688397</v>
      </c>
      <c r="AO13" s="101">
        <v>911.3521037688397</v>
      </c>
      <c r="AP13" s="100">
        <v>910.56876656512429</v>
      </c>
      <c r="AQ13" s="101">
        <v>910.56876656512429</v>
      </c>
      <c r="AR13" s="100">
        <v>909.80070106894755</v>
      </c>
      <c r="AS13" s="101">
        <v>909.80070106894755</v>
      </c>
      <c r="AT13" s="100">
        <v>909.04764006065534</v>
      </c>
      <c r="AU13" s="101">
        <v>909.04764006065534</v>
      </c>
      <c r="AV13" s="100">
        <v>908.3092978641713</v>
      </c>
      <c r="AW13" s="101">
        <v>908.3092978641713</v>
      </c>
    </row>
    <row r="14" spans="1:49" x14ac:dyDescent="0.2">
      <c r="A14" t="s">
        <v>36</v>
      </c>
      <c r="B14" s="41">
        <v>1571.7032514685595</v>
      </c>
      <c r="C14" s="42">
        <v>1562.3699911127492</v>
      </c>
      <c r="D14" s="41">
        <v>1566.4068940410766</v>
      </c>
      <c r="E14" s="42">
        <v>1557.1050850949148</v>
      </c>
      <c r="F14" s="41">
        <v>1560.8702733518576</v>
      </c>
      <c r="G14" s="42">
        <v>1551.6013425729552</v>
      </c>
      <c r="H14" s="41">
        <v>1555.0737027149553</v>
      </c>
      <c r="I14" s="42">
        <v>1545.8391937665572</v>
      </c>
      <c r="J14" s="41">
        <v>1548.9965633048416</v>
      </c>
      <c r="K14" s="42">
        <v>1539.7981422911603</v>
      </c>
      <c r="L14" s="41">
        <v>1542.6176708300904</v>
      </c>
      <c r="M14" s="42">
        <v>1533.4571296542174</v>
      </c>
      <c r="N14" s="41">
        <v>1535.9162919070889</v>
      </c>
      <c r="O14" s="42">
        <v>1526.7955455933647</v>
      </c>
      <c r="P14" s="41">
        <v>1528.8735660155364</v>
      </c>
      <c r="Q14" s="42">
        <v>1519.7946415879089</v>
      </c>
      <c r="R14" s="41">
        <v>1521.4751529773346</v>
      </c>
      <c r="S14" s="42">
        <v>1512.4401626161671</v>
      </c>
      <c r="T14" s="41">
        <v>1513.7151401654517</v>
      </c>
      <c r="U14" s="42">
        <v>1504.7262311621168</v>
      </c>
      <c r="V14" s="41">
        <v>1505.6021378318892</v>
      </c>
      <c r="W14" s="42">
        <v>1496.6614063474185</v>
      </c>
      <c r="X14" s="41">
        <v>1497.1675280029438</v>
      </c>
      <c r="Y14" s="42">
        <v>1488.2768838421837</v>
      </c>
      <c r="Z14" s="41">
        <v>1488.4755175837965</v>
      </c>
      <c r="AA14" s="42">
        <v>1479.6364892711181</v>
      </c>
      <c r="AB14" s="41">
        <v>1479.6323052483081</v>
      </c>
      <c r="AC14" s="42">
        <v>1470.845790667488</v>
      </c>
      <c r="AD14" s="41">
        <v>1470.7885174013888</v>
      </c>
      <c r="AE14" s="42">
        <v>1462.0545199699925</v>
      </c>
      <c r="AF14" s="41">
        <v>1462.1274248015372</v>
      </c>
      <c r="AG14" s="42">
        <v>1453.4448596186423</v>
      </c>
      <c r="AH14" s="41">
        <v>1453.8354122524004</v>
      </c>
      <c r="AI14" s="42">
        <v>1445.2020876064341</v>
      </c>
      <c r="AJ14" s="41">
        <v>1446.0640371183008</v>
      </c>
      <c r="AK14" s="42">
        <v>1437.4768613031533</v>
      </c>
      <c r="AL14" s="41">
        <v>1438.902720156739</v>
      </c>
      <c r="AM14" s="42">
        <v>1430.3580704581661</v>
      </c>
      <c r="AN14" s="41">
        <v>1432.3750647261975</v>
      </c>
      <c r="AO14" s="42">
        <v>1423.8691782659073</v>
      </c>
      <c r="AP14" s="41">
        <v>1431.1438910961217</v>
      </c>
      <c r="AQ14" s="42">
        <v>1422.6453157259002</v>
      </c>
      <c r="AR14" s="41">
        <v>1429.93672005844</v>
      </c>
      <c r="AS14" s="42">
        <v>1421.4453132434644</v>
      </c>
      <c r="AT14" s="41">
        <v>1428.7531316231527</v>
      </c>
      <c r="AU14" s="42">
        <v>1420.2687533226317</v>
      </c>
      <c r="AV14" s="41">
        <v>1427.5926767922424</v>
      </c>
      <c r="AW14" s="42">
        <v>1419.1151896316726</v>
      </c>
    </row>
    <row r="15" spans="1:49" x14ac:dyDescent="0.2">
      <c r="A15" t="s">
        <v>18</v>
      </c>
      <c r="B15" s="157">
        <v>1000</v>
      </c>
      <c r="C15" s="158">
        <v>1000</v>
      </c>
      <c r="D15" s="157">
        <v>995.81764734086289</v>
      </c>
      <c r="E15" s="158">
        <v>995.81764734086289</v>
      </c>
      <c r="F15" s="157">
        <v>991.47852212558735</v>
      </c>
      <c r="G15" s="158">
        <v>991.47852212558735</v>
      </c>
      <c r="H15" s="157">
        <v>986.95908858021789</v>
      </c>
      <c r="I15" s="158">
        <v>986.95908858021789</v>
      </c>
      <c r="J15" s="157">
        <v>982.23158231759237</v>
      </c>
      <c r="K15" s="158">
        <v>982.23158231759237</v>
      </c>
      <c r="L15" s="157">
        <v>977.26303733519171</v>
      </c>
      <c r="M15" s="158">
        <v>977.26303733519171</v>
      </c>
      <c r="N15" s="157">
        <v>972.01425116099847</v>
      </c>
      <c r="O15" s="158">
        <v>972.01425116099847</v>
      </c>
      <c r="P15" s="157">
        <v>966.43851962133158</v>
      </c>
      <c r="Q15" s="158">
        <v>966.43851962133158</v>
      </c>
      <c r="R15" s="157">
        <v>960.480460877984</v>
      </c>
      <c r="S15" s="158">
        <v>960.480460877984</v>
      </c>
      <c r="T15" s="157">
        <v>954.07507086234602</v>
      </c>
      <c r="U15" s="158">
        <v>954.07507086234602</v>
      </c>
      <c r="V15" s="157">
        <v>947.14790963635903</v>
      </c>
      <c r="W15" s="158">
        <v>947.14790963635903</v>
      </c>
      <c r="X15" s="157">
        <v>939.61760772185437</v>
      </c>
      <c r="Y15" s="158">
        <v>939.61760772185437</v>
      </c>
      <c r="Z15" s="157">
        <v>931.40304081922295</v>
      </c>
      <c r="AA15" s="158">
        <v>931.40304081922295</v>
      </c>
      <c r="AB15" s="157">
        <v>922.43798404890572</v>
      </c>
      <c r="AC15" s="158">
        <v>922.43798404890572</v>
      </c>
      <c r="AD15" s="157">
        <v>912.69481624989351</v>
      </c>
      <c r="AE15" s="158">
        <v>912.69481624989351</v>
      </c>
      <c r="AF15" s="157">
        <v>902.21367276952367</v>
      </c>
      <c r="AG15" s="158">
        <v>902.21367276952367</v>
      </c>
      <c r="AH15" s="157">
        <v>891.12395681309158</v>
      </c>
      <c r="AI15" s="158">
        <v>891.12395681309158</v>
      </c>
      <c r="AJ15" s="157">
        <v>879.64063509850371</v>
      </c>
      <c r="AK15" s="158">
        <v>879.64063509850371</v>
      </c>
      <c r="AL15" s="157">
        <v>868.02841394679785</v>
      </c>
      <c r="AM15" s="158">
        <v>868.02841394679785</v>
      </c>
      <c r="AN15" s="157">
        <v>856.54891508854803</v>
      </c>
      <c r="AO15" s="158">
        <v>856.54891508854803</v>
      </c>
      <c r="AP15" s="157">
        <v>854.28896862037595</v>
      </c>
      <c r="AQ15" s="158">
        <v>854.28896862037595</v>
      </c>
      <c r="AR15" s="157">
        <v>852.04454705341982</v>
      </c>
      <c r="AS15" s="158">
        <v>852.04454705341982</v>
      </c>
      <c r="AT15" s="157">
        <v>849.8169416360505</v>
      </c>
      <c r="AU15" s="158">
        <v>849.8169416360505</v>
      </c>
      <c r="AV15" s="157">
        <v>847.60733057585298</v>
      </c>
      <c r="AW15" s="158">
        <v>847.60733057585298</v>
      </c>
    </row>
    <row r="16" spans="1:49" s="29" customFormat="1" x14ac:dyDescent="0.2">
      <c r="A16" t="s">
        <v>63</v>
      </c>
      <c r="B16" s="41">
        <v>1000</v>
      </c>
      <c r="C16" s="42">
        <v>1000</v>
      </c>
      <c r="D16" s="41">
        <v>996.23060156696033</v>
      </c>
      <c r="E16" s="42">
        <v>996.01314464634402</v>
      </c>
      <c r="F16" s="41">
        <v>992.30636453027626</v>
      </c>
      <c r="G16" s="42">
        <v>991.87043772915831</v>
      </c>
      <c r="H16" s="41">
        <v>988.20934566237872</v>
      </c>
      <c r="I16" s="42">
        <v>987.55099138282014</v>
      </c>
      <c r="J16" s="41">
        <v>983.91921710318275</v>
      </c>
      <c r="K16" s="42">
        <v>983.03056249077792</v>
      </c>
      <c r="L16" s="41">
        <v>979.4129044920877</v>
      </c>
      <c r="M16" s="42">
        <v>978.28086920750889</v>
      </c>
      <c r="N16" s="41">
        <v>974.66440370614032</v>
      </c>
      <c r="O16" s="42">
        <v>973.26895958699697</v>
      </c>
      <c r="P16" s="41">
        <v>969.64461356888262</v>
      </c>
      <c r="Q16" s="42">
        <v>967.95646664693993</v>
      </c>
      <c r="R16" s="41">
        <v>964.32160564070557</v>
      </c>
      <c r="S16" s="42">
        <v>962.29911770257752</v>
      </c>
      <c r="T16" s="41">
        <v>958.66141005336647</v>
      </c>
      <c r="U16" s="42">
        <v>956.24661039899297</v>
      </c>
      <c r="V16" s="41">
        <v>952.63005702738371</v>
      </c>
      <c r="W16" s="42">
        <v>949.74367957787945</v>
      </c>
      <c r="X16" s="41">
        <v>946.1974439434905</v>
      </c>
      <c r="Y16" s="42">
        <v>942.73325130355636</v>
      </c>
      <c r="Z16" s="41">
        <v>939.34406734670642</v>
      </c>
      <c r="AA16" s="42">
        <v>935.16341300229965</v>
      </c>
      <c r="AB16" s="41">
        <v>932.07113651624002</v>
      </c>
      <c r="AC16" s="42">
        <v>926.99992411097162</v>
      </c>
      <c r="AD16" s="41">
        <v>924.4129726889804</v>
      </c>
      <c r="AE16" s="42">
        <v>918.24457312263326</v>
      </c>
      <c r="AF16" s="41">
        <v>916.44754967825395</v>
      </c>
      <c r="AG16" s="42">
        <v>908.95551730722627</v>
      </c>
      <c r="AH16" s="41">
        <v>908.2976560686767</v>
      </c>
      <c r="AI16" s="42">
        <v>899.25914602255</v>
      </c>
      <c r="AJ16" s="41">
        <v>900.11706123540444</v>
      </c>
      <c r="AK16" s="42">
        <v>889.34155330863916</v>
      </c>
      <c r="AL16" s="41">
        <v>892.06434567665121</v>
      </c>
      <c r="AM16" s="42">
        <v>879.41725494002731</v>
      </c>
      <c r="AN16" s="41">
        <v>884.27587745301526</v>
      </c>
      <c r="AO16" s="42">
        <v>869.6885639278463</v>
      </c>
      <c r="AP16" s="41">
        <v>882.75924409152719</v>
      </c>
      <c r="AQ16" s="42">
        <v>867.78126587050258</v>
      </c>
      <c r="AR16" s="41">
        <v>881.25780000498321</v>
      </c>
      <c r="AS16" s="42">
        <v>865.88935525279419</v>
      </c>
      <c r="AT16" s="41">
        <v>879.77205169896138</v>
      </c>
      <c r="AU16" s="42">
        <v>864.0137510165905</v>
      </c>
      <c r="AV16" s="41">
        <v>878.30244108383658</v>
      </c>
      <c r="AW16" s="42">
        <v>862.1552819606419</v>
      </c>
    </row>
    <row r="17" spans="1:49" x14ac:dyDescent="0.2">
      <c r="A17" t="s">
        <v>64</v>
      </c>
      <c r="B17" s="35">
        <v>1000</v>
      </c>
      <c r="C17" s="36">
        <v>999.99999999999977</v>
      </c>
      <c r="D17" s="35">
        <v>998.56921522299569</v>
      </c>
      <c r="E17" s="36">
        <v>1027.4079930067207</v>
      </c>
      <c r="F17" s="35">
        <v>997.15697045278864</v>
      </c>
      <c r="G17" s="36">
        <v>1057.590708507046</v>
      </c>
      <c r="H17" s="35">
        <v>995.76803371319272</v>
      </c>
      <c r="I17" s="36">
        <v>1090.9850325218588</v>
      </c>
      <c r="J17" s="35">
        <v>994.40892624074934</v>
      </c>
      <c r="K17" s="36">
        <v>1128.1224380657445</v>
      </c>
      <c r="L17" s="35">
        <v>993.08848661167337</v>
      </c>
      <c r="M17" s="36">
        <v>1169.6544621484052</v>
      </c>
      <c r="N17" s="35">
        <v>991.81868359982695</v>
      </c>
      <c r="O17" s="36">
        <v>1216.3840072092241</v>
      </c>
      <c r="P17" s="35">
        <v>990.61558391970254</v>
      </c>
      <c r="Q17" s="36">
        <v>1269.3048400684747</v>
      </c>
      <c r="R17" s="35">
        <v>989.50059753967957</v>
      </c>
      <c r="S17" s="36">
        <v>1329.647108717199</v>
      </c>
      <c r="T17" s="35">
        <v>988.5017918997296</v>
      </c>
      <c r="U17" s="36">
        <v>1398.9260637394962</v>
      </c>
      <c r="V17" s="35">
        <v>987.65508321707114</v>
      </c>
      <c r="W17" s="36">
        <v>1478.9800871338496</v>
      </c>
      <c r="X17" s="35">
        <v>987.00450640736597</v>
      </c>
      <c r="Y17" s="36">
        <v>1571.9716078202127</v>
      </c>
      <c r="Z17" s="35">
        <v>986.60030307846785</v>
      </c>
      <c r="AA17" s="36">
        <v>1680.2979979487857</v>
      </c>
      <c r="AB17" s="35">
        <v>986.49292150603083</v>
      </c>
      <c r="AC17" s="36">
        <v>1806.3356153285431</v>
      </c>
      <c r="AD17" s="35">
        <v>986.72145270594353</v>
      </c>
      <c r="AE17" s="36">
        <v>1951.9479611201195</v>
      </c>
      <c r="AF17" s="35">
        <v>987.29801588306373</v>
      </c>
      <c r="AG17" s="36">
        <v>2117.7877363164862</v>
      </c>
      <c r="AH17" s="35">
        <v>988.19494240198071</v>
      </c>
      <c r="AI17" s="36">
        <v>2302.6412648568166</v>
      </c>
      <c r="AJ17" s="35">
        <v>989.34461097627036</v>
      </c>
      <c r="AK17" s="36">
        <v>2503.2301767393874</v>
      </c>
      <c r="AL17" s="35">
        <v>990.65540756827863</v>
      </c>
      <c r="AM17" s="36">
        <v>2714.7280887231791</v>
      </c>
      <c r="AN17" s="35">
        <v>992.03527509349647</v>
      </c>
      <c r="AO17" s="36">
        <v>2931.7790975380603</v>
      </c>
      <c r="AP17" s="35">
        <v>992.31257093797637</v>
      </c>
      <c r="AQ17" s="36">
        <v>2975.4086975191435</v>
      </c>
      <c r="AR17" s="35">
        <v>992.58909628495644</v>
      </c>
      <c r="AS17" s="36">
        <v>3019.0264675088742</v>
      </c>
      <c r="AT17" s="35">
        <v>992.86441437642623</v>
      </c>
      <c r="AU17" s="36">
        <v>3062.5996209365517</v>
      </c>
      <c r="AV17" s="35">
        <v>993.13812918598603</v>
      </c>
      <c r="AW17" s="36">
        <v>3106.0973014849092</v>
      </c>
    </row>
    <row r="18" spans="1:49" x14ac:dyDescent="0.2">
      <c r="A18" t="s">
        <v>19</v>
      </c>
      <c r="B18" s="33">
        <v>21498.981358265999</v>
      </c>
      <c r="C18" s="34">
        <v>834.03652123400332</v>
      </c>
      <c r="D18" s="33">
        <v>21376.49824369439</v>
      </c>
      <c r="E18" s="34">
        <v>762.0681658812465</v>
      </c>
      <c r="F18" s="33">
        <v>21236.356556384584</v>
      </c>
      <c r="G18" s="34">
        <v>691.43514538286286</v>
      </c>
      <c r="H18" s="33">
        <v>21075.263019874354</v>
      </c>
      <c r="I18" s="34">
        <v>622.32045167604758</v>
      </c>
      <c r="J18" s="33">
        <v>20889.071454274614</v>
      </c>
      <c r="K18" s="34">
        <v>554.94071583291691</v>
      </c>
      <c r="L18" s="33">
        <v>20672.499522764141</v>
      </c>
      <c r="M18" s="34">
        <v>489.55533761761143</v>
      </c>
      <c r="N18" s="33">
        <v>20418.745254925449</v>
      </c>
      <c r="O18" s="34">
        <v>426.47381873969283</v>
      </c>
      <c r="P18" s="33">
        <v>20118.954365565929</v>
      </c>
      <c r="Q18" s="34">
        <v>366.06612788021471</v>
      </c>
      <c r="R18" s="33">
        <v>19761.494337053799</v>
      </c>
      <c r="S18" s="34">
        <v>308.77017565054854</v>
      </c>
      <c r="T18" s="33">
        <v>19330.974187038108</v>
      </c>
      <c r="U18" s="34">
        <v>255.09763188230994</v>
      </c>
      <c r="V18" s="33">
        <v>18806.983195483132</v>
      </c>
      <c r="W18" s="34">
        <v>205.6289569123029</v>
      </c>
      <c r="X18" s="33">
        <v>18162.590207797763</v>
      </c>
      <c r="Y18" s="34">
        <v>160.99136758587869</v>
      </c>
      <c r="Z18" s="33">
        <v>17362.866140193655</v>
      </c>
      <c r="AA18" s="34">
        <v>121.80465736391015</v>
      </c>
      <c r="AB18" s="33">
        <v>16364.087584005842</v>
      </c>
      <c r="AC18" s="34">
        <v>88.583153964833215</v>
      </c>
      <c r="AD18" s="33">
        <v>15114.797150480515</v>
      </c>
      <c r="AE18" s="34">
        <v>61.596996877727001</v>
      </c>
      <c r="AF18" s="33">
        <v>13560.074953285388</v>
      </c>
      <c r="AG18" s="34">
        <v>40.730674162409159</v>
      </c>
      <c r="AH18" s="33">
        <v>11649.313493712727</v>
      </c>
      <c r="AI18" s="34">
        <v>25.419953963292695</v>
      </c>
      <c r="AJ18" s="33">
        <v>9345.3554627076828</v>
      </c>
      <c r="AK18" s="34">
        <v>14.734327506045606</v>
      </c>
      <c r="AL18" s="33">
        <v>6630.9055561087553</v>
      </c>
      <c r="AM18" s="34">
        <v>7.5851263334669072</v>
      </c>
      <c r="AN18" s="33">
        <v>3509.2684432455353</v>
      </c>
      <c r="AO18" s="34">
        <v>2.9483568249111149</v>
      </c>
      <c r="AP18" s="33">
        <v>2837.5857302168079</v>
      </c>
      <c r="AQ18" s="34">
        <v>2.2458361057332685</v>
      </c>
      <c r="AR18" s="33">
        <v>2150.5828990484497</v>
      </c>
      <c r="AS18" s="34">
        <v>1.6046365392870368</v>
      </c>
      <c r="AT18" s="33">
        <v>1448.4890466101656</v>
      </c>
      <c r="AU18" s="34">
        <v>1.0196817421146835</v>
      </c>
      <c r="AV18" s="33">
        <v>731.54469608797581</v>
      </c>
      <c r="AW18" s="34">
        <v>0.48625814885000535</v>
      </c>
    </row>
    <row r="19" spans="1:49" x14ac:dyDescent="0.2">
      <c r="A19" t="s">
        <v>3</v>
      </c>
      <c r="B19" s="41">
        <v>1782.2320505062355</v>
      </c>
      <c r="C19" s="42">
        <v>450.22976484179424</v>
      </c>
      <c r="D19" s="41">
        <v>1765.62114582394</v>
      </c>
      <c r="E19" s="42">
        <v>453.63796011204403</v>
      </c>
      <c r="F19" s="41">
        <v>1747.717456656077</v>
      </c>
      <c r="G19" s="42">
        <v>456.89274928288648</v>
      </c>
      <c r="H19" s="41">
        <v>1728.2860284319945</v>
      </c>
      <c r="I19" s="42">
        <v>459.86994654788799</v>
      </c>
      <c r="J19" s="41">
        <v>1707.0325512390571</v>
      </c>
      <c r="K19" s="42">
        <v>462.40469750146224</v>
      </c>
      <c r="L19" s="41">
        <v>1683.5830966240073</v>
      </c>
      <c r="M19" s="42">
        <v>464.27892364048432</v>
      </c>
      <c r="N19" s="41">
        <v>1657.4567260294727</v>
      </c>
      <c r="O19" s="42">
        <v>465.20425738107105</v>
      </c>
      <c r="P19" s="41">
        <v>1628.0263191246579</v>
      </c>
      <c r="Q19" s="42">
        <v>464.80067151722199</v>
      </c>
      <c r="R19" s="41">
        <v>1594.4642450068643</v>
      </c>
      <c r="S19" s="42">
        <v>462.56955870833542</v>
      </c>
      <c r="T19" s="41">
        <v>1555.6662619505914</v>
      </c>
      <c r="U19" s="42">
        <v>457.86322716740466</v>
      </c>
      <c r="V19" s="41">
        <v>1510.1494928445229</v>
      </c>
      <c r="W19" s="42">
        <v>449.8548624887132</v>
      </c>
      <c r="X19" s="41">
        <v>1455.922500433358</v>
      </c>
      <c r="Y19" s="42">
        <v>437.52136467579322</v>
      </c>
      <c r="Z19" s="41">
        <v>1390.3411320581172</v>
      </c>
      <c r="AA19" s="42">
        <v>419.66202996458173</v>
      </c>
      <c r="AB19" s="41">
        <v>1309.9940939329611</v>
      </c>
      <c r="AC19" s="42">
        <v>394.98860111226696</v>
      </c>
      <c r="AD19" s="41">
        <v>1210.7106184629181</v>
      </c>
      <c r="AE19" s="42">
        <v>362.31960549144168</v>
      </c>
      <c r="AF19" s="41">
        <v>1087.819153559278</v>
      </c>
      <c r="AG19" s="42">
        <v>320.86744683987837</v>
      </c>
      <c r="AH19" s="41">
        <v>936.73046990705825</v>
      </c>
      <c r="AI19" s="42">
        <v>270.51514690901769</v>
      </c>
      <c r="AJ19" s="41">
        <v>753.72714910008006</v>
      </c>
      <c r="AK19" s="42">
        <v>211.91381464355501</v>
      </c>
      <c r="AL19" s="41">
        <v>536.62863030595577</v>
      </c>
      <c r="AM19" s="42">
        <v>146.30960443376139</v>
      </c>
      <c r="AN19" s="41">
        <v>285.01890802202013</v>
      </c>
      <c r="AO19" s="42">
        <v>75.197691278103335</v>
      </c>
      <c r="AP19" s="41">
        <v>230.63127547796904</v>
      </c>
      <c r="AQ19" s="42">
        <v>60.443353653111515</v>
      </c>
      <c r="AR19" s="41">
        <v>174.91879082015689</v>
      </c>
      <c r="AS19" s="42">
        <v>45.536786290518648</v>
      </c>
      <c r="AT19" s="41">
        <v>117.89761349318219</v>
      </c>
      <c r="AU19" s="42">
        <v>30.487859334388194</v>
      </c>
      <c r="AV19" s="41">
        <v>59.585171451589865</v>
      </c>
      <c r="AW19" s="42">
        <v>15.305963032779449</v>
      </c>
    </row>
    <row r="20" spans="1:49" x14ac:dyDescent="0.2">
      <c r="A20" t="s">
        <v>130</v>
      </c>
      <c r="B20" s="85">
        <v>20973.127797372959</v>
      </c>
      <c r="C20" s="86">
        <v>1222.2257935314667</v>
      </c>
      <c r="D20" s="85">
        <v>20840.413326238446</v>
      </c>
      <c r="E20" s="86">
        <v>1161.1145038548932</v>
      </c>
      <c r="F20" s="85">
        <v>20690.765909030037</v>
      </c>
      <c r="G20" s="86">
        <v>1100.0032141783201</v>
      </c>
      <c r="H20" s="85">
        <v>20521.0543163283</v>
      </c>
      <c r="I20" s="86">
        <v>1038.8919245017466</v>
      </c>
      <c r="J20" s="85">
        <v>20327.339845115548</v>
      </c>
      <c r="K20" s="86">
        <v>977.78063482517348</v>
      </c>
      <c r="L20" s="85">
        <v>20104.607012376338</v>
      </c>
      <c r="M20" s="86">
        <v>916.66934514859997</v>
      </c>
      <c r="N20" s="85">
        <v>19846.39908995447</v>
      </c>
      <c r="O20" s="86">
        <v>855.55805547202669</v>
      </c>
      <c r="P20" s="85">
        <v>19544.309330519762</v>
      </c>
      <c r="Q20" s="86">
        <v>794.4467657954533</v>
      </c>
      <c r="R20" s="85">
        <v>19187.285574846403</v>
      </c>
      <c r="S20" s="86">
        <v>733.33547611888014</v>
      </c>
      <c r="T20" s="85">
        <v>18760.685146362481</v>
      </c>
      <c r="U20" s="86">
        <v>672.22418644230675</v>
      </c>
      <c r="V20" s="85">
        <v>18245.049733637683</v>
      </c>
      <c r="W20" s="86">
        <v>611.11289676573335</v>
      </c>
      <c r="X20" s="85">
        <v>17614.628866349631</v>
      </c>
      <c r="Y20" s="86">
        <v>550.00160708916007</v>
      </c>
      <c r="Z20" s="85">
        <v>16835.890591949672</v>
      </c>
      <c r="AA20" s="86">
        <v>488.89031741258668</v>
      </c>
      <c r="AB20" s="85">
        <v>15866.638516885296</v>
      </c>
      <c r="AC20" s="86">
        <v>427.77902773601335</v>
      </c>
      <c r="AD20" s="85">
        <v>14656.872183977344</v>
      </c>
      <c r="AE20" s="86">
        <v>366.6677380594399</v>
      </c>
      <c r="AF20" s="85">
        <v>13152.750396676574</v>
      </c>
      <c r="AG20" s="86">
        <v>305.55644838286656</v>
      </c>
      <c r="AH20" s="85">
        <v>11304.050281525062</v>
      </c>
      <c r="AI20" s="86">
        <v>244.44515870629314</v>
      </c>
      <c r="AJ20" s="85">
        <v>9073.1601564090251</v>
      </c>
      <c r="AK20" s="86">
        <v>183.33386902971975</v>
      </c>
      <c r="AL20" s="85">
        <v>6441.6281188917665</v>
      </c>
      <c r="AM20" s="86">
        <v>122.22257935314637</v>
      </c>
      <c r="AN20" s="85">
        <v>3411.2375469640219</v>
      </c>
      <c r="AO20" s="86">
        <v>61.11128967657298</v>
      </c>
      <c r="AP20" s="85">
        <v>2758.6651688980814</v>
      </c>
      <c r="AQ20" s="86">
        <v>48.889031741258307</v>
      </c>
      <c r="AR20" s="85">
        <v>2091.0316950145784</v>
      </c>
      <c r="AS20" s="86">
        <v>36.66677380594362</v>
      </c>
      <c r="AT20" s="85">
        <v>1408.5549197738962</v>
      </c>
      <c r="AU20" s="86">
        <v>24.444515870628948</v>
      </c>
      <c r="AV20" s="85">
        <v>711.46446490268806</v>
      </c>
      <c r="AW20" s="86">
        <v>12.222257935314273</v>
      </c>
    </row>
    <row r="21" spans="1:49" x14ac:dyDescent="0.2">
      <c r="A21" t="s">
        <v>78</v>
      </c>
      <c r="B21" s="85">
        <v>19190.895746866718</v>
      </c>
      <c r="C21" s="86">
        <v>771.99602868967372</v>
      </c>
      <c r="D21" s="85">
        <v>19074.796575192024</v>
      </c>
      <c r="E21" s="86">
        <v>707.78157748820149</v>
      </c>
      <c r="F21" s="85">
        <v>18943.065702516655</v>
      </c>
      <c r="G21" s="86">
        <v>644.36565317658085</v>
      </c>
      <c r="H21" s="85">
        <v>18792.806245779615</v>
      </c>
      <c r="I21" s="86">
        <v>581.92411265153635</v>
      </c>
      <c r="J21" s="85">
        <v>18620.373005671623</v>
      </c>
      <c r="K21" s="86">
        <v>520.66944741273096</v>
      </c>
      <c r="L21" s="85">
        <v>18421.123354315649</v>
      </c>
      <c r="M21" s="86">
        <v>460.85817964705177</v>
      </c>
      <c r="N21" s="85">
        <v>18189.080073044017</v>
      </c>
      <c r="O21" s="86">
        <v>402.79991723356909</v>
      </c>
      <c r="P21" s="85">
        <v>17916.461645899646</v>
      </c>
      <c r="Q21" s="86">
        <v>346.86669278838724</v>
      </c>
      <c r="R21" s="85">
        <v>17593.041082518641</v>
      </c>
      <c r="S21" s="86">
        <v>293.50215481439278</v>
      </c>
      <c r="T21" s="85">
        <v>17205.27682200506</v>
      </c>
      <c r="U21" s="86">
        <v>243.22714231045214</v>
      </c>
      <c r="V21" s="85">
        <v>16735.18962776543</v>
      </c>
      <c r="W21" s="86">
        <v>196.63679140541782</v>
      </c>
      <c r="X21" s="85">
        <v>16159.016170374982</v>
      </c>
      <c r="Y21" s="86">
        <v>154.37941719338355</v>
      </c>
      <c r="Z21" s="85">
        <v>15445.864396616196</v>
      </c>
      <c r="AA21" s="86">
        <v>117.10422350160128</v>
      </c>
      <c r="AB21" s="85">
        <v>14556.946035752411</v>
      </c>
      <c r="AC21" s="86">
        <v>85.365157323361203</v>
      </c>
      <c r="AD21" s="85">
        <v>13446.43077420706</v>
      </c>
      <c r="AE21" s="86">
        <v>59.482885318248911</v>
      </c>
      <c r="AF21" s="85">
        <v>12065.152178863753</v>
      </c>
      <c r="AG21" s="86">
        <v>39.402894636721832</v>
      </c>
      <c r="AH21" s="85">
        <v>10367.483683102284</v>
      </c>
      <c r="AI21" s="86">
        <v>24.627628729008325</v>
      </c>
      <c r="AJ21" s="85">
        <v>8319.5400490848169</v>
      </c>
      <c r="AK21" s="86">
        <v>14.291975658519593</v>
      </c>
      <c r="AL21" s="85">
        <v>5905.057864059956</v>
      </c>
      <c r="AM21" s="86">
        <v>7.3642285081051844</v>
      </c>
      <c r="AN21" s="85">
        <v>3126.2410673789182</v>
      </c>
      <c r="AO21" s="86">
        <v>2.8645342974894508</v>
      </c>
      <c r="AP21" s="85">
        <v>2528.0507858729752</v>
      </c>
      <c r="AQ21" s="86">
        <v>2.1822507608225443</v>
      </c>
      <c r="AR21" s="85">
        <v>1916.1248007390288</v>
      </c>
      <c r="AS21" s="86">
        <v>1.5593847136893286</v>
      </c>
      <c r="AT21" s="85">
        <v>1290.6647336990795</v>
      </c>
      <c r="AU21" s="86">
        <v>0.991033998682887</v>
      </c>
      <c r="AV21" s="85">
        <v>651.88276186459314</v>
      </c>
      <c r="AW21" s="86">
        <v>0.47264510202025511</v>
      </c>
    </row>
    <row r="22" spans="1:49" x14ac:dyDescent="0.2">
      <c r="A22" t="s">
        <v>28</v>
      </c>
      <c r="B22" s="41">
        <v>5896.9295697243897</v>
      </c>
      <c r="C22" s="42">
        <v>340.53228761636649</v>
      </c>
      <c r="D22" s="41">
        <v>5840.3128547593342</v>
      </c>
      <c r="E22" s="42">
        <v>328.91948625244027</v>
      </c>
      <c r="F22" s="41">
        <v>5778.3895370984337</v>
      </c>
      <c r="G22" s="42">
        <v>316.94071809939521</v>
      </c>
      <c r="H22" s="41">
        <v>5710.2404920535064</v>
      </c>
      <c r="I22" s="42">
        <v>304.56350174685247</v>
      </c>
      <c r="J22" s="41">
        <v>5634.7221164956736</v>
      </c>
      <c r="K22" s="42">
        <v>291.75055199768047</v>
      </c>
      <c r="L22" s="41">
        <v>5550.3954032939855</v>
      </c>
      <c r="M22" s="42">
        <v>278.45881924053253</v>
      </c>
      <c r="N22" s="41">
        <v>5455.4323581664967</v>
      </c>
      <c r="O22" s="42">
        <v>264.63889942128333</v>
      </c>
      <c r="P22" s="41">
        <v>5347.487452210441</v>
      </c>
      <c r="Q22" s="42">
        <v>250.23439623667616</v>
      </c>
      <c r="R22" s="41">
        <v>5223.5282273559851</v>
      </c>
      <c r="S22" s="42">
        <v>235.18214496690354</v>
      </c>
      <c r="T22" s="41">
        <v>5079.6130864426959</v>
      </c>
      <c r="U22" s="42">
        <v>219.41346673519152</v>
      </c>
      <c r="V22" s="41">
        <v>4910.6200156647992</v>
      </c>
      <c r="W22" s="42">
        <v>202.85800082081994</v>
      </c>
      <c r="X22" s="41">
        <v>4709.9480457995014</v>
      </c>
      <c r="Y22" s="42">
        <v>185.45131610437159</v>
      </c>
      <c r="Z22" s="41">
        <v>4469.273249275805</v>
      </c>
      <c r="AA22" s="42">
        <v>167.14830415504457</v>
      </c>
      <c r="AB22" s="41">
        <v>4178.5314263014743</v>
      </c>
      <c r="AC22" s="42">
        <v>147.94288506657222</v>
      </c>
      <c r="AD22" s="41">
        <v>3826.3979883295319</v>
      </c>
      <c r="AE22" s="42">
        <v>127.89059540486078</v>
      </c>
      <c r="AF22" s="41">
        <v>3401.5185525440165</v>
      </c>
      <c r="AG22" s="42">
        <v>107.12406688736134</v>
      </c>
      <c r="AH22" s="41">
        <v>2894.4162462711515</v>
      </c>
      <c r="AI22" s="42">
        <v>85.846576025173505</v>
      </c>
      <c r="AJ22" s="41">
        <v>2299.4325366843741</v>
      </c>
      <c r="AK22" s="42">
        <v>64.297344171303408</v>
      </c>
      <c r="AL22" s="41">
        <v>1615.7518085139036</v>
      </c>
      <c r="AM22" s="42">
        <v>42.70195076648433</v>
      </c>
      <c r="AN22" s="41">
        <v>847.02855020695392</v>
      </c>
      <c r="AO22" s="42">
        <v>21.233518211096104</v>
      </c>
      <c r="AP22" s="41">
        <v>683.63631083350901</v>
      </c>
      <c r="AQ22" s="42">
        <v>16.965660231991187</v>
      </c>
      <c r="AR22" s="41">
        <v>517.17116490191074</v>
      </c>
      <c r="AS22" s="42">
        <v>12.707943887240562</v>
      </c>
      <c r="AT22" s="41">
        <v>347.69864597968427</v>
      </c>
      <c r="AU22" s="42">
        <v>8.4608434873636984</v>
      </c>
      <c r="AV22" s="41">
        <v>175.28563960695016</v>
      </c>
      <c r="AW22" s="42">
        <v>4.2247544235187098</v>
      </c>
    </row>
    <row r="23" spans="1:49" x14ac:dyDescent="0.2">
      <c r="A23" t="s">
        <v>7</v>
      </c>
      <c r="B23" s="119">
        <v>2396.8717103698964</v>
      </c>
      <c r="C23" s="8">
        <v>0</v>
      </c>
      <c r="D23" s="119">
        <v>2383.5874412648086</v>
      </c>
      <c r="E23" s="8">
        <v>0</v>
      </c>
      <c r="F23" s="119">
        <v>2368.4141324278125</v>
      </c>
      <c r="G23" s="8">
        <v>0</v>
      </c>
      <c r="H23" s="119">
        <v>2350.9972898999881</v>
      </c>
      <c r="I23" s="8">
        <v>0</v>
      </c>
      <c r="J23" s="119">
        <v>2330.8901801072816</v>
      </c>
      <c r="K23" s="8">
        <v>0</v>
      </c>
      <c r="L23" s="119">
        <v>2307.5225882165578</v>
      </c>
      <c r="M23" s="8">
        <v>0</v>
      </c>
      <c r="N23" s="119">
        <v>2280.1585686803037</v>
      </c>
      <c r="O23" s="8">
        <v>0</v>
      </c>
      <c r="P23" s="119">
        <v>2247.8369418452612</v>
      </c>
      <c r="Q23" s="8">
        <v>0</v>
      </c>
      <c r="R23" s="119">
        <v>2209.289583108141</v>
      </c>
      <c r="S23" s="8">
        <v>0</v>
      </c>
      <c r="T23" s="119">
        <v>2162.8292311105324</v>
      </c>
      <c r="U23" s="8">
        <v>0</v>
      </c>
      <c r="V23" s="119">
        <v>2106.2024381377405</v>
      </c>
      <c r="W23" s="8">
        <v>0</v>
      </c>
      <c r="X23" s="119">
        <v>2036.409033200694</v>
      </c>
      <c r="Y23" s="8">
        <v>0</v>
      </c>
      <c r="Z23" s="119">
        <v>1949.5138571753523</v>
      </c>
      <c r="AA23" s="8">
        <v>0</v>
      </c>
      <c r="AB23" s="119">
        <v>1840.5214997844878</v>
      </c>
      <c r="AC23" s="8">
        <v>0</v>
      </c>
      <c r="AD23" s="119">
        <v>1703.4492010809029</v>
      </c>
      <c r="AE23" s="8">
        <v>0</v>
      </c>
      <c r="AF23" s="119">
        <v>1531.7678400440573</v>
      </c>
      <c r="AG23" s="8">
        <v>0</v>
      </c>
      <c r="AH23" s="119">
        <v>1319.276222198562</v>
      </c>
      <c r="AI23" s="8">
        <v>0</v>
      </c>
      <c r="AJ23" s="119">
        <v>1061.1942910615157</v>
      </c>
      <c r="AK23" s="8">
        <v>0</v>
      </c>
      <c r="AL23" s="119">
        <v>755.00004544740409</v>
      </c>
      <c r="AM23" s="8">
        <v>0</v>
      </c>
      <c r="AN23" s="119">
        <v>400.62157149868148</v>
      </c>
      <c r="AO23" s="8">
        <v>0</v>
      </c>
      <c r="AP23" s="119">
        <v>324.10724146144554</v>
      </c>
      <c r="AQ23" s="8">
        <v>0</v>
      </c>
      <c r="AR23" s="119">
        <v>245.76228202218167</v>
      </c>
      <c r="AS23" s="8">
        <v>0</v>
      </c>
      <c r="AT23" s="119">
        <v>165.61157873839824</v>
      </c>
      <c r="AU23" s="8">
        <v>0</v>
      </c>
      <c r="AV23" s="119">
        <v>83.681563932242085</v>
      </c>
      <c r="AW23" s="8">
        <v>0</v>
      </c>
    </row>
    <row r="24" spans="1:49" x14ac:dyDescent="0.2">
      <c r="A24" t="s">
        <v>8</v>
      </c>
      <c r="B24" s="100">
        <v>2261.1304131516072</v>
      </c>
      <c r="C24" s="8">
        <v>0</v>
      </c>
      <c r="D24" s="100">
        <v>2267.8066908944702</v>
      </c>
      <c r="E24" s="8">
        <v>0</v>
      </c>
      <c r="F24" s="100">
        <v>2273.0786435097052</v>
      </c>
      <c r="G24" s="8">
        <v>0</v>
      </c>
      <c r="H24" s="100">
        <v>2276.6411654399831</v>
      </c>
      <c r="I24" s="8">
        <v>0</v>
      </c>
      <c r="J24" s="100">
        <v>2278.101159777988</v>
      </c>
      <c r="K24" s="8">
        <v>0</v>
      </c>
      <c r="L24" s="100">
        <v>2276.9439635050667</v>
      </c>
      <c r="M24" s="8">
        <v>0</v>
      </c>
      <c r="N24" s="100">
        <v>2272.4867115458947</v>
      </c>
      <c r="O24" s="8">
        <v>0</v>
      </c>
      <c r="P24" s="100">
        <v>2263.8099142363981</v>
      </c>
      <c r="Q24" s="8">
        <v>0</v>
      </c>
      <c r="R24" s="100">
        <v>2249.6583244876238</v>
      </c>
      <c r="S24" s="8">
        <v>0</v>
      </c>
      <c r="T24" s="100">
        <v>2228.2964565953926</v>
      </c>
      <c r="U24" s="8">
        <v>0</v>
      </c>
      <c r="V24" s="100">
        <v>2197.3038155811573</v>
      </c>
      <c r="W24" s="8">
        <v>0</v>
      </c>
      <c r="X24" s="100">
        <v>2153.2956675790547</v>
      </c>
      <c r="Y24" s="8">
        <v>0</v>
      </c>
      <c r="Z24" s="100">
        <v>2091.5777818989777</v>
      </c>
      <c r="AA24" s="8">
        <v>0</v>
      </c>
      <c r="AB24" s="100">
        <v>2005.7994289903013</v>
      </c>
      <c r="AC24" s="8">
        <v>0</v>
      </c>
      <c r="AD24" s="100">
        <v>1887.7749890091575</v>
      </c>
      <c r="AE24" s="8">
        <v>0</v>
      </c>
      <c r="AF24" s="100">
        <v>1727.7596832917998</v>
      </c>
      <c r="AG24" s="8">
        <v>0</v>
      </c>
      <c r="AH24" s="100">
        <v>1515.4290386679279</v>
      </c>
      <c r="AI24" s="8">
        <v>0</v>
      </c>
      <c r="AJ24" s="100">
        <v>1241.4683477630633</v>
      </c>
      <c r="AK24" s="8">
        <v>0</v>
      </c>
      <c r="AL24" s="100">
        <v>899.17086970587923</v>
      </c>
      <c r="AM24" s="8">
        <v>0</v>
      </c>
      <c r="AN24" s="100">
        <v>485.30807465900716</v>
      </c>
      <c r="AO24" s="8">
        <v>0</v>
      </c>
      <c r="AP24" s="100">
        <v>393.9073126128784</v>
      </c>
      <c r="AQ24" s="8">
        <v>0</v>
      </c>
      <c r="AR24" s="100">
        <v>299.65567404724328</v>
      </c>
      <c r="AS24" s="8">
        <v>0</v>
      </c>
      <c r="AT24" s="100">
        <v>202.57193009304464</v>
      </c>
      <c r="AU24" s="8">
        <v>0</v>
      </c>
      <c r="AV24" s="100">
        <v>102.67827330532009</v>
      </c>
      <c r="AW24" s="8">
        <v>0</v>
      </c>
    </row>
    <row r="25" spans="1:49" x14ac:dyDescent="0.2">
      <c r="A25" t="s">
        <v>0</v>
      </c>
      <c r="B25" s="41">
        <v>2308.08561139929</v>
      </c>
      <c r="C25" s="42">
        <v>62.040492544331705</v>
      </c>
      <c r="D25" s="41">
        <v>2301.6960878159571</v>
      </c>
      <c r="E25" s="42">
        <v>54.258040842449113</v>
      </c>
      <c r="F25" s="41">
        <v>2293.2688806699803</v>
      </c>
      <c r="G25" s="42">
        <v>46.963574053552186</v>
      </c>
      <c r="H25" s="41">
        <v>2282.408226490526</v>
      </c>
      <c r="I25" s="42">
        <v>40.174610548121692</v>
      </c>
      <c r="J25" s="41">
        <v>2268.6140690145376</v>
      </c>
      <c r="K25" s="42">
        <v>33.907956715518289</v>
      </c>
      <c r="L25" s="41">
        <v>2251.2479768539411</v>
      </c>
      <c r="M25" s="42">
        <v>28.1793670214883</v>
      </c>
      <c r="N25" s="41">
        <v>2229.4869883098845</v>
      </c>
      <c r="O25" s="42">
        <v>23.002869371653347</v>
      </c>
      <c r="P25" s="41">
        <v>2202.2607453903779</v>
      </c>
      <c r="Q25" s="42">
        <v>18.389943719551571</v>
      </c>
      <c r="R25" s="41">
        <v>2168.1669473677548</v>
      </c>
      <c r="S25" s="42">
        <v>14.348223007043229</v>
      </c>
      <c r="T25" s="41">
        <v>2125.3603124402484</v>
      </c>
      <c r="U25" s="42">
        <v>10.879773464687789</v>
      </c>
      <c r="V25" s="41">
        <v>2071.4144669548996</v>
      </c>
      <c r="W25" s="42">
        <v>7.9786728885107276</v>
      </c>
      <c r="X25" s="41">
        <v>2003.1674011359999</v>
      </c>
      <c r="Y25" s="42">
        <v>5.6280019687905742</v>
      </c>
      <c r="Z25" s="41">
        <v>1916.5878698805891</v>
      </c>
      <c r="AA25" s="42">
        <v>3.7964605744897924</v>
      </c>
      <c r="AB25" s="41">
        <v>1806.7450646831612</v>
      </c>
      <c r="AC25" s="42">
        <v>2.4355570654056717</v>
      </c>
      <c r="AD25" s="41">
        <v>1668.01272724971</v>
      </c>
      <c r="AE25" s="42">
        <v>1.479148950824043</v>
      </c>
      <c r="AF25" s="41">
        <v>1494.6330371556414</v>
      </c>
      <c r="AG25" s="42">
        <v>0.84742085112432897</v>
      </c>
      <c r="AH25" s="41">
        <v>1281.6154805981803</v>
      </c>
      <c r="AI25" s="42">
        <v>0.456045080841816</v>
      </c>
      <c r="AJ25" s="41">
        <v>1025.6758866549865</v>
      </c>
      <c r="AK25" s="42">
        <v>0.22778692371857664</v>
      </c>
      <c r="AL25" s="41">
        <v>725.77189523745722</v>
      </c>
      <c r="AM25" s="42">
        <v>0.10139682549594926</v>
      </c>
      <c r="AN25" s="41">
        <v>382.99837097180051</v>
      </c>
      <c r="AO25" s="42">
        <v>3.4312211262774575E-2</v>
      </c>
      <c r="AP25" s="41">
        <v>309.51311672551509</v>
      </c>
      <c r="AQ25" s="42">
        <v>2.5447936200295194E-2</v>
      </c>
      <c r="AR25" s="41">
        <v>234.44273989223788</v>
      </c>
      <c r="AS25" s="42">
        <v>1.7709992381319581E-2</v>
      </c>
      <c r="AT25" s="41">
        <v>157.81473243335893</v>
      </c>
      <c r="AU25" s="42">
        <v>1.0965763647276448E-2</v>
      </c>
      <c r="AV25" s="41">
        <v>79.657463171576225</v>
      </c>
      <c r="AW25" s="42">
        <v>5.0973244042886107E-3</v>
      </c>
    </row>
    <row r="26" spans="1:49" x14ac:dyDescent="0.2">
      <c r="A26" t="s">
        <v>27</v>
      </c>
      <c r="B26" s="33">
        <v>3209.4420883953348</v>
      </c>
      <c r="C26" s="34">
        <v>31.623872672841795</v>
      </c>
      <c r="D26" s="33">
        <v>3194.4295784046244</v>
      </c>
      <c r="E26" s="34">
        <v>29.065066951879189</v>
      </c>
      <c r="F26" s="33">
        <v>3177.0320916512555</v>
      </c>
      <c r="G26" s="34">
        <v>26.537733961758015</v>
      </c>
      <c r="H26" s="33">
        <v>3156.7770247884</v>
      </c>
      <c r="I26" s="34">
        <v>24.047552796942924</v>
      </c>
      <c r="J26" s="33">
        <v>3133.0644180049831</v>
      </c>
      <c r="K26" s="34">
        <v>21.601477583092411</v>
      </c>
      <c r="L26" s="33">
        <v>3105.1233865656664</v>
      </c>
      <c r="M26" s="34">
        <v>19.208109102907795</v>
      </c>
      <c r="N26" s="33">
        <v>3071.9524104081056</v>
      </c>
      <c r="O26" s="34">
        <v>16.878059921608077</v>
      </c>
      <c r="P26" s="33">
        <v>3032.2356924340747</v>
      </c>
      <c r="Q26" s="34">
        <v>14.624441118290351</v>
      </c>
      <c r="R26" s="33">
        <v>2984.227580861666</v>
      </c>
      <c r="S26" s="34">
        <v>12.463322872270417</v>
      </c>
      <c r="T26" s="33">
        <v>2925.5942971774771</v>
      </c>
      <c r="U26" s="34">
        <v>10.414174773537273</v>
      </c>
      <c r="V26" s="33">
        <v>2853.2060459198119</v>
      </c>
      <c r="W26" s="34">
        <v>8.5000036441621454</v>
      </c>
      <c r="X26" s="33">
        <v>2762.8824591052476</v>
      </c>
      <c r="Y26" s="34">
        <v>6.7468876039915164</v>
      </c>
      <c r="Z26" s="33">
        <v>2649.127711583903</v>
      </c>
      <c r="AA26" s="34">
        <v>5.1822867637083547</v>
      </c>
      <c r="AB26" s="33">
        <v>2504.9554425185861</v>
      </c>
      <c r="AC26" s="34">
        <v>3.8314960234283082</v>
      </c>
      <c r="AD26" s="33">
        <v>2321.9930057538381</v>
      </c>
      <c r="AE26" s="34">
        <v>2.7120738451324016</v>
      </c>
      <c r="AF26" s="33">
        <v>2091.0995737413014</v>
      </c>
      <c r="AG26" s="34">
        <v>1.8274544788084852</v>
      </c>
      <c r="AH26" s="33">
        <v>1803.5834360078613</v>
      </c>
      <c r="AI26" s="34">
        <v>1.1629524392406887</v>
      </c>
      <c r="AJ26" s="33">
        <v>1452.713507367477</v>
      </c>
      <c r="AK26" s="34">
        <v>0.68743528737963489</v>
      </c>
      <c r="AL26" s="33">
        <v>1034.8677027102758</v>
      </c>
      <c r="AM26" s="34">
        <v>0.36074599586099027</v>
      </c>
      <c r="AN26" s="33">
        <v>549.79173248412587</v>
      </c>
      <c r="AO26" s="34">
        <v>0.14282076032145574</v>
      </c>
      <c r="AP26" s="33">
        <v>444.89247488624392</v>
      </c>
      <c r="AQ26" s="34">
        <v>0.10917624924659493</v>
      </c>
      <c r="AR26" s="33">
        <v>337.42959819071484</v>
      </c>
      <c r="AS26" s="34">
        <v>7.8279002201249531E-2</v>
      </c>
      <c r="AT26" s="33">
        <v>227.43613094253928</v>
      </c>
      <c r="AU26" s="34">
        <v>4.9914974778341815E-2</v>
      </c>
      <c r="AV26" s="33">
        <v>114.94725285859859</v>
      </c>
      <c r="AW26" s="34">
        <v>2.388412503818604E-2</v>
      </c>
    </row>
    <row r="27" spans="1:49" x14ac:dyDescent="0.2">
      <c r="A27" t="s">
        <v>2</v>
      </c>
      <c r="B27" s="35">
        <v>4880.3032028967582</v>
      </c>
      <c r="C27" s="36">
        <v>155.9342317514201</v>
      </c>
      <c r="D27" s="35">
        <v>4858.6637541257896</v>
      </c>
      <c r="E27" s="36">
        <v>143.33456773680771</v>
      </c>
      <c r="F27" s="35">
        <v>4833.4001025668849</v>
      </c>
      <c r="G27" s="36">
        <v>130.88719876176128</v>
      </c>
      <c r="H27" s="35">
        <v>4803.8070005564114</v>
      </c>
      <c r="I27" s="36">
        <v>118.62041965916626</v>
      </c>
      <c r="J27" s="35">
        <v>4768.9897403243394</v>
      </c>
      <c r="K27" s="36">
        <v>106.5687103993196</v>
      </c>
      <c r="L27" s="35">
        <v>4727.7990210172202</v>
      </c>
      <c r="M27" s="36">
        <v>94.774713972115393</v>
      </c>
      <c r="N27" s="35">
        <v>4678.7415241872222</v>
      </c>
      <c r="O27" s="36">
        <v>83.290912460509645</v>
      </c>
      <c r="P27" s="35">
        <v>4619.854022870697</v>
      </c>
      <c r="Q27" s="36">
        <v>72.182144380392486</v>
      </c>
      <c r="R27" s="35">
        <v>4548.5286487859557</v>
      </c>
      <c r="S27" s="36">
        <v>61.527759622124101</v>
      </c>
      <c r="T27" s="35">
        <v>4461.2717503293461</v>
      </c>
      <c r="U27" s="36">
        <v>51.423886318106014</v>
      </c>
      <c r="V27" s="35">
        <v>4353.3837966716419</v>
      </c>
      <c r="W27" s="36">
        <v>41.983996801513683</v>
      </c>
      <c r="X27" s="35">
        <v>4218.5604860021831</v>
      </c>
      <c r="Y27" s="36">
        <v>33.33666929166634</v>
      </c>
      <c r="Z27" s="35">
        <v>4048.4632764234539</v>
      </c>
      <c r="AA27" s="36">
        <v>25.617275075229038</v>
      </c>
      <c r="AB27" s="35">
        <v>3832.402271436611</v>
      </c>
      <c r="AC27" s="36">
        <v>18.950542979374021</v>
      </c>
      <c r="AD27" s="35">
        <v>3557.413892215292</v>
      </c>
      <c r="AE27" s="36">
        <v>13.423199889458534</v>
      </c>
      <c r="AF27" s="35">
        <v>3209.1022468470792</v>
      </c>
      <c r="AG27" s="36">
        <v>9.0525054164214893</v>
      </c>
      <c r="AH27" s="35">
        <v>2773.4189003174042</v>
      </c>
      <c r="AI27" s="36">
        <v>5.7665932177665624</v>
      </c>
      <c r="AJ27" s="35">
        <v>2238.982724875139</v>
      </c>
      <c r="AK27" s="36">
        <v>3.4125973502778906</v>
      </c>
      <c r="AL27" s="35">
        <v>1598.9694870199323</v>
      </c>
      <c r="AM27" s="36">
        <v>1.7930690415811836</v>
      </c>
      <c r="AN27" s="35">
        <v>851.71770965778967</v>
      </c>
      <c r="AO27" s="36">
        <v>0.710817127450729</v>
      </c>
      <c r="AP27" s="35">
        <v>689.58008114189226</v>
      </c>
      <c r="AQ27" s="36">
        <v>0.54351407069009028</v>
      </c>
      <c r="AR27" s="35">
        <v>523.29384229692141</v>
      </c>
      <c r="AS27" s="36">
        <v>0.3898021914423993</v>
      </c>
      <c r="AT27" s="35">
        <v>352.90279234011035</v>
      </c>
      <c r="AU27" s="36">
        <v>0.24862593185813373</v>
      </c>
      <c r="AV27" s="35">
        <v>178.4545302624785</v>
      </c>
      <c r="AW27" s="36">
        <v>0.11899853634894683</v>
      </c>
    </row>
    <row r="28" spans="1:49" x14ac:dyDescent="0.2">
      <c r="A28" t="s">
        <v>35</v>
      </c>
      <c r="B28" s="41">
        <v>9924.5937686277575</v>
      </c>
      <c r="C28" s="42">
        <v>205.34242141823867</v>
      </c>
      <c r="D28" s="41">
        <v>9879.3588627088266</v>
      </c>
      <c r="E28" s="42">
        <v>188.74495440685257</v>
      </c>
      <c r="F28" s="41">
        <v>9826.7507782221855</v>
      </c>
      <c r="G28" s="42">
        <v>172.34895157152448</v>
      </c>
      <c r="H28" s="41">
        <v>9765.3214452310403</v>
      </c>
      <c r="I28" s="42">
        <v>156.19158124240559</v>
      </c>
      <c r="J28" s="41">
        <v>9693.2331323766248</v>
      </c>
      <c r="K28" s="42">
        <v>140.31818883120116</v>
      </c>
      <c r="L28" s="41">
        <v>9608.1248207459412</v>
      </c>
      <c r="M28" s="42">
        <v>124.78485528277974</v>
      </c>
      <c r="N28" s="41">
        <v>9506.9289068904691</v>
      </c>
      <c r="O28" s="42">
        <v>109.66064370907438</v>
      </c>
      <c r="P28" s="41">
        <v>9385.6138129947103</v>
      </c>
      <c r="Q28" s="42">
        <v>95.030877085331852</v>
      </c>
      <c r="R28" s="41">
        <v>9238.8275404202541</v>
      </c>
      <c r="S28" s="42">
        <v>81.000012944436023</v>
      </c>
      <c r="T28" s="41">
        <v>9059.4076822911557</v>
      </c>
      <c r="U28" s="42">
        <v>67.694598063586625</v>
      </c>
      <c r="V28" s="41">
        <v>8837.7344627843995</v>
      </c>
      <c r="W28" s="42">
        <v>55.264050022524415</v>
      </c>
      <c r="X28" s="41">
        <v>8560.9316165389118</v>
      </c>
      <c r="Y28" s="42">
        <v>43.877691012710052</v>
      </c>
      <c r="Z28" s="41">
        <v>8212.0205110040624</v>
      </c>
      <c r="AA28" s="42">
        <v>33.713795960872858</v>
      </c>
      <c r="AB28" s="41">
        <v>7769.3280454436153</v>
      </c>
      <c r="AC28" s="42">
        <v>24.936615267499711</v>
      </c>
      <c r="AD28" s="41">
        <v>7206.7290981988854</v>
      </c>
      <c r="AE28" s="42">
        <v>17.660311048958306</v>
      </c>
      <c r="AF28" s="41">
        <v>6495.4617002024706</v>
      </c>
      <c r="AG28" s="42">
        <v>11.907511722896368</v>
      </c>
      <c r="AH28" s="41">
        <v>5607.8241075910373</v>
      </c>
      <c r="AI28" s="42">
        <v>7.5834098420774687</v>
      </c>
      <c r="AJ28" s="41">
        <v>4521.8751211582594</v>
      </c>
      <c r="AK28" s="42">
        <v>4.4865008330736114</v>
      </c>
      <c r="AL28" s="41">
        <v>3225.1315884818014</v>
      </c>
      <c r="AM28" s="42">
        <v>2.3565955877994322</v>
      </c>
      <c r="AN28" s="41">
        <v>1715.5798176265607</v>
      </c>
      <c r="AO28" s="42">
        <v>0.93390640244315626</v>
      </c>
      <c r="AP28" s="41">
        <v>1388.6071566315034</v>
      </c>
      <c r="AQ28" s="42">
        <v>0.7140476279333704</v>
      </c>
      <c r="AR28" s="41">
        <v>1053.4631724313797</v>
      </c>
      <c r="AS28" s="42">
        <v>0.51207252954723492</v>
      </c>
      <c r="AT28" s="41">
        <v>710.244039695271</v>
      </c>
      <c r="AU28" s="42">
        <v>0.32659110771288263</v>
      </c>
      <c r="AV28" s="41">
        <v>359.05311162988539</v>
      </c>
      <c r="AW28" s="42">
        <v>0.15630404312259483</v>
      </c>
    </row>
    <row r="29" spans="1:49" x14ac:dyDescent="0.2">
      <c r="A29" t="s">
        <v>53</v>
      </c>
      <c r="B29" s="35">
        <v>10476.875482049762</v>
      </c>
      <c r="C29" s="36">
        <v>680.10699657273517</v>
      </c>
      <c r="D29" s="35">
        <v>10416.903876633598</v>
      </c>
      <c r="E29" s="36">
        <v>620.30380747509435</v>
      </c>
      <c r="F29" s="35">
        <v>10348.326162079429</v>
      </c>
      <c r="G29" s="36">
        <v>561.74800601656648</v>
      </c>
      <c r="H29" s="35">
        <v>10269.539619142164</v>
      </c>
      <c r="I29" s="36">
        <v>504.59317205225801</v>
      </c>
      <c r="J29" s="35">
        <v>10178.52659033698</v>
      </c>
      <c r="K29" s="36">
        <v>449.01952881409574</v>
      </c>
      <c r="L29" s="35">
        <v>10072.716642219148</v>
      </c>
      <c r="M29" s="36">
        <v>395.24095326548854</v>
      </c>
      <c r="N29" s="35">
        <v>9948.7999753109198</v>
      </c>
      <c r="O29" s="36">
        <v>343.51040570849676</v>
      </c>
      <c r="P29" s="35">
        <v>9802.4681567792941</v>
      </c>
      <c r="Q29" s="36">
        <v>294.12759622520241</v>
      </c>
      <c r="R29" s="35">
        <v>9628.0607416886487</v>
      </c>
      <c r="S29" s="36">
        <v>247.44408429750234</v>
      </c>
      <c r="T29" s="35">
        <v>9418.0878932498526</v>
      </c>
      <c r="U29" s="36">
        <v>203.866733508983</v>
      </c>
      <c r="V29" s="35">
        <v>9162.6158767363941</v>
      </c>
      <c r="W29" s="36">
        <v>163.85220645369685</v>
      </c>
      <c r="X29" s="35">
        <v>8848.5353136417889</v>
      </c>
      <c r="Y29" s="36">
        <v>127.88757757840544</v>
      </c>
      <c r="Z29" s="35">
        <v>8458.8396933976874</v>
      </c>
      <c r="AA29" s="36">
        <v>96.445399666859842</v>
      </c>
      <c r="AB29" s="35">
        <v>7972.2341383589373</v>
      </c>
      <c r="AC29" s="36">
        <v>69.904700919641201</v>
      </c>
      <c r="AD29" s="35">
        <v>7363.6471636300057</v>
      </c>
      <c r="AE29" s="36">
        <v>48.441707831087022</v>
      </c>
      <c r="AF29" s="35">
        <v>6606.3068873041184</v>
      </c>
      <c r="AG29" s="36">
        <v>31.921598561352774</v>
      </c>
      <c r="AH29" s="35">
        <v>5675.5272029078096</v>
      </c>
      <c r="AI29" s="36">
        <v>19.855358671099687</v>
      </c>
      <c r="AJ29" s="35">
        <v>4553.1641528548744</v>
      </c>
      <c r="AK29" s="36">
        <v>11.472241116945396</v>
      </c>
      <c r="AL29" s="35">
        <v>3230.7493494615578</v>
      </c>
      <c r="AM29" s="36">
        <v>5.8884472031390045</v>
      </c>
      <c r="AN29" s="35">
        <v>1709.8590162849705</v>
      </c>
      <c r="AO29" s="36">
        <v>2.2827589028509419</v>
      </c>
      <c r="AP29" s="35">
        <v>1382.5961164336925</v>
      </c>
      <c r="AQ29" s="36">
        <v>1.737967516269121</v>
      </c>
      <c r="AR29" s="35">
        <v>1047.8645251275937</v>
      </c>
      <c r="AS29" s="36">
        <v>1.2411632622301836</v>
      </c>
      <c r="AT29" s="35">
        <v>705.77577710082153</v>
      </c>
      <c r="AU29" s="36">
        <v>0.7883344889259668</v>
      </c>
      <c r="AV29" s="35">
        <v>356.44699247201777</v>
      </c>
      <c r="AW29" s="36">
        <v>0.37576072490784429</v>
      </c>
    </row>
    <row r="30" spans="1:49" x14ac:dyDescent="0.2">
      <c r="A30" t="s">
        <v>48</v>
      </c>
      <c r="B30" s="122">
        <v>3437517.2752293102</v>
      </c>
      <c r="D30" s="122">
        <v>3438628.092064471</v>
      </c>
      <c r="F30" s="122">
        <v>3437576.0572762336</v>
      </c>
      <c r="H30" s="122">
        <v>3433921.8469046215</v>
      </c>
      <c r="J30" s="122">
        <v>3427101.4972228543</v>
      </c>
      <c r="L30" s="122">
        <v>3416380.2753149676</v>
      </c>
      <c r="N30" s="122">
        <v>3400787.1692557186</v>
      </c>
      <c r="P30" s="122">
        <v>3379018.5136761717</v>
      </c>
      <c r="R30" s="122">
        <v>3349298.0295462799</v>
      </c>
      <c r="T30" s="122">
        <v>3309171.7401875057</v>
      </c>
      <c r="V30" s="122">
        <v>3255215.1853201082</v>
      </c>
      <c r="X30" s="122">
        <v>3182630.6692851903</v>
      </c>
      <c r="Z30" s="122">
        <v>3084742.5526577523</v>
      </c>
      <c r="AB30" s="122">
        <v>2952477.66848596</v>
      </c>
      <c r="AD30" s="122">
        <v>2774072.4067707248</v>
      </c>
      <c r="AF30" s="122">
        <v>2535422.7988330713</v>
      </c>
      <c r="AH30" s="122">
        <v>2221461.271964612</v>
      </c>
      <c r="AJ30" s="122">
        <v>1818456.6218673291</v>
      </c>
      <c r="AL30" s="122">
        <v>1316380.9345945034</v>
      </c>
      <c r="AN30" s="122">
        <v>710250.28918771958</v>
      </c>
      <c r="AP30" s="122">
        <v>576456.48279206268</v>
      </c>
      <c r="AR30" s="122">
        <v>438506.15097514284</v>
      </c>
      <c r="AT30" s="122">
        <v>296425.19754072925</v>
      </c>
      <c r="AV30" s="122">
        <v>150244.6142571184</v>
      </c>
    </row>
    <row r="31" spans="1:49" x14ac:dyDescent="0.2">
      <c r="A31" t="s">
        <v>47</v>
      </c>
      <c r="B31" s="83">
        <v>0.99999999999999867</v>
      </c>
      <c r="D31" s="83">
        <v>0.98890699542480787</v>
      </c>
      <c r="F31" s="83">
        <v>0.97684100978959909</v>
      </c>
      <c r="H31" s="83">
        <v>0.96364205206014741</v>
      </c>
      <c r="J31" s="83">
        <v>0.9491126012006138</v>
      </c>
      <c r="L31" s="83">
        <v>0.93300615411589316</v>
      </c>
      <c r="N31" s="83">
        <v>0.91501237367768617</v>
      </c>
      <c r="P31" s="83">
        <v>0.89473692647988712</v>
      </c>
      <c r="R31" s="83">
        <v>0.87167548581726728</v>
      </c>
      <c r="T31" s="83">
        <v>0.84518042285273909</v>
      </c>
      <c r="V31" s="83">
        <v>0.81442174482120688</v>
      </c>
      <c r="X31" s="83">
        <v>0.7783469264595777</v>
      </c>
      <c r="Z31" s="83">
        <v>0.73565412762703042</v>
      </c>
      <c r="AB31" s="83">
        <v>0.68480672869435666</v>
      </c>
      <c r="AD31" s="83">
        <v>0.62412952030988433</v>
      </c>
      <c r="AF31" s="83">
        <v>0.55201815814943656</v>
      </c>
      <c r="AH31" s="83">
        <v>0.46723625346741243</v>
      </c>
      <c r="AJ31" s="83">
        <v>0.36918923729064945</v>
      </c>
      <c r="AL31" s="83">
        <v>0.25803352470599317</v>
      </c>
      <c r="AN31" s="83">
        <v>0.13456960941918611</v>
      </c>
      <c r="AP31" s="83">
        <v>0.10850159946363713</v>
      </c>
      <c r="AR31" s="83">
        <v>8.1999682328915982E-2</v>
      </c>
      <c r="AT31" s="83">
        <v>5.5074768566029768E-2</v>
      </c>
      <c r="AV31" s="83">
        <v>2.7737860791936939E-2</v>
      </c>
    </row>
    <row r="32" spans="1:49" x14ac:dyDescent="0.2">
      <c r="A32" t="s">
        <v>66</v>
      </c>
      <c r="B32" s="89">
        <v>11714820.670945669</v>
      </c>
      <c r="D32" s="89">
        <v>11632338.120466925</v>
      </c>
      <c r="F32" s="89">
        <v>11541049.518847529</v>
      </c>
      <c r="H32" s="89">
        <v>11439325.959288685</v>
      </c>
      <c r="J32" s="89">
        <v>11325118.936731463</v>
      </c>
      <c r="L32" s="89">
        <v>11195816.644648688</v>
      </c>
      <c r="N32" s="89">
        <v>11048049.751681399</v>
      </c>
      <c r="P32" s="89">
        <v>10877414.627826462</v>
      </c>
      <c r="R32" s="89">
        <v>10678090.558547297</v>
      </c>
      <c r="T32" s="89">
        <v>10442306.390189206</v>
      </c>
      <c r="V32" s="89">
        <v>10159629.913239984</v>
      </c>
      <c r="X32" s="89">
        <v>9816071.820572542</v>
      </c>
      <c r="Z32" s="89">
        <v>9393107.5897772387</v>
      </c>
      <c r="AB32" s="89">
        <v>8866933.1081969682</v>
      </c>
      <c r="AD32" s="89">
        <v>8208599.0770002361</v>
      </c>
      <c r="AF32" s="89">
        <v>7385898.5948724244</v>
      </c>
      <c r="AH32" s="89">
        <v>6367461.8331383374</v>
      </c>
      <c r="AJ32" s="89">
        <v>5128177.2530873427</v>
      </c>
      <c r="AL32" s="89">
        <v>3653645.4842723524</v>
      </c>
      <c r="AN32" s="89">
        <v>1941581.0144806488</v>
      </c>
      <c r="AP32" s="89">
        <v>1571226.0516259354</v>
      </c>
      <c r="AR32" s="89">
        <v>1191772.8529220822</v>
      </c>
      <c r="AT32" s="89">
        <v>803334.91695082572</v>
      </c>
      <c r="AV32" s="89">
        <v>406034.19509231002</v>
      </c>
    </row>
    <row r="33" spans="1:49 16319:16321" x14ac:dyDescent="0.2">
      <c r="A33" t="s">
        <v>56</v>
      </c>
      <c r="B33" s="120">
        <v>6643090.9398583025</v>
      </c>
      <c r="D33" s="120">
        <v>6576001.8111493299</v>
      </c>
      <c r="F33" s="120">
        <v>6503580.7694637291</v>
      </c>
      <c r="H33" s="120">
        <v>6424873.5445808088</v>
      </c>
      <c r="J33" s="120">
        <v>6338688.5419971887</v>
      </c>
      <c r="L33" s="120">
        <v>6243519.2718514372</v>
      </c>
      <c r="N33" s="120">
        <v>6137440.94693927</v>
      </c>
      <c r="P33" s="120">
        <v>6017965.6278938958</v>
      </c>
      <c r="R33" s="120">
        <v>5881847.3725638883</v>
      </c>
      <c r="T33" s="120">
        <v>5724818.8050520942</v>
      </c>
      <c r="V33" s="120">
        <v>5541255.734105465</v>
      </c>
      <c r="X33" s="120">
        <v>5323781.2781900791</v>
      </c>
      <c r="Z33" s="120">
        <v>5062885.9090571878</v>
      </c>
      <c r="AB33" s="120">
        <v>4746747.026765503</v>
      </c>
      <c r="AD33" s="120">
        <v>4361572.0210770629</v>
      </c>
      <c r="AF33" s="120">
        <v>3892832.0356172873</v>
      </c>
      <c r="AH33" s="120">
        <v>3327443.4236986577</v>
      </c>
      <c r="AJ33" s="120">
        <v>2656272.7278694585</v>
      </c>
      <c r="AL33" s="120">
        <v>1875811.5103641083</v>
      </c>
      <c r="AN33" s="120">
        <v>988225.48148803797</v>
      </c>
      <c r="AP33" s="120">
        <v>798369.28590272251</v>
      </c>
      <c r="AR33" s="120">
        <v>604547.02691297</v>
      </c>
      <c r="AT33" s="120">
        <v>406829.02797694138</v>
      </c>
      <c r="AV33" s="120">
        <v>205288.29282468196</v>
      </c>
    </row>
    <row r="34" spans="1:49 16319:16321" x14ac:dyDescent="0.2">
      <c r="A34" t="s">
        <v>77</v>
      </c>
      <c r="B34" s="120">
        <v>137664.28859559208</v>
      </c>
      <c r="D34" s="120">
        <v>136695.02272242232</v>
      </c>
      <c r="F34" s="120">
        <v>135622.24878456903</v>
      </c>
      <c r="H34" s="120">
        <v>134426.86205876508</v>
      </c>
      <c r="J34" s="120">
        <v>133084.77698953671</v>
      </c>
      <c r="L34" s="120">
        <v>131565.32361093763</v>
      </c>
      <c r="N34" s="120">
        <v>129828.8742709941</v>
      </c>
      <c r="P34" s="120">
        <v>127823.69846804958</v>
      </c>
      <c r="R34" s="120">
        <v>125481.36665959837</v>
      </c>
      <c r="T34" s="120">
        <v>122710.59678694</v>
      </c>
      <c r="V34" s="120">
        <v>119388.78451017413</v>
      </c>
      <c r="X34" s="120">
        <v>115351.53799563943</v>
      </c>
      <c r="Z34" s="120">
        <v>110381.16843238019</v>
      </c>
      <c r="AB34" s="120">
        <v>104197.9267033388</v>
      </c>
      <c r="AD34" s="120">
        <v>96461.65224617417</v>
      </c>
      <c r="AF34" s="120">
        <v>86793.857607609418</v>
      </c>
      <c r="AH34" s="120">
        <v>74825.908862946148</v>
      </c>
      <c r="AJ34" s="120">
        <v>60262.709835069982</v>
      </c>
      <c r="AL34" s="120">
        <v>42935.057323236048</v>
      </c>
      <c r="AN34" s="120">
        <v>22816.083882939842</v>
      </c>
      <c r="AP34" s="120">
        <v>18463.935530634859</v>
      </c>
      <c r="AR34" s="120">
        <v>14004.872773943658</v>
      </c>
      <c r="AT34" s="120">
        <v>9440.2253694358296</v>
      </c>
      <c r="AV34" s="120">
        <v>4771.4260116111982</v>
      </c>
    </row>
    <row r="35" spans="1:49 16319:16321" x14ac:dyDescent="0.2">
      <c r="A35" t="s">
        <v>80</v>
      </c>
      <c r="B35" s="236">
        <v>1</v>
      </c>
      <c r="D35" s="236">
        <v>1.0010053604672493</v>
      </c>
      <c r="F35" s="236">
        <v>1.0022119026952419</v>
      </c>
      <c r="H35" s="236">
        <v>1.0036509807405778</v>
      </c>
      <c r="J35" s="236">
        <v>1.0053611511692313</v>
      </c>
      <c r="L35" s="236">
        <v>1.0073901333826223</v>
      </c>
      <c r="N35" s="236">
        <v>1.0097972722283981</v>
      </c>
      <c r="P35" s="236">
        <v>1.0126565368418969</v>
      </c>
      <c r="R35" s="236">
        <v>1.0160599538946027</v>
      </c>
      <c r="T35" s="236">
        <v>1.0201210273320291</v>
      </c>
      <c r="V35" s="236">
        <v>1.0249769971434881</v>
      </c>
      <c r="X35" s="236">
        <v>1.030787488808619</v>
      </c>
      <c r="Z35" s="236">
        <v>1.0377252095633551</v>
      </c>
      <c r="AB35" s="236">
        <v>1.0459527235200026</v>
      </c>
      <c r="AD35" s="236">
        <v>1.0555810024669132</v>
      </c>
      <c r="AF35" s="236">
        <v>1.0666150691434242</v>
      </c>
      <c r="AH35" s="236">
        <v>1.0789097230754108</v>
      </c>
      <c r="AJ35" s="236">
        <v>1.0921682873801253</v>
      </c>
      <c r="AL35" s="236">
        <v>1.1059980424177451</v>
      </c>
      <c r="AN35" s="236">
        <v>1.1199962981950051</v>
      </c>
      <c r="AP35" s="236">
        <v>1.12278459976153</v>
      </c>
      <c r="AR35" s="236">
        <v>1.1255634180216718</v>
      </c>
      <c r="AT35" s="236">
        <v>1.1283306347392963</v>
      </c>
      <c r="AV35" s="236">
        <v>1.1310842958609491</v>
      </c>
    </row>
    <row r="36" spans="1:49 16319:16321" x14ac:dyDescent="0.2">
      <c r="A36" t="s">
        <v>21</v>
      </c>
      <c r="B36" s="37">
        <v>0.47796858982439155</v>
      </c>
      <c r="C36" s="38">
        <v>0.17068593284758601</v>
      </c>
      <c r="D36" s="37">
        <v>0.47798109638001318</v>
      </c>
      <c r="E36" s="38">
        <v>0.17208992116491847</v>
      </c>
      <c r="F36" s="37">
        <v>0.47799380188017188</v>
      </c>
      <c r="G36" s="38">
        <v>0.17360528086151353</v>
      </c>
      <c r="H36" s="37">
        <v>0.47800665148567328</v>
      </c>
      <c r="I36" s="38">
        <v>0.17524648695644071</v>
      </c>
      <c r="J36" s="37">
        <v>0.47801956817330959</v>
      </c>
      <c r="K36" s="38">
        <v>0.17703060025117387</v>
      </c>
      <c r="L36" s="37">
        <v>0.47803244569052417</v>
      </c>
      <c r="M36" s="38">
        <v>0.17897782286449007</v>
      </c>
      <c r="N36" s="37">
        <v>0.47804513755496186</v>
      </c>
      <c r="O36" s="38">
        <v>0.18111208192223527</v>
      </c>
      <c r="P36" s="37">
        <v>0.47805744416656321</v>
      </c>
      <c r="Q36" s="38">
        <v>0.18346167448193673</v>
      </c>
      <c r="R36" s="37">
        <v>0.47806909602641989</v>
      </c>
      <c r="S36" s="38">
        <v>0.18605977399135568</v>
      </c>
      <c r="T36" s="37">
        <v>0.47807973703466222</v>
      </c>
      <c r="U36" s="38">
        <v>0.18894460177691066</v>
      </c>
      <c r="V36" s="37">
        <v>0.4780889091864427</v>
      </c>
      <c r="W36" s="38">
        <v>0.19215866322604941</v>
      </c>
      <c r="X36" s="37">
        <v>0.47809605181389475</v>
      </c>
      <c r="Y36" s="38">
        <v>0.19574619158788828</v>
      </c>
      <c r="Z36" s="37">
        <v>0.47810053141054087</v>
      </c>
      <c r="AA36" s="38">
        <v>0.19974740523963835</v>
      </c>
      <c r="AB36" s="37">
        <v>0.47810172659123112</v>
      </c>
      <c r="AC36" s="38">
        <v>0.20418821166018214</v>
      </c>
      <c r="AD36" s="37">
        <v>0.47809918527959755</v>
      </c>
      <c r="AE36" s="38">
        <v>0.20906541463758352</v>
      </c>
      <c r="AF36" s="37">
        <v>0.47809281914250901</v>
      </c>
      <c r="AG36" s="38">
        <v>0.21433130120322574</v>
      </c>
      <c r="AH36" s="37">
        <v>0.47808304494187914</v>
      </c>
      <c r="AI36" s="38">
        <v>0.219886626101891</v>
      </c>
      <c r="AJ36" s="37">
        <v>0.47807074523820559</v>
      </c>
      <c r="AK36" s="38">
        <v>0.22559098167359853</v>
      </c>
      <c r="AL36" s="37">
        <v>0.47805703234828323</v>
      </c>
      <c r="AM36" s="38">
        <v>0.23128993815121784</v>
      </c>
      <c r="AN36" s="37">
        <v>0.47804295116960999</v>
      </c>
      <c r="AO36" s="38">
        <v>0.23684590345037104</v>
      </c>
      <c r="AP36" s="37">
        <v>0.47804016496562729</v>
      </c>
      <c r="AQ36" s="38">
        <v>0.23793032193343092</v>
      </c>
      <c r="AR36" s="37">
        <v>0.47803740093758817</v>
      </c>
      <c r="AS36" s="38">
        <v>0.2390042489666328</v>
      </c>
      <c r="AT36" s="37">
        <v>0.47803466326948069</v>
      </c>
      <c r="AU36" s="38">
        <v>0.24006714957648584</v>
      </c>
      <c r="AV36" s="37">
        <v>0.47803195565171641</v>
      </c>
      <c r="AW36" s="38">
        <v>0.24111855342869157</v>
      </c>
    </row>
    <row r="37" spans="1:49 16319:16321" x14ac:dyDescent="0.2">
      <c r="B37" s="39">
        <v>2.2053138497826009E-2</v>
      </c>
      <c r="C37" s="40">
        <v>0.48867583383045654</v>
      </c>
      <c r="D37" s="39">
        <v>2.1597795698970315E-2</v>
      </c>
      <c r="E37" s="40">
        <v>0.48618988768063887</v>
      </c>
      <c r="F37" s="39">
        <v>2.1127382269164059E-2</v>
      </c>
      <c r="G37" s="40">
        <v>0.48362288505998169</v>
      </c>
      <c r="H37" s="39">
        <v>2.0640842842167693E-2</v>
      </c>
      <c r="I37" s="40">
        <v>0.48096958306390641</v>
      </c>
      <c r="J37" s="39">
        <v>2.0137030639505452E-2</v>
      </c>
      <c r="K37" s="40">
        <v>0.47822437287709613</v>
      </c>
      <c r="L37" s="39">
        <v>1.96147092252025E-2</v>
      </c>
      <c r="M37" s="40">
        <v>0.47538132432399771</v>
      </c>
      <c r="N37" s="39">
        <v>1.9072585252216976E-2</v>
      </c>
      <c r="O37" s="40">
        <v>0.47243440770141093</v>
      </c>
      <c r="P37" s="39">
        <v>1.8509364310400445E-2</v>
      </c>
      <c r="Q37" s="40">
        <v>0.46937785186157976</v>
      </c>
      <c r="R37" s="39">
        <v>1.7923874617335907E-2</v>
      </c>
      <c r="S37" s="40">
        <v>0.46620687985647541</v>
      </c>
      <c r="T37" s="39">
        <v>1.7315278072917911E-2</v>
      </c>
      <c r="U37" s="40">
        <v>0.46291892301602355</v>
      </c>
      <c r="V37" s="39">
        <v>1.6683439358157935E-2</v>
      </c>
      <c r="W37" s="40">
        <v>0.45951567907999097</v>
      </c>
      <c r="X37" s="39">
        <v>1.6029499259687396E-2</v>
      </c>
      <c r="Y37" s="40">
        <v>0.45600622697624382</v>
      </c>
      <c r="Z37" s="39">
        <v>1.5356693189991026E-2</v>
      </c>
      <c r="AA37" s="40">
        <v>0.45241134744554734</v>
      </c>
      <c r="AB37" s="39">
        <v>1.4671323088029542E-2</v>
      </c>
      <c r="AC37" s="40">
        <v>0.44876844468113153</v>
      </c>
      <c r="AD37" s="39">
        <v>1.3983526173348857E-2</v>
      </c>
      <c r="AE37" s="40">
        <v>0.44513504232335671</v>
      </c>
      <c r="AF37" s="39">
        <v>1.3307170878246441E-2</v>
      </c>
      <c r="AG37" s="40">
        <v>0.44158727442848361</v>
      </c>
      <c r="AH37" s="39">
        <v>1.2658196867876456E-2</v>
      </c>
      <c r="AI37" s="40">
        <v>0.43821002709679024</v>
      </c>
      <c r="AJ37" s="39">
        <v>1.2051538441975431E-2</v>
      </c>
      <c r="AK37" s="40">
        <v>0.43508006488595408</v>
      </c>
      <c r="AL37" s="39">
        <v>1.1497970981031969E-2</v>
      </c>
      <c r="AM37" s="40">
        <v>0.43224972458797334</v>
      </c>
      <c r="AN37" s="39">
        <v>1.1002504930401559E-2</v>
      </c>
      <c r="AO37" s="40">
        <v>0.42973962447148489</v>
      </c>
      <c r="AP37" s="39">
        <v>1.091043231940114E-2</v>
      </c>
      <c r="AQ37" s="40">
        <v>0.42927576776403081</v>
      </c>
      <c r="AR37" s="39">
        <v>1.0820658644425114E-2</v>
      </c>
      <c r="AS37" s="40">
        <v>0.42882431129677362</v>
      </c>
      <c r="AT37" s="39">
        <v>1.0733154684197539E-2</v>
      </c>
      <c r="AU37" s="40">
        <v>0.42838506011071864</v>
      </c>
      <c r="AV37" s="39">
        <v>1.0647886656616493E-2</v>
      </c>
      <c r="AW37" s="40">
        <v>0.4279577971573218</v>
      </c>
    </row>
    <row r="38" spans="1:49 16319:16321" x14ac:dyDescent="0.2">
      <c r="A38" t="s">
        <v>22</v>
      </c>
      <c r="B38" s="37">
        <v>0.14928344905798796</v>
      </c>
      <c r="C38" s="38">
        <v>3.7916652170162192E-2</v>
      </c>
      <c r="D38" s="37">
        <v>0.14943652332518553</v>
      </c>
      <c r="E38" s="38">
        <v>3.8139720635448265E-2</v>
      </c>
      <c r="F38" s="37">
        <v>0.14960344460293495</v>
      </c>
      <c r="G38" s="38">
        <v>3.8380655277601615E-2</v>
      </c>
      <c r="H38" s="37">
        <v>0.14978588982787558</v>
      </c>
      <c r="I38" s="38">
        <v>3.8641752383643362E-2</v>
      </c>
      <c r="J38" s="37">
        <v>0.14998581554298104</v>
      </c>
      <c r="K38" s="38">
        <v>3.8925739212828353E-2</v>
      </c>
      <c r="L38" s="37">
        <v>0.15020551255286604</v>
      </c>
      <c r="M38" s="38">
        <v>3.923582816272167E-2</v>
      </c>
      <c r="N38" s="37">
        <v>0.15044765836760138</v>
      </c>
      <c r="O38" s="38">
        <v>3.957584071980267E-2</v>
      </c>
      <c r="P38" s="37">
        <v>0.15071537204855032</v>
      </c>
      <c r="Q38" s="38">
        <v>3.995027128834986E-2</v>
      </c>
      <c r="R38" s="37">
        <v>0.15101224279714964</v>
      </c>
      <c r="S38" s="38">
        <v>4.0364399981349934E-2</v>
      </c>
      <c r="T38" s="37">
        <v>0.15134231047389013</v>
      </c>
      <c r="U38" s="38">
        <v>4.0824270679007651E-2</v>
      </c>
      <c r="V38" s="37">
        <v>0.1517099269065687</v>
      </c>
      <c r="W38" s="38">
        <v>4.1336608286094874E-2</v>
      </c>
      <c r="X38" s="37">
        <v>0.15211940739152152</v>
      </c>
      <c r="Y38" s="38">
        <v>4.1908381208032655E-2</v>
      </c>
      <c r="Z38" s="37">
        <v>0.15257433249752372</v>
      </c>
      <c r="AA38" s="38">
        <v>4.2545883514334561E-2</v>
      </c>
      <c r="AB38" s="37">
        <v>0.15307638935927684</v>
      </c>
      <c r="AC38" s="38">
        <v>4.3253100075318844E-2</v>
      </c>
      <c r="AD38" s="37">
        <v>0.15362382853282416</v>
      </c>
      <c r="AE38" s="38">
        <v>4.4029319327304195E-2</v>
      </c>
      <c r="AF38" s="37">
        <v>0.15421003061894298</v>
      </c>
      <c r="AG38" s="38">
        <v>4.4866786921368113E-2</v>
      </c>
      <c r="AH38" s="37">
        <v>0.15482315219530118</v>
      </c>
      <c r="AI38" s="38">
        <v>4.574958872545689E-2</v>
      </c>
      <c r="AJ38" s="37">
        <v>0.15544764596322524</v>
      </c>
      <c r="AK38" s="38">
        <v>4.6655355468213595E-2</v>
      </c>
      <c r="AL38" s="37">
        <v>0.15606732654439615</v>
      </c>
      <c r="AM38" s="38">
        <v>4.7559655568202693E-2</v>
      </c>
      <c r="AN38" s="37">
        <v>0.1566684741779551</v>
      </c>
      <c r="AO38" s="38">
        <v>4.8440798995135675E-2</v>
      </c>
      <c r="AP38" s="37">
        <v>0.1567855625113577</v>
      </c>
      <c r="AQ38" s="38">
        <v>4.8612741138093302E-2</v>
      </c>
      <c r="AR38" s="37">
        <v>0.15690146068771144</v>
      </c>
      <c r="AS38" s="38">
        <v>4.8783011158420972E-2</v>
      </c>
      <c r="AT38" s="37">
        <v>0.15701612067747281</v>
      </c>
      <c r="AU38" s="38">
        <v>4.895152351637172E-2</v>
      </c>
      <c r="AV38" s="37">
        <v>0.1571295007308412</v>
      </c>
      <c r="AW38" s="38">
        <v>4.9118200064454873E-2</v>
      </c>
    </row>
    <row r="39" spans="1:49 16319:16321" x14ac:dyDescent="0.2">
      <c r="A39" t="s">
        <v>23</v>
      </c>
      <c r="B39" s="39">
        <v>0.22700160168381014</v>
      </c>
      <c r="C39" s="40">
        <v>0.18696331369363389</v>
      </c>
      <c r="D39" s="39">
        <v>0.22728997512766114</v>
      </c>
      <c r="E39" s="40">
        <v>0.18808628171871913</v>
      </c>
      <c r="F39" s="39">
        <v>0.22760025194216998</v>
      </c>
      <c r="G39" s="40">
        <v>0.18929786782719318</v>
      </c>
      <c r="H39" s="39">
        <v>0.22793580303250946</v>
      </c>
      <c r="I39" s="40">
        <v>0.19060986882191489</v>
      </c>
      <c r="J39" s="39">
        <v>0.22830070502480099</v>
      </c>
      <c r="K39" s="40">
        <v>0.19203620739806304</v>
      </c>
      <c r="L39" s="39">
        <v>0.22869992164281164</v>
      </c>
      <c r="M39" s="40">
        <v>0.19359346470070218</v>
      </c>
      <c r="N39" s="39">
        <v>0.22913952183514349</v>
      </c>
      <c r="O39" s="40">
        <v>0.19530134981474206</v>
      </c>
      <c r="P39" s="39">
        <v>0.22962694476695505</v>
      </c>
      <c r="Q39" s="40">
        <v>0.19718334716838962</v>
      </c>
      <c r="R39" s="39">
        <v>0.23017129024788552</v>
      </c>
      <c r="S39" s="40">
        <v>0.19926717174834369</v>
      </c>
      <c r="T39" s="39">
        <v>0.23078359668602413</v>
      </c>
      <c r="U39" s="40">
        <v>0.20158511836687915</v>
      </c>
      <c r="V39" s="39">
        <v>0.23147698657577326</v>
      </c>
      <c r="W39" s="40">
        <v>0.20417356306203077</v>
      </c>
      <c r="X39" s="39">
        <v>0.23226645746767025</v>
      </c>
      <c r="Y39" s="40">
        <v>0.20707116034580761</v>
      </c>
      <c r="Z39" s="39">
        <v>0.23316791385332306</v>
      </c>
      <c r="AA39" s="40">
        <v>0.21031441350139418</v>
      </c>
      <c r="AB39" s="39">
        <v>0.23419590317900629</v>
      </c>
      <c r="AC39" s="40">
        <v>0.21392942259537553</v>
      </c>
      <c r="AD39" s="39">
        <v>0.23535968473795879</v>
      </c>
      <c r="AE39" s="40">
        <v>0.21791971313316183</v>
      </c>
      <c r="AF39" s="39">
        <v>0.23665814959743753</v>
      </c>
      <c r="AG39" s="40">
        <v>0.22225277637992444</v>
      </c>
      <c r="AH39" s="39">
        <v>0.23807573740841048</v>
      </c>
      <c r="AI39" s="40">
        <v>0.22685301578805867</v>
      </c>
      <c r="AJ39" s="39">
        <v>0.23958240366669004</v>
      </c>
      <c r="AK39" s="40">
        <v>0.23160862610646302</v>
      </c>
      <c r="AL39" s="39">
        <v>0.24113893245649889</v>
      </c>
      <c r="AM39" s="40">
        <v>0.23639277221657451</v>
      </c>
      <c r="AN39" s="39">
        <v>0.24270520293115033</v>
      </c>
      <c r="AO39" s="40">
        <v>0.24108924721896857</v>
      </c>
      <c r="AP39" s="39">
        <v>0.24301647481473782</v>
      </c>
      <c r="AQ39" s="40">
        <v>0.242009677065296</v>
      </c>
      <c r="AR39" s="39">
        <v>0.24332651511757991</v>
      </c>
      <c r="AS39" s="40">
        <v>0.24292242006130191</v>
      </c>
      <c r="AT39" s="39">
        <v>0.2436351128550078</v>
      </c>
      <c r="AU39" s="40">
        <v>0.24382699188328782</v>
      </c>
      <c r="AV39" s="39">
        <v>0.2439420738292353</v>
      </c>
      <c r="AW39" s="40">
        <v>0.24472296583692621</v>
      </c>
    </row>
    <row r="40" spans="1:49 16319:16321" x14ac:dyDescent="0.2">
      <c r="B40" s="138"/>
      <c r="C40" s="138"/>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138"/>
      <c r="AB40" s="138"/>
      <c r="AC40" s="138"/>
      <c r="AD40" s="138"/>
      <c r="AE40" s="138"/>
      <c r="AF40" s="138"/>
      <c r="AG40" s="138"/>
      <c r="AH40" s="138"/>
      <c r="AI40" s="138"/>
      <c r="AJ40" s="138"/>
      <c r="AK40" s="138"/>
      <c r="AL40" s="138"/>
      <c r="AM40" s="138"/>
      <c r="AN40" s="138"/>
      <c r="AO40" s="138"/>
      <c r="AP40" s="138"/>
      <c r="AQ40" s="138"/>
      <c r="AR40" s="138"/>
      <c r="AS40" s="138"/>
      <c r="AT40" s="138"/>
      <c r="AU40" s="138"/>
    </row>
    <row r="41" spans="1:49 16319:16321" x14ac:dyDescent="0.2">
      <c r="B41" s="138"/>
      <c r="C41" s="138"/>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138"/>
      <c r="AB41" s="138"/>
      <c r="AC41" s="138"/>
      <c r="AD41" s="138"/>
      <c r="AE41" s="138"/>
      <c r="AF41" s="138"/>
      <c r="AG41" s="138"/>
      <c r="AH41" s="138"/>
      <c r="AI41" s="138"/>
      <c r="AJ41" s="138"/>
      <c r="AK41" s="138"/>
      <c r="AL41" s="138"/>
      <c r="AM41" s="138"/>
      <c r="AN41" s="138"/>
      <c r="AO41" s="138"/>
      <c r="AP41" s="138"/>
      <c r="AQ41" s="138"/>
      <c r="AR41" s="138"/>
      <c r="AS41" s="138"/>
      <c r="AT41" s="138"/>
      <c r="AU41" s="138"/>
    </row>
    <row r="42" spans="1:49 16319:16321" x14ac:dyDescent="0.2">
      <c r="A42" t="s">
        <v>110</v>
      </c>
      <c r="B42" s="180">
        <v>0.10800000000000001</v>
      </c>
      <c r="C42" s="138"/>
      <c r="D42" s="180">
        <v>0.11283594403911693</v>
      </c>
      <c r="E42" s="138"/>
      <c r="F42" s="180">
        <v>0.11831961497475417</v>
      </c>
      <c r="G42" s="138"/>
      <c r="H42" s="180">
        <v>0.12457951881021809</v>
      </c>
      <c r="I42" s="138"/>
      <c r="J42" s="180">
        <v>0.1317788614406509</v>
      </c>
      <c r="K42" s="138"/>
      <c r="L42" s="180">
        <v>0.14012743720344634</v>
      </c>
      <c r="M42" s="138"/>
      <c r="N42" s="180">
        <v>0.14989796177241471</v>
      </c>
      <c r="O42" s="138"/>
      <c r="P42" s="180">
        <v>0.16144895791229469</v>
      </c>
      <c r="Q42" s="138"/>
      <c r="R42" s="180">
        <v>0.17525643777712574</v>
      </c>
      <c r="S42" s="138"/>
      <c r="T42" s="180">
        <v>0.19195734106035522</v>
      </c>
      <c r="U42" s="138"/>
      <c r="V42" s="180">
        <v>0.21240671221335589</v>
      </c>
      <c r="W42" s="138"/>
      <c r="X42" s="180">
        <v>0.23774788697900442</v>
      </c>
      <c r="Y42" s="165"/>
      <c r="Z42" s="180">
        <v>0.26948585836687156</v>
      </c>
      <c r="AA42" s="138"/>
      <c r="AB42" s="180">
        <v>0.30953643768424266</v>
      </c>
      <c r="AC42" s="138"/>
      <c r="AD42" s="180">
        <v>0.3601990962507714</v>
      </c>
      <c r="AE42" s="138"/>
      <c r="AF42" s="180">
        <v>0.42398861004450028</v>
      </c>
      <c r="AG42" s="138"/>
      <c r="AH42" s="180">
        <v>0.50330113677653976</v>
      </c>
      <c r="AI42" s="138"/>
      <c r="AJ42" s="180">
        <v>0.59999776110053027</v>
      </c>
      <c r="AK42" s="138"/>
      <c r="AL42" s="180">
        <v>0.71508639832139176</v>
      </c>
      <c r="AM42" s="138"/>
      <c r="AN42" s="180">
        <v>0.84864805980919422</v>
      </c>
      <c r="AO42" s="138"/>
      <c r="AP42" s="180">
        <v>0.87752749324421786</v>
      </c>
      <c r="AQ42" s="138"/>
      <c r="AR42" s="180">
        <v>0.90711172494716519</v>
      </c>
      <c r="AS42" s="138"/>
      <c r="AT42" s="180">
        <v>0.93739172377368996</v>
      </c>
      <c r="AU42" s="138"/>
      <c r="AV42" s="180">
        <v>0.96835786268428659</v>
      </c>
    </row>
    <row r="43" spans="1:49 16319:16321" x14ac:dyDescent="0.2">
      <c r="A43" t="s">
        <v>111</v>
      </c>
      <c r="B43" s="165">
        <v>0.60327031657597174</v>
      </c>
      <c r="C43" s="138"/>
      <c r="D43" s="165">
        <v>0.60791485782000798</v>
      </c>
      <c r="E43" s="138"/>
      <c r="F43" s="165">
        <v>0.60739191402183623</v>
      </c>
      <c r="G43" s="138"/>
      <c r="H43" s="165">
        <v>0.60686936560321036</v>
      </c>
      <c r="I43" s="138"/>
      <c r="J43" s="165">
        <v>0.60634552734841118</v>
      </c>
      <c r="K43" s="138"/>
      <c r="L43" s="165">
        <v>0.6058180594180711</v>
      </c>
      <c r="M43" s="138"/>
      <c r="N43" s="165">
        <v>0.60528369768236456</v>
      </c>
      <c r="O43" s="138"/>
      <c r="P43" s="165">
        <v>0.60473791660753329</v>
      </c>
      <c r="Q43" s="138"/>
      <c r="R43" s="165">
        <v>0.60417443899920176</v>
      </c>
      <c r="S43" s="138"/>
      <c r="T43" s="165">
        <v>0.60358462804413493</v>
      </c>
      <c r="U43" s="138"/>
      <c r="V43" s="165">
        <v>0.60295674434912716</v>
      </c>
      <c r="W43" s="138"/>
      <c r="X43" s="165">
        <v>0.60227524941519295</v>
      </c>
      <c r="Y43" s="138"/>
      <c r="Z43" s="165">
        <v>0.60152051478495228</v>
      </c>
      <c r="AA43" s="138"/>
      <c r="AB43" s="165">
        <v>0.60066969416048843</v>
      </c>
      <c r="AC43" s="138"/>
      <c r="AD43" s="165">
        <v>0.59969978937964796</v>
      </c>
      <c r="AE43" s="138"/>
      <c r="AF43" s="165">
        <v>0.59859348604991147</v>
      </c>
      <c r="AG43" s="138"/>
      <c r="AH43" s="165">
        <v>0.59734646440568229</v>
      </c>
      <c r="AI43" s="138"/>
      <c r="AJ43" s="165">
        <v>0.5959723649642521</v>
      </c>
      <c r="AK43" s="138"/>
      <c r="AL43" s="165">
        <v>0.59450154203960603</v>
      </c>
      <c r="AM43" s="138"/>
      <c r="AN43" s="165">
        <v>0.59297368691990704</v>
      </c>
      <c r="AO43" s="138"/>
      <c r="AP43" s="165">
        <v>0.59266486112894556</v>
      </c>
      <c r="AQ43" s="138"/>
      <c r="AR43" s="165">
        <v>0.59235566297012476</v>
      </c>
      <c r="AS43" s="138"/>
      <c r="AT43" s="165">
        <v>0.59204637721878983</v>
      </c>
      <c r="AU43" s="138"/>
      <c r="AV43" s="165">
        <v>0.59173727576038693</v>
      </c>
    </row>
    <row r="44" spans="1:49 16319:16321" x14ac:dyDescent="0.2">
      <c r="A44" t="s">
        <v>145</v>
      </c>
      <c r="B44" s="196">
        <v>0.21620509429616297</v>
      </c>
      <c r="D44" s="196">
        <v>0.21795160276674561</v>
      </c>
      <c r="F44" s="196">
        <v>0.21975505255413802</v>
      </c>
      <c r="H44" s="196">
        <v>0.22162441460626744</v>
      </c>
      <c r="J44" s="196">
        <v>0.22357060756929448</v>
      </c>
      <c r="L44" s="196">
        <v>0.22560695343492429</v>
      </c>
      <c r="N44" s="196">
        <v>0.22774976106817421</v>
      </c>
      <c r="P44" s="196">
        <v>0.23001901879555225</v>
      </c>
      <c r="R44" s="196">
        <v>0.23243907268521227</v>
      </c>
      <c r="T44" s="196">
        <v>0.23503915026552485</v>
      </c>
      <c r="V44" s="196">
        <v>0.23785327324402236</v>
      </c>
      <c r="X44" s="196">
        <v>0.24091878933252284</v>
      </c>
      <c r="Z44" s="196">
        <v>0.24427222928198272</v>
      </c>
      <c r="AB44" s="196">
        <v>0.2479410045947</v>
      </c>
      <c r="AD44" s="196">
        <v>0.25193050120135174</v>
      </c>
      <c r="AF44" s="196">
        <v>0.25620957554404239</v>
      </c>
      <c r="AH44" s="196">
        <v>0.26070250079640633</v>
      </c>
      <c r="AJ44" s="196">
        <v>0.26529632956130078</v>
      </c>
      <c r="AL44" s="196">
        <v>0.26986413829492106</v>
      </c>
      <c r="AN44" s="196">
        <v>0.27429254502981903</v>
      </c>
      <c r="AP44" s="196">
        <v>0.27515366067072833</v>
      </c>
      <c r="AR44" s="196">
        <v>0.27600533783027581</v>
      </c>
      <c r="AT44" s="196">
        <v>0.27684714944616257</v>
      </c>
      <c r="AV44" s="196">
        <v>0.27767872110822528</v>
      </c>
    </row>
    <row r="45" spans="1:49 16319:16321" x14ac:dyDescent="0.2">
      <c r="A45" t="s">
        <v>84</v>
      </c>
      <c r="B45" s="196">
        <v>0.20445380142857192</v>
      </c>
      <c r="D45" s="196">
        <v>0.20620030897638464</v>
      </c>
      <c r="F45" s="196">
        <v>0.2080037600427346</v>
      </c>
      <c r="H45" s="196">
        <v>0.20987312239401859</v>
      </c>
      <c r="J45" s="196">
        <v>0.2118193157962876</v>
      </c>
      <c r="L45" s="196">
        <v>0.21385566027009539</v>
      </c>
      <c r="N45" s="196">
        <v>0.21599846765539465</v>
      </c>
      <c r="P45" s="196">
        <v>0.2182677246837095</v>
      </c>
      <c r="R45" s="196">
        <v>0.2206877800761459</v>
      </c>
      <c r="T45" s="196">
        <v>0.22328785776349391</v>
      </c>
      <c r="V45" s="196">
        <v>0.22610198057591174</v>
      </c>
      <c r="X45" s="196">
        <v>0.22916749613661475</v>
      </c>
      <c r="Z45" s="196">
        <v>0.23252093532762508</v>
      </c>
      <c r="AB45" s="196">
        <v>0.23618971184985976</v>
      </c>
      <c r="AD45" s="196">
        <v>0.2401792082777576</v>
      </c>
      <c r="AF45" s="196">
        <v>0.24445828265899452</v>
      </c>
      <c r="AH45" s="196">
        <v>0.24895120792276432</v>
      </c>
      <c r="AJ45" s="196">
        <v>0.25354503726757405</v>
      </c>
      <c r="AL45" s="196">
        <v>0.25811284564541354</v>
      </c>
      <c r="AN45" s="196">
        <v>0.26254125383322535</v>
      </c>
      <c r="AP45" s="196">
        <v>0.26340236905261388</v>
      </c>
      <c r="AR45" s="196">
        <v>0.26425404416755693</v>
      </c>
      <c r="AT45" s="196">
        <v>0.26509585472432029</v>
      </c>
      <c r="AV45" s="196">
        <v>0.26592743003648084</v>
      </c>
      <c r="XCQ45" s="196"/>
    </row>
    <row r="46" spans="1:49 16319:16321" x14ac:dyDescent="0.2">
      <c r="A46" t="s">
        <v>142</v>
      </c>
      <c r="B46" s="196">
        <v>1.1751292867591055E-2</v>
      </c>
      <c r="D46" s="196">
        <v>1.1751293790360983E-2</v>
      </c>
      <c r="F46" s="196">
        <v>1.1751292511403421E-2</v>
      </c>
      <c r="H46" s="196">
        <v>1.1751292212248837E-2</v>
      </c>
      <c r="J46" s="196">
        <v>1.1751291773006866E-2</v>
      </c>
      <c r="L46" s="196">
        <v>1.175129316482889E-2</v>
      </c>
      <c r="N46" s="196">
        <v>1.1751293412779527E-2</v>
      </c>
      <c r="P46" s="196">
        <v>1.1751294111842777E-2</v>
      </c>
      <c r="R46" s="196">
        <v>1.1751292609066382E-2</v>
      </c>
      <c r="T46" s="196">
        <v>1.1751292502030922E-2</v>
      </c>
      <c r="V46" s="196">
        <v>1.1751292668110598E-2</v>
      </c>
      <c r="X46" s="196">
        <v>1.1751293195908109E-2</v>
      </c>
      <c r="Z46" s="196">
        <v>1.1751293954357646E-2</v>
      </c>
      <c r="AB46" s="196">
        <v>1.1751292744840245E-2</v>
      </c>
      <c r="AD46" s="196">
        <v>1.1751292923594128E-2</v>
      </c>
      <c r="AF46" s="196">
        <v>1.1751292885047875E-2</v>
      </c>
      <c r="AH46" s="196">
        <v>1.1751292873642028E-2</v>
      </c>
      <c r="AJ46" s="196">
        <v>1.1751292293726727E-2</v>
      </c>
      <c r="AL46" s="196">
        <v>1.1751292649507522E-2</v>
      </c>
      <c r="AN46" s="196">
        <v>1.1751291196593664E-2</v>
      </c>
      <c r="AP46" s="196">
        <v>1.1751291618114413E-2</v>
      </c>
      <c r="AR46" s="196">
        <v>1.1751293662718876E-2</v>
      </c>
      <c r="AT46" s="196">
        <v>1.1751294721842262E-2</v>
      </c>
      <c r="AV46" s="196">
        <v>1.1751291071744429E-2</v>
      </c>
      <c r="XCS46" s="196"/>
    </row>
    <row r="48" spans="1:49 16319:16321" x14ac:dyDescent="0.2">
      <c r="A48" t="s">
        <v>162</v>
      </c>
      <c r="B48" s="194">
        <v>1</v>
      </c>
      <c r="C48" s="194"/>
      <c r="D48" s="194">
        <v>1.0029526283420147</v>
      </c>
      <c r="E48" s="194"/>
      <c r="F48" s="194">
        <v>1.0052841845338079</v>
      </c>
      <c r="G48" s="194"/>
      <c r="H48" s="194">
        <v>1.0068597336085345</v>
      </c>
      <c r="I48" s="194"/>
      <c r="J48" s="194">
        <v>1.0075054258381879</v>
      </c>
      <c r="K48" s="194"/>
      <c r="L48" s="194">
        <v>1.0069936480715493</v>
      </c>
      <c r="M48" s="194"/>
      <c r="N48" s="194">
        <v>1.0050223986764473</v>
      </c>
      <c r="O48" s="194"/>
      <c r="P48" s="194">
        <v>1.0011850272187779</v>
      </c>
      <c r="Q48" s="194"/>
      <c r="R48" s="194">
        <v>0.99492639230481472</v>
      </c>
      <c r="S48" s="194"/>
      <c r="T48" s="194">
        <v>0.98547896381153444</v>
      </c>
      <c r="U48" s="194"/>
      <c r="V48" s="194">
        <v>0.97177226169741926</v>
      </c>
      <c r="W48" s="194"/>
      <c r="X48" s="194">
        <v>0.9523093648445291</v>
      </c>
      <c r="Y48" s="194"/>
      <c r="Z48" s="194">
        <v>0.92501421843408682</v>
      </c>
      <c r="AA48" s="194"/>
      <c r="AB48" s="194">
        <v>0.88707816998249978</v>
      </c>
      <c r="AC48" s="194"/>
      <c r="AD48" s="194">
        <v>0.83488107454091531</v>
      </c>
      <c r="AE48" s="194"/>
      <c r="AF48" s="194">
        <v>0.76411323877759663</v>
      </c>
      <c r="AG48" s="194"/>
      <c r="AH48" s="194">
        <v>0.67020859560050483</v>
      </c>
      <c r="AI48" s="194"/>
      <c r="AJ48" s="194">
        <v>0.54904765357283436</v>
      </c>
      <c r="AK48" s="194"/>
      <c r="AL48" s="194">
        <v>0.39766431183091183</v>
      </c>
      <c r="AM48" s="194"/>
      <c r="AN48" s="194">
        <v>0.21463073152979947</v>
      </c>
      <c r="AO48" s="194"/>
      <c r="AP48" s="194">
        <v>0.17420813515300199</v>
      </c>
      <c r="AQ48" s="194"/>
      <c r="AR48" s="194">
        <v>0.13252471962887688</v>
      </c>
      <c r="AS48" s="194"/>
      <c r="AT48" s="194">
        <v>8.9588786615229316E-2</v>
      </c>
      <c r="AU48" s="194"/>
      <c r="AV48" s="194">
        <v>4.5410150917480754E-2</v>
      </c>
    </row>
    <row r="49" spans="1:48 16321:16384" x14ac:dyDescent="0.2">
      <c r="A49" t="s">
        <v>163</v>
      </c>
      <c r="B49" s="194">
        <v>1</v>
      </c>
      <c r="C49" s="194"/>
      <c r="D49" s="194">
        <v>0.99562921350907463</v>
      </c>
      <c r="E49" s="194"/>
      <c r="F49" s="194">
        <v>0.99091568237002448</v>
      </c>
      <c r="G49" s="194"/>
      <c r="H49" s="194">
        <v>0.98582019877371763</v>
      </c>
      <c r="I49" s="194"/>
      <c r="J49" s="194">
        <v>0.98029729268929466</v>
      </c>
      <c r="K49" s="194"/>
      <c r="L49" s="194">
        <v>0.974294065781105</v>
      </c>
      <c r="M49" s="194"/>
      <c r="N49" s="194">
        <v>0.967749158359135</v>
      </c>
      <c r="O49" s="194"/>
      <c r="P49" s="194">
        <v>0.96059174410891057</v>
      </c>
      <c r="Q49" s="194"/>
      <c r="R49" s="194">
        <v>0.95274126982874008</v>
      </c>
      <c r="S49" s="194"/>
      <c r="T49" s="194">
        <v>0.9441084909995946</v>
      </c>
      <c r="U49" s="194"/>
      <c r="V49" s="194">
        <v>0.93459951690506182</v>
      </c>
      <c r="W49" s="194"/>
      <c r="X49" s="194">
        <v>0.92412497802045501</v>
      </c>
      <c r="Y49" s="194"/>
      <c r="Z49" s="194">
        <v>0.91261746754573148</v>
      </c>
      <c r="AA49" s="194"/>
      <c r="AB49" s="194">
        <v>0.90005945424327138</v>
      </c>
      <c r="AC49" s="194"/>
      <c r="AD49" s="194">
        <v>0.88651913389287396</v>
      </c>
      <c r="AE49" s="194"/>
      <c r="AF49" s="194">
        <v>0.87218167249997558</v>
      </c>
      <c r="AG49" s="194"/>
      <c r="AH49" s="194">
        <v>0.85735282764623566</v>
      </c>
      <c r="AI49" s="194"/>
      <c r="AJ49" s="194">
        <v>0.84241756168497206</v>
      </c>
      <c r="AK49" s="194"/>
      <c r="AL49" s="194">
        <v>0.82776397898812648</v>
      </c>
      <c r="AM49" s="194"/>
      <c r="AN49" s="194">
        <v>0.81370992496812888</v>
      </c>
      <c r="AO49" s="194"/>
      <c r="AP49" s="194">
        <v>0.81099149984647223</v>
      </c>
      <c r="AQ49" s="194"/>
      <c r="AR49" s="194">
        <v>0.80830692122887571</v>
      </c>
      <c r="AS49" s="194"/>
      <c r="AT49" s="194">
        <v>0.80565714700345192</v>
      </c>
      <c r="AU49" s="194"/>
      <c r="AV49" s="194">
        <v>0.80304297494714327</v>
      </c>
    </row>
    <row r="51" spans="1:48 16321:16384" x14ac:dyDescent="0.2">
      <c r="A51" t="s">
        <v>169</v>
      </c>
      <c r="B51" s="29">
        <v>898591.45196639095</v>
      </c>
      <c r="D51" s="29">
        <v>917578.52002735576</v>
      </c>
      <c r="F51" s="29">
        <v>936311.25143668195</v>
      </c>
      <c r="H51" s="29">
        <v>954703.35141437966</v>
      </c>
      <c r="J51" s="29">
        <v>972634.82396815438</v>
      </c>
      <c r="L51" s="29">
        <v>989936.98693292262</v>
      </c>
      <c r="N51" s="29">
        <v>1006369.0557283298</v>
      </c>
      <c r="P51" s="29">
        <v>1021581.7534686364</v>
      </c>
      <c r="R51" s="29">
        <v>1035060.3110403251</v>
      </c>
      <c r="T51" s="29">
        <v>1046034.9758127253</v>
      </c>
      <c r="V51" s="29">
        <v>1053342.2359976014</v>
      </c>
      <c r="X51" s="29">
        <v>1055216.265916158</v>
      </c>
      <c r="Z51" s="29">
        <v>1048996.2027780993</v>
      </c>
      <c r="AB51" s="29">
        <v>1030767.8895748567</v>
      </c>
      <c r="AD51" s="29">
        <v>995041.83047717484</v>
      </c>
      <c r="AF51" s="29">
        <v>934694.1835815371</v>
      </c>
      <c r="AH51" s="29">
        <v>841456.08614976634</v>
      </c>
      <c r="AJ51" s="29">
        <v>707038.69923327095</v>
      </c>
      <c r="AL51" s="29">
        <v>524534.85093454702</v>
      </c>
      <c r="AN51" s="29">
        <v>289455.95403858379</v>
      </c>
      <c r="AP51" s="29">
        <v>235928.31691494072</v>
      </c>
      <c r="AQ51" s="29"/>
      <c r="AR51" s="29">
        <v>180215.99385374162</v>
      </c>
      <c r="AT51" s="29">
        <v>122320.29037525077</v>
      </c>
      <c r="AV51" s="29">
        <v>62245.768008930609</v>
      </c>
      <c r="XFD51" s="29"/>
    </row>
    <row r="52" spans="1:48 16321:16384" x14ac:dyDescent="0.2">
      <c r="A52" t="s">
        <v>170</v>
      </c>
      <c r="B52" s="29">
        <v>639893.22495732247</v>
      </c>
      <c r="D52" s="29">
        <v>634279.43349469686</v>
      </c>
      <c r="F52" s="29">
        <v>628130.80771394644</v>
      </c>
      <c r="H52" s="29">
        <v>621354.98408941319</v>
      </c>
      <c r="J52" s="29">
        <v>613836.79210548685</v>
      </c>
      <c r="L52" s="29">
        <v>605430.78389306774</v>
      </c>
      <c r="N52" s="29">
        <v>595951.21639621013</v>
      </c>
      <c r="P52" s="29">
        <v>585158.04573102633</v>
      </c>
      <c r="R52" s="29">
        <v>572737.87593792938</v>
      </c>
      <c r="T52" s="29">
        <v>558278.04603780678</v>
      </c>
      <c r="V52" s="29">
        <v>541233.08285189385</v>
      </c>
      <c r="X52" s="29">
        <v>520884.14952548989</v>
      </c>
      <c r="Z52" s="29">
        <v>496297.89066645765</v>
      </c>
      <c r="AB52" s="29">
        <v>466301.35280676541</v>
      </c>
      <c r="AD52" s="29">
        <v>429503.9733251048</v>
      </c>
      <c r="AF52" s="29">
        <v>384404.44446730078</v>
      </c>
      <c r="AH52" s="29">
        <v>329594.92439351504</v>
      </c>
      <c r="AJ52" s="29">
        <v>264011.01923139422</v>
      </c>
      <c r="AL52" s="29">
        <v>187118.49785327632</v>
      </c>
      <c r="AN52" s="29">
        <v>98950.239708207606</v>
      </c>
      <c r="AP52" s="29">
        <v>80000.741828680431</v>
      </c>
      <c r="AQ52" s="29"/>
      <c r="AR52" s="29">
        <v>60624.73075074028</v>
      </c>
      <c r="AT52" s="29">
        <v>40828.276565506458</v>
      </c>
      <c r="AV52" s="29">
        <v>20617.795530044066</v>
      </c>
    </row>
    <row r="53" spans="1:48 16321:16384" x14ac:dyDescent="0.2">
      <c r="A53" t="s">
        <v>171</v>
      </c>
      <c r="B53" s="29">
        <v>994319.23090072128</v>
      </c>
      <c r="D53" s="29">
        <v>983428.98046892742</v>
      </c>
      <c r="F53" s="29">
        <v>971761.88463595626</v>
      </c>
      <c r="H53" s="29">
        <v>959175.58189612965</v>
      </c>
      <c r="J53" s="29">
        <v>945492.09845883923</v>
      </c>
      <c r="L53" s="29">
        <v>930486.31824325363</v>
      </c>
      <c r="N53" s="29">
        <v>913870.4273945177</v>
      </c>
      <c r="P53" s="29">
        <v>895272.45928659395</v>
      </c>
      <c r="R53" s="29">
        <v>874207.2745718793</v>
      </c>
      <c r="T53" s="29">
        <v>850037.790160298</v>
      </c>
      <c r="V53" s="29">
        <v>821925.90587000444</v>
      </c>
      <c r="X53" s="29">
        <v>788775.73148415727</v>
      </c>
      <c r="Z53" s="29">
        <v>749181.2596557237</v>
      </c>
      <c r="AB53" s="29">
        <v>701407.04795300378</v>
      </c>
      <c r="AD53" s="29">
        <v>643450.67903317197</v>
      </c>
      <c r="AF53" s="29">
        <v>573239.31842165499</v>
      </c>
      <c r="AH53" s="29">
        <v>488962.21035766014</v>
      </c>
      <c r="AJ53" s="29">
        <v>389436.90446826775</v>
      </c>
      <c r="AL53" s="29">
        <v>274334.54636903421</v>
      </c>
      <c r="AN53" s="29">
        <v>144155.02530382757</v>
      </c>
      <c r="AP53" s="29">
        <v>116399.55413008631</v>
      </c>
      <c r="AQ53" s="29"/>
      <c r="AR53" s="29">
        <v>88094.937949814397</v>
      </c>
      <c r="AT53" s="29">
        <v>59252.404878528898</v>
      </c>
      <c r="AV53" s="29">
        <v>29883.497646903681</v>
      </c>
      <c r="XFD53" s="29"/>
    </row>
    <row r="55" spans="1:48 16321:16384" x14ac:dyDescent="0.2">
      <c r="A55" t="s">
        <v>172</v>
      </c>
      <c r="B55" s="196">
        <v>0.29343319644276039</v>
      </c>
      <c r="D55" s="196">
        <v>0.29560936558526063</v>
      </c>
      <c r="F55" s="196">
        <v>0.29785645158721269</v>
      </c>
      <c r="H55" s="196">
        <v>0.30018568044354843</v>
      </c>
      <c r="J55" s="196">
        <v>0.30261064068011884</v>
      </c>
      <c r="L55" s="196">
        <v>0.30514793013762953</v>
      </c>
      <c r="N55" s="196">
        <v>0.30781787244741127</v>
      </c>
      <c r="P55" s="196">
        <v>0.31064537201992926</v>
      </c>
      <c r="R55" s="196">
        <v>0.31366076277235988</v>
      </c>
      <c r="T55" s="196">
        <v>0.31690046399103466</v>
      </c>
      <c r="V55" s="196">
        <v>0.3204068665018916</v>
      </c>
      <c r="X55" s="196">
        <v>0.32422650602606912</v>
      </c>
      <c r="Z55" s="196">
        <v>0.32840489935566769</v>
      </c>
      <c r="AB55" s="196">
        <v>0.33297619734568257</v>
      </c>
      <c r="AD55" s="196">
        <v>0.33794711871644806</v>
      </c>
      <c r="AF55" s="196">
        <v>0.34327885310979755</v>
      </c>
      <c r="AH55" s="196">
        <v>0.34887704554480509</v>
      </c>
      <c r="AJ55" s="196">
        <v>0.3546009687501645</v>
      </c>
      <c r="AL55" s="196">
        <v>0.36029246413234572</v>
      </c>
      <c r="AN55" s="196">
        <v>0.36581027723826587</v>
      </c>
      <c r="AP55" s="196">
        <v>0.36688322612493235</v>
      </c>
      <c r="AR55" s="196">
        <v>0.3679444030798143</v>
      </c>
      <c r="AT55" s="196">
        <v>0.36899329443546924</v>
      </c>
      <c r="AV55" s="196">
        <v>0.37002946075258752</v>
      </c>
      <c r="XCS55" s="196"/>
      <c r="XFD55" s="196"/>
    </row>
    <row r="56" spans="1:48 16321:16384" x14ac:dyDescent="0.2">
      <c r="A56" t="s">
        <v>173</v>
      </c>
      <c r="B56" s="196">
        <v>0.12330490389763608</v>
      </c>
      <c r="D56" s="196">
        <v>0.12577232280750505</v>
      </c>
      <c r="F56" s="196">
        <v>0.12832909358021527</v>
      </c>
      <c r="H56" s="196">
        <v>0.13098861172474144</v>
      </c>
      <c r="J56" s="196">
        <v>0.13376702588552347</v>
      </c>
      <c r="L56" s="196">
        <v>0.13668394987732513</v>
      </c>
      <c r="N56" s="196">
        <v>0.13976326662752583</v>
      </c>
      <c r="P56" s="196">
        <v>0.143034046725866</v>
      </c>
      <c r="R56" s="196">
        <v>0.14653143717039932</v>
      </c>
      <c r="T56" s="196">
        <v>0.15029724723181498</v>
      </c>
      <c r="V56" s="196">
        <v>0.15437957424422474</v>
      </c>
      <c r="X56" s="196">
        <v>0.15883032831788754</v>
      </c>
      <c r="Z56" s="196">
        <v>0.16369881992533589</v>
      </c>
      <c r="AB56" s="196">
        <v>0.16901939904449079</v>
      </c>
      <c r="AD56" s="196">
        <v>0.1747928213789619</v>
      </c>
      <c r="AF56" s="196">
        <v>0.18096607999473674</v>
      </c>
      <c r="AH56" s="196">
        <v>0.18742255901522123</v>
      </c>
      <c r="AJ56" s="196">
        <v>0.1939948433374479</v>
      </c>
      <c r="AL56" s="196">
        <v>0.20049960460677332</v>
      </c>
      <c r="AN56" s="196">
        <v>0.20677704713045658</v>
      </c>
      <c r="AP56" s="196">
        <v>0.20799446247267236</v>
      </c>
      <c r="AR56" s="196">
        <v>0.20919749794885659</v>
      </c>
      <c r="AT56" s="196">
        <v>0.21038561194831754</v>
      </c>
      <c r="AV56" s="196">
        <v>0.21155834750799027</v>
      </c>
      <c r="XFD56" s="196"/>
    </row>
    <row r="57" spans="1:48 16321:16384" x14ac:dyDescent="0.2">
      <c r="A57" t="s">
        <v>174</v>
      </c>
      <c r="B57" s="196">
        <v>0.15814435802029927</v>
      </c>
      <c r="D57" s="196">
        <v>0.15787039637385961</v>
      </c>
      <c r="F57" s="196">
        <v>0.15757854056983955</v>
      </c>
      <c r="H57" s="196">
        <v>0.15726669716963032</v>
      </c>
      <c r="J57" s="196">
        <v>0.1569323985342857</v>
      </c>
      <c r="L57" s="196">
        <v>0.15657273976549374</v>
      </c>
      <c r="N57" s="196">
        <v>0.15618429661812513</v>
      </c>
      <c r="P57" s="196">
        <v>0.15576306527651845</v>
      </c>
      <c r="R57" s="196">
        <v>0.1553044272288055</v>
      </c>
      <c r="T57" s="196">
        <v>0.15480321948643463</v>
      </c>
      <c r="V57" s="196">
        <v>0.15425399022788047</v>
      </c>
      <c r="X57" s="196">
        <v>0.15365162686510833</v>
      </c>
      <c r="Y57" s="196"/>
      <c r="Z57" s="196">
        <v>0.15299255931393613</v>
      </c>
      <c r="AB57" s="196">
        <v>0.15227669240808539</v>
      </c>
      <c r="AD57" s="196">
        <v>0.1515098575335736</v>
      </c>
      <c r="AF57" s="196">
        <v>0.15070577298001236</v>
      </c>
      <c r="AH57" s="196">
        <v>0.14988584336458655</v>
      </c>
      <c r="AJ57" s="196">
        <v>0.14907564334617565</v>
      </c>
      <c r="AL57" s="196">
        <v>0.14829921990072989</v>
      </c>
      <c r="AN57" s="196">
        <v>0.14757422549460555</v>
      </c>
      <c r="AP57" s="196">
        <v>0.14743636784411296</v>
      </c>
      <c r="AR57" s="196">
        <v>0.14730100496201057</v>
      </c>
      <c r="AT57" s="196">
        <v>0.147168162773605</v>
      </c>
      <c r="AV57" s="196">
        <v>0.14703785724532048</v>
      </c>
      <c r="XFD57" s="196"/>
    </row>
    <row r="58" spans="1:48 16321:16384" x14ac:dyDescent="0.2">
      <c r="A58" t="s">
        <v>175</v>
      </c>
      <c r="B58" s="196">
        <v>1.1983934524824984E-2</v>
      </c>
      <c r="D58" s="196">
        <v>1.1966646403896003E-2</v>
      </c>
      <c r="F58" s="196">
        <v>1.1948817437157901E-2</v>
      </c>
      <c r="H58" s="196">
        <v>1.1930371549176675E-2</v>
      </c>
      <c r="J58" s="196">
        <v>1.1911216260309641E-2</v>
      </c>
      <c r="L58" s="196">
        <v>1.1891240494810636E-2</v>
      </c>
      <c r="N58" s="196">
        <v>1.187030920176026E-2</v>
      </c>
      <c r="P58" s="196">
        <v>1.1848260017544821E-2</v>
      </c>
      <c r="R58" s="196">
        <v>1.1824898373155123E-2</v>
      </c>
      <c r="T58" s="196">
        <v>1.1799997272785029E-2</v>
      </c>
      <c r="V58" s="196">
        <v>1.1773302029786412E-2</v>
      </c>
      <c r="X58" s="196">
        <v>1.1744550843073234E-2</v>
      </c>
      <c r="Y58" s="196"/>
      <c r="Z58" s="196">
        <v>1.171352011639565E-2</v>
      </c>
      <c r="AB58" s="196">
        <v>1.1680105893106406E-2</v>
      </c>
      <c r="AD58" s="196">
        <v>1.1644439803912535E-2</v>
      </c>
      <c r="AF58" s="196">
        <v>1.160700013504846E-2</v>
      </c>
      <c r="AH58" s="196">
        <v>1.1568643164997285E-2</v>
      </c>
      <c r="AJ58" s="196">
        <v>1.1530482066540929E-2</v>
      </c>
      <c r="AL58" s="196">
        <v>1.1493639624842485E-2</v>
      </c>
      <c r="AN58" s="196">
        <v>1.145900461320366E-2</v>
      </c>
      <c r="AP58" s="196">
        <v>1.1452395808146987E-2</v>
      </c>
      <c r="AR58" s="196">
        <v>1.1445900168947131E-2</v>
      </c>
      <c r="AT58" s="196">
        <v>1.143951971354667E-2</v>
      </c>
      <c r="AV58" s="196">
        <v>1.1433255999276784E-2</v>
      </c>
      <c r="XFD58" s="196"/>
    </row>
    <row r="59" spans="1:48 16321:16384" x14ac:dyDescent="0.2">
      <c r="A59" t="s">
        <v>176</v>
      </c>
      <c r="B59" s="196">
        <v>1.7199725200015354E-2</v>
      </c>
      <c r="D59" s="196">
        <v>1.9750953985274381E-2</v>
      </c>
      <c r="F59" s="196">
        <v>2.2394674133893781E-2</v>
      </c>
      <c r="H59" s="196">
        <v>2.5144742162291529E-2</v>
      </c>
      <c r="J59" s="196">
        <v>2.8017871483154034E-2</v>
      </c>
      <c r="L59" s="196">
        <v>3.1034365031483442E-2</v>
      </c>
      <c r="N59" s="196">
        <v>3.4218953545939547E-2</v>
      </c>
      <c r="P59" s="196">
        <v>3.7601744265486327E-2</v>
      </c>
      <c r="R59" s="196">
        <v>4.1219145819040487E-2</v>
      </c>
      <c r="T59" s="196">
        <v>4.5114470432816287E-2</v>
      </c>
      <c r="V59" s="196">
        <v>4.9337543830073112E-2</v>
      </c>
      <c r="X59" s="196">
        <v>5.394212412057009E-2</v>
      </c>
      <c r="Z59" s="196">
        <v>5.8979229288786447E-2</v>
      </c>
      <c r="AB59" s="196">
        <v>6.4484284356303101E-2</v>
      </c>
      <c r="AD59" s="196">
        <v>7.0457758724034036E-2</v>
      </c>
      <c r="AF59" s="196">
        <v>7.6844248466422779E-2</v>
      </c>
      <c r="AH59" s="196">
        <v>8.3522328023784703E-2</v>
      </c>
      <c r="AJ59" s="196">
        <v>9.0317982371531574E-2</v>
      </c>
      <c r="AL59" s="196">
        <v>9.7040947080274831E-2</v>
      </c>
      <c r="AN59" s="196">
        <v>0.10352568242873565</v>
      </c>
      <c r="AP59" s="196">
        <v>0.1047828829327819</v>
      </c>
      <c r="AR59" s="196">
        <v>0.10602509343435201</v>
      </c>
      <c r="AT59" s="196">
        <v>0.10725175605163795</v>
      </c>
      <c r="AV59" s="196">
        <v>0.1084624003630819</v>
      </c>
      <c r="XFD59" s="196"/>
    </row>
    <row r="60" spans="1:48 16321:16384" x14ac:dyDescent="0.2">
      <c r="A60" t="s">
        <v>177</v>
      </c>
      <c r="B60" s="196">
        <v>0.10610517869762073</v>
      </c>
      <c r="D60" s="196">
        <v>0.10602136882223066</v>
      </c>
      <c r="F60" s="196">
        <v>0.1059344194463215</v>
      </c>
      <c r="H60" s="196">
        <v>0.1058438695624499</v>
      </c>
      <c r="J60" s="196">
        <v>0.10574915440236946</v>
      </c>
      <c r="L60" s="196">
        <v>0.10564958484584168</v>
      </c>
      <c r="N60" s="196">
        <v>0.10554431308158631</v>
      </c>
      <c r="P60" s="196">
        <v>0.10543230246037966</v>
      </c>
      <c r="R60" s="196">
        <v>0.10531229135135882</v>
      </c>
      <c r="T60" s="196">
        <v>0.10518277679899869</v>
      </c>
      <c r="V60" s="196">
        <v>0.10504203041415162</v>
      </c>
      <c r="X60" s="196">
        <v>0.10488820419731747</v>
      </c>
      <c r="Z60" s="196">
        <v>0.10471959063654945</v>
      </c>
      <c r="AB60" s="196">
        <v>0.10453511468818769</v>
      </c>
      <c r="AD60" s="196">
        <v>0.10433506265492787</v>
      </c>
      <c r="AF60" s="196">
        <v>0.10412183152831397</v>
      </c>
      <c r="AH60" s="196">
        <v>0.10390023099143654</v>
      </c>
      <c r="AJ60" s="196">
        <v>0.10367686096591633</v>
      </c>
      <c r="AL60" s="196">
        <v>0.10345865752649851</v>
      </c>
      <c r="AN60" s="196">
        <v>0.10325136470172094</v>
      </c>
      <c r="AP60" s="196">
        <v>0.10321157953989048</v>
      </c>
      <c r="AR60" s="196">
        <v>0.10317240451450459</v>
      </c>
      <c r="AT60" s="196">
        <v>0.1031338558966796</v>
      </c>
      <c r="AV60" s="196">
        <v>0.10309594714490837</v>
      </c>
      <c r="XFD60" s="196"/>
    </row>
    <row r="62" spans="1:48 16321:16384" x14ac:dyDescent="0.2">
      <c r="A62" t="s">
        <v>178</v>
      </c>
      <c r="B62">
        <v>1</v>
      </c>
      <c r="D62">
        <v>1.0008159449892076</v>
      </c>
      <c r="F62">
        <v>1.0016429698442044</v>
      </c>
      <c r="H62">
        <v>1.0024928295218745</v>
      </c>
      <c r="J62">
        <v>1.0033813129290359</v>
      </c>
      <c r="L62">
        <v>1.0043296342788843</v>
      </c>
      <c r="N62">
        <v>1.0053663916399926</v>
      </c>
      <c r="P62">
        <v>1.0065301508153754</v>
      </c>
      <c r="R62">
        <v>1.007872924151709</v>
      </c>
      <c r="T62">
        <v>1.0094645098324291</v>
      </c>
      <c r="V62">
        <v>1.0113974772291801</v>
      </c>
      <c r="X62">
        <v>1.0137916292869289</v>
      </c>
      <c r="Z62">
        <v>1.016795212443252</v>
      </c>
      <c r="AB62">
        <v>1.0205777014552826</v>
      </c>
      <c r="AD62">
        <v>1.0253074076894086</v>
      </c>
      <c r="AF62">
        <v>1.0311106370883334</v>
      </c>
      <c r="AH62">
        <v>1.0380220336144947</v>
      </c>
      <c r="AJ62">
        <v>1.0459518454390033</v>
      </c>
      <c r="AL62">
        <v>1.0546951293703888</v>
      </c>
      <c r="AN62">
        <v>1.0639813882370353</v>
      </c>
      <c r="AP62">
        <v>1.0658791111813568</v>
      </c>
      <c r="AR62">
        <v>1.0677853689871766</v>
      </c>
      <c r="AT62">
        <v>1.0696981850121452</v>
      </c>
      <c r="AV62">
        <v>1.0716156704863302</v>
      </c>
    </row>
    <row r="65" spans="1:48 16384:16384" x14ac:dyDescent="0.2">
      <c r="A65" t="s">
        <v>179</v>
      </c>
      <c r="B65" s="194">
        <v>1</v>
      </c>
      <c r="C65" s="194"/>
      <c r="D65" s="194">
        <v>0.99856162877433952</v>
      </c>
      <c r="E65" s="194"/>
      <c r="F65" s="194">
        <v>0.99714163667527489</v>
      </c>
      <c r="G65" s="194"/>
      <c r="H65" s="194">
        <v>0.99574482005260445</v>
      </c>
      <c r="I65" s="194"/>
      <c r="J65" s="194">
        <v>0.99437774500158316</v>
      </c>
      <c r="K65" s="194"/>
      <c r="L65" s="194">
        <v>0.99304931309291244</v>
      </c>
      <c r="M65" s="194"/>
      <c r="N65" s="194">
        <v>0.99177158267066667</v>
      </c>
      <c r="O65" s="194"/>
      <c r="P65" s="194">
        <v>0.99056074411179862</v>
      </c>
      <c r="Q65" s="194"/>
      <c r="R65" s="194">
        <v>0.98943837766763376</v>
      </c>
      <c r="S65" s="194"/>
      <c r="T65" s="194">
        <v>0.98843277596705859</v>
      </c>
      <c r="U65" s="194"/>
      <c r="V65" s="194">
        <v>0.98758014882518663</v>
      </c>
      <c r="W65" s="194"/>
      <c r="X65" s="194">
        <v>0.98692489272615036</v>
      </c>
      <c r="Y65" s="194"/>
      <c r="Z65" s="194">
        <v>0.98651766117908501</v>
      </c>
      <c r="AA65" s="194"/>
      <c r="AB65" s="194">
        <v>0.98640931277782773</v>
      </c>
      <c r="AC65" s="194"/>
      <c r="AD65" s="194">
        <v>0.98663923880455018</v>
      </c>
      <c r="AE65" s="194"/>
      <c r="AF65" s="194">
        <v>0.98721963455806983</v>
      </c>
      <c r="AG65" s="194"/>
      <c r="AH65" s="194">
        <v>0.98812258199549585</v>
      </c>
      <c r="AI65" s="194"/>
      <c r="AJ65" s="194">
        <v>0.9892799090102733</v>
      </c>
      <c r="AK65" s="194"/>
      <c r="AL65" s="194">
        <v>0.99059930003167507</v>
      </c>
      <c r="AM65" s="194"/>
      <c r="AN65" s="194">
        <v>0.99198803216703868</v>
      </c>
      <c r="AO65" s="194"/>
      <c r="AP65" s="194">
        <v>0.99226708579816802</v>
      </c>
      <c r="AQ65" s="194"/>
      <c r="AR65" s="194">
        <v>0.99254535605633465</v>
      </c>
      <c r="AS65" s="194"/>
      <c r="AT65" s="194">
        <v>0.99282240346310802</v>
      </c>
      <c r="AU65" s="194"/>
      <c r="AV65" s="194">
        <v>0.99309782959898452</v>
      </c>
    </row>
    <row r="66" spans="1:48 16384:16384" x14ac:dyDescent="0.2">
      <c r="A66" t="s">
        <v>185</v>
      </c>
      <c r="B66" s="194">
        <v>1</v>
      </c>
      <c r="C66" s="194"/>
      <c r="D66" s="194">
        <v>0.99849311283433528</v>
      </c>
      <c r="E66" s="194"/>
      <c r="F66" s="194">
        <v>0.99700378094138686</v>
      </c>
      <c r="G66" s="194"/>
      <c r="H66" s="194">
        <v>0.99553710511228211</v>
      </c>
      <c r="I66" s="194"/>
      <c r="J66" s="194">
        <v>0.99410006955024999</v>
      </c>
      <c r="K66" s="194"/>
      <c r="L66" s="194">
        <v>0.99270214677699986</v>
      </c>
      <c r="M66" s="194"/>
      <c r="N66" s="194">
        <v>0.99135617456077074</v>
      </c>
      <c r="O66" s="194"/>
      <c r="P66" s="194">
        <v>0.99007939841034209</v>
      </c>
      <c r="Q66" s="194"/>
      <c r="R66" s="194">
        <v>0.98889481448371541</v>
      </c>
      <c r="S66" s="194"/>
      <c r="T66" s="194">
        <v>0.98783258075334168</v>
      </c>
      <c r="U66" s="194"/>
      <c r="V66" s="194">
        <v>0.98693129783191169</v>
      </c>
      <c r="W66" s="194"/>
      <c r="X66" s="194">
        <v>0.98623828429977967</v>
      </c>
      <c r="Y66" s="194"/>
      <c r="Z66" s="194">
        <v>0.98580749342439</v>
      </c>
      <c r="AA66" s="194"/>
      <c r="AB66" s="194">
        <v>0.98569302168630712</v>
      </c>
      <c r="AC66" s="194"/>
      <c r="AD66" s="194">
        <v>0.98593663049977298</v>
      </c>
      <c r="AE66" s="194"/>
      <c r="AF66" s="194">
        <v>0.98655099350272191</v>
      </c>
      <c r="AG66" s="194"/>
      <c r="AH66" s="194">
        <v>0.98750603883418364</v>
      </c>
      <c r="AI66" s="194"/>
      <c r="AJ66" s="194">
        <v>0.9887289892835921</v>
      </c>
      <c r="AK66" s="194"/>
      <c r="AL66" s="194">
        <v>0.99012168469146622</v>
      </c>
      <c r="AM66" s="194"/>
      <c r="AN66" s="194">
        <v>0.99158587381803609</v>
      </c>
      <c r="AO66" s="194"/>
      <c r="AP66" s="194">
        <v>0.99187988162399798</v>
      </c>
      <c r="AQ66" s="194"/>
      <c r="AR66" s="194">
        <v>0.99217299503742917</v>
      </c>
      <c r="AS66" s="194"/>
      <c r="AT66" s="194">
        <v>0.99246475201508633</v>
      </c>
      <c r="AU66" s="194"/>
      <c r="AV66" s="194">
        <v>0.99275473415649118</v>
      </c>
      <c r="XFD66" s="194"/>
    </row>
    <row r="67" spans="1:48 16384:16384" x14ac:dyDescent="0.2">
      <c r="A67" t="s">
        <v>186</v>
      </c>
      <c r="B67" s="194">
        <v>1</v>
      </c>
      <c r="C67" s="194"/>
      <c r="D67" s="194">
        <v>1</v>
      </c>
      <c r="E67" s="194"/>
      <c r="F67" s="194">
        <v>1</v>
      </c>
      <c r="G67" s="194"/>
      <c r="H67" s="194">
        <v>1</v>
      </c>
      <c r="I67" s="194"/>
      <c r="J67" s="194">
        <v>1</v>
      </c>
      <c r="K67" s="194"/>
      <c r="L67" s="194">
        <v>1</v>
      </c>
      <c r="M67" s="194"/>
      <c r="N67" s="194">
        <v>1</v>
      </c>
      <c r="O67" s="194"/>
      <c r="P67" s="194">
        <v>1</v>
      </c>
      <c r="Q67" s="194"/>
      <c r="R67" s="194">
        <v>1</v>
      </c>
      <c r="S67" s="194"/>
      <c r="T67" s="194">
        <v>1</v>
      </c>
      <c r="U67" s="194"/>
      <c r="V67" s="194">
        <v>1</v>
      </c>
      <c r="W67" s="194"/>
      <c r="X67" s="194">
        <v>1</v>
      </c>
      <c r="Y67" s="194"/>
      <c r="Z67" s="194">
        <v>1</v>
      </c>
      <c r="AA67" s="194"/>
      <c r="AB67" s="194">
        <v>1</v>
      </c>
      <c r="AC67" s="194"/>
      <c r="AD67" s="194">
        <v>1</v>
      </c>
      <c r="AE67" s="194"/>
      <c r="AF67" s="194">
        <v>1</v>
      </c>
      <c r="AG67" s="194"/>
      <c r="AH67" s="194">
        <v>1</v>
      </c>
      <c r="AI67" s="194"/>
      <c r="AJ67" s="194">
        <v>1</v>
      </c>
      <c r="AK67" s="194"/>
      <c r="AL67" s="194">
        <v>1</v>
      </c>
      <c r="AM67" s="194"/>
      <c r="AN67" s="194">
        <v>1</v>
      </c>
      <c r="AO67" s="194"/>
      <c r="AP67" s="194">
        <v>1</v>
      </c>
      <c r="AQ67" s="194"/>
      <c r="AR67" s="194">
        <v>1</v>
      </c>
      <c r="AS67" s="194"/>
      <c r="AT67" s="194">
        <v>1</v>
      </c>
      <c r="AU67" s="194"/>
      <c r="AV67" s="194">
        <v>1</v>
      </c>
      <c r="XFD67" s="194"/>
    </row>
    <row r="68" spans="1:48 16384:16384" x14ac:dyDescent="0.2">
      <c r="A68" t="s">
        <v>184</v>
      </c>
      <c r="B68" s="194">
        <v>1</v>
      </c>
      <c r="C68" s="194"/>
      <c r="D68" s="194">
        <v>0.99849311283433528</v>
      </c>
      <c r="E68" s="194"/>
      <c r="F68" s="194">
        <v>0.99700378094138686</v>
      </c>
      <c r="G68" s="194"/>
      <c r="H68" s="194">
        <v>0.99553710511228211</v>
      </c>
      <c r="I68" s="194"/>
      <c r="J68" s="194">
        <v>0.99410006955024999</v>
      </c>
      <c r="K68" s="194"/>
      <c r="L68" s="194">
        <v>0.99270214677699986</v>
      </c>
      <c r="M68" s="194"/>
      <c r="N68" s="194">
        <v>0.99135617456077074</v>
      </c>
      <c r="O68" s="194"/>
      <c r="P68" s="194">
        <v>0.99007939841034209</v>
      </c>
      <c r="Q68" s="194"/>
      <c r="R68" s="194">
        <v>0.98889481448371541</v>
      </c>
      <c r="S68" s="194"/>
      <c r="T68" s="194">
        <v>0.98783258075334168</v>
      </c>
      <c r="U68" s="194"/>
      <c r="V68" s="194">
        <v>0.98693129783191169</v>
      </c>
      <c r="W68" s="194"/>
      <c r="X68" s="194">
        <v>0.98623828429977967</v>
      </c>
      <c r="Y68" s="194"/>
      <c r="Z68" s="194">
        <v>0.98580749342439</v>
      </c>
      <c r="AA68" s="194"/>
      <c r="AB68" s="194">
        <v>0.98569302168630712</v>
      </c>
      <c r="AC68" s="194"/>
      <c r="AD68" s="194">
        <v>0.98593663049977298</v>
      </c>
      <c r="AE68" s="194"/>
      <c r="AF68" s="194">
        <v>0.98655099350272191</v>
      </c>
      <c r="AG68" s="194"/>
      <c r="AH68" s="194">
        <v>0.98750603883418364</v>
      </c>
      <c r="AI68" s="194"/>
      <c r="AJ68" s="194">
        <v>0.9887289892835921</v>
      </c>
      <c r="AK68" s="194"/>
      <c r="AL68" s="194">
        <v>0.99012168469146622</v>
      </c>
      <c r="AM68" s="194"/>
      <c r="AN68" s="194">
        <v>0.99158587381803609</v>
      </c>
      <c r="AO68" s="194"/>
      <c r="AP68" s="194">
        <v>0.99187988162399798</v>
      </c>
      <c r="AQ68" s="194"/>
      <c r="AR68" s="194">
        <v>0.99217299503742917</v>
      </c>
      <c r="AS68" s="194"/>
      <c r="AT68" s="194">
        <v>0.99246475201508633</v>
      </c>
      <c r="AU68" s="194"/>
      <c r="AV68" s="194">
        <v>0.99275473415649118</v>
      </c>
      <c r="XFD68" s="194"/>
    </row>
    <row r="69" spans="1:48 16384:16384" x14ac:dyDescent="0.2">
      <c r="A69" t="s">
        <v>180</v>
      </c>
      <c r="B69" s="194">
        <v>1</v>
      </c>
      <c r="C69" s="194"/>
      <c r="D69" s="194">
        <v>0.99438942934443608</v>
      </c>
      <c r="E69" s="194"/>
      <c r="F69" s="194">
        <v>0.9879905907290506</v>
      </c>
      <c r="G69" s="194"/>
      <c r="H69" s="194">
        <v>0.98065610087769861</v>
      </c>
      <c r="I69" s="194"/>
      <c r="J69" s="194">
        <v>0.97220025567942714</v>
      </c>
      <c r="K69" s="194"/>
      <c r="L69" s="194">
        <v>0.96238604552471718</v>
      </c>
      <c r="M69" s="194"/>
      <c r="N69" s="194">
        <v>0.95090759504044131</v>
      </c>
      <c r="O69" s="194"/>
      <c r="P69" s="194">
        <v>0.93736541467918788</v>
      </c>
      <c r="Q69" s="194"/>
      <c r="R69" s="194">
        <v>0.92123239902996357</v>
      </c>
      <c r="S69" s="194"/>
      <c r="T69" s="194">
        <v>0.90180709741050236</v>
      </c>
      <c r="U69" s="194"/>
      <c r="V69" s="194">
        <v>0.87815239794469513</v>
      </c>
      <c r="W69" s="194"/>
      <c r="X69" s="194">
        <v>0.8490201143315862</v>
      </c>
      <c r="Y69" s="194"/>
      <c r="Z69" s="194">
        <v>0.81277210028099856</v>
      </c>
      <c r="AA69" s="194"/>
      <c r="AB69" s="194">
        <v>0.76732725349432307</v>
      </c>
      <c r="AC69" s="194"/>
      <c r="AD69" s="194">
        <v>0.71019075768165008</v>
      </c>
      <c r="AE69" s="194"/>
      <c r="AF69" s="194">
        <v>0.63863675782593687</v>
      </c>
      <c r="AG69" s="194"/>
      <c r="AH69" s="194">
        <v>0.55007243343611234</v>
      </c>
      <c r="AI69" s="194"/>
      <c r="AJ69" s="194">
        <v>0.44249482288613629</v>
      </c>
      <c r="AK69" s="194"/>
      <c r="AL69" s="194">
        <v>0.31484205872201426</v>
      </c>
      <c r="AM69" s="194"/>
      <c r="AN69" s="194">
        <v>0.16707575762025281</v>
      </c>
      <c r="AO69" s="194"/>
      <c r="AP69" s="194">
        <v>0.13516817206896101</v>
      </c>
      <c r="AQ69" s="194"/>
      <c r="AR69" s="194">
        <v>0.10249613333509182</v>
      </c>
      <c r="AS69" s="194"/>
      <c r="AT69" s="194">
        <v>6.9069995940905016E-2</v>
      </c>
      <c r="AU69" s="194"/>
      <c r="AV69" s="194">
        <v>3.4900763884547166E-2</v>
      </c>
    </row>
    <row r="70" spans="1:48 16384:16384" x14ac:dyDescent="0.2">
      <c r="A70" t="s">
        <v>181</v>
      </c>
      <c r="B70" s="141">
        <v>1</v>
      </c>
      <c r="C70" s="141"/>
      <c r="D70" s="141">
        <v>0.99430284102625555</v>
      </c>
      <c r="E70" s="141"/>
      <c r="F70" s="141">
        <v>0.98778431417261359</v>
      </c>
      <c r="G70" s="141"/>
      <c r="H70" s="141">
        <v>0.98029123653206329</v>
      </c>
      <c r="I70" s="141"/>
      <c r="J70" s="141">
        <v>0.97163075339116545</v>
      </c>
      <c r="K70" s="141"/>
      <c r="L70" s="141">
        <v>0.96155716302418726</v>
      </c>
      <c r="M70" s="141"/>
      <c r="N70" s="141">
        <v>0.94975407972409731</v>
      </c>
      <c r="O70" s="141"/>
      <c r="P70" s="141">
        <v>0.93580965675987837</v>
      </c>
      <c r="Q70" s="141"/>
      <c r="R70" s="141">
        <v>0.91918282116449368</v>
      </c>
      <c r="S70" s="141"/>
      <c r="T70" s="141">
        <v>0.89915767937561708</v>
      </c>
      <c r="U70" s="141"/>
      <c r="V70" s="141">
        <v>0.87478485059721967</v>
      </c>
      <c r="W70" s="141"/>
      <c r="X70" s="141">
        <v>0.84481166363794025</v>
      </c>
      <c r="Y70" s="141"/>
      <c r="Z70" s="141">
        <v>0.80761343297401966</v>
      </c>
      <c r="AA70" s="141"/>
      <c r="AB70" s="141">
        <v>0.76115641533472578</v>
      </c>
      <c r="AC70" s="141"/>
      <c r="AD70" s="141">
        <v>0.70304713040132616</v>
      </c>
      <c r="AE70" s="141"/>
      <c r="AF70" s="141">
        <v>0.63073104382556089</v>
      </c>
      <c r="AG70" s="141"/>
      <c r="AH70" s="141">
        <v>0.54185420693123953</v>
      </c>
      <c r="AI70" s="141"/>
      <c r="AJ70" s="141">
        <v>0.4346882908996314</v>
      </c>
      <c r="AK70" s="141"/>
      <c r="AL70" s="141">
        <v>0.30842882486426654</v>
      </c>
      <c r="AM70" s="141"/>
      <c r="AN70" s="141">
        <v>0.16322952165807056</v>
      </c>
      <c r="AO70" s="141"/>
      <c r="AP70" s="141">
        <v>0.13198698500781775</v>
      </c>
      <c r="AQ70" s="141"/>
      <c r="AR70" s="141">
        <v>0.10003185096123574</v>
      </c>
      <c r="AS70" s="141"/>
      <c r="AT70" s="141">
        <v>6.7374775691558322E-2</v>
      </c>
      <c r="AU70" s="141"/>
      <c r="AV70" s="141">
        <v>3.4026946853773103E-2</v>
      </c>
    </row>
    <row r="71" spans="1:48 16384:16384" x14ac:dyDescent="0.2">
      <c r="A71" t="s">
        <v>182</v>
      </c>
      <c r="B71" s="141">
        <v>1</v>
      </c>
      <c r="D71" s="141">
        <v>0.91371078661366578</v>
      </c>
      <c r="E71" s="141"/>
      <c r="F71" s="141">
        <v>0.82902262404510318</v>
      </c>
      <c r="G71" s="141"/>
      <c r="H71" s="141">
        <v>0.74615491747926088</v>
      </c>
      <c r="I71" s="141"/>
      <c r="J71" s="141">
        <v>0.66536740502904035</v>
      </c>
      <c r="K71" s="141"/>
      <c r="L71" s="141">
        <v>0.58697110396711061</v>
      </c>
      <c r="M71" s="141"/>
      <c r="N71" s="141">
        <v>0.51133710321066173</v>
      </c>
      <c r="O71" s="141"/>
      <c r="P71" s="141">
        <v>0.43890899086601093</v>
      </c>
      <c r="Q71" s="141"/>
      <c r="R71" s="141">
        <v>0.37021181661650249</v>
      </c>
      <c r="S71" s="141"/>
      <c r="T71" s="141">
        <v>0.30585906658485273</v>
      </c>
      <c r="U71" s="141"/>
      <c r="V71" s="141">
        <v>0.246546705902115</v>
      </c>
      <c r="W71" s="141"/>
      <c r="X71" s="141">
        <v>0.193026760204317</v>
      </c>
      <c r="Y71" s="141"/>
      <c r="Z71" s="141">
        <v>0.14604235457662382</v>
      </c>
      <c r="AA71" s="141"/>
      <c r="AB71" s="141">
        <v>0.1062101619168541</v>
      </c>
      <c r="AC71" s="141"/>
      <c r="AD71" s="141">
        <v>7.3854076301827679E-2</v>
      </c>
      <c r="AE71" s="141"/>
      <c r="AF71" s="141">
        <v>4.8835600271011956E-2</v>
      </c>
      <c r="AG71" s="141"/>
      <c r="AH71" s="141">
        <v>3.0478226451861438E-2</v>
      </c>
      <c r="AI71" s="141"/>
      <c r="AJ71" s="141">
        <v>1.766628574519177E-2</v>
      </c>
      <c r="AK71" s="141"/>
      <c r="AL71" s="141">
        <v>9.0944774483547701E-3</v>
      </c>
      <c r="AM71" s="141"/>
      <c r="AN71" s="141">
        <v>3.5350452286536053E-3</v>
      </c>
      <c r="AO71" s="141"/>
      <c r="AP71" s="141">
        <v>2.6927311317380075E-3</v>
      </c>
      <c r="AQ71" s="141"/>
      <c r="AR71" s="141">
        <v>1.9239403772305893E-3</v>
      </c>
      <c r="AS71" s="141"/>
      <c r="AT71" s="141">
        <v>1.2225864409462644E-3</v>
      </c>
      <c r="AU71" s="141"/>
      <c r="AV71" s="141">
        <v>5.8301781333335316E-4</v>
      </c>
      <c r="XFD71" s="141"/>
    </row>
    <row r="72" spans="1:48 16384:16384" x14ac:dyDescent="0.2">
      <c r="A72" t="s">
        <v>183</v>
      </c>
      <c r="B72" s="141">
        <v>1</v>
      </c>
      <c r="D72" s="141">
        <v>1.0075699021619493</v>
      </c>
      <c r="E72" s="141"/>
      <c r="F72" s="141">
        <v>1.0147990758528227</v>
      </c>
      <c r="G72" s="141"/>
      <c r="H72" s="141">
        <v>1.0214116934483024</v>
      </c>
      <c r="I72" s="141"/>
      <c r="J72" s="141">
        <v>1.0270415987800054</v>
      </c>
      <c r="K72" s="141"/>
      <c r="L72" s="141">
        <v>1.0312044202666761</v>
      </c>
      <c r="M72" s="141"/>
      <c r="N72" s="141">
        <v>1.0332596680820041</v>
      </c>
      <c r="O72" s="141"/>
      <c r="P72" s="141">
        <v>1.0323632682982384</v>
      </c>
      <c r="Q72" s="141"/>
      <c r="R72" s="141">
        <v>1.0274077700546458</v>
      </c>
      <c r="S72" s="141"/>
      <c r="T72" s="141">
        <v>1.0169545927917332</v>
      </c>
      <c r="U72" s="141"/>
      <c r="V72" s="141">
        <v>0.99916730882239035</v>
      </c>
      <c r="W72" s="141"/>
      <c r="X72" s="141">
        <v>0.97177352285789764</v>
      </c>
      <c r="Y72" s="141"/>
      <c r="Z72" s="141">
        <v>0.93210636598414665</v>
      </c>
      <c r="AA72" s="141"/>
      <c r="AB72" s="141">
        <v>0.8773045052920071</v>
      </c>
      <c r="AC72" s="141"/>
      <c r="AD72" s="141">
        <v>0.80474378591730111</v>
      </c>
      <c r="AE72" s="141"/>
      <c r="AF72" s="141">
        <v>0.71267488712708194</v>
      </c>
      <c r="AG72" s="141"/>
      <c r="AH72" s="141">
        <v>0.60083798991848913</v>
      </c>
      <c r="AI72" s="141"/>
      <c r="AJ72" s="141">
        <v>0.47067926465949933</v>
      </c>
      <c r="AK72" s="141"/>
      <c r="AL72" s="141">
        <v>0.32496653011195953</v>
      </c>
      <c r="AM72" s="141"/>
      <c r="AN72" s="141">
        <v>0.16702070176219241</v>
      </c>
      <c r="AO72" s="141"/>
      <c r="AP72" s="141">
        <v>0.1342500171536874</v>
      </c>
      <c r="AQ72" s="141"/>
      <c r="AR72" s="141">
        <v>0.10114121687738653</v>
      </c>
      <c r="AS72" s="141"/>
      <c r="AT72" s="141">
        <v>6.771622339340734E-2</v>
      </c>
      <c r="AU72" s="141"/>
      <c r="AV72" s="141">
        <v>3.3995893270534421E-2</v>
      </c>
      <c r="XFD72" s="141"/>
    </row>
    <row r="73" spans="1:48 16384:16384" x14ac:dyDescent="0.2">
      <c r="A73" t="s">
        <v>187</v>
      </c>
      <c r="B73" s="196">
        <v>0.56706723273486048</v>
      </c>
      <c r="D73" s="196">
        <v>0.5653207242642776</v>
      </c>
      <c r="E73" s="141"/>
      <c r="F73" s="196">
        <v>0.56351727447688527</v>
      </c>
      <c r="G73" s="141"/>
      <c r="H73" s="196">
        <v>0.56164791242475587</v>
      </c>
      <c r="I73" s="141"/>
      <c r="J73" s="196">
        <v>0.55970171946172886</v>
      </c>
      <c r="K73" s="141"/>
      <c r="L73" s="196">
        <v>0.55766537359609925</v>
      </c>
      <c r="M73" s="141"/>
      <c r="N73" s="196">
        <v>0.5555225659628491</v>
      </c>
      <c r="O73" s="141"/>
      <c r="P73" s="196">
        <v>0.55325330823547114</v>
      </c>
      <c r="Q73" s="141"/>
      <c r="R73" s="196">
        <v>0.55083325434581121</v>
      </c>
      <c r="S73" s="141"/>
      <c r="T73" s="196">
        <v>0.54823317676549832</v>
      </c>
      <c r="U73" s="141"/>
      <c r="V73" s="196">
        <v>0.54541905378700106</v>
      </c>
      <c r="W73" s="141"/>
      <c r="X73" s="196">
        <v>0.5423535376985007</v>
      </c>
      <c r="Y73" s="141"/>
      <c r="Z73" s="196">
        <v>0.53900009774904067</v>
      </c>
      <c r="AA73" s="141"/>
      <c r="AB73" s="196">
        <v>0.53533132243632342</v>
      </c>
      <c r="AC73" s="141"/>
      <c r="AD73" s="196">
        <v>0.53134182582967138</v>
      </c>
      <c r="AE73" s="141"/>
      <c r="AF73" s="196">
        <v>0.52706275148698112</v>
      </c>
      <c r="AG73" s="141"/>
      <c r="AH73" s="196">
        <v>0.52256982623461723</v>
      </c>
      <c r="AI73" s="141"/>
      <c r="AJ73" s="196">
        <v>0.51797599746972267</v>
      </c>
      <c r="AK73" s="141"/>
      <c r="AL73" s="196">
        <v>0.51340818873610228</v>
      </c>
      <c r="AM73" s="141"/>
      <c r="AN73" s="196">
        <v>0.50897978200120431</v>
      </c>
      <c r="AO73" s="141"/>
      <c r="AP73" s="196">
        <v>0.50811866636029512</v>
      </c>
      <c r="AQ73" s="141"/>
      <c r="AR73" s="196">
        <v>0.50726698920074753</v>
      </c>
      <c r="AS73" s="141"/>
      <c r="AT73" s="196">
        <v>0.50642517758486083</v>
      </c>
      <c r="AU73" s="141"/>
      <c r="AV73" s="196">
        <v>0.50559360592279812</v>
      </c>
      <c r="XFD73" s="196"/>
    </row>
    <row r="74" spans="1:48 16384:16384" x14ac:dyDescent="0.2">
      <c r="A74" t="s">
        <v>188</v>
      </c>
      <c r="B74" s="196">
        <v>0.21672767296897655</v>
      </c>
      <c r="D74" s="196">
        <v>0.21672767296897655</v>
      </c>
      <c r="E74" s="141"/>
      <c r="F74" s="196">
        <v>0.21672767296897658</v>
      </c>
      <c r="G74" s="141"/>
      <c r="H74" s="196">
        <v>0.21672767296897652</v>
      </c>
      <c r="I74" s="141"/>
      <c r="J74" s="196">
        <v>0.21672767296897655</v>
      </c>
      <c r="K74" s="141"/>
      <c r="L74" s="196">
        <v>0.21672767296897652</v>
      </c>
      <c r="M74" s="141"/>
      <c r="N74" s="196">
        <v>0.21672767296897655</v>
      </c>
      <c r="O74" s="141"/>
      <c r="P74" s="196">
        <v>0.21672767296897655</v>
      </c>
      <c r="Q74" s="141"/>
      <c r="R74" s="196">
        <v>0.21672767296897655</v>
      </c>
      <c r="S74" s="141"/>
      <c r="T74" s="196">
        <v>0.21672767296897658</v>
      </c>
      <c r="U74" s="141"/>
      <c r="V74" s="196">
        <v>0.21672767296897655</v>
      </c>
      <c r="W74" s="141"/>
      <c r="X74" s="196">
        <v>0.21672767296897658</v>
      </c>
      <c r="Y74" s="141"/>
      <c r="Z74" s="196">
        <v>0.21672767296897655</v>
      </c>
      <c r="AA74" s="141"/>
      <c r="AB74" s="196">
        <v>0.21672767296897655</v>
      </c>
      <c r="AC74" s="141"/>
      <c r="AD74" s="196">
        <v>0.21672767296897655</v>
      </c>
      <c r="AE74" s="141"/>
      <c r="AF74" s="196">
        <v>0.21672767296897655</v>
      </c>
      <c r="AG74" s="141"/>
      <c r="AH74" s="196">
        <v>0.21672767296897658</v>
      </c>
      <c r="AI74" s="141"/>
      <c r="AJ74" s="196">
        <v>0.21672767296897658</v>
      </c>
      <c r="AK74" s="141"/>
      <c r="AL74" s="196">
        <v>0.21672767296897655</v>
      </c>
      <c r="AM74" s="141"/>
      <c r="AN74" s="196">
        <v>0.21672767296897655</v>
      </c>
      <c r="AO74" s="141"/>
      <c r="AP74" s="196">
        <v>0.21672767296897655</v>
      </c>
      <c r="AQ74" s="141"/>
      <c r="AR74" s="196">
        <v>0.21672767296897655</v>
      </c>
      <c r="AS74" s="141"/>
      <c r="AT74" s="196">
        <v>0.21672767296897652</v>
      </c>
      <c r="AU74" s="141"/>
      <c r="AV74" s="196">
        <v>0.21672767296897655</v>
      </c>
      <c r="XFD74" s="196"/>
    </row>
    <row r="75" spans="1:48 16384:16384" x14ac:dyDescent="0.2">
      <c r="A75" t="s">
        <v>189</v>
      </c>
      <c r="B75" s="196">
        <v>0.20445380142857192</v>
      </c>
      <c r="D75" s="196">
        <v>0.20620030897638464</v>
      </c>
      <c r="E75" s="141"/>
      <c r="F75" s="196">
        <v>0.2080037600427346</v>
      </c>
      <c r="G75" s="141"/>
      <c r="H75" s="196">
        <v>0.20987312239401859</v>
      </c>
      <c r="I75" s="141"/>
      <c r="J75" s="196">
        <v>0.2118193157962876</v>
      </c>
      <c r="K75" s="141"/>
      <c r="L75" s="196">
        <v>0.21385566027009539</v>
      </c>
      <c r="M75" s="141"/>
      <c r="N75" s="196">
        <v>0.21599846765539465</v>
      </c>
      <c r="O75" s="141"/>
      <c r="P75" s="196">
        <v>0.2182677246837095</v>
      </c>
      <c r="Q75" s="141"/>
      <c r="R75" s="196">
        <v>0.2206877800761459</v>
      </c>
      <c r="S75" s="141"/>
      <c r="T75" s="196">
        <v>0.22328785776349391</v>
      </c>
      <c r="U75" s="141"/>
      <c r="V75" s="196">
        <v>0.22610198057591174</v>
      </c>
      <c r="W75" s="141"/>
      <c r="X75" s="196">
        <v>0.22916749613661475</v>
      </c>
      <c r="Y75" s="141"/>
      <c r="Z75" s="196">
        <v>0.23252093532762508</v>
      </c>
      <c r="AA75" s="141"/>
      <c r="AB75" s="196">
        <v>0.23618971184985976</v>
      </c>
      <c r="AC75" s="141"/>
      <c r="AD75" s="196">
        <v>0.2401792082777576</v>
      </c>
      <c r="AE75" s="141"/>
      <c r="AF75" s="196">
        <v>0.24445828265899452</v>
      </c>
      <c r="AG75" s="141"/>
      <c r="AH75" s="196">
        <v>0.24895120792276432</v>
      </c>
      <c r="AI75" s="141"/>
      <c r="AJ75" s="196">
        <v>0.25354503726757405</v>
      </c>
      <c r="AK75" s="141"/>
      <c r="AL75" s="196">
        <v>0.25811284564541354</v>
      </c>
      <c r="AM75" s="141"/>
      <c r="AN75" s="196">
        <v>0.26254125383322535</v>
      </c>
      <c r="AO75" s="141"/>
      <c r="AP75" s="196">
        <v>0.26340236905261388</v>
      </c>
      <c r="AQ75" s="141"/>
      <c r="AR75" s="196">
        <v>0.26425404416755693</v>
      </c>
      <c r="AS75" s="141"/>
      <c r="AT75" s="196">
        <v>0.26509585472432029</v>
      </c>
      <c r="AU75" s="141"/>
      <c r="AV75" s="196">
        <v>0.26592743003648084</v>
      </c>
      <c r="XFD75" s="196"/>
    </row>
    <row r="76" spans="1:48 16384:16384" x14ac:dyDescent="0.2">
      <c r="A76" t="s">
        <v>190</v>
      </c>
      <c r="B76" s="196">
        <v>0.20231859885161138</v>
      </c>
      <c r="D76" s="196">
        <v>0.20253487340719062</v>
      </c>
      <c r="E76" s="141"/>
      <c r="F76" s="196">
        <v>0.20277466541511072</v>
      </c>
      <c r="G76" s="141"/>
      <c r="H76" s="196">
        <v>0.20303493801159853</v>
      </c>
      <c r="I76" s="141"/>
      <c r="J76" s="196">
        <v>0.20331106795374507</v>
      </c>
      <c r="K76" s="141"/>
      <c r="L76" s="196">
        <v>0.20359634461903564</v>
      </c>
      <c r="M76" s="141"/>
      <c r="N76" s="196">
        <v>0.20388121960970826</v>
      </c>
      <c r="O76" s="141"/>
      <c r="P76" s="196">
        <v>0.20415243558235699</v>
      </c>
      <c r="Q76" s="141"/>
      <c r="R76" s="196">
        <v>0.2043918955742326</v>
      </c>
      <c r="S76" s="141"/>
      <c r="T76" s="196">
        <v>0.20457550334971822</v>
      </c>
      <c r="U76" s="141"/>
      <c r="V76" s="196">
        <v>0.20467213447741384</v>
      </c>
      <c r="W76" s="141"/>
      <c r="X76" s="196">
        <v>0.20464351115430443</v>
      </c>
      <c r="Y76" s="141"/>
      <c r="Z76" s="196">
        <v>0.20444611243941066</v>
      </c>
      <c r="AA76" s="141"/>
      <c r="AB76" s="196">
        <v>0.20403679600064692</v>
      </c>
      <c r="AC76" s="141"/>
      <c r="AD76" s="196">
        <v>0.2033832887366008</v>
      </c>
      <c r="AE76" s="141"/>
      <c r="AF76" s="196">
        <v>0.20247779451575273</v>
      </c>
      <c r="AG76" s="141"/>
      <c r="AH76" s="196">
        <v>0.20134734361605527</v>
      </c>
      <c r="AI76" s="141"/>
      <c r="AJ76" s="196">
        <v>0.20005230376174593</v>
      </c>
      <c r="AK76" s="141"/>
      <c r="AL76" s="196">
        <v>0.19867096990870631</v>
      </c>
      <c r="AM76" s="141"/>
      <c r="AN76" s="196">
        <v>0.19727875392597008</v>
      </c>
      <c r="AO76" s="141"/>
      <c r="AP76" s="196">
        <v>0.19700447579862801</v>
      </c>
      <c r="AQ76" s="141"/>
      <c r="AR76" s="196">
        <v>0.19673249756423858</v>
      </c>
      <c r="AS76" s="141"/>
      <c r="AT76" s="196">
        <v>0.19646313743719315</v>
      </c>
      <c r="AU76" s="141"/>
      <c r="AV76" s="196">
        <v>0.19619667865133769</v>
      </c>
      <c r="XFD76" s="196"/>
    </row>
    <row r="77" spans="1:48 16384:16384" x14ac:dyDescent="0.2">
      <c r="A77" t="s">
        <v>191</v>
      </c>
      <c r="B77" s="196">
        <v>0.19056730598402033</v>
      </c>
      <c r="D77" s="196">
        <v>0.19078357961682962</v>
      </c>
      <c r="E77" s="141"/>
      <c r="F77" s="196">
        <v>0.1910233729037073</v>
      </c>
      <c r="G77" s="141"/>
      <c r="H77" s="196">
        <v>0.19128364579934967</v>
      </c>
      <c r="I77" s="141"/>
      <c r="J77" s="196">
        <v>0.19155977618073824</v>
      </c>
      <c r="K77" s="141"/>
      <c r="L77" s="196">
        <v>0.19184505145420674</v>
      </c>
      <c r="M77" s="141"/>
      <c r="N77" s="196">
        <v>0.19212992619692873</v>
      </c>
      <c r="O77" s="141"/>
      <c r="P77" s="196">
        <v>0.19240114147051424</v>
      </c>
      <c r="Q77" s="141"/>
      <c r="R77" s="196">
        <v>0.19264060296516619</v>
      </c>
      <c r="S77" s="141"/>
      <c r="T77" s="196">
        <v>0.19282421084768731</v>
      </c>
      <c r="U77" s="141"/>
      <c r="V77" s="196">
        <v>0.19292084180930325</v>
      </c>
      <c r="W77" s="141"/>
      <c r="X77" s="196">
        <v>0.19289221795839634</v>
      </c>
      <c r="Y77" s="141"/>
      <c r="Z77" s="196">
        <v>0.19269481848505299</v>
      </c>
      <c r="AA77" s="141"/>
      <c r="AB77" s="196">
        <v>0.19228550325580668</v>
      </c>
      <c r="AC77" s="141"/>
      <c r="AD77" s="196">
        <v>0.19163199581300669</v>
      </c>
      <c r="AE77" s="141"/>
      <c r="AF77" s="196">
        <v>0.19072650163070487</v>
      </c>
      <c r="AG77" s="141"/>
      <c r="AH77" s="196">
        <v>0.18959605074241326</v>
      </c>
      <c r="AI77" s="141"/>
      <c r="AJ77" s="196">
        <v>0.18830101146801922</v>
      </c>
      <c r="AK77" s="141"/>
      <c r="AL77" s="196">
        <v>0.18691967725919878</v>
      </c>
      <c r="AM77" s="141"/>
      <c r="AN77" s="196">
        <v>0.18552746272937642</v>
      </c>
      <c r="AO77" s="141"/>
      <c r="AP77" s="196">
        <v>0.18525318418051356</v>
      </c>
      <c r="AQ77" s="141"/>
      <c r="AR77" s="196">
        <v>0.1849812039015197</v>
      </c>
      <c r="AS77" s="141"/>
      <c r="AT77" s="196">
        <v>0.1847118427153509</v>
      </c>
      <c r="AU77" s="141"/>
      <c r="AV77" s="196">
        <v>0.18444538757959328</v>
      </c>
      <c r="XFD77" s="196"/>
    </row>
    <row r="78" spans="1:48 16384:16384" x14ac:dyDescent="0.2">
      <c r="A78" t="s">
        <v>192</v>
      </c>
      <c r="B78" s="196">
        <v>0.27666372811889955</v>
      </c>
      <c r="D78" s="196">
        <v>0.27618110947150692</v>
      </c>
      <c r="E78" s="141"/>
      <c r="F78" s="196">
        <v>0.27566723355335565</v>
      </c>
      <c r="G78" s="141"/>
      <c r="H78" s="196">
        <v>0.27511844543526187</v>
      </c>
      <c r="I78" s="141"/>
      <c r="J78" s="196">
        <v>0.27453043717221909</v>
      </c>
      <c r="K78" s="141"/>
      <c r="L78" s="196">
        <v>0.2738981379778091</v>
      </c>
      <c r="M78" s="141"/>
      <c r="N78" s="196">
        <v>0.27321557109098232</v>
      </c>
      <c r="O78" s="141"/>
      <c r="P78" s="196">
        <v>0.27247574906661581</v>
      </c>
      <c r="Q78" s="141"/>
      <c r="R78" s="196">
        <v>0.27167061294191835</v>
      </c>
      <c r="S78" s="141"/>
      <c r="T78" s="196">
        <v>0.2707911556941594</v>
      </c>
      <c r="U78" s="141"/>
      <c r="V78" s="196">
        <v>0.26982786970334927</v>
      </c>
      <c r="W78" s="141"/>
      <c r="X78" s="196">
        <v>0.2687718449792883</v>
      </c>
      <c r="Y78" s="141"/>
      <c r="Z78" s="196">
        <v>0.2676168720672894</v>
      </c>
      <c r="AA78" s="141"/>
      <c r="AB78" s="196">
        <v>0.26636281805856238</v>
      </c>
      <c r="AC78" s="141"/>
      <c r="AD78" s="196">
        <v>0.26501990815481741</v>
      </c>
      <c r="AE78" s="141"/>
      <c r="AF78" s="196">
        <v>0.26361214646730019</v>
      </c>
      <c r="AG78" s="141"/>
      <c r="AH78" s="196">
        <v>0.26217695940841035</v>
      </c>
      <c r="AI78" s="141"/>
      <c r="AJ78" s="196">
        <v>0.26075904602499456</v>
      </c>
      <c r="AK78" s="141"/>
      <c r="AL78" s="196">
        <v>0.25940042003174102</v>
      </c>
      <c r="AM78" s="141"/>
      <c r="AN78" s="196">
        <v>0.25813190811848002</v>
      </c>
      <c r="AO78" s="141"/>
      <c r="AP78" s="196">
        <v>0.2578907116353969</v>
      </c>
      <c r="AQ78" s="141"/>
      <c r="AR78" s="196">
        <v>0.25765388306464732</v>
      </c>
      <c r="AS78" s="141"/>
      <c r="AT78" s="196">
        <v>0.25742146746563732</v>
      </c>
      <c r="AU78" s="141"/>
      <c r="AV78" s="196">
        <v>0.25719349249516049</v>
      </c>
      <c r="XFD78" s="196"/>
    </row>
    <row r="79" spans="1:48 16384:16384" x14ac:dyDescent="0.2">
      <c r="A79" t="s">
        <v>193</v>
      </c>
      <c r="B79" s="196">
        <v>0.42990307543833983</v>
      </c>
      <c r="D79" s="196">
        <v>0.42820954388490678</v>
      </c>
      <c r="F79" s="196">
        <v>0.42647631213176251</v>
      </c>
      <c r="H79" s="196">
        <v>0.42469586910523982</v>
      </c>
      <c r="J79" s="196">
        <v>0.42285891375533219</v>
      </c>
      <c r="L79" s="196">
        <v>0.42095393356421695</v>
      </c>
      <c r="N79" s="196">
        <v>0.41896655943353989</v>
      </c>
      <c r="P79" s="196">
        <v>0.41687888552925301</v>
      </c>
      <c r="R79" s="196">
        <v>0.41466862259161119</v>
      </c>
      <c r="T79" s="196">
        <v>0.41230837790391689</v>
      </c>
      <c r="V79" s="196">
        <v>0.40976526243793482</v>
      </c>
      <c r="X79" s="196">
        <v>0.40700165059545573</v>
      </c>
      <c r="Z79" s="196">
        <v>0.40397823382094583</v>
      </c>
      <c r="AB79" s="196">
        <v>0.40066098194727046</v>
      </c>
      <c r="AD79" s="196">
        <v>0.39703297396610754</v>
      </c>
      <c r="AF79" s="196">
        <v>0.39310900106265284</v>
      </c>
      <c r="AH79" s="196">
        <v>0.3889459942779056</v>
      </c>
      <c r="AJ79" s="196">
        <v>0.38463998961751256</v>
      </c>
      <c r="AL79" s="196">
        <v>0.38030711754187257</v>
      </c>
      <c r="AN79" s="196">
        <v>0.37605782316723624</v>
      </c>
      <c r="AP79" s="196">
        <v>0.37522606868989317</v>
      </c>
      <c r="AR79" s="196">
        <v>0.3744017096658474</v>
      </c>
      <c r="AT79" s="196">
        <v>0.37358522812557976</v>
      </c>
      <c r="AV79" s="196">
        <v>0.37277705643061243</v>
      </c>
      <c r="XFD79" s="196"/>
    </row>
    <row r="80" spans="1:48 16384:16384" x14ac:dyDescent="0.2">
      <c r="A80" t="s">
        <v>172</v>
      </c>
      <c r="B80" s="239">
        <v>0.29343319644276039</v>
      </c>
      <c r="D80" s="239">
        <v>0.29560936558526063</v>
      </c>
      <c r="F80" s="239">
        <v>0.29785645158721269</v>
      </c>
      <c r="H80" s="239">
        <v>0.30018568044354843</v>
      </c>
      <c r="J80" s="239">
        <v>0.30261064068011884</v>
      </c>
      <c r="L80" s="239">
        <v>0.30514793013762953</v>
      </c>
      <c r="N80" s="239">
        <v>0.30781787244741127</v>
      </c>
      <c r="P80" s="239">
        <v>0.31064537201992926</v>
      </c>
      <c r="R80" s="239">
        <v>0.31366076277235988</v>
      </c>
      <c r="T80" s="239">
        <v>0.31690046399103466</v>
      </c>
      <c r="V80" s="239">
        <v>0.3204068665018916</v>
      </c>
      <c r="X80" s="239">
        <v>0.32422650602606912</v>
      </c>
      <c r="Z80" s="239">
        <v>0.32840489935566769</v>
      </c>
      <c r="AB80" s="239">
        <v>0.33297619734568257</v>
      </c>
      <c r="AD80" s="239">
        <v>0.33794711871644806</v>
      </c>
      <c r="AF80" s="239">
        <v>0.34327885310979755</v>
      </c>
      <c r="AH80" s="239">
        <v>0.34887704554480509</v>
      </c>
      <c r="AJ80" s="239">
        <v>0.3546009687501645</v>
      </c>
      <c r="AL80" s="239">
        <v>0.36029246413234572</v>
      </c>
      <c r="AN80" s="239">
        <v>0.36581027723826587</v>
      </c>
      <c r="AP80" s="239">
        <v>0.36688322612493235</v>
      </c>
      <c r="AR80" s="239">
        <v>0.3679444030798143</v>
      </c>
      <c r="AT80" s="239">
        <v>0.36899329443546924</v>
      </c>
      <c r="AV80" s="239">
        <v>0.37002946075258752</v>
      </c>
      <c r="XFD80" s="239"/>
    </row>
    <row r="81" spans="1:48 16384:16384" x14ac:dyDescent="0.2">
      <c r="A81" t="s">
        <v>194</v>
      </c>
      <c r="B81" s="239">
        <v>7.6705523473783829E-2</v>
      </c>
      <c r="D81" s="239">
        <v>7.8881692616284083E-2</v>
      </c>
      <c r="F81" s="239">
        <v>8.1128778618236141E-2</v>
      </c>
      <c r="H81" s="239">
        <v>8.3458007474571924E-2</v>
      </c>
      <c r="J81" s="239">
        <v>8.5882967711142288E-2</v>
      </c>
      <c r="L81" s="239">
        <v>8.8420257168652996E-2</v>
      </c>
      <c r="N81" s="239">
        <v>9.1090199478434719E-2</v>
      </c>
      <c r="P81" s="239">
        <v>9.3917699050952708E-2</v>
      </c>
      <c r="R81" s="239">
        <v>9.6933089803383346E-2</v>
      </c>
      <c r="T81" s="239">
        <v>0.1001727910220581</v>
      </c>
      <c r="V81" s="239">
        <v>0.10367919353291506</v>
      </c>
      <c r="X81" s="239">
        <v>0.10749883305709253</v>
      </c>
      <c r="Z81" s="239">
        <v>0.11167722638669113</v>
      </c>
      <c r="AB81" s="239">
        <v>0.11624852437670599</v>
      </c>
      <c r="AD81" s="239">
        <v>0.12121944574747151</v>
      </c>
      <c r="AF81" s="239">
        <v>0.12655118014082103</v>
      </c>
      <c r="AH81" s="239">
        <v>0.13214937257582854</v>
      </c>
      <c r="AJ81" s="239">
        <v>0.13787329578118793</v>
      </c>
      <c r="AL81" s="239">
        <v>0.14356479116336915</v>
      </c>
      <c r="AN81" s="239">
        <v>0.14908260426928929</v>
      </c>
      <c r="AP81" s="239">
        <v>0.15015555315595583</v>
      </c>
      <c r="AR81" s="239">
        <v>0.15121673011083775</v>
      </c>
      <c r="AT81" s="239">
        <v>0.1522656214664927</v>
      </c>
      <c r="AV81" s="239">
        <v>0.15330178778361098</v>
      </c>
      <c r="XFD81" s="239"/>
    </row>
    <row r="82" spans="1:48 16384:16384" x14ac:dyDescent="0.2">
      <c r="A82" t="s">
        <v>195</v>
      </c>
      <c r="B82" s="239">
        <v>5.4622536949655895E-2</v>
      </c>
      <c r="D82" s="239">
        <v>5.4527252124720454E-2</v>
      </c>
      <c r="F82" s="239">
        <v>5.4425796084502945E-2</v>
      </c>
      <c r="H82" s="239">
        <v>5.4317447225540029E-2</v>
      </c>
      <c r="J82" s="239">
        <v>5.4201355017525842E-2</v>
      </c>
      <c r="L82" s="239">
        <v>5.4076518320121655E-2</v>
      </c>
      <c r="N82" s="239">
        <v>5.3941757123741461E-2</v>
      </c>
      <c r="P82" s="239">
        <v>5.3795691876457719E-2</v>
      </c>
      <c r="R82" s="239">
        <v>5.3636731473444964E-2</v>
      </c>
      <c r="T82" s="239">
        <v>5.3463097631603895E-2</v>
      </c>
      <c r="V82" s="239">
        <v>5.3272913233439863E-2</v>
      </c>
      <c r="X82" s="239">
        <v>5.3064419153272688E-2</v>
      </c>
      <c r="Z82" s="239">
        <v>5.2836389440124316E-2</v>
      </c>
      <c r="AB82" s="239">
        <v>5.2588797853419772E-2</v>
      </c>
      <c r="AD82" s="239">
        <v>5.232366318493209E-2</v>
      </c>
      <c r="AF82" s="239">
        <v>5.204572463723902E-2</v>
      </c>
      <c r="AH82" s="239">
        <v>5.1762371417476916E-2</v>
      </c>
      <c r="AJ82" s="239">
        <v>5.1482428590480238E-2</v>
      </c>
      <c r="AL82" s="239">
        <v>5.1214191048024521E-2</v>
      </c>
      <c r="AN82" s="239">
        <v>5.0963744994527403E-2</v>
      </c>
      <c r="AP82" s="239">
        <v>5.0916124860515201E-2</v>
      </c>
      <c r="AR82" s="239">
        <v>5.0869367096335355E-2</v>
      </c>
      <c r="AT82" s="239">
        <v>5.0823480598199453E-2</v>
      </c>
      <c r="AV82" s="239">
        <v>5.0778470826469933E-2</v>
      </c>
    </row>
    <row r="83" spans="1:48 16384:16384" x14ac:dyDescent="0.2">
      <c r="A83" t="s">
        <v>196</v>
      </c>
      <c r="B83" s="239">
        <v>8.4877033872722163E-2</v>
      </c>
      <c r="D83" s="239">
        <v>8.4542674936399831E-2</v>
      </c>
      <c r="F83" s="239">
        <v>8.4200477872396734E-2</v>
      </c>
      <c r="H83" s="239">
        <v>8.3848959747255314E-2</v>
      </c>
      <c r="J83" s="239">
        <v>8.3486284227202764E-2</v>
      </c>
      <c r="L83" s="239">
        <v>8.3110178361843937E-2</v>
      </c>
      <c r="N83" s="239">
        <v>8.2717805217652651E-2</v>
      </c>
      <c r="P83" s="239">
        <v>8.2305629592929141E-2</v>
      </c>
      <c r="R83" s="239">
        <v>8.1869250853292164E-2</v>
      </c>
      <c r="T83" s="239">
        <v>8.1403260773781599E-2</v>
      </c>
      <c r="V83" s="239">
        <v>8.0901165976417541E-2</v>
      </c>
      <c r="X83" s="239">
        <v>8.0355537928220894E-2</v>
      </c>
      <c r="Z83" s="239">
        <v>7.9758615824977563E-2</v>
      </c>
      <c r="AB83" s="239">
        <v>7.9103680990284392E-2</v>
      </c>
      <c r="AD83" s="239">
        <v>7.8387392659493321E-2</v>
      </c>
      <c r="AF83" s="239">
        <v>7.7612671099982308E-2</v>
      </c>
      <c r="AH83" s="239">
        <v>7.6790756375317737E-2</v>
      </c>
      <c r="AJ83" s="239">
        <v>7.5940609157730085E-2</v>
      </c>
      <c r="AL83" s="239">
        <v>7.5085157426999172E-2</v>
      </c>
      <c r="AN83" s="239">
        <v>7.4246206688618366E-2</v>
      </c>
      <c r="AP83" s="239">
        <v>7.4081990945627327E-2</v>
      </c>
      <c r="AR83" s="239">
        <v>7.3919235308822745E-2</v>
      </c>
      <c r="AT83" s="239">
        <v>7.3758034946906081E-2</v>
      </c>
      <c r="AV83" s="239">
        <v>7.35984752222896E-2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XFD83"/>
  <sheetViews>
    <sheetView showGridLines="0" workbookViewId="0">
      <pane xSplit="1" ySplit="1" topLeftCell="AK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7">
        <v>0</v>
      </c>
      <c r="D1" s="97">
        <v>0.05</v>
      </c>
      <c r="F1" s="97">
        <v>0.1</v>
      </c>
      <c r="H1" s="97">
        <v>0.15000000000000002</v>
      </c>
      <c r="J1" s="97">
        <v>0.2</v>
      </c>
      <c r="L1" s="97">
        <v>0.25</v>
      </c>
      <c r="N1" s="97">
        <v>0.3</v>
      </c>
      <c r="P1" s="97">
        <v>0.35</v>
      </c>
      <c r="R1" s="97">
        <v>0.39999999999999997</v>
      </c>
      <c r="T1" s="97">
        <v>0.44999999999999996</v>
      </c>
      <c r="V1" s="97">
        <v>0.49999999999999994</v>
      </c>
      <c r="X1" s="97">
        <v>0.54999999999999993</v>
      </c>
      <c r="Z1" s="97">
        <v>0.6</v>
      </c>
      <c r="AB1" s="97">
        <v>0.65</v>
      </c>
      <c r="AD1" s="97">
        <v>0.70000000000000007</v>
      </c>
      <c r="AF1" s="97">
        <v>0.75000000000000011</v>
      </c>
      <c r="AH1" s="97">
        <v>0.80000000000000016</v>
      </c>
      <c r="AJ1" s="97">
        <v>0.8500000000000002</v>
      </c>
      <c r="AL1" s="97">
        <v>0.90000000000000024</v>
      </c>
      <c r="AN1" s="97">
        <v>0.95000000000000029</v>
      </c>
      <c r="AP1" s="97">
        <v>0.9600000000000003</v>
      </c>
      <c r="AR1" s="97">
        <v>0.97000000000000031</v>
      </c>
      <c r="AT1" s="97">
        <v>0.98000000000000032</v>
      </c>
      <c r="AV1" s="97"/>
    </row>
    <row r="2" spans="1:49" x14ac:dyDescent="0.2">
      <c r="A2" s="232" t="s">
        <v>158</v>
      </c>
      <c r="B2" s="229">
        <v>0.16485636072655629</v>
      </c>
      <c r="C2" s="230"/>
      <c r="D2" s="229">
        <v>0.19234524173560413</v>
      </c>
      <c r="E2" s="230"/>
      <c r="F2" s="229">
        <v>0.2221452008607506</v>
      </c>
      <c r="G2" s="230"/>
      <c r="H2" s="229">
        <v>0.25457906961424259</v>
      </c>
      <c r="I2" s="230"/>
      <c r="J2" s="229">
        <v>0.2900287474184533</v>
      </c>
      <c r="K2" s="230"/>
      <c r="L2" s="229">
        <v>0.32894850675827048</v>
      </c>
      <c r="M2" s="230"/>
      <c r="N2" s="229">
        <v>0.37188340302079709</v>
      </c>
      <c r="O2" s="230"/>
      <c r="P2" s="229">
        <v>0.41949704620848638</v>
      </c>
      <c r="Q2" s="230"/>
      <c r="R2" s="229">
        <v>0.47261988990687903</v>
      </c>
      <c r="S2" s="230"/>
      <c r="T2" s="229">
        <v>0.53234322285681879</v>
      </c>
      <c r="U2" s="230"/>
      <c r="V2" s="229">
        <v>0.60021729580866745</v>
      </c>
      <c r="W2" s="230"/>
      <c r="X2" s="229">
        <v>0.67868902683398491</v>
      </c>
      <c r="Y2" s="230"/>
      <c r="Z2" s="229">
        <v>0.77208007240913856</v>
      </c>
      <c r="AA2" s="230"/>
      <c r="AB2" s="229">
        <v>0.88881682604531631</v>
      </c>
      <c r="AC2" s="230"/>
      <c r="AD2" s="229">
        <v>1.0466515849868581</v>
      </c>
      <c r="AE2" s="230"/>
      <c r="AF2" s="229">
        <v>1.28579608523013</v>
      </c>
      <c r="AG2" s="230"/>
      <c r="AH2" s="229">
        <v>1.7060331248008285</v>
      </c>
      <c r="AI2" s="230"/>
      <c r="AJ2" s="229">
        <v>2.5894779929901866</v>
      </c>
      <c r="AK2" s="230"/>
      <c r="AL2" s="229">
        <v>4.9174014360240443</v>
      </c>
      <c r="AM2" s="230"/>
      <c r="AN2" s="229">
        <v>14.34770053111137</v>
      </c>
      <c r="AO2" s="230"/>
      <c r="AP2" s="229">
        <v>19.852423296458582</v>
      </c>
      <c r="AQ2" s="230"/>
      <c r="AR2" s="229">
        <v>29.742415714326967</v>
      </c>
      <c r="AS2" s="230"/>
      <c r="AT2" s="229">
        <v>51.254791297814918</v>
      </c>
      <c r="AU2" s="230"/>
      <c r="AV2" s="229"/>
      <c r="AW2" s="230"/>
    </row>
    <row r="3" spans="1:49" x14ac:dyDescent="0.2">
      <c r="A3" t="s">
        <v>12</v>
      </c>
      <c r="B3" s="87">
        <v>1000</v>
      </c>
      <c r="C3" s="88">
        <v>1000</v>
      </c>
      <c r="D3" s="87">
        <v>999.1102131240059</v>
      </c>
      <c r="E3" s="88">
        <v>1021.0388115380238</v>
      </c>
      <c r="F3" s="87">
        <v>998.54524064682516</v>
      </c>
      <c r="G3" s="88">
        <v>1044.0846185412893</v>
      </c>
      <c r="H3" s="87">
        <v>998.38584229591925</v>
      </c>
      <c r="I3" s="88">
        <v>1069.4167925206473</v>
      </c>
      <c r="J3" s="87">
        <v>998.73965126074336</v>
      </c>
      <c r="K3" s="88">
        <v>1097.3675943000665</v>
      </c>
      <c r="L3" s="87">
        <v>999.75201709623286</v>
      </c>
      <c r="M3" s="88">
        <v>1128.3357619599769</v>
      </c>
      <c r="N3" s="87">
        <v>1001.6220015474429</v>
      </c>
      <c r="O3" s="88">
        <v>1162.8055378111919</v>
      </c>
      <c r="P3" s="87">
        <v>1004.626092130783</v>
      </c>
      <c r="Q3" s="88">
        <v>1201.3764799030901</v>
      </c>
      <c r="R3" s="87">
        <v>1009.1541255082827</v>
      </c>
      <c r="S3" s="88">
        <v>1244.8128524046513</v>
      </c>
      <c r="T3" s="87">
        <v>1015.7643199095324</v>
      </c>
      <c r="U3" s="88">
        <v>1294.1343259978612</v>
      </c>
      <c r="V3" s="87">
        <v>1025.2693875685534</v>
      </c>
      <c r="W3" s="88">
        <v>1350.7939736794458</v>
      </c>
      <c r="X3" s="87">
        <v>1038.8749400943682</v>
      </c>
      <c r="Y3" s="88">
        <v>1417.04215295934</v>
      </c>
      <c r="Z3" s="87">
        <v>1058.4105053094186</v>
      </c>
      <c r="AA3" s="88">
        <v>1496.692669430533</v>
      </c>
      <c r="AB3" s="87">
        <v>1086.7396525996032</v>
      </c>
      <c r="AC3" s="88">
        <v>1596.7734662006542</v>
      </c>
      <c r="AD3" s="87">
        <v>1128.5444348337619</v>
      </c>
      <c r="AE3" s="88">
        <v>1731.2229090255803</v>
      </c>
      <c r="AF3" s="87">
        <v>1191.9909650841196</v>
      </c>
      <c r="AG3" s="88">
        <v>1929.8043304544701</v>
      </c>
      <c r="AH3" s="87">
        <v>1292.6664715171814</v>
      </c>
      <c r="AI3" s="88">
        <v>2262.3526636771248</v>
      </c>
      <c r="AJ3" s="87">
        <v>1463.7871135529185</v>
      </c>
      <c r="AK3" s="88">
        <v>2916.1440949247103</v>
      </c>
      <c r="AL3" s="87">
        <v>1787.8910323518278</v>
      </c>
      <c r="AM3" s="88">
        <v>4512.7171399171366</v>
      </c>
      <c r="AN3" s="87">
        <v>2577.749088304311</v>
      </c>
      <c r="AO3" s="88">
        <v>10492.968824153952</v>
      </c>
      <c r="AP3" s="87">
        <v>2904.002294671961</v>
      </c>
      <c r="AQ3" s="88">
        <v>13857.910628309997</v>
      </c>
      <c r="AR3" s="87">
        <v>3384.9395750679073</v>
      </c>
      <c r="AS3" s="88">
        <v>19800.743306216809</v>
      </c>
      <c r="AT3" s="87">
        <v>4193.0506742243415</v>
      </c>
      <c r="AU3" s="88">
        <v>32484.595603303387</v>
      </c>
      <c r="AV3" s="87"/>
      <c r="AW3" s="88"/>
    </row>
    <row r="4" spans="1:49" x14ac:dyDescent="0.2">
      <c r="A4" t="s">
        <v>119</v>
      </c>
      <c r="B4" s="104">
        <v>1000</v>
      </c>
      <c r="C4" s="105">
        <v>1000</v>
      </c>
      <c r="D4" s="104">
        <v>1000</v>
      </c>
      <c r="E4" s="105">
        <v>1000</v>
      </c>
      <c r="F4" s="104">
        <v>1000</v>
      </c>
      <c r="G4" s="105">
        <v>1000</v>
      </c>
      <c r="H4" s="104">
        <v>1000</v>
      </c>
      <c r="I4" s="105">
        <v>1000</v>
      </c>
      <c r="J4" s="104">
        <v>1000</v>
      </c>
      <c r="K4" s="105">
        <v>1000</v>
      </c>
      <c r="L4" s="104">
        <v>1000</v>
      </c>
      <c r="M4" s="105">
        <v>1000</v>
      </c>
      <c r="N4" s="104">
        <v>1000</v>
      </c>
      <c r="O4" s="105">
        <v>1000</v>
      </c>
      <c r="P4" s="104">
        <v>1000</v>
      </c>
      <c r="Q4" s="105">
        <v>1000</v>
      </c>
      <c r="R4" s="104">
        <v>1000</v>
      </c>
      <c r="S4" s="105">
        <v>1000</v>
      </c>
      <c r="T4" s="104">
        <v>1000</v>
      </c>
      <c r="U4" s="105">
        <v>1000</v>
      </c>
      <c r="V4" s="104">
        <v>1000</v>
      </c>
      <c r="W4" s="105">
        <v>1000</v>
      </c>
      <c r="X4" s="104">
        <v>1000</v>
      </c>
      <c r="Y4" s="105">
        <v>1000</v>
      </c>
      <c r="Z4" s="104">
        <v>1000</v>
      </c>
      <c r="AA4" s="105">
        <v>1000</v>
      </c>
      <c r="AB4" s="104">
        <v>1000</v>
      </c>
      <c r="AC4" s="105">
        <v>1000</v>
      </c>
      <c r="AD4" s="104">
        <v>1000</v>
      </c>
      <c r="AE4" s="105">
        <v>1000</v>
      </c>
      <c r="AF4" s="104">
        <v>1000</v>
      </c>
      <c r="AG4" s="105">
        <v>1000</v>
      </c>
      <c r="AH4" s="104">
        <v>1000</v>
      </c>
      <c r="AI4" s="105">
        <v>1000</v>
      </c>
      <c r="AJ4" s="104">
        <v>1000</v>
      </c>
      <c r="AK4" s="105">
        <v>1000</v>
      </c>
      <c r="AL4" s="104">
        <v>1000</v>
      </c>
      <c r="AM4" s="105">
        <v>1000</v>
      </c>
      <c r="AN4" s="104">
        <v>1000</v>
      </c>
      <c r="AO4" s="105">
        <v>1000</v>
      </c>
      <c r="AP4" s="104">
        <v>1000</v>
      </c>
      <c r="AQ4" s="105">
        <v>1000</v>
      </c>
      <c r="AR4" s="104">
        <v>1000</v>
      </c>
      <c r="AS4" s="105">
        <v>1000</v>
      </c>
      <c r="AT4" s="104">
        <v>1000</v>
      </c>
      <c r="AU4" s="105">
        <v>1000</v>
      </c>
      <c r="AV4" s="104"/>
      <c r="AW4" s="105"/>
    </row>
    <row r="5" spans="1:49" x14ac:dyDescent="0.2">
      <c r="A5" t="s">
        <v>131</v>
      </c>
      <c r="B5" s="41">
        <v>1000</v>
      </c>
      <c r="C5" s="42">
        <v>1000</v>
      </c>
      <c r="D5" s="41">
        <v>999.0877287323591</v>
      </c>
      <c r="E5" s="42">
        <v>1014.0946129747192</v>
      </c>
      <c r="F5" s="41">
        <v>998.50829776301532</v>
      </c>
      <c r="G5" s="42">
        <v>1028.944641265211</v>
      </c>
      <c r="H5" s="41">
        <v>998.34479455381393</v>
      </c>
      <c r="I5" s="42">
        <v>1044.5805604461389</v>
      </c>
      <c r="J5" s="41">
        <v>998.70769955762978</v>
      </c>
      <c r="K5" s="42">
        <v>1061.0280897524424</v>
      </c>
      <c r="L5" s="41">
        <v>999.7457858969442</v>
      </c>
      <c r="M5" s="42">
        <v>1078.3061720133469</v>
      </c>
      <c r="N5" s="41">
        <v>1001.6620893999071</v>
      </c>
      <c r="O5" s="42">
        <v>1096.4243558928811</v>
      </c>
      <c r="P5" s="41">
        <v>1004.7373759014311</v>
      </c>
      <c r="Q5" s="42">
        <v>1115.3822449136385</v>
      </c>
      <c r="R5" s="41">
        <v>1009.3653038573093</v>
      </c>
      <c r="S5" s="42">
        <v>1135.1706588348125</v>
      </c>
      <c r="T5" s="41">
        <v>1016.105534786838</v>
      </c>
      <c r="U5" s="42">
        <v>1155.7793683955244</v>
      </c>
      <c r="V5" s="41">
        <v>1025.7653770744971</v>
      </c>
      <c r="W5" s="42">
        <v>1177.2174798478095</v>
      </c>
      <c r="X5" s="41">
        <v>1039.5281746971475</v>
      </c>
      <c r="Y5" s="42">
        <v>1199.5514033448624</v>
      </c>
      <c r="Z5" s="41">
        <v>1059.1621707080244</v>
      </c>
      <c r="AA5" s="42">
        <v>1222.969582251191</v>
      </c>
      <c r="AB5" s="41">
        <v>1087.3811078554625</v>
      </c>
      <c r="AC5" s="42">
        <v>1247.8553184437601</v>
      </c>
      <c r="AD5" s="41">
        <v>1128.5143340767499</v>
      </c>
      <c r="AE5" s="42">
        <v>1274.8102988751639</v>
      </c>
      <c r="AF5" s="41">
        <v>1189.8892868043276</v>
      </c>
      <c r="AG5" s="42">
        <v>1304.4065161524118</v>
      </c>
      <c r="AH5" s="41">
        <v>1284.9857420344567</v>
      </c>
      <c r="AI5" s="42">
        <v>1336.1782151301957</v>
      </c>
      <c r="AJ5" s="41">
        <v>1441.1507080852359</v>
      </c>
      <c r="AK5" s="42">
        <v>1366.3614447135908</v>
      </c>
      <c r="AL5" s="41">
        <v>1721.5307169936077</v>
      </c>
      <c r="AM5" s="42">
        <v>1387.048525600743</v>
      </c>
      <c r="AN5" s="41">
        <v>2339.3068595978157</v>
      </c>
      <c r="AO5" s="42">
        <v>1394.3559794680273</v>
      </c>
      <c r="AP5" s="41">
        <v>2571.9726458464265</v>
      </c>
      <c r="AQ5" s="42">
        <v>1394.717028803318</v>
      </c>
      <c r="AR5" s="41">
        <v>2894.3794339954306</v>
      </c>
      <c r="AS5" s="42">
        <v>1394.8991862034111</v>
      </c>
      <c r="AT5" s="41">
        <v>3387.5802359565491</v>
      </c>
      <c r="AU5" s="42">
        <v>1394.9727098024882</v>
      </c>
      <c r="AV5" s="41"/>
      <c r="AW5" s="42"/>
    </row>
    <row r="6" spans="1:49" x14ac:dyDescent="0.2">
      <c r="A6" t="s">
        <v>79</v>
      </c>
      <c r="B6" s="41">
        <v>999.99999999999886</v>
      </c>
      <c r="C6" s="42">
        <v>999.99999999999909</v>
      </c>
      <c r="D6" s="41">
        <v>999.00309179701571</v>
      </c>
      <c r="E6" s="42">
        <v>1022.6922908500819</v>
      </c>
      <c r="F6" s="41">
        <v>998.36999121876022</v>
      </c>
      <c r="G6" s="42">
        <v>1047.4689583414481</v>
      </c>
      <c r="H6" s="41">
        <v>998.1913559134457</v>
      </c>
      <c r="I6" s="42">
        <v>1074.6157934720693</v>
      </c>
      <c r="J6" s="41">
        <v>998.58785490480864</v>
      </c>
      <c r="K6" s="42">
        <v>1104.4725686028014</v>
      </c>
      <c r="L6" s="41">
        <v>999.72218394786091</v>
      </c>
      <c r="M6" s="42">
        <v>1137.4469565860584</v>
      </c>
      <c r="N6" s="41">
        <v>1001.8167257922748</v>
      </c>
      <c r="O6" s="42">
        <v>1174.0340613880571</v>
      </c>
      <c r="P6" s="41">
        <v>1005.1796083043802</v>
      </c>
      <c r="Q6" s="42">
        <v>1214.847129490312</v>
      </c>
      <c r="R6" s="41">
        <v>1010.2439564178063</v>
      </c>
      <c r="S6" s="42">
        <v>1260.668531867432</v>
      </c>
      <c r="T6" s="41">
        <v>1017.6275992128974</v>
      </c>
      <c r="U6" s="42">
        <v>1312.5435210552228</v>
      </c>
      <c r="V6" s="41">
        <v>1028.2257105224112</v>
      </c>
      <c r="W6" s="42">
        <v>1371.9642341695157</v>
      </c>
      <c r="X6" s="41">
        <v>1043.358270977204</v>
      </c>
      <c r="Y6" s="42">
        <v>1441.2454687425843</v>
      </c>
      <c r="Z6" s="41">
        <v>1065.0136869053151</v>
      </c>
      <c r="AA6" s="42">
        <v>1524.3146217548001</v>
      </c>
      <c r="AB6" s="41">
        <v>1096.2773586974888</v>
      </c>
      <c r="AC6" s="42">
        <v>1628.4103753403222</v>
      </c>
      <c r="AD6" s="41">
        <v>1142.1457861407964</v>
      </c>
      <c r="AE6" s="42">
        <v>1767.8792854509547</v>
      </c>
      <c r="AF6" s="41">
        <v>1211.2493750357655</v>
      </c>
      <c r="AG6" s="42">
        <v>1973.318187958022</v>
      </c>
      <c r="AH6" s="41">
        <v>1319.9190271904156</v>
      </c>
      <c r="AI6" s="42">
        <v>2316.4201212403523</v>
      </c>
      <c r="AJ6" s="41">
        <v>1502.7155495814993</v>
      </c>
      <c r="AK6" s="42">
        <v>2989.2627582831392</v>
      </c>
      <c r="AL6" s="41">
        <v>1845.1711399332698</v>
      </c>
      <c r="AM6" s="42">
        <v>4629.2527117596519</v>
      </c>
      <c r="AN6" s="41">
        <v>2671.5992617645265</v>
      </c>
      <c r="AO6" s="42">
        <v>10766.611986221433</v>
      </c>
      <c r="AP6" s="41">
        <v>3011.6314942041022</v>
      </c>
      <c r="AQ6" s="42">
        <v>14219.479859801761</v>
      </c>
      <c r="AR6" s="41">
        <v>3512.2912417282059</v>
      </c>
      <c r="AS6" s="42">
        <v>20317.492458229914</v>
      </c>
      <c r="AT6" s="41">
        <v>4352.7128625511668</v>
      </c>
      <c r="AU6" s="42">
        <v>33332.443463780619</v>
      </c>
      <c r="AV6" s="41"/>
      <c r="AW6" s="42"/>
    </row>
    <row r="7" spans="1:49" x14ac:dyDescent="0.2">
      <c r="A7" t="s">
        <v>13</v>
      </c>
      <c r="B7" s="33">
        <v>1059.2664648168009</v>
      </c>
      <c r="C7" s="34">
        <v>1059.2664648168009</v>
      </c>
      <c r="D7" s="33">
        <v>1058.3001264561728</v>
      </c>
      <c r="E7" s="34">
        <v>1058.3001264561728</v>
      </c>
      <c r="F7" s="33">
        <v>1057.6863546616707</v>
      </c>
      <c r="G7" s="34">
        <v>1057.6863546616707</v>
      </c>
      <c r="H7" s="33">
        <v>1057.5131611952738</v>
      </c>
      <c r="I7" s="34">
        <v>1057.5131611952738</v>
      </c>
      <c r="J7" s="33">
        <v>1057.8975742957302</v>
      </c>
      <c r="K7" s="34">
        <v>1057.8975742957302</v>
      </c>
      <c r="L7" s="33">
        <v>1058.9971843425503</v>
      </c>
      <c r="M7" s="34">
        <v>1058.9971843425503</v>
      </c>
      <c r="N7" s="33">
        <v>1061.02706037965</v>
      </c>
      <c r="O7" s="34">
        <v>1061.02706037965</v>
      </c>
      <c r="P7" s="33">
        <v>1064.284608240418</v>
      </c>
      <c r="Q7" s="34">
        <v>1064.284608240418</v>
      </c>
      <c r="R7" s="33">
        <v>1069.1868171256681</v>
      </c>
      <c r="S7" s="34">
        <v>1069.1868171256681</v>
      </c>
      <c r="T7" s="33">
        <v>1076.3265177144388</v>
      </c>
      <c r="U7" s="34">
        <v>1076.3265177144388</v>
      </c>
      <c r="V7" s="33">
        <v>1086.5588647051752</v>
      </c>
      <c r="W7" s="34">
        <v>1086.5588647051752</v>
      </c>
      <c r="X7" s="33">
        <v>1101.1373346889093</v>
      </c>
      <c r="Y7" s="34">
        <v>1101.1373346889093</v>
      </c>
      <c r="Z7" s="33">
        <v>1121.934968233578</v>
      </c>
      <c r="AA7" s="34">
        <v>1121.934968233578</v>
      </c>
      <c r="AB7" s="33">
        <v>1151.8263420266321</v>
      </c>
      <c r="AC7" s="34">
        <v>1151.8263420266321</v>
      </c>
      <c r="AD7" s="33">
        <v>1195.3973891525652</v>
      </c>
      <c r="AE7" s="34">
        <v>1195.3973891525652</v>
      </c>
      <c r="AF7" s="33">
        <v>1260.4098183566045</v>
      </c>
      <c r="AG7" s="34">
        <v>1260.4098183566045</v>
      </c>
      <c r="AH7" s="33">
        <v>1361.1423043048326</v>
      </c>
      <c r="AI7" s="34">
        <v>1361.1423043048326</v>
      </c>
      <c r="AJ7" s="33">
        <v>1526.5626158216771</v>
      </c>
      <c r="AK7" s="34">
        <v>1526.5626158216771</v>
      </c>
      <c r="AL7" s="33">
        <v>1823.5597566633514</v>
      </c>
      <c r="AM7" s="34">
        <v>1823.5597566633514</v>
      </c>
      <c r="AN7" s="33">
        <v>2477.9493072878704</v>
      </c>
      <c r="AO7" s="34">
        <v>2477.9493072878704</v>
      </c>
      <c r="AP7" s="33">
        <v>2724.4043721712578</v>
      </c>
      <c r="AQ7" s="34">
        <v>2724.4043721712578</v>
      </c>
      <c r="AR7" s="33">
        <v>3065.9190708867927</v>
      </c>
      <c r="AS7" s="34">
        <v>3065.9190708867927</v>
      </c>
      <c r="AT7" s="33">
        <v>3588.3501408249581</v>
      </c>
      <c r="AU7" s="34">
        <v>3588.3501408249581</v>
      </c>
      <c r="AV7" s="33"/>
      <c r="AW7" s="34"/>
    </row>
    <row r="8" spans="1:49" x14ac:dyDescent="0.2">
      <c r="B8" s="35">
        <v>1164.8563607265562</v>
      </c>
      <c r="C8" s="36">
        <v>1164.8563607265562</v>
      </c>
      <c r="D8" s="35">
        <v>1209.1508864501156</v>
      </c>
      <c r="E8" s="36">
        <v>1209.1508864501156</v>
      </c>
      <c r="F8" s="35">
        <v>1257.5197552736643</v>
      </c>
      <c r="G8" s="36">
        <v>1257.5197552736643</v>
      </c>
      <c r="H8" s="35">
        <v>1310.5089076616409</v>
      </c>
      <c r="I8" s="36">
        <v>1310.5089076616409</v>
      </c>
      <c r="J8" s="35">
        <v>1368.7567375991375</v>
      </c>
      <c r="K8" s="36">
        <v>1368.7567375991375</v>
      </c>
      <c r="L8" s="35">
        <v>1433.0133771253641</v>
      </c>
      <c r="M8" s="36">
        <v>1433.0133771253641</v>
      </c>
      <c r="N8" s="35">
        <v>1504.1663765172113</v>
      </c>
      <c r="O8" s="36">
        <v>1504.1663765172113</v>
      </c>
      <c r="P8" s="35">
        <v>1583.2818020483003</v>
      </c>
      <c r="Q8" s="36">
        <v>1583.2818020483003</v>
      </c>
      <c r="R8" s="35">
        <v>1671.6748906388409</v>
      </c>
      <c r="S8" s="36">
        <v>1671.6748906388409</v>
      </c>
      <c r="T8" s="35">
        <v>1771.0506822786165</v>
      </c>
      <c r="U8" s="36">
        <v>1771.0506822786165</v>
      </c>
      <c r="V8" s="35">
        <v>1883.8037721807564</v>
      </c>
      <c r="W8" s="36">
        <v>1883.8037721807564</v>
      </c>
      <c r="X8" s="35">
        <v>2013.6737779183279</v>
      </c>
      <c r="Y8" s="36">
        <v>2013.6737779183279</v>
      </c>
      <c r="Z8" s="35">
        <v>2167.2000258698645</v>
      </c>
      <c r="AA8" s="36">
        <v>2167.2000258698645</v>
      </c>
      <c r="AB8" s="35">
        <v>2356.9701219467106</v>
      </c>
      <c r="AC8" s="36">
        <v>2356.9701219467106</v>
      </c>
      <c r="AD8" s="35">
        <v>2609.092518750424</v>
      </c>
      <c r="AE8" s="36">
        <v>2609.092518750424</v>
      </c>
      <c r="AF8" s="35">
        <v>2981.6073081698551</v>
      </c>
      <c r="AG8" s="36">
        <v>2981.6073081698551</v>
      </c>
      <c r="AH8" s="35">
        <v>3615.7425107795571</v>
      </c>
      <c r="AI8" s="36">
        <v>3615.7425107795571</v>
      </c>
      <c r="AJ8" s="35">
        <v>4904.524336269712</v>
      </c>
      <c r="AK8" s="36">
        <v>4904.524336269712</v>
      </c>
      <c r="AL8" s="35">
        <v>8207.7229372248694</v>
      </c>
      <c r="AM8" s="36">
        <v>8207.7229372248694</v>
      </c>
      <c r="AN8" s="35">
        <v>21400.158006639755</v>
      </c>
      <c r="AO8" s="36">
        <v>21400.158006639755</v>
      </c>
      <c r="AP8" s="35">
        <v>29083.229863385804</v>
      </c>
      <c r="AQ8" s="36">
        <v>29083.229863385804</v>
      </c>
      <c r="AR8" s="35">
        <v>42882.570661841644</v>
      </c>
      <c r="AS8" s="36">
        <v>42882.570661841644</v>
      </c>
      <c r="AT8" s="35">
        <v>72894.007816876358</v>
      </c>
      <c r="AU8" s="36">
        <v>72894.007816876358</v>
      </c>
      <c r="AV8" s="35"/>
      <c r="AW8" s="36"/>
    </row>
    <row r="9" spans="1:49" x14ac:dyDescent="0.2">
      <c r="A9" t="s">
        <v>14</v>
      </c>
      <c r="B9" s="41">
        <v>1059.2664648168009</v>
      </c>
      <c r="C9" s="42">
        <v>1164.8563607265562</v>
      </c>
      <c r="D9" s="41">
        <v>1058.3001264561728</v>
      </c>
      <c r="E9" s="42">
        <v>1209.1508864501156</v>
      </c>
      <c r="F9" s="41">
        <v>1057.6863546616707</v>
      </c>
      <c r="G9" s="42">
        <v>1257.5197552736643</v>
      </c>
      <c r="H9" s="41">
        <v>1057.5131611952738</v>
      </c>
      <c r="I9" s="42">
        <v>1310.5089076616409</v>
      </c>
      <c r="J9" s="41">
        <v>1057.8975742957302</v>
      </c>
      <c r="K9" s="42">
        <v>1368.7567375991375</v>
      </c>
      <c r="L9" s="41">
        <v>1058.9971843425503</v>
      </c>
      <c r="M9" s="42">
        <v>1433.0133771253641</v>
      </c>
      <c r="N9" s="41">
        <v>1061.02706037965</v>
      </c>
      <c r="O9" s="42">
        <v>1504.1663765172113</v>
      </c>
      <c r="P9" s="41">
        <v>1064.284608240418</v>
      </c>
      <c r="Q9" s="42">
        <v>1583.2818020483003</v>
      </c>
      <c r="R9" s="41">
        <v>1069.1868171256681</v>
      </c>
      <c r="S9" s="42">
        <v>1671.6748906388409</v>
      </c>
      <c r="T9" s="41">
        <v>1076.3265177144388</v>
      </c>
      <c r="U9" s="42">
        <v>1771.0506822786165</v>
      </c>
      <c r="V9" s="41">
        <v>1086.5588647051752</v>
      </c>
      <c r="W9" s="42">
        <v>1883.8037721807564</v>
      </c>
      <c r="X9" s="41">
        <v>1101.1373346889093</v>
      </c>
      <c r="Y9" s="42">
        <v>2013.6737779183279</v>
      </c>
      <c r="Z9" s="41">
        <v>1121.934968233578</v>
      </c>
      <c r="AA9" s="42">
        <v>2167.2000258698645</v>
      </c>
      <c r="AB9" s="41">
        <v>1151.8263420266321</v>
      </c>
      <c r="AC9" s="42">
        <v>2356.9701219467106</v>
      </c>
      <c r="AD9" s="41">
        <v>1195.3973891525652</v>
      </c>
      <c r="AE9" s="42">
        <v>2609.092518750424</v>
      </c>
      <c r="AF9" s="41">
        <v>1260.4098183566045</v>
      </c>
      <c r="AG9" s="42">
        <v>2981.6073081698551</v>
      </c>
      <c r="AH9" s="41">
        <v>1361.1423043048326</v>
      </c>
      <c r="AI9" s="42">
        <v>3615.7425107795571</v>
      </c>
      <c r="AJ9" s="41">
        <v>1526.5626158216771</v>
      </c>
      <c r="AK9" s="42">
        <v>4904.524336269712</v>
      </c>
      <c r="AL9" s="41">
        <v>1823.5597566633514</v>
      </c>
      <c r="AM9" s="42">
        <v>8207.7229372248694</v>
      </c>
      <c r="AN9" s="41">
        <v>2477.9493072878704</v>
      </c>
      <c r="AO9" s="42">
        <v>21400.158006639755</v>
      </c>
      <c r="AP9" s="41">
        <v>2724.4043721712578</v>
      </c>
      <c r="AQ9" s="42">
        <v>29083.229863385804</v>
      </c>
      <c r="AR9" s="41">
        <v>3065.9190708867927</v>
      </c>
      <c r="AS9" s="42">
        <v>42882.570661841644</v>
      </c>
      <c r="AT9" s="41">
        <v>3588.3501408249581</v>
      </c>
      <c r="AU9" s="42">
        <v>72894.007816876358</v>
      </c>
      <c r="AV9" s="41"/>
      <c r="AW9" s="42"/>
    </row>
    <row r="10" spans="1:49" x14ac:dyDescent="0.2">
      <c r="A10" t="s">
        <v>15</v>
      </c>
      <c r="B10" s="41">
        <v>1059.2664648168009</v>
      </c>
      <c r="C10" s="42">
        <v>1164.8563607265562</v>
      </c>
      <c r="D10" s="41">
        <v>1058.3001264561728</v>
      </c>
      <c r="E10" s="42">
        <v>1209.1508864501156</v>
      </c>
      <c r="F10" s="41">
        <v>1057.6863546616707</v>
      </c>
      <c r="G10" s="42">
        <v>1257.5197552736643</v>
      </c>
      <c r="H10" s="41">
        <v>1057.5131611952738</v>
      </c>
      <c r="I10" s="42">
        <v>1310.5089076616409</v>
      </c>
      <c r="J10" s="41">
        <v>1057.8975742957302</v>
      </c>
      <c r="K10" s="42">
        <v>1368.7567375991375</v>
      </c>
      <c r="L10" s="41">
        <v>1058.9971843425503</v>
      </c>
      <c r="M10" s="42">
        <v>1433.0133771253641</v>
      </c>
      <c r="N10" s="41">
        <v>1061.02706037965</v>
      </c>
      <c r="O10" s="42">
        <v>1504.1663765172113</v>
      </c>
      <c r="P10" s="41">
        <v>1064.284608240418</v>
      </c>
      <c r="Q10" s="42">
        <v>1583.2818020483003</v>
      </c>
      <c r="R10" s="41">
        <v>1069.1868171256681</v>
      </c>
      <c r="S10" s="42">
        <v>1671.6748906388409</v>
      </c>
      <c r="T10" s="41">
        <v>1076.3265177144388</v>
      </c>
      <c r="U10" s="42">
        <v>1771.0506822786165</v>
      </c>
      <c r="V10" s="41">
        <v>1086.5588647051752</v>
      </c>
      <c r="W10" s="42">
        <v>1883.8037721807564</v>
      </c>
      <c r="X10" s="41">
        <v>1101.1373346889093</v>
      </c>
      <c r="Y10" s="42">
        <v>2013.6737779183279</v>
      </c>
      <c r="Z10" s="41">
        <v>1121.934968233578</v>
      </c>
      <c r="AA10" s="42">
        <v>2167.2000258698645</v>
      </c>
      <c r="AB10" s="41">
        <v>1151.8263420266321</v>
      </c>
      <c r="AC10" s="42">
        <v>2356.9701219467106</v>
      </c>
      <c r="AD10" s="41">
        <v>1195.3973891525652</v>
      </c>
      <c r="AE10" s="42">
        <v>2609.092518750424</v>
      </c>
      <c r="AF10" s="41">
        <v>1260.4098183566045</v>
      </c>
      <c r="AG10" s="42">
        <v>2981.6073081698551</v>
      </c>
      <c r="AH10" s="41">
        <v>1361.1423043048326</v>
      </c>
      <c r="AI10" s="42">
        <v>3615.7425107795571</v>
      </c>
      <c r="AJ10" s="41">
        <v>1526.5626158216771</v>
      </c>
      <c r="AK10" s="42">
        <v>4904.524336269712</v>
      </c>
      <c r="AL10" s="41">
        <v>1823.5597566633514</v>
      </c>
      <c r="AM10" s="42">
        <v>8207.7229372248694</v>
      </c>
      <c r="AN10" s="41">
        <v>2477.9493072878704</v>
      </c>
      <c r="AO10" s="42">
        <v>21400.158006639755</v>
      </c>
      <c r="AP10" s="41">
        <v>2724.4043721712578</v>
      </c>
      <c r="AQ10" s="42">
        <v>29083.229863385804</v>
      </c>
      <c r="AR10" s="41">
        <v>3065.9190708867927</v>
      </c>
      <c r="AS10" s="42">
        <v>42882.570661841644</v>
      </c>
      <c r="AT10" s="41">
        <v>3588.3501408249581</v>
      </c>
      <c r="AU10" s="42">
        <v>72894.007816876358</v>
      </c>
      <c r="AV10" s="41"/>
      <c r="AW10" s="42"/>
    </row>
    <row r="11" spans="1:49" x14ac:dyDescent="0.2">
      <c r="A11" t="s">
        <v>29</v>
      </c>
      <c r="B11" s="41">
        <v>1059.2664648168009</v>
      </c>
      <c r="C11" s="42">
        <v>1164.8563607265562</v>
      </c>
      <c r="D11" s="41">
        <v>1058.3001264561728</v>
      </c>
      <c r="E11" s="42">
        <v>1209.1508864501156</v>
      </c>
      <c r="F11" s="41">
        <v>1057.6863546616707</v>
      </c>
      <c r="G11" s="42">
        <v>1257.5197552736643</v>
      </c>
      <c r="H11" s="41">
        <v>1057.5131611952738</v>
      </c>
      <c r="I11" s="42">
        <v>1310.5089076616409</v>
      </c>
      <c r="J11" s="41">
        <v>1057.8975742957302</v>
      </c>
      <c r="K11" s="42">
        <v>1368.7567375991375</v>
      </c>
      <c r="L11" s="41">
        <v>1058.9971843425503</v>
      </c>
      <c r="M11" s="42">
        <v>1433.0133771253641</v>
      </c>
      <c r="N11" s="41">
        <v>1061.02706037965</v>
      </c>
      <c r="O11" s="42">
        <v>1504.1663765172113</v>
      </c>
      <c r="P11" s="41">
        <v>1064.284608240418</v>
      </c>
      <c r="Q11" s="42">
        <v>1583.2818020483003</v>
      </c>
      <c r="R11" s="41">
        <v>1069.1868171256681</v>
      </c>
      <c r="S11" s="42">
        <v>1671.6748906388409</v>
      </c>
      <c r="T11" s="41">
        <v>1076.3265177144388</v>
      </c>
      <c r="U11" s="42">
        <v>1771.0506822786165</v>
      </c>
      <c r="V11" s="41">
        <v>1086.5588647051752</v>
      </c>
      <c r="W11" s="42">
        <v>1883.8037721807564</v>
      </c>
      <c r="X11" s="41">
        <v>1101.1373346889093</v>
      </c>
      <c r="Y11" s="42">
        <v>2013.6737779183279</v>
      </c>
      <c r="Z11" s="41">
        <v>1121.934968233578</v>
      </c>
      <c r="AA11" s="42">
        <v>2167.2000258698645</v>
      </c>
      <c r="AB11" s="41">
        <v>1151.8263420266321</v>
      </c>
      <c r="AC11" s="42">
        <v>2356.9701219467106</v>
      </c>
      <c r="AD11" s="41">
        <v>1195.3973891525652</v>
      </c>
      <c r="AE11" s="42">
        <v>2609.092518750424</v>
      </c>
      <c r="AF11" s="41">
        <v>1260.4098183566045</v>
      </c>
      <c r="AG11" s="42">
        <v>2981.6073081698551</v>
      </c>
      <c r="AH11" s="41">
        <v>1361.1423043048326</v>
      </c>
      <c r="AI11" s="42">
        <v>3615.7425107795571</v>
      </c>
      <c r="AJ11" s="41">
        <v>1526.5626158216771</v>
      </c>
      <c r="AK11" s="42">
        <v>4904.524336269712</v>
      </c>
      <c r="AL11" s="41">
        <v>1823.5597566633514</v>
      </c>
      <c r="AM11" s="42">
        <v>8207.7229372248694</v>
      </c>
      <c r="AN11" s="41">
        <v>2477.9493072878704</v>
      </c>
      <c r="AO11" s="42">
        <v>21400.158006639755</v>
      </c>
      <c r="AP11" s="41">
        <v>2724.4043721712578</v>
      </c>
      <c r="AQ11" s="42">
        <v>29083.229863385804</v>
      </c>
      <c r="AR11" s="41">
        <v>3065.9190708867927</v>
      </c>
      <c r="AS11" s="42">
        <v>42882.570661841644</v>
      </c>
      <c r="AT11" s="41">
        <v>3588.3501408249581</v>
      </c>
      <c r="AU11" s="42">
        <v>72894.007816876358</v>
      </c>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c r="AW12" s="42"/>
    </row>
    <row r="13" spans="1:49" x14ac:dyDescent="0.2">
      <c r="A13" t="s">
        <v>17</v>
      </c>
      <c r="B13" s="100">
        <v>1000</v>
      </c>
      <c r="C13" s="101">
        <v>1000</v>
      </c>
      <c r="D13" s="100">
        <v>994.96393145731554</v>
      </c>
      <c r="E13" s="101">
        <v>994.96393145731554</v>
      </c>
      <c r="F13" s="100">
        <v>989.97962313724759</v>
      </c>
      <c r="G13" s="101">
        <v>989.97962313724759</v>
      </c>
      <c r="H13" s="100">
        <v>985.09701569322692</v>
      </c>
      <c r="I13" s="101">
        <v>985.09701569322692</v>
      </c>
      <c r="J13" s="100">
        <v>980.38902409765592</v>
      </c>
      <c r="K13" s="101">
        <v>980.38902409765592</v>
      </c>
      <c r="L13" s="100">
        <v>975.96206271583492</v>
      </c>
      <c r="M13" s="101">
        <v>975.96206271583492</v>
      </c>
      <c r="N13" s="100">
        <v>971.97188571089691</v>
      </c>
      <c r="O13" s="101">
        <v>971.97188571089691</v>
      </c>
      <c r="P13" s="100">
        <v>968.64718153955596</v>
      </c>
      <c r="Q13" s="101">
        <v>968.64718153955596</v>
      </c>
      <c r="R13" s="100">
        <v>966.32552844129646</v>
      </c>
      <c r="S13" s="101">
        <v>966.32552844129646</v>
      </c>
      <c r="T13" s="100">
        <v>965.50811110585653</v>
      </c>
      <c r="U13" s="101">
        <v>965.50811110585653</v>
      </c>
      <c r="V13" s="100">
        <v>966.94411185403919</v>
      </c>
      <c r="W13" s="101">
        <v>966.94411185403919</v>
      </c>
      <c r="X13" s="100">
        <v>971.76378591361038</v>
      </c>
      <c r="Y13" s="101">
        <v>971.76378591361038</v>
      </c>
      <c r="Z13" s="100">
        <v>981.69577031024301</v>
      </c>
      <c r="AA13" s="101">
        <v>981.69577031024301</v>
      </c>
      <c r="AB13" s="100">
        <v>999.44793583895739</v>
      </c>
      <c r="AC13" s="101">
        <v>999.44793583895739</v>
      </c>
      <c r="AD13" s="100">
        <v>1029.4347217749948</v>
      </c>
      <c r="AE13" s="101">
        <v>1029.4347217749948</v>
      </c>
      <c r="AF13" s="100">
        <v>1079.3429829592633</v>
      </c>
      <c r="AG13" s="101">
        <v>1079.3429829592633</v>
      </c>
      <c r="AH13" s="100">
        <v>1163.9285281533682</v>
      </c>
      <c r="AI13" s="101">
        <v>1163.9285281533682</v>
      </c>
      <c r="AJ13" s="100">
        <v>1315.2676456376319</v>
      </c>
      <c r="AK13" s="101">
        <v>1315.2676456376319</v>
      </c>
      <c r="AL13" s="100">
        <v>1616.6317879621588</v>
      </c>
      <c r="AM13" s="101">
        <v>1616.6317879621588</v>
      </c>
      <c r="AN13" s="100">
        <v>2411.6358565488727</v>
      </c>
      <c r="AO13" s="101">
        <v>2411.6358565488727</v>
      </c>
      <c r="AP13" s="100">
        <v>2763.7369532083017</v>
      </c>
      <c r="AQ13" s="101">
        <v>2763.7369532083017</v>
      </c>
      <c r="AR13" s="100">
        <v>3307.3647889062927</v>
      </c>
      <c r="AS13" s="101">
        <v>3307.3647889062927</v>
      </c>
      <c r="AT13" s="100">
        <v>4284.098580966368</v>
      </c>
      <c r="AU13" s="101">
        <v>4284.098580966368</v>
      </c>
      <c r="AV13" s="100"/>
      <c r="AW13" s="101"/>
    </row>
    <row r="14" spans="1:49" x14ac:dyDescent="0.2">
      <c r="A14" t="s">
        <v>36</v>
      </c>
      <c r="B14" s="41">
        <v>1571.7032514685595</v>
      </c>
      <c r="C14" s="42">
        <v>1562.3699911127492</v>
      </c>
      <c r="D14" s="41">
        <v>1563.788046165404</v>
      </c>
      <c r="E14" s="42">
        <v>1554.5017887484719</v>
      </c>
      <c r="F14" s="41">
        <v>1555.9541925724313</v>
      </c>
      <c r="G14" s="42">
        <v>1546.7144550027442</v>
      </c>
      <c r="H14" s="41">
        <v>1548.2801825770193</v>
      </c>
      <c r="I14" s="42">
        <v>1539.0860156538226</v>
      </c>
      <c r="J14" s="41">
        <v>1540.8806168783738</v>
      </c>
      <c r="K14" s="42">
        <v>1531.7303908664915</v>
      </c>
      <c r="L14" s="41">
        <v>1533.92274728044</v>
      </c>
      <c r="M14" s="42">
        <v>1524.8138392517192</v>
      </c>
      <c r="N14" s="41">
        <v>1527.6513731078439</v>
      </c>
      <c r="O14" s="42">
        <v>1518.579706439976</v>
      </c>
      <c r="P14" s="41">
        <v>1522.4259247515763</v>
      </c>
      <c r="Q14" s="42">
        <v>1513.3852884133455</v>
      </c>
      <c r="R14" s="41">
        <v>1518.7769750282598</v>
      </c>
      <c r="S14" s="42">
        <v>1509.7580072828509</v>
      </c>
      <c r="T14" s="41">
        <v>1517.4922375443421</v>
      </c>
      <c r="U14" s="42">
        <v>1508.4808989677442</v>
      </c>
      <c r="V14" s="41">
        <v>1519.7492045893721</v>
      </c>
      <c r="W14" s="42">
        <v>1510.7244634439203</v>
      </c>
      <c r="X14" s="41">
        <v>1527.3243019798188</v>
      </c>
      <c r="Y14" s="42">
        <v>1518.2545775615388</v>
      </c>
      <c r="Z14" s="41">
        <v>1542.9344341495412</v>
      </c>
      <c r="AA14" s="42">
        <v>1533.7720119350377</v>
      </c>
      <c r="AB14" s="41">
        <v>1570.8355704316298</v>
      </c>
      <c r="AC14" s="42">
        <v>1561.5074626343674</v>
      </c>
      <c r="AD14" s="41">
        <v>1617.9658993883913</v>
      </c>
      <c r="AE14" s="42">
        <v>1608.357917110754</v>
      </c>
      <c r="AF14" s="41">
        <v>1696.4068757668483</v>
      </c>
      <c r="AG14" s="42">
        <v>1686.3330866936724</v>
      </c>
      <c r="AH14" s="41">
        <v>1829.3502521756639</v>
      </c>
      <c r="AI14" s="42">
        <v>1818.487004186853</v>
      </c>
      <c r="AJ14" s="41">
        <v>2067.2104352000633</v>
      </c>
      <c r="AK14" s="42">
        <v>2054.9346998257533</v>
      </c>
      <c r="AL14" s="41">
        <v>2540.865437567556</v>
      </c>
      <c r="AM14" s="42">
        <v>2525.7769921910258</v>
      </c>
      <c r="AN14" s="41">
        <v>3790.3759170960279</v>
      </c>
      <c r="AO14" s="42">
        <v>3767.8674917634494</v>
      </c>
      <c r="AP14" s="41">
        <v>4343.7743555612979</v>
      </c>
      <c r="AQ14" s="42">
        <v>4317.9796790220307</v>
      </c>
      <c r="AR14" s="41">
        <v>5198.1959925166466</v>
      </c>
      <c r="AS14" s="42">
        <v>5167.3274958501443</v>
      </c>
      <c r="AT14" s="41">
        <v>6733.3316693166826</v>
      </c>
      <c r="AU14" s="42">
        <v>6693.3470618705651</v>
      </c>
      <c r="AV14" s="41"/>
      <c r="AW14" s="42"/>
    </row>
    <row r="15" spans="1:49" x14ac:dyDescent="0.2">
      <c r="A15" t="s">
        <v>18</v>
      </c>
      <c r="B15" s="157">
        <v>1000</v>
      </c>
      <c r="C15" s="158">
        <v>1000</v>
      </c>
      <c r="D15" s="157">
        <v>999.0877287323591</v>
      </c>
      <c r="E15" s="158">
        <v>999.0877287323591</v>
      </c>
      <c r="F15" s="157">
        <v>998.50829776301532</v>
      </c>
      <c r="G15" s="158">
        <v>998.50829776301532</v>
      </c>
      <c r="H15" s="157">
        <v>998.34479455381393</v>
      </c>
      <c r="I15" s="158">
        <v>998.34479455381393</v>
      </c>
      <c r="J15" s="157">
        <v>998.70769955762978</v>
      </c>
      <c r="K15" s="158">
        <v>998.70769955762978</v>
      </c>
      <c r="L15" s="157">
        <v>999.7457858969442</v>
      </c>
      <c r="M15" s="158">
        <v>999.7457858969442</v>
      </c>
      <c r="N15" s="157">
        <v>1001.6620893999071</v>
      </c>
      <c r="O15" s="158">
        <v>1001.6620893999071</v>
      </c>
      <c r="P15" s="157">
        <v>1004.7373759014311</v>
      </c>
      <c r="Q15" s="158">
        <v>1004.7373759014311</v>
      </c>
      <c r="R15" s="157">
        <v>1009.3653038573093</v>
      </c>
      <c r="S15" s="158">
        <v>1009.3653038573093</v>
      </c>
      <c r="T15" s="157">
        <v>1016.105534786838</v>
      </c>
      <c r="U15" s="158">
        <v>1016.105534786838</v>
      </c>
      <c r="V15" s="157">
        <v>1025.7653770744971</v>
      </c>
      <c r="W15" s="158">
        <v>1025.7653770744971</v>
      </c>
      <c r="X15" s="157">
        <v>1039.5281746971475</v>
      </c>
      <c r="Y15" s="158">
        <v>1039.5281746971475</v>
      </c>
      <c r="Z15" s="157">
        <v>1059.1621707080244</v>
      </c>
      <c r="AA15" s="158">
        <v>1059.1621707080244</v>
      </c>
      <c r="AB15" s="157">
        <v>1087.3811078554625</v>
      </c>
      <c r="AC15" s="158">
        <v>1087.3811078554625</v>
      </c>
      <c r="AD15" s="157">
        <v>1128.5143340767499</v>
      </c>
      <c r="AE15" s="158">
        <v>1128.5143340767499</v>
      </c>
      <c r="AF15" s="157">
        <v>1189.8892868043276</v>
      </c>
      <c r="AG15" s="158">
        <v>1189.8892868043276</v>
      </c>
      <c r="AH15" s="157">
        <v>1284.9857420344567</v>
      </c>
      <c r="AI15" s="158">
        <v>1284.9857420344567</v>
      </c>
      <c r="AJ15" s="157">
        <v>1441.1507080852355</v>
      </c>
      <c r="AK15" s="158">
        <v>1441.1507080852355</v>
      </c>
      <c r="AL15" s="157">
        <v>1721.5307169936073</v>
      </c>
      <c r="AM15" s="158">
        <v>1721.5307169936073</v>
      </c>
      <c r="AN15" s="157">
        <v>2339.3068595978148</v>
      </c>
      <c r="AO15" s="158">
        <v>2339.3068595978148</v>
      </c>
      <c r="AP15" s="157">
        <v>2571.9726458464256</v>
      </c>
      <c r="AQ15" s="158">
        <v>2571.9726458464256</v>
      </c>
      <c r="AR15" s="157">
        <v>2894.3794339954297</v>
      </c>
      <c r="AS15" s="158">
        <v>2894.3794339954297</v>
      </c>
      <c r="AT15" s="157">
        <v>3387.5802359565482</v>
      </c>
      <c r="AU15" s="158">
        <v>3387.5802359565482</v>
      </c>
      <c r="AV15" s="157"/>
      <c r="AW15" s="158"/>
    </row>
    <row r="16" spans="1:49" s="29" customFormat="1" x14ac:dyDescent="0.2">
      <c r="A16" t="s">
        <v>63</v>
      </c>
      <c r="B16" s="41">
        <v>1000</v>
      </c>
      <c r="C16" s="42">
        <v>1000</v>
      </c>
      <c r="D16" s="41">
        <v>996.99112120908114</v>
      </c>
      <c r="E16" s="42">
        <v>998.09525313240863</v>
      </c>
      <c r="F16" s="41">
        <v>994.17075661423371</v>
      </c>
      <c r="G16" s="42">
        <v>996.45518017018117</v>
      </c>
      <c r="H16" s="41">
        <v>991.60482170309399</v>
      </c>
      <c r="I16" s="42">
        <v>995.1547748879683</v>
      </c>
      <c r="J16" s="41">
        <v>989.38430506203315</v>
      </c>
      <c r="K16" s="42">
        <v>994.29533404815561</v>
      </c>
      <c r="L16" s="41">
        <v>987.63596244463054</v>
      </c>
      <c r="M16" s="42">
        <v>994.01526147850882</v>
      </c>
      <c r="N16" s="41">
        <v>986.53820516465566</v>
      </c>
      <c r="O16" s="42">
        <v>994.5060012903499</v>
      </c>
      <c r="P16" s="41">
        <v>986.34461876818409</v>
      </c>
      <c r="Q16" s="42">
        <v>996.03553107762821</v>
      </c>
      <c r="R16" s="41">
        <v>987.41952362299423</v>
      </c>
      <c r="S16" s="42">
        <v>998.98371365218463</v>
      </c>
      <c r="T16" s="41">
        <v>990.29191610503926</v>
      </c>
      <c r="U16" s="42">
        <v>1003.8957993614418</v>
      </c>
      <c r="V16" s="41">
        <v>995.73856166524297</v>
      </c>
      <c r="W16" s="42">
        <v>1011.5647503120229</v>
      </c>
      <c r="X16" s="41">
        <v>1004.9148897984219</v>
      </c>
      <c r="Y16" s="42">
        <v>1023.1608021264914</v>
      </c>
      <c r="Z16" s="41">
        <v>1019.5684048579631</v>
      </c>
      <c r="AA16" s="42">
        <v>1040.442450402817</v>
      </c>
      <c r="AB16" s="41">
        <v>1042.4100910289001</v>
      </c>
      <c r="AC16" s="42">
        <v>1066.1221111051382</v>
      </c>
      <c r="AD16" s="41">
        <v>1077.8146766849845</v>
      </c>
      <c r="AE16" s="42">
        <v>1104.5503798910254</v>
      </c>
      <c r="AF16" s="41">
        <v>1133.2987905190514</v>
      </c>
      <c r="AG16" s="42">
        <v>1163.1435303970725</v>
      </c>
      <c r="AH16" s="41">
        <v>1223.0080088656186</v>
      </c>
      <c r="AI16" s="42">
        <v>1255.6946017112371</v>
      </c>
      <c r="AJ16" s="41">
        <v>1376.7378711500696</v>
      </c>
      <c r="AK16" s="42">
        <v>1410.7047563314243</v>
      </c>
      <c r="AL16" s="41">
        <v>1667.9673805618086</v>
      </c>
      <c r="AM16" s="42">
        <v>1696.2005805070207</v>
      </c>
      <c r="AN16" s="41">
        <v>2375.9863510997607</v>
      </c>
      <c r="AO16" s="42">
        <v>2356.6799664039995</v>
      </c>
      <c r="AP16" s="41">
        <v>2668.9222251678125</v>
      </c>
      <c r="AQ16" s="42">
        <v>2617.9239850339923</v>
      </c>
      <c r="AR16" s="41">
        <v>3102.2202397458614</v>
      </c>
      <c r="AS16" s="42">
        <v>2992.9887533026617</v>
      </c>
      <c r="AT16" s="41">
        <v>3835.3682629166392</v>
      </c>
      <c r="AU16" s="42">
        <v>3600.37359885243</v>
      </c>
      <c r="AV16" s="41"/>
      <c r="AW16" s="42"/>
    </row>
    <row r="17" spans="1:49" x14ac:dyDescent="0.2">
      <c r="A17" t="s">
        <v>64</v>
      </c>
      <c r="B17" s="35">
        <v>1000</v>
      </c>
      <c r="C17" s="36">
        <v>999.99999999999977</v>
      </c>
      <c r="D17" s="35">
        <v>999.13357336072613</v>
      </c>
      <c r="E17" s="36">
        <v>1025.928450605046</v>
      </c>
      <c r="F17" s="35">
        <v>998.58362294937126</v>
      </c>
      <c r="G17" s="36">
        <v>1054.2860548238241</v>
      </c>
      <c r="H17" s="35">
        <v>998.42848940537692</v>
      </c>
      <c r="I17" s="36">
        <v>1085.4056196848373</v>
      </c>
      <c r="J17" s="35">
        <v>998.77284741986466</v>
      </c>
      <c r="K17" s="36">
        <v>1119.6803158863986</v>
      </c>
      <c r="L17" s="35">
        <v>999.75849101388008</v>
      </c>
      <c r="M17" s="36">
        <v>1157.5781223952613</v>
      </c>
      <c r="N17" s="35">
        <v>1001.5803539496892</v>
      </c>
      <c r="O17" s="36">
        <v>1199.6617111742519</v>
      </c>
      <c r="P17" s="35">
        <v>1004.5104843028721</v>
      </c>
      <c r="Q17" s="36">
        <v>1246.6199121763123</v>
      </c>
      <c r="R17" s="35">
        <v>1008.9347570466015</v>
      </c>
      <c r="S17" s="36">
        <v>1299.3204446733118</v>
      </c>
      <c r="T17" s="35">
        <v>1015.4099027537109</v>
      </c>
      <c r="U17" s="36">
        <v>1358.9095023581569</v>
      </c>
      <c r="V17" s="35">
        <v>1024.7542616074782</v>
      </c>
      <c r="W17" s="36">
        <v>1427.0131505745514</v>
      </c>
      <c r="X17" s="35">
        <v>1038.1965719298446</v>
      </c>
      <c r="Y17" s="36">
        <v>1506.1593978608387</v>
      </c>
      <c r="Z17" s="35">
        <v>1057.6299661214045</v>
      </c>
      <c r="AA17" s="36">
        <v>1600.6855829508133</v>
      </c>
      <c r="AB17" s="35">
        <v>1086.0734990950371</v>
      </c>
      <c r="AC17" s="36">
        <v>1718.7212618697747</v>
      </c>
      <c r="AD17" s="35">
        <v>1128.5757079962762</v>
      </c>
      <c r="AE17" s="36">
        <v>1876.6787381797069</v>
      </c>
      <c r="AF17" s="35">
        <v>1194.177235217375</v>
      </c>
      <c r="AG17" s="36">
        <v>2110.1815097812996</v>
      </c>
      <c r="AH17" s="35">
        <v>1300.6802710031711</v>
      </c>
      <c r="AI17" s="36">
        <v>2504.0944017275383</v>
      </c>
      <c r="AJ17" s="35">
        <v>1487.5673939567168</v>
      </c>
      <c r="AK17" s="36">
        <v>3289.6685587411939</v>
      </c>
      <c r="AL17" s="35">
        <v>1858.7107813282435</v>
      </c>
      <c r="AM17" s="36">
        <v>5248.8642915511055</v>
      </c>
      <c r="AN17" s="35">
        <v>2842.975474263927</v>
      </c>
      <c r="AO17" s="36">
        <v>12804.173143405334</v>
      </c>
      <c r="AP17" s="35">
        <v>3279.5905866766152</v>
      </c>
      <c r="AQ17" s="36">
        <v>17125.399900597225</v>
      </c>
      <c r="AR17" s="35">
        <v>3953.3603114853458</v>
      </c>
      <c r="AS17" s="36">
        <v>24820.244062698534</v>
      </c>
      <c r="AT17" s="35">
        <v>5162.782778645671</v>
      </c>
      <c r="AU17" s="36">
        <v>41398.660711489683</v>
      </c>
      <c r="AV17" s="35"/>
      <c r="AW17" s="36"/>
    </row>
    <row r="18" spans="1:49" x14ac:dyDescent="0.2">
      <c r="A18" t="s">
        <v>19</v>
      </c>
      <c r="B18" s="33">
        <v>21498.981358265999</v>
      </c>
      <c r="C18" s="34">
        <v>834.03652123400332</v>
      </c>
      <c r="D18" s="33">
        <v>21305.484841795955</v>
      </c>
      <c r="E18" s="34">
        <v>763.54946588686119</v>
      </c>
      <c r="F18" s="33">
        <v>21085.208261126529</v>
      </c>
      <c r="G18" s="34">
        <v>694.41649737</v>
      </c>
      <c r="H18" s="33">
        <v>20833.127460112868</v>
      </c>
      <c r="I18" s="34">
        <v>626.82515112172405</v>
      </c>
      <c r="J18" s="33">
        <v>20543.075528495247</v>
      </c>
      <c r="K18" s="34">
        <v>560.99269388859068</v>
      </c>
      <c r="L18" s="33">
        <v>20207.489124811062</v>
      </c>
      <c r="M18" s="34">
        <v>497.16951023908206</v>
      </c>
      <c r="N18" s="33">
        <v>19817.139236875246</v>
      </c>
      <c r="O18" s="34">
        <v>435.64006607577818</v>
      </c>
      <c r="P18" s="33">
        <v>19360.892536419902</v>
      </c>
      <c r="Q18" s="34">
        <v>376.72272075721054</v>
      </c>
      <c r="R18" s="33">
        <v>18825.602468684789</v>
      </c>
      <c r="S18" s="34">
        <v>320.76254509546499</v>
      </c>
      <c r="T18" s="33">
        <v>18196.309365475448</v>
      </c>
      <c r="U18" s="34">
        <v>268.1167423758373</v>
      </c>
      <c r="V18" s="33">
        <v>17457.02639927101</v>
      </c>
      <c r="W18" s="34">
        <v>219.13076360983237</v>
      </c>
      <c r="X18" s="33">
        <v>16592.471618096548</v>
      </c>
      <c r="Y18" s="34">
        <v>174.10488984066561</v>
      </c>
      <c r="Z18" s="33">
        <v>15590.989963320671</v>
      </c>
      <c r="AA18" s="34">
        <v>133.26785222616695</v>
      </c>
      <c r="AB18" s="33">
        <v>14448.463948619894</v>
      </c>
      <c r="AC18" s="34">
        <v>96.786208807641671</v>
      </c>
      <c r="AD18" s="33">
        <v>13171.831562153433</v>
      </c>
      <c r="AE18" s="34">
        <v>64.875222907817815</v>
      </c>
      <c r="AF18" s="33">
        <v>11779.257558066054</v>
      </c>
      <c r="AG18" s="34">
        <v>38.073327506128187</v>
      </c>
      <c r="AH18" s="33">
        <v>10292.825197055396</v>
      </c>
      <c r="AI18" s="34">
        <v>17.615264316744216</v>
      </c>
      <c r="AJ18" s="33">
        <v>8720.4618751254275</v>
      </c>
      <c r="AK18" s="34">
        <v>5.1972335137051688</v>
      </c>
      <c r="AL18" s="33">
        <v>7015.2077171539595</v>
      </c>
      <c r="AM18" s="34">
        <v>0.63879681210500006</v>
      </c>
      <c r="AN18" s="33">
        <v>4919.085497404848</v>
      </c>
      <c r="AO18" s="34">
        <v>1.1142234918193694E-2</v>
      </c>
      <c r="AP18" s="33">
        <v>4380.3999251651821</v>
      </c>
      <c r="AQ18" s="34">
        <v>2.9328014218379305E-3</v>
      </c>
      <c r="AR18" s="33">
        <v>3759.4078373205234</v>
      </c>
      <c r="AS18" s="34">
        <v>5.2798301365112655E-4</v>
      </c>
      <c r="AT18" s="33">
        <v>3008.2797478747052</v>
      </c>
      <c r="AU18" s="34">
        <v>4.8599282108129026E-5</v>
      </c>
      <c r="AV18" s="33"/>
      <c r="AW18" s="34"/>
    </row>
    <row r="19" spans="1:49" x14ac:dyDescent="0.2">
      <c r="A19" t="s">
        <v>3</v>
      </c>
      <c r="B19" s="41">
        <v>1782.2320505062355</v>
      </c>
      <c r="C19" s="42">
        <v>450.22976484179424</v>
      </c>
      <c r="D19" s="41">
        <v>1762.2938288965468</v>
      </c>
      <c r="E19" s="42">
        <v>452.34701562277706</v>
      </c>
      <c r="F19" s="41">
        <v>1741.6257757617018</v>
      </c>
      <c r="G19" s="42">
        <v>454.19754944459919</v>
      </c>
      <c r="H19" s="41">
        <v>1720.1219115663293</v>
      </c>
      <c r="I19" s="42">
        <v>455.63906002992695</v>
      </c>
      <c r="J19" s="41">
        <v>1697.6664391593513</v>
      </c>
      <c r="K19" s="42">
        <v>456.49057642889585</v>
      </c>
      <c r="L19" s="41">
        <v>1674.1387894301929</v>
      </c>
      <c r="M19" s="42">
        <v>456.52420634137763</v>
      </c>
      <c r="N19" s="41">
        <v>1649.4255911207295</v>
      </c>
      <c r="O19" s="42">
        <v>455.45649592344364</v>
      </c>
      <c r="P19" s="41">
        <v>1623.4447473836124</v>
      </c>
      <c r="Q19" s="42">
        <v>452.94178998091212</v>
      </c>
      <c r="R19" s="41">
        <v>1596.1926042567895</v>
      </c>
      <c r="S19" s="42">
        <v>448.56972133688885</v>
      </c>
      <c r="T19" s="41">
        <v>1567.8311147056149</v>
      </c>
      <c r="U19" s="42">
        <v>441.8721991652269</v>
      </c>
      <c r="V19" s="41">
        <v>1538.8436272556633</v>
      </c>
      <c r="W19" s="42">
        <v>432.34561575710421</v>
      </c>
      <c r="X19" s="41">
        <v>1510.3053258015143</v>
      </c>
      <c r="Y19" s="42">
        <v>419.49088087825447</v>
      </c>
      <c r="Z19" s="41">
        <v>1484.3370585734835</v>
      </c>
      <c r="AA19" s="42">
        <v>402.86241961591168</v>
      </c>
      <c r="AB19" s="41">
        <v>1464.8690243368906</v>
      </c>
      <c r="AC19" s="42">
        <v>382.08436409381977</v>
      </c>
      <c r="AD19" s="41">
        <v>1458.9532456988886</v>
      </c>
      <c r="AE19" s="42">
        <v>356.72846207132091</v>
      </c>
      <c r="AF19" s="41">
        <v>1479.2876141680249</v>
      </c>
      <c r="AG19" s="42">
        <v>325.85623651913835</v>
      </c>
      <c r="AH19" s="41">
        <v>1549.8767097140683</v>
      </c>
      <c r="AI19" s="42">
        <v>287.02636310177354</v>
      </c>
      <c r="AJ19" s="41">
        <v>1720.4305131243161</v>
      </c>
      <c r="AK19" s="42">
        <v>235.38991212668685</v>
      </c>
      <c r="AL19" s="41">
        <v>2108.8778338031384</v>
      </c>
      <c r="AM19" s="42">
        <v>166.64827308454835</v>
      </c>
      <c r="AN19" s="41">
        <v>3126.3292407610297</v>
      </c>
      <c r="AO19" s="42">
        <v>85.093984597823038</v>
      </c>
      <c r="AP19" s="41">
        <v>3542.203757163818</v>
      </c>
      <c r="AQ19" s="42">
        <v>68.145723724871402</v>
      </c>
      <c r="AR19" s="41">
        <v>4139.291873746427</v>
      </c>
      <c r="AS19" s="42">
        <v>51.135998586664421</v>
      </c>
      <c r="AT19" s="41">
        <v>5091.4846583516346</v>
      </c>
      <c r="AU19" s="42">
        <v>34.097853819157493</v>
      </c>
      <c r="AV19" s="41"/>
      <c r="AW19" s="42"/>
    </row>
    <row r="20" spans="1:49" x14ac:dyDescent="0.2">
      <c r="A20" t="s">
        <v>130</v>
      </c>
      <c r="B20" s="85">
        <v>20973.127797372959</v>
      </c>
      <c r="C20" s="86">
        <v>1222.2257935314667</v>
      </c>
      <c r="D20" s="85">
        <v>20776.386919145116</v>
      </c>
      <c r="E20" s="86">
        <v>1161.1145038548932</v>
      </c>
      <c r="F20" s="85">
        <v>20556.560025889317</v>
      </c>
      <c r="G20" s="86">
        <v>1100.0032141783201</v>
      </c>
      <c r="H20" s="85">
        <v>20309.39873284462</v>
      </c>
      <c r="I20" s="86">
        <v>1038.8919245017466</v>
      </c>
      <c r="J20" s="85">
        <v>20029.703513030683</v>
      </c>
      <c r="K20" s="86">
        <v>977.78063482517337</v>
      </c>
      <c r="L20" s="85">
        <v>19711.117569946688</v>
      </c>
      <c r="M20" s="86">
        <v>916.66934514860009</v>
      </c>
      <c r="N20" s="85">
        <v>19345.912004808568</v>
      </c>
      <c r="O20" s="86">
        <v>855.55805547202669</v>
      </c>
      <c r="P20" s="85">
        <v>18924.802230012756</v>
      </c>
      <c r="Q20" s="86">
        <v>794.4467657954533</v>
      </c>
      <c r="R20" s="85">
        <v>18436.883168084903</v>
      </c>
      <c r="S20" s="86">
        <v>733.33547611888014</v>
      </c>
      <c r="T20" s="85">
        <v>17869.837315676825</v>
      </c>
      <c r="U20" s="86">
        <v>672.22418644230675</v>
      </c>
      <c r="V20" s="85">
        <v>17210.653923915979</v>
      </c>
      <c r="W20" s="86">
        <v>611.11289676573335</v>
      </c>
      <c r="X20" s="85">
        <v>16447.169763242524</v>
      </c>
      <c r="Y20" s="86">
        <v>550.00160708916007</v>
      </c>
      <c r="Z20" s="85">
        <v>15570.643482083755</v>
      </c>
      <c r="AA20" s="86">
        <v>488.89031741258668</v>
      </c>
      <c r="AB20" s="85">
        <v>14579.21640362236</v>
      </c>
      <c r="AC20" s="86">
        <v>427.77902773601335</v>
      </c>
      <c r="AD20" s="85">
        <v>13481.126025540434</v>
      </c>
      <c r="AE20" s="86">
        <v>366.66773805943996</v>
      </c>
      <c r="AF20" s="85">
        <v>12295.281197610229</v>
      </c>
      <c r="AG20" s="86">
        <v>305.55644838286656</v>
      </c>
      <c r="AH20" s="85">
        <v>11045.858816135378</v>
      </c>
      <c r="AI20" s="86">
        <v>244.44515870629314</v>
      </c>
      <c r="AJ20" s="85">
        <v>9748.0397436728035</v>
      </c>
      <c r="AK20" s="86">
        <v>183.33386902971975</v>
      </c>
      <c r="AL20" s="85">
        <v>8373.7660518365901</v>
      </c>
      <c r="AM20" s="86">
        <v>122.22257935314637</v>
      </c>
      <c r="AN20" s="85">
        <v>6722.9406557125703</v>
      </c>
      <c r="AO20" s="86">
        <v>61.11128967657298</v>
      </c>
      <c r="AP20" s="85">
        <v>6301.4399558862278</v>
      </c>
      <c r="AQ20" s="86">
        <v>48.8890317412583</v>
      </c>
      <c r="AR20" s="85">
        <v>5814.522792805039</v>
      </c>
      <c r="AS20" s="86">
        <v>36.66677380594362</v>
      </c>
      <c r="AT20" s="85">
        <v>5221.1264606784462</v>
      </c>
      <c r="AU20" s="86">
        <v>24.444515870628948</v>
      </c>
      <c r="AV20" s="85"/>
      <c r="AW20" s="86"/>
    </row>
    <row r="21" spans="1:49" x14ac:dyDescent="0.2">
      <c r="A21" t="s">
        <v>78</v>
      </c>
      <c r="B21" s="85">
        <v>19190.895746866718</v>
      </c>
      <c r="C21" s="86">
        <v>771.99602868967372</v>
      </c>
      <c r="D21" s="85">
        <v>19014.094696032233</v>
      </c>
      <c r="E21" s="86">
        <v>709.04314693623894</v>
      </c>
      <c r="F21" s="85">
        <v>18814.938498120082</v>
      </c>
      <c r="G21" s="86">
        <v>646.93553052349966</v>
      </c>
      <c r="H21" s="85">
        <v>18589.281988652187</v>
      </c>
      <c r="I21" s="86">
        <v>585.85337256045602</v>
      </c>
      <c r="J21" s="85">
        <v>18332.040180365122</v>
      </c>
      <c r="K21" s="86">
        <v>526.00872045459232</v>
      </c>
      <c r="L21" s="85">
        <v>18036.978898815069</v>
      </c>
      <c r="M21" s="86">
        <v>467.64905524864872</v>
      </c>
      <c r="N21" s="85">
        <v>17696.491376947295</v>
      </c>
      <c r="O21" s="86">
        <v>411.0597710219651</v>
      </c>
      <c r="P21" s="85">
        <v>17301.396926184374</v>
      </c>
      <c r="Q21" s="86">
        <v>356.56337178026331</v>
      </c>
      <c r="R21" s="85">
        <v>16840.840739733656</v>
      </c>
      <c r="S21" s="86">
        <v>304.51393337861077</v>
      </c>
      <c r="T21" s="85">
        <v>16302.436668010594</v>
      </c>
      <c r="U21" s="86">
        <v>255.28346816495801</v>
      </c>
      <c r="V21" s="85">
        <v>15672.871355289131</v>
      </c>
      <c r="W21" s="86">
        <v>209.23809778520641</v>
      </c>
      <c r="X21" s="85">
        <v>14939.251005264612</v>
      </c>
      <c r="Y21" s="86">
        <v>166.70612937115953</v>
      </c>
      <c r="Z21" s="85">
        <v>14091.367743390872</v>
      </c>
      <c r="AA21" s="86">
        <v>127.94966638864769</v>
      </c>
      <c r="AB21" s="85">
        <v>13124.685421077891</v>
      </c>
      <c r="AC21" s="86">
        <v>93.171842876581167</v>
      </c>
      <c r="AD21" s="85">
        <v>12042.85029335525</v>
      </c>
      <c r="AE21" s="86">
        <v>62.61929823156094</v>
      </c>
      <c r="AF21" s="85">
        <v>10857.16619335729</v>
      </c>
      <c r="AG21" s="86">
        <v>36.848382221616298</v>
      </c>
      <c r="AH21" s="85">
        <v>9579.2954870371723</v>
      </c>
      <c r="AI21" s="86">
        <v>17.093592109369155</v>
      </c>
      <c r="AJ21" s="85">
        <v>8203.7907114313639</v>
      </c>
      <c r="AK21" s="86">
        <v>5.0548973877581176</v>
      </c>
      <c r="AL21" s="85">
        <v>6669.743188977588</v>
      </c>
      <c r="AM21" s="86">
        <v>0.62221162692746745</v>
      </c>
      <c r="AN21" s="85">
        <v>4716.5351975555759</v>
      </c>
      <c r="AO21" s="86">
        <v>1.0858340986297718E-2</v>
      </c>
      <c r="AP21" s="85">
        <v>4205.3376926085166</v>
      </c>
      <c r="AQ21" s="86">
        <v>2.8581474479179329E-3</v>
      </c>
      <c r="AR21" s="85">
        <v>3613.0669249404345</v>
      </c>
      <c r="AS21" s="86">
        <v>5.1454951798067528E-4</v>
      </c>
      <c r="AT21" s="85">
        <v>2893.7126217989367</v>
      </c>
      <c r="AU21" s="86">
        <v>4.7363010920845818E-5</v>
      </c>
      <c r="AV21" s="85"/>
      <c r="AW21" s="86"/>
    </row>
    <row r="22" spans="1:49" x14ac:dyDescent="0.2">
      <c r="A22" t="s">
        <v>28</v>
      </c>
      <c r="B22" s="41">
        <v>5896.9295697243897</v>
      </c>
      <c r="C22" s="42">
        <v>340.53228761636649</v>
      </c>
      <c r="D22" s="41">
        <v>5824.8367098902063</v>
      </c>
      <c r="E22" s="42">
        <v>328.74065128906022</v>
      </c>
      <c r="F22" s="41">
        <v>5745.3345143388224</v>
      </c>
      <c r="G22" s="42">
        <v>316.60168177359833</v>
      </c>
      <c r="H22" s="41">
        <v>5657.1161207892064</v>
      </c>
      <c r="I22" s="42">
        <v>304.08515717536972</v>
      </c>
      <c r="J22" s="41">
        <v>5558.5917109377078</v>
      </c>
      <c r="K22" s="42">
        <v>291.15740013799876</v>
      </c>
      <c r="L22" s="41">
        <v>5447.829748363004</v>
      </c>
      <c r="M22" s="42">
        <v>277.78123846639102</v>
      </c>
      <c r="N22" s="41">
        <v>5322.4975941382809</v>
      </c>
      <c r="O22" s="42">
        <v>263.91645595109145</v>
      </c>
      <c r="P22" s="41">
        <v>5179.8127005489787</v>
      </c>
      <c r="Q22" s="42">
        <v>249.52061915856092</v>
      </c>
      <c r="R22" s="41">
        <v>5016.5321114759363</v>
      </c>
      <c r="S22" s="42">
        <v>234.5510107132713</v>
      </c>
      <c r="T22" s="41">
        <v>4829.0245260460506</v>
      </c>
      <c r="U22" s="42">
        <v>218.9676149620183</v>
      </c>
      <c r="V22" s="41">
        <v>4613.4932107543964</v>
      </c>
      <c r="W22" s="42">
        <v>202.73703494338341</v>
      </c>
      <c r="X22" s="41">
        <v>4366.4367147710354</v>
      </c>
      <c r="Y22" s="42">
        <v>185.83659540748624</v>
      </c>
      <c r="Z22" s="41">
        <v>4085.3955573791663</v>
      </c>
      <c r="AA22" s="42">
        <v>168.25499691752483</v>
      </c>
      <c r="AB22" s="41">
        <v>3769.9299156927473</v>
      </c>
      <c r="AC22" s="42">
        <v>149.98425859774903</v>
      </c>
      <c r="AD22" s="41">
        <v>3422.4613541930908</v>
      </c>
      <c r="AE22" s="42">
        <v>130.99203630071673</v>
      </c>
      <c r="AF22" s="41">
        <v>3048.2579997299472</v>
      </c>
      <c r="AG22" s="42">
        <v>111.16835228824583</v>
      </c>
      <c r="AH22" s="41">
        <v>2653.557410518295</v>
      </c>
      <c r="AI22" s="42">
        <v>90.270273164596063</v>
      </c>
      <c r="AJ22" s="41">
        <v>2241.0464842588526</v>
      </c>
      <c r="AK22" s="42">
        <v>68.016479393359077</v>
      </c>
      <c r="AL22" s="41">
        <v>1799.7897418805999</v>
      </c>
      <c r="AM22" s="42">
        <v>44.620332845152397</v>
      </c>
      <c r="AN22" s="41">
        <v>1267.8180592467111</v>
      </c>
      <c r="AO22" s="42">
        <v>21.259587945365009</v>
      </c>
      <c r="AP22" s="41">
        <v>1133.2585346228332</v>
      </c>
      <c r="AQ22" s="42">
        <v>16.733970712498785</v>
      </c>
      <c r="AR22" s="41">
        <v>979.21590354226294</v>
      </c>
      <c r="AS22" s="42">
        <v>12.295297166562939</v>
      </c>
      <c r="AT22" s="41">
        <v>794.18989738078074</v>
      </c>
      <c r="AU22" s="42">
        <v>7.9714769654716449</v>
      </c>
      <c r="AV22" s="41"/>
      <c r="AW22" s="42"/>
    </row>
    <row r="23" spans="1:49" x14ac:dyDescent="0.2">
      <c r="A23" t="s">
        <v>7</v>
      </c>
      <c r="B23" s="119">
        <v>2396.8717103698964</v>
      </c>
      <c r="C23" s="8">
        <v>0</v>
      </c>
      <c r="D23" s="119">
        <v>2375.5845445474133</v>
      </c>
      <c r="E23" s="8">
        <v>0</v>
      </c>
      <c r="F23" s="119">
        <v>2351.3735751517825</v>
      </c>
      <c r="G23" s="8">
        <v>0</v>
      </c>
      <c r="H23" s="119">
        <v>2323.688378440263</v>
      </c>
      <c r="I23" s="8">
        <v>0</v>
      </c>
      <c r="J23" s="119">
        <v>2291.8532255985861</v>
      </c>
      <c r="K23" s="8">
        <v>0</v>
      </c>
      <c r="L23" s="119">
        <v>2255.039405191179</v>
      </c>
      <c r="M23" s="8">
        <v>0</v>
      </c>
      <c r="N23" s="119">
        <v>2212.2361832583661</v>
      </c>
      <c r="O23" s="8">
        <v>0</v>
      </c>
      <c r="P23" s="119">
        <v>2162.2256581513225</v>
      </c>
      <c r="Q23" s="8">
        <v>0</v>
      </c>
      <c r="R23" s="119">
        <v>2103.5734135176872</v>
      </c>
      <c r="S23" s="8">
        <v>0</v>
      </c>
      <c r="T23" s="119">
        <v>2034.6560936362059</v>
      </c>
      <c r="U23" s="8">
        <v>0</v>
      </c>
      <c r="V23" s="119">
        <v>1953.7592643593625</v>
      </c>
      <c r="W23" s="8">
        <v>0</v>
      </c>
      <c r="X23" s="119">
        <v>1859.2905552973616</v>
      </c>
      <c r="Y23" s="8">
        <v>0</v>
      </c>
      <c r="Z23" s="119">
        <v>1750.1430702937662</v>
      </c>
      <c r="AA23" s="8">
        <v>0</v>
      </c>
      <c r="AB23" s="119">
        <v>1626.198232992467</v>
      </c>
      <c r="AC23" s="8">
        <v>0</v>
      </c>
      <c r="AD23" s="119">
        <v>1488.8325359178461</v>
      </c>
      <c r="AE23" s="8">
        <v>0</v>
      </c>
      <c r="AF23" s="119">
        <v>1341.1214685632553</v>
      </c>
      <c r="AG23" s="8">
        <v>0</v>
      </c>
      <c r="AH23" s="119">
        <v>1187.2930003315209</v>
      </c>
      <c r="AI23" s="8">
        <v>0</v>
      </c>
      <c r="AJ23" s="119">
        <v>1030.8995175526322</v>
      </c>
      <c r="AK23" s="8">
        <v>0</v>
      </c>
      <c r="AL23" s="119">
        <v>869.68314784713971</v>
      </c>
      <c r="AM23" s="8">
        <v>0</v>
      </c>
      <c r="AN23" s="119">
        <v>677.52253418245289</v>
      </c>
      <c r="AO23" s="8">
        <v>0</v>
      </c>
      <c r="AP23" s="119">
        <v>627.62909414167927</v>
      </c>
      <c r="AQ23" s="8">
        <v>0</v>
      </c>
      <c r="AR23" s="119">
        <v>569.17056212680291</v>
      </c>
      <c r="AS23" s="8">
        <v>0</v>
      </c>
      <c r="AT23" s="119">
        <v>496.38486438156446</v>
      </c>
      <c r="AU23" s="8">
        <v>0</v>
      </c>
      <c r="AV23" s="119"/>
      <c r="AW23" s="8"/>
    </row>
    <row r="24" spans="1:49" x14ac:dyDescent="0.2">
      <c r="A24" t="s">
        <v>8</v>
      </c>
      <c r="B24" s="100">
        <v>2261.1304131516072</v>
      </c>
      <c r="C24" s="8">
        <v>0</v>
      </c>
      <c r="D24" s="100">
        <v>2261.1304131516072</v>
      </c>
      <c r="E24" s="8">
        <v>0</v>
      </c>
      <c r="F24" s="100">
        <v>2261.1304131516072</v>
      </c>
      <c r="G24" s="8">
        <v>0</v>
      </c>
      <c r="H24" s="100">
        <v>2261.1304131516072</v>
      </c>
      <c r="I24" s="8">
        <v>0</v>
      </c>
      <c r="J24" s="100">
        <v>2261.1304131516072</v>
      </c>
      <c r="K24" s="8">
        <v>0</v>
      </c>
      <c r="L24" s="100">
        <v>2261.1304131516072</v>
      </c>
      <c r="M24" s="8">
        <v>0</v>
      </c>
      <c r="N24" s="100">
        <v>2261.1304131516072</v>
      </c>
      <c r="O24" s="8">
        <v>0</v>
      </c>
      <c r="P24" s="100">
        <v>2261.1304131516072</v>
      </c>
      <c r="Q24" s="8">
        <v>0</v>
      </c>
      <c r="R24" s="100">
        <v>2261.1304131516072</v>
      </c>
      <c r="S24" s="8">
        <v>0</v>
      </c>
      <c r="T24" s="100">
        <v>2261.1304131516072</v>
      </c>
      <c r="U24" s="8">
        <v>0</v>
      </c>
      <c r="V24" s="100">
        <v>2261.1304131516072</v>
      </c>
      <c r="W24" s="8">
        <v>0</v>
      </c>
      <c r="X24" s="100">
        <v>2261.1304131516072</v>
      </c>
      <c r="Y24" s="8">
        <v>0</v>
      </c>
      <c r="Z24" s="100">
        <v>2261.1304131516072</v>
      </c>
      <c r="AA24" s="8">
        <v>0</v>
      </c>
      <c r="AB24" s="100">
        <v>2261.1304131516072</v>
      </c>
      <c r="AC24" s="8">
        <v>0</v>
      </c>
      <c r="AD24" s="100">
        <v>2261.1304131516072</v>
      </c>
      <c r="AE24" s="8">
        <v>0</v>
      </c>
      <c r="AF24" s="100">
        <v>2261.1304131516072</v>
      </c>
      <c r="AG24" s="8">
        <v>0</v>
      </c>
      <c r="AH24" s="100">
        <v>2261.1304131516072</v>
      </c>
      <c r="AI24" s="8">
        <v>0</v>
      </c>
      <c r="AJ24" s="100">
        <v>2261.1304131516072</v>
      </c>
      <c r="AK24" s="8">
        <v>0</v>
      </c>
      <c r="AL24" s="100">
        <v>2261.1304131516072</v>
      </c>
      <c r="AM24" s="8">
        <v>0</v>
      </c>
      <c r="AN24" s="100">
        <v>2261.1304131516072</v>
      </c>
      <c r="AO24" s="8">
        <v>0</v>
      </c>
      <c r="AP24" s="100">
        <v>2261.1304131516072</v>
      </c>
      <c r="AQ24" s="8">
        <v>0</v>
      </c>
      <c r="AR24" s="100">
        <v>2261.1304131516072</v>
      </c>
      <c r="AS24" s="8">
        <v>0</v>
      </c>
      <c r="AT24" s="100">
        <v>2261.1304131516072</v>
      </c>
      <c r="AU24" s="8">
        <v>0</v>
      </c>
      <c r="AV24" s="100"/>
      <c r="AW24" s="8"/>
    </row>
    <row r="25" spans="1:49" x14ac:dyDescent="0.2">
      <c r="A25" t="s">
        <v>0</v>
      </c>
      <c r="B25" s="41">
        <v>2308.08561139929</v>
      </c>
      <c r="C25" s="42">
        <v>62.040492544331705</v>
      </c>
      <c r="D25" s="41">
        <v>2291.388110645938</v>
      </c>
      <c r="E25" s="42">
        <v>54.480720839197417</v>
      </c>
      <c r="F25" s="41">
        <v>2270.2643703291942</v>
      </c>
      <c r="G25" s="42">
        <v>47.384772865657283</v>
      </c>
      <c r="H25" s="41">
        <v>2243.8389048266472</v>
      </c>
      <c r="I25" s="42">
        <v>40.770175814017776</v>
      </c>
      <c r="J25" s="41">
        <v>2211.0313926329977</v>
      </c>
      <c r="K25" s="42">
        <v>34.653181384555154</v>
      </c>
      <c r="L25" s="41">
        <v>2170.5100754079926</v>
      </c>
      <c r="M25" s="42">
        <v>29.048114626324438</v>
      </c>
      <c r="N25" s="41">
        <v>2120.6416165380074</v>
      </c>
      <c r="O25" s="42">
        <v>23.96645506714767</v>
      </c>
      <c r="P25" s="41">
        <v>2059.4464220478594</v>
      </c>
      <c r="Q25" s="42">
        <v>19.415730377278525</v>
      </c>
      <c r="R25" s="41">
        <v>1984.5768187533617</v>
      </c>
      <c r="S25" s="42">
        <v>15.398048822088041</v>
      </c>
      <c r="T25" s="41">
        <v>1893.3523159664751</v>
      </c>
      <c r="U25" s="42">
        <v>11.908454167612721</v>
      </c>
      <c r="V25" s="41">
        <v>1782.9054736676508</v>
      </c>
      <c r="W25" s="42">
        <v>8.9333693884541994</v>
      </c>
      <c r="X25" s="41">
        <v>1650.5115712081065</v>
      </c>
      <c r="Y25" s="42">
        <v>6.4496418475035826</v>
      </c>
      <c r="Z25" s="41">
        <v>1494.1680267096099</v>
      </c>
      <c r="AA25" s="42">
        <v>4.4253773056296009</v>
      </c>
      <c r="AB25" s="41">
        <v>1313.4231949946181</v>
      </c>
      <c r="AC25" s="42">
        <v>2.8236901110139199</v>
      </c>
      <c r="AD25" s="41">
        <v>1110.3064736071365</v>
      </c>
      <c r="AE25" s="42">
        <v>1.6101378199385408</v>
      </c>
      <c r="AF25" s="41">
        <v>890.03281921923542</v>
      </c>
      <c r="AG25" s="42">
        <v>0.76047413977645062</v>
      </c>
      <c r="AH25" s="41">
        <v>661.29563912984406</v>
      </c>
      <c r="AI25" s="42">
        <v>0.25601105689712889</v>
      </c>
      <c r="AJ25" s="41">
        <v>436.93584971944472</v>
      </c>
      <c r="AK25" s="42">
        <v>4.5461570995613827E-2</v>
      </c>
      <c r="AL25" s="41">
        <v>235.60932397663245</v>
      </c>
      <c r="AM25" s="42">
        <v>2.3333327891229506E-3</v>
      </c>
      <c r="AN25" s="41">
        <v>79.476204324535786</v>
      </c>
      <c r="AO25" s="42">
        <v>7.5277591345342249E-6</v>
      </c>
      <c r="AP25" s="41">
        <v>55.763995433426743</v>
      </c>
      <c r="AQ25" s="42">
        <v>1.1359973406293507E-6</v>
      </c>
      <c r="AR25" s="41">
        <v>35.225051120534083</v>
      </c>
      <c r="AS25" s="42">
        <v>1.0017218158351103E-7</v>
      </c>
      <c r="AT25" s="41">
        <v>18.369275532103867</v>
      </c>
      <c r="AU25" s="42">
        <v>3.4258243635592854E-9</v>
      </c>
      <c r="AV25" s="41"/>
      <c r="AW25" s="42"/>
    </row>
    <row r="26" spans="1:49" x14ac:dyDescent="0.2">
      <c r="A26" t="s">
        <v>27</v>
      </c>
      <c r="B26" s="33">
        <v>3209.4420883953348</v>
      </c>
      <c r="C26" s="34">
        <v>31.623872672841795</v>
      </c>
      <c r="D26" s="33">
        <v>3185.8644307887489</v>
      </c>
      <c r="E26" s="34">
        <v>29.116016140582893</v>
      </c>
      <c r="F26" s="33">
        <v>3158.5664359322968</v>
      </c>
      <c r="G26" s="34">
        <v>26.639248146992703</v>
      </c>
      <c r="H26" s="33">
        <v>3126.8007021468425</v>
      </c>
      <c r="I26" s="34">
        <v>24.199575933515391</v>
      </c>
      <c r="J26" s="33">
        <v>3089.6397681908679</v>
      </c>
      <c r="K26" s="34">
        <v>21.804180544607789</v>
      </c>
      <c r="L26" s="33">
        <v>3045.9329317332163</v>
      </c>
      <c r="M26" s="34">
        <v>19.461603022936373</v>
      </c>
      <c r="N26" s="33">
        <v>2994.2583422401203</v>
      </c>
      <c r="O26" s="34">
        <v>17.181876299222409</v>
      </c>
      <c r="P26" s="33">
        <v>2932.8769076561439</v>
      </c>
      <c r="Q26" s="34">
        <v>14.976617061016547</v>
      </c>
      <c r="R26" s="33">
        <v>2859.7021378815812</v>
      </c>
      <c r="S26" s="34">
        <v>12.85890564126227</v>
      </c>
      <c r="T26" s="33">
        <v>2772.3134764150141</v>
      </c>
      <c r="U26" s="34">
        <v>10.842898849316335</v>
      </c>
      <c r="V26" s="33">
        <v>2668.0569687630041</v>
      </c>
      <c r="W26" s="34">
        <v>8.9430812895665355</v>
      </c>
      <c r="X26" s="33">
        <v>2544.2925383755928</v>
      </c>
      <c r="Y26" s="34">
        <v>7.1731411423622928</v>
      </c>
      <c r="Z26" s="33">
        <v>2398.8337658656192</v>
      </c>
      <c r="AA26" s="34">
        <v>5.5450162548851472</v>
      </c>
      <c r="AB26" s="33">
        <v>2230.5583115867098</v>
      </c>
      <c r="AC26" s="34">
        <v>4.0692406525274318</v>
      </c>
      <c r="AD26" s="33">
        <v>2039.9817924528784</v>
      </c>
      <c r="AE26" s="34">
        <v>2.7592118743920069</v>
      </c>
      <c r="AF26" s="33">
        <v>1829.3220476500089</v>
      </c>
      <c r="AG26" s="34">
        <v>1.642143942939271</v>
      </c>
      <c r="AH26" s="33">
        <v>1601.3598377225733</v>
      </c>
      <c r="AI26" s="34">
        <v>0.77477010509416255</v>
      </c>
      <c r="AJ26" s="33">
        <v>1356.4877275238896</v>
      </c>
      <c r="AK26" s="34">
        <v>0.23592523576898605</v>
      </c>
      <c r="AL26" s="33">
        <v>1085.9947334547905</v>
      </c>
      <c r="AM26" s="34">
        <v>3.0690228486636752E-2</v>
      </c>
      <c r="AN26" s="33">
        <v>746.70240512551118</v>
      </c>
      <c r="AO26" s="34">
        <v>5.995214438119852E-4</v>
      </c>
      <c r="AP26" s="33">
        <v>658.78419363701596</v>
      </c>
      <c r="AQ26" s="34">
        <v>1.6380327810330085E-4</v>
      </c>
      <c r="AR26" s="33">
        <v>557.49928245280751</v>
      </c>
      <c r="AS26" s="34">
        <v>3.0922531403207733E-5</v>
      </c>
      <c r="AT26" s="33">
        <v>435.71743352619706</v>
      </c>
      <c r="AU26" s="34">
        <v>3.0369291328644588E-6</v>
      </c>
      <c r="AV26" s="33"/>
      <c r="AW26" s="34"/>
    </row>
    <row r="27" spans="1:49" x14ac:dyDescent="0.2">
      <c r="A27" t="s">
        <v>2</v>
      </c>
      <c r="B27" s="35">
        <v>4880.3032028967582</v>
      </c>
      <c r="C27" s="36">
        <v>155.9342317514201</v>
      </c>
      <c r="D27" s="35">
        <v>4838.4434124754998</v>
      </c>
      <c r="E27" s="36">
        <v>143.4791877175775</v>
      </c>
      <c r="F27" s="35">
        <v>4790.5971377852829</v>
      </c>
      <c r="G27" s="36">
        <v>131.18661939127705</v>
      </c>
      <c r="H27" s="35">
        <v>4735.6216364898228</v>
      </c>
      <c r="I27" s="36">
        <v>119.08687477776553</v>
      </c>
      <c r="J27" s="35">
        <v>4672.1106666746628</v>
      </c>
      <c r="K27" s="36">
        <v>107.21613046328453</v>
      </c>
      <c r="L27" s="35">
        <v>4598.3349583074041</v>
      </c>
      <c r="M27" s="36">
        <v>95.617313354857131</v>
      </c>
      <c r="N27" s="35">
        <v>4512.1784694915132</v>
      </c>
      <c r="O27" s="36">
        <v>84.340640326098949</v>
      </c>
      <c r="P27" s="35">
        <v>4411.0808201385616</v>
      </c>
      <c r="Q27" s="36">
        <v>73.444138968321482</v>
      </c>
      <c r="R27" s="35">
        <v>4292.0086100653007</v>
      </c>
      <c r="S27" s="36">
        <v>62.992923838732949</v>
      </c>
      <c r="T27" s="35">
        <v>4151.4970173627462</v>
      </c>
      <c r="U27" s="36">
        <v>53.057203970991125</v>
      </c>
      <c r="V27" s="35">
        <v>3985.8262306624247</v>
      </c>
      <c r="W27" s="36">
        <v>43.708566125818727</v>
      </c>
      <c r="X27" s="35">
        <v>3791.4177727465285</v>
      </c>
      <c r="Y27" s="36">
        <v>35.014215139706245</v>
      </c>
      <c r="Z27" s="35">
        <v>3565.5107545450105</v>
      </c>
      <c r="AA27" s="36">
        <v>27.032203538699598</v>
      </c>
      <c r="AB27" s="35">
        <v>3307.0774065535484</v>
      </c>
      <c r="AC27" s="36">
        <v>19.812830249459576</v>
      </c>
      <c r="AD27" s="35">
        <v>3017.6653231925329</v>
      </c>
      <c r="AE27" s="36">
        <v>13.419155655945895</v>
      </c>
      <c r="AF27" s="35">
        <v>2701.4896314308689</v>
      </c>
      <c r="AG27" s="36">
        <v>7.9796820343286239</v>
      </c>
      <c r="AH27" s="35">
        <v>2363.8210426993428</v>
      </c>
      <c r="AI27" s="36">
        <v>3.764033181089856</v>
      </c>
      <c r="AJ27" s="35">
        <v>2006.8945391806833</v>
      </c>
      <c r="AK27" s="36">
        <v>1.1474837305030383</v>
      </c>
      <c r="AL27" s="35">
        <v>1620.5180827887966</v>
      </c>
      <c r="AM27" s="36">
        <v>0.14991014042382986</v>
      </c>
      <c r="AN27" s="35">
        <v>1145.8616184501416</v>
      </c>
      <c r="AO27" s="36">
        <v>2.9697155846213417E-3</v>
      </c>
      <c r="AP27" s="35">
        <v>1023.5982613256366</v>
      </c>
      <c r="AQ27" s="36">
        <v>8.1645741609355212E-4</v>
      </c>
      <c r="AR27" s="35">
        <v>882.34730635953576</v>
      </c>
      <c r="AS27" s="36">
        <v>1.5555731796865237E-4</v>
      </c>
      <c r="AT27" s="35">
        <v>710.90760064029894</v>
      </c>
      <c r="AU27" s="36">
        <v>1.5511597776499651E-5</v>
      </c>
      <c r="AV27" s="35"/>
      <c r="AW27" s="36"/>
    </row>
    <row r="28" spans="1:49" x14ac:dyDescent="0.2">
      <c r="A28" t="s">
        <v>35</v>
      </c>
      <c r="B28" s="41">
        <v>9924.5937686277575</v>
      </c>
      <c r="C28" s="42">
        <v>205.34242141823867</v>
      </c>
      <c r="D28" s="41">
        <v>9845.6705825014233</v>
      </c>
      <c r="E28" s="42">
        <v>188.96913331338681</v>
      </c>
      <c r="F28" s="41">
        <v>9754.8993643583781</v>
      </c>
      <c r="G28" s="42">
        <v>172.80680719350946</v>
      </c>
      <c r="H28" s="41">
        <v>9649.9599056320076</v>
      </c>
      <c r="I28" s="42">
        <v>156.8951829177968</v>
      </c>
      <c r="J28" s="41">
        <v>9527.9851110992076</v>
      </c>
      <c r="K28" s="42">
        <v>141.28166570588607</v>
      </c>
      <c r="L28" s="41">
        <v>9385.4336617020344</v>
      </c>
      <c r="M28" s="42">
        <v>126.02253965659693</v>
      </c>
      <c r="N28" s="41">
        <v>9217.9511487134987</v>
      </c>
      <c r="O28" s="42">
        <v>111.18371385779326</v>
      </c>
      <c r="P28" s="41">
        <v>9020.2404284411969</v>
      </c>
      <c r="Q28" s="42">
        <v>96.841388066725742</v>
      </c>
      <c r="R28" s="41">
        <v>8785.9862297511281</v>
      </c>
      <c r="S28" s="42">
        <v>83.081141699053788</v>
      </c>
      <c r="T28" s="41">
        <v>8507.9188675812456</v>
      </c>
      <c r="U28" s="42">
        <v>69.99533663097418</v>
      </c>
      <c r="V28" s="41">
        <v>8178.1506873194849</v>
      </c>
      <c r="W28" s="42">
        <v>57.678231154286053</v>
      </c>
      <c r="X28" s="41">
        <v>7788.9635244588499</v>
      </c>
      <c r="Y28" s="42">
        <v>46.218460911208673</v>
      </c>
      <c r="Z28" s="41">
        <v>7334.1791430558096</v>
      </c>
      <c r="AA28" s="42">
        <v>35.692774840846447</v>
      </c>
      <c r="AB28" s="41">
        <v>6811.0371272855173</v>
      </c>
      <c r="AC28" s="42">
        <v>26.167965809909568</v>
      </c>
      <c r="AD28" s="41">
        <v>6221.9412050030987</v>
      </c>
      <c r="AE28" s="42">
        <v>17.728036790891878</v>
      </c>
      <c r="AF28" s="41">
        <v>5574.6535012129398</v>
      </c>
      <c r="AG28" s="42">
        <v>10.543960834059428</v>
      </c>
      <c r="AH28" s="41">
        <v>4878.8923018462456</v>
      </c>
      <c r="AI28" s="42">
        <v>4.973851387975011</v>
      </c>
      <c r="AJ28" s="41">
        <v>4137.5945204333721</v>
      </c>
      <c r="AK28" s="42">
        <v>1.5159146055902621</v>
      </c>
      <c r="AL28" s="41">
        <v>3326.8864878488857</v>
      </c>
      <c r="AM28" s="42">
        <v>0.19784899757129287</v>
      </c>
      <c r="AN28" s="41">
        <v>2319.3755954294597</v>
      </c>
      <c r="AO28" s="42">
        <v>3.9063400750886639E-3</v>
      </c>
      <c r="AP28" s="41">
        <v>2058.6124851538284</v>
      </c>
      <c r="AQ28" s="42">
        <v>1.0723020924009413E-3</v>
      </c>
      <c r="AR28" s="41">
        <v>1757.3988987616212</v>
      </c>
      <c r="AS28" s="42">
        <v>2.0381925860025167E-4</v>
      </c>
      <c r="AT28" s="41">
        <v>1392.8483956028854</v>
      </c>
      <c r="AU28" s="42">
        <v>2.024067801397887E-5</v>
      </c>
      <c r="AV28" s="41"/>
      <c r="AW28" s="42"/>
    </row>
    <row r="29" spans="1:49" x14ac:dyDescent="0.2">
      <c r="A29" t="s">
        <v>53</v>
      </c>
      <c r="B29" s="35">
        <v>10476.875482049762</v>
      </c>
      <c r="C29" s="36">
        <v>680.10699657273517</v>
      </c>
      <c r="D29" s="35">
        <v>10382.410906862187</v>
      </c>
      <c r="E29" s="36">
        <v>621.58877630703319</v>
      </c>
      <c r="F29" s="35">
        <v>10274.959267692258</v>
      </c>
      <c r="G29" s="36">
        <v>564.33142742809343</v>
      </c>
      <c r="H29" s="35">
        <v>10152.088252523663</v>
      </c>
      <c r="I29" s="36">
        <v>508.49046646106962</v>
      </c>
      <c r="J29" s="35">
        <v>10010.810895325778</v>
      </c>
      <c r="K29" s="36">
        <v>454.24453370686547</v>
      </c>
      <c r="L29" s="35">
        <v>9847.4613371998203</v>
      </c>
      <c r="M29" s="36">
        <v>401.79772799456305</v>
      </c>
      <c r="N29" s="35">
        <v>9657.5619103099434</v>
      </c>
      <c r="O29" s="36">
        <v>351.37988218696637</v>
      </c>
      <c r="P29" s="35">
        <v>9435.7029308254332</v>
      </c>
      <c r="Q29" s="36">
        <v>303.24577749371593</v>
      </c>
      <c r="R29" s="35">
        <v>9175.481724681762</v>
      </c>
      <c r="S29" s="36">
        <v>257.6686331350428</v>
      </c>
      <c r="T29" s="35">
        <v>8869.5850484077237</v>
      </c>
      <c r="U29" s="36">
        <v>214.9276032005975</v>
      </c>
      <c r="V29" s="35">
        <v>8510.1447674733172</v>
      </c>
      <c r="W29" s="36">
        <v>175.28789466137573</v>
      </c>
      <c r="X29" s="35">
        <v>8089.5350004593129</v>
      </c>
      <c r="Y29" s="36">
        <v>138.97359189298359</v>
      </c>
      <c r="Z29" s="35">
        <v>7601.719975500956</v>
      </c>
      <c r="AA29" s="36">
        <v>106.14679449180993</v>
      </c>
      <c r="AB29" s="35">
        <v>7044.0427937193663</v>
      </c>
      <c r="AC29" s="36">
        <v>76.916391737454006</v>
      </c>
      <c r="AD29" s="35">
        <v>6418.7674762561373</v>
      </c>
      <c r="AE29" s="36">
        <v>51.429003208386362</v>
      </c>
      <c r="AF29" s="35">
        <v>5732.904934572156</v>
      </c>
      <c r="AG29" s="36">
        <v>30.090591285076783</v>
      </c>
      <c r="AH29" s="35">
        <v>4994.242758372704</v>
      </c>
      <c r="AI29" s="36">
        <v>13.862759891903801</v>
      </c>
      <c r="AJ29" s="35">
        <v>4201.9828481792529</v>
      </c>
      <c r="AK29" s="36">
        <v>4.0629763809217607</v>
      </c>
      <c r="AL29" s="35">
        <v>3326.939426067448</v>
      </c>
      <c r="AM29" s="36">
        <v>0.49406647267836035</v>
      </c>
      <c r="AN29" s="35">
        <v>2238.3373434785926</v>
      </c>
      <c r="AO29" s="36">
        <v>8.474339927966713E-3</v>
      </c>
      <c r="AP29" s="35">
        <v>1960.4320271949673</v>
      </c>
      <c r="AQ29" s="36">
        <v>2.2207250666773848E-3</v>
      </c>
      <c r="AR29" s="35">
        <v>1643.3970664758817</v>
      </c>
      <c r="AS29" s="36">
        <v>3.9780344561761341E-4</v>
      </c>
      <c r="AT29" s="35">
        <v>1267.3147804886339</v>
      </c>
      <c r="AU29" s="36">
        <v>3.6405243411111838E-5</v>
      </c>
      <c r="AV29" s="35"/>
      <c r="AW29" s="36"/>
    </row>
    <row r="30" spans="1:49" x14ac:dyDescent="0.2">
      <c r="A30" t="s">
        <v>48</v>
      </c>
      <c r="B30" s="122">
        <v>3437517.2752293102</v>
      </c>
      <c r="D30" s="122">
        <v>3424019.1498477962</v>
      </c>
      <c r="F30" s="122">
        <v>3407572.4579249131</v>
      </c>
      <c r="H30" s="122">
        <v>3387621.3898572423</v>
      </c>
      <c r="J30" s="122">
        <v>3363486.2068296466</v>
      </c>
      <c r="L30" s="122">
        <v>3334339.150159013</v>
      </c>
      <c r="N30" s="122">
        <v>3299183.0944719086</v>
      </c>
      <c r="P30" s="122">
        <v>3256841.9865057264</v>
      </c>
      <c r="R30" s="122">
        <v>3205982.9328386392</v>
      </c>
      <c r="T30" s="122">
        <v>3145205.3997327313</v>
      </c>
      <c r="V30" s="122">
        <v>3073257.3503478607</v>
      </c>
      <c r="X30" s="122">
        <v>2989469.5901785754</v>
      </c>
      <c r="Z30" s="122">
        <v>2894518.2864505178</v>
      </c>
      <c r="AB30" s="122">
        <v>2791642.5655491701</v>
      </c>
      <c r="AD30" s="122">
        <v>2688411.7376439036</v>
      </c>
      <c r="AF30" s="122">
        <v>2599270.9167648642</v>
      </c>
      <c r="AH30" s="122">
        <v>2549623.6477466044</v>
      </c>
      <c r="AJ30" s="122">
        <v>2582991.0688148877</v>
      </c>
      <c r="AL30" s="122">
        <v>2771833.6911905408</v>
      </c>
      <c r="AN30" s="122">
        <v>3265128.8134254441</v>
      </c>
      <c r="AP30" s="122">
        <v>3436320.4695591158</v>
      </c>
      <c r="AR30" s="122">
        <v>3654019.6317759193</v>
      </c>
      <c r="AT30" s="122">
        <v>3943708.3909045649</v>
      </c>
      <c r="AV30" s="122"/>
    </row>
    <row r="31" spans="1:49" x14ac:dyDescent="0.2">
      <c r="A31" t="s">
        <v>47</v>
      </c>
      <c r="B31" s="83">
        <v>0.99999999999999867</v>
      </c>
      <c r="D31" s="83">
        <v>0.98641263528533207</v>
      </c>
      <c r="F31" s="83">
        <v>0.97153217515149082</v>
      </c>
      <c r="H31" s="83">
        <v>0.95514175589892902</v>
      </c>
      <c r="J31" s="83">
        <v>0.93697937332515679</v>
      </c>
      <c r="L31" s="83">
        <v>0.91672897914554841</v>
      </c>
      <c r="N31" s="83">
        <v>0.89401176684482597</v>
      </c>
      <c r="P31" s="83">
        <v>0.86837943102991799</v>
      </c>
      <c r="R31" s="83">
        <v>0.83931392077147859</v>
      </c>
      <c r="T31" s="83">
        <v>0.80624052293684068</v>
      </c>
      <c r="V31" s="83">
        <v>0.76856460593439602</v>
      </c>
      <c r="X31" s="83">
        <v>0.72574470037236671</v>
      </c>
      <c r="Z31" s="83">
        <v>0.67740721413745253</v>
      </c>
      <c r="AB31" s="83">
        <v>0.62349090143053021</v>
      </c>
      <c r="AD31" s="83">
        <v>0.56435841725722991</v>
      </c>
      <c r="AF31" s="83">
        <v>0.50075657806009666</v>
      </c>
      <c r="AH31" s="83">
        <v>0.43346297129567024</v>
      </c>
      <c r="AJ31" s="83">
        <v>0.36251103025264997</v>
      </c>
      <c r="AL31" s="83">
        <v>0.28562036857358647</v>
      </c>
      <c r="AN31" s="83">
        <v>0.19250183940575799</v>
      </c>
      <c r="AP31" s="83">
        <v>0.16922187382824486</v>
      </c>
      <c r="AR31" s="83">
        <v>0.14287594394158901</v>
      </c>
      <c r="AT31" s="83">
        <v>0.11182085612175412</v>
      </c>
      <c r="AV31" s="83"/>
    </row>
    <row r="32" spans="1:49" x14ac:dyDescent="0.2">
      <c r="A32" t="s">
        <v>66</v>
      </c>
      <c r="B32" s="89">
        <v>11714820.670945669</v>
      </c>
      <c r="D32" s="89">
        <v>11600186.489621634</v>
      </c>
      <c r="F32" s="89">
        <v>11475303.135405658</v>
      </c>
      <c r="H32" s="89">
        <v>11338335.382158773</v>
      </c>
      <c r="J32" s="89">
        <v>11187062.246313373</v>
      </c>
      <c r="L32" s="89">
        <v>11018806.91083136</v>
      </c>
      <c r="N32" s="89">
        <v>10830377.229787894</v>
      </c>
      <c r="P32" s="89">
        <v>10618041.784827212</v>
      </c>
      <c r="R32" s="89">
        <v>10377599.370575542</v>
      </c>
      <c r="T32" s="89">
        <v>10104636.283911014</v>
      </c>
      <c r="V32" s="89">
        <v>9795124.0794866364</v>
      </c>
      <c r="X32" s="89">
        <v>9446575.1347104814</v>
      </c>
      <c r="Z32" s="89">
        <v>9059972.2826135121</v>
      </c>
      <c r="AB32" s="89">
        <v>8642634.032184761</v>
      </c>
      <c r="AD32" s="89">
        <v>8211902.5315994024</v>
      </c>
      <c r="AF32" s="89">
        <v>7799477.7659423398</v>
      </c>
      <c r="AH32" s="89">
        <v>7456706.8811170114</v>
      </c>
      <c r="AJ32" s="89">
        <v>7261336.9700588388</v>
      </c>
      <c r="AL32" s="89">
        <v>7317566.638983679</v>
      </c>
      <c r="AN32" s="89">
        <v>7746433.4445636421</v>
      </c>
      <c r="AP32" s="89">
        <v>7889695.9707874618</v>
      </c>
      <c r="AR32" s="89">
        <v>8051721.5780825242</v>
      </c>
      <c r="AT32" s="89">
        <v>8218621.4321690919</v>
      </c>
      <c r="AV32" s="89"/>
    </row>
    <row r="33" spans="1:49 16319:16321" x14ac:dyDescent="0.2">
      <c r="A33" t="s">
        <v>56</v>
      </c>
      <c r="B33" s="120">
        <v>6643090.9398583025</v>
      </c>
      <c r="D33" s="120">
        <v>6561922.4765817197</v>
      </c>
      <c r="F33" s="120">
        <v>6474894.7881660778</v>
      </c>
      <c r="H33" s="120">
        <v>6380981.0593105499</v>
      </c>
      <c r="J33" s="120">
        <v>6278944.3406420909</v>
      </c>
      <c r="L33" s="120">
        <v>6167300.594930796</v>
      </c>
      <c r="N33" s="120">
        <v>6044288.235437518</v>
      </c>
      <c r="P33" s="120">
        <v>5907856.3863120852</v>
      </c>
      <c r="R33" s="120">
        <v>5755703.0364610031</v>
      </c>
      <c r="T33" s="120">
        <v>5585409.8959521679</v>
      </c>
      <c r="V33" s="120">
        <v>5394748.7365894169</v>
      </c>
      <c r="X33" s="120">
        <v>5182260.7653404474</v>
      </c>
      <c r="Z33" s="120">
        <v>4948190.3685621889</v>
      </c>
      <c r="AB33" s="120">
        <v>4695813.0007663704</v>
      </c>
      <c r="AD33" s="120">
        <v>4432971.7092060586</v>
      </c>
      <c r="AF33" s="120">
        <v>4173514.6833635243</v>
      </c>
      <c r="AH33" s="120">
        <v>3938263.3124989499</v>
      </c>
      <c r="AJ33" s="120">
        <v>3754686.2616402837</v>
      </c>
      <c r="AL33" s="120">
        <v>3648255.473108748</v>
      </c>
      <c r="AN33" s="120">
        <v>3596547.4228643063</v>
      </c>
      <c r="AP33" s="120">
        <v>3574132.4232856082</v>
      </c>
      <c r="AR33" s="120">
        <v>3529450.6627393421</v>
      </c>
      <c r="AT33" s="120">
        <v>3430904.3343412234</v>
      </c>
      <c r="AV33" s="120"/>
    </row>
    <row r="34" spans="1:49 16319:16321" x14ac:dyDescent="0.2">
      <c r="A34" t="s">
        <v>77</v>
      </c>
      <c r="B34" s="120">
        <v>137664.28859559208</v>
      </c>
      <c r="D34" s="120">
        <v>131227.98696581181</v>
      </c>
      <c r="F34" s="120">
        <v>121825.81798855047</v>
      </c>
      <c r="H34" s="120">
        <v>108848.10904440854</v>
      </c>
      <c r="J34" s="120">
        <v>91527.558429305442</v>
      </c>
      <c r="L34" s="120">
        <v>68895.194262746489</v>
      </c>
      <c r="N34" s="120">
        <v>39725.984560981859</v>
      </c>
      <c r="P34" s="120">
        <v>2475.6150606134906</v>
      </c>
      <c r="R34" s="120">
        <v>-44787.458018228528</v>
      </c>
      <c r="T34" s="120">
        <v>-104442.5437367541</v>
      </c>
      <c r="V34" s="120">
        <v>-179350.39995666256</v>
      </c>
      <c r="X34" s="120">
        <v>-272834.99362415861</v>
      </c>
      <c r="Z34" s="120">
        <v>-388606.07417415566</v>
      </c>
      <c r="AB34" s="120">
        <v>-530706.50332507817</v>
      </c>
      <c r="AD34" s="120">
        <v>-703765.09634313453</v>
      </c>
      <c r="AF34" s="120">
        <v>-914350.55732815131</v>
      </c>
      <c r="AH34" s="120">
        <v>-1175351.4226291007</v>
      </c>
      <c r="AJ34" s="120">
        <v>-1518839.1139605627</v>
      </c>
      <c r="AL34" s="120">
        <v>-2039914.449578265</v>
      </c>
      <c r="AN34" s="120">
        <v>-3131947.0135065573</v>
      </c>
      <c r="AP34" s="120">
        <v>-3554585.484319265</v>
      </c>
      <c r="AR34" s="120">
        <v>-4155202.821112385</v>
      </c>
      <c r="AT34" s="120">
        <v>-5107213.2366352621</v>
      </c>
      <c r="AV34" s="120"/>
    </row>
    <row r="35" spans="1:49 16319:16321" x14ac:dyDescent="0.2">
      <c r="A35" t="s">
        <v>80</v>
      </c>
      <c r="B35" s="236">
        <v>1</v>
      </c>
      <c r="D35" s="236">
        <v>1.0013879646975996</v>
      </c>
      <c r="F35" s="236">
        <v>1.0032430412489304</v>
      </c>
      <c r="H35" s="236">
        <v>1.0056628544791162</v>
      </c>
      <c r="J35" s="236">
        <v>1.0087742168995693</v>
      </c>
      <c r="L35" s="236">
        <v>1.0127442388684436</v>
      </c>
      <c r="N35" s="236">
        <v>1.0177965708862753</v>
      </c>
      <c r="P35" s="236">
        <v>1.0242355104402288</v>
      </c>
      <c r="R35" s="236">
        <v>1.0324825810684584</v>
      </c>
      <c r="T35" s="236">
        <v>1.0431332208484987</v>
      </c>
      <c r="V35" s="236">
        <v>1.0570471856581838</v>
      </c>
      <c r="X35" s="236">
        <v>1.0754975071972033</v>
      </c>
      <c r="Z35" s="236">
        <v>1.1004266040127697</v>
      </c>
      <c r="AB35" s="236">
        <v>1.1349134726244599</v>
      </c>
      <c r="AD35" s="236">
        <v>1.1840882814038178</v>
      </c>
      <c r="AF35" s="236">
        <v>1.2571084701166824</v>
      </c>
      <c r="AH35" s="236">
        <v>1.371924008721517</v>
      </c>
      <c r="AJ35" s="236">
        <v>1.568090610111416</v>
      </c>
      <c r="AL35" s="236">
        <v>1.9491583219671071</v>
      </c>
      <c r="AN35" s="236">
        <v>2.9442752570200876</v>
      </c>
      <c r="AP35" s="236">
        <v>3.3842801879908677</v>
      </c>
      <c r="AR35" s="236">
        <v>4.0635518940110629</v>
      </c>
      <c r="AT35" s="236">
        <v>5.2840805278725691</v>
      </c>
      <c r="AV35" s="236"/>
    </row>
    <row r="36" spans="1:49 16319:16321" x14ac:dyDescent="0.2">
      <c r="A36" t="s">
        <v>21</v>
      </c>
      <c r="B36" s="37">
        <v>0.47796858982439155</v>
      </c>
      <c r="C36" s="38">
        <v>0.17068593284758601</v>
      </c>
      <c r="D36" s="37">
        <v>0.47797611943736928</v>
      </c>
      <c r="E36" s="38">
        <v>0.17198922874913514</v>
      </c>
      <c r="F36" s="37">
        <v>0.4779809684698979</v>
      </c>
      <c r="G36" s="38">
        <v>0.17337326845444742</v>
      </c>
      <c r="H36" s="37">
        <v>0.47798234613130253</v>
      </c>
      <c r="I36" s="38">
        <v>0.17484410090760213</v>
      </c>
      <c r="J36" s="37">
        <v>0.47797929385832372</v>
      </c>
      <c r="K36" s="38">
        <v>0.17640769928848116</v>
      </c>
      <c r="L36" s="37">
        <v>0.47797067518197817</v>
      </c>
      <c r="M36" s="38">
        <v>0.17806960694771207</v>
      </c>
      <c r="N36" s="37">
        <v>0.47795519950327442</v>
      </c>
      <c r="O36" s="38">
        <v>0.17983440382763882</v>
      </c>
      <c r="P36" s="37">
        <v>0.47793153170237407</v>
      </c>
      <c r="Q36" s="38">
        <v>0.18170506331518238</v>
      </c>
      <c r="R36" s="37">
        <v>0.47789858765152193</v>
      </c>
      <c r="S36" s="38">
        <v>0.18368226388981529</v>
      </c>
      <c r="T36" s="37">
        <v>0.47785623065598543</v>
      </c>
      <c r="U36" s="38">
        <v>0.18576415592890425</v>
      </c>
      <c r="V36" s="37">
        <v>0.47780679916587032</v>
      </c>
      <c r="W36" s="38">
        <v>0.18794773963206976</v>
      </c>
      <c r="X36" s="37">
        <v>0.47775832264953255</v>
      </c>
      <c r="Y36" s="38">
        <v>0.19023437862152137</v>
      </c>
      <c r="Z36" s="37">
        <v>0.4777311216056766</v>
      </c>
      <c r="AA36" s="38">
        <v>0.19264480002630993</v>
      </c>
      <c r="AB36" s="37">
        <v>0.47777120193484945</v>
      </c>
      <c r="AC36" s="38">
        <v>0.19525369571117179</v>
      </c>
      <c r="AD36" s="37">
        <v>0.47797751390886239</v>
      </c>
      <c r="AE36" s="38">
        <v>0.19826397006752125</v>
      </c>
      <c r="AF36" s="37">
        <v>0.47855939208643761</v>
      </c>
      <c r="AG36" s="38">
        <v>0.20216225968574947</v>
      </c>
      <c r="AH36" s="37">
        <v>0.47996667040770818</v>
      </c>
      <c r="AI36" s="38">
        <v>0.20805560901238723</v>
      </c>
      <c r="AJ36" s="37">
        <v>0.48321156677410076</v>
      </c>
      <c r="AK36" s="38">
        <v>0.21844020907650241</v>
      </c>
      <c r="AL36" s="37">
        <v>0.49079230672059582</v>
      </c>
      <c r="AM36" s="38">
        <v>0.23915578905016954</v>
      </c>
      <c r="AN36" s="37">
        <v>0.51157200552081772</v>
      </c>
      <c r="AO36" s="38">
        <v>0.28862347145426331</v>
      </c>
      <c r="AP36" s="37">
        <v>0.52036824270402815</v>
      </c>
      <c r="AQ36" s="38">
        <v>0.30775046925900013</v>
      </c>
      <c r="AR36" s="37">
        <v>0.53333020095105255</v>
      </c>
      <c r="AS36" s="38">
        <v>0.33457373906975563</v>
      </c>
      <c r="AT36" s="37">
        <v>0.5549421621024565</v>
      </c>
      <c r="AU36" s="38">
        <v>0.37655072317847071</v>
      </c>
      <c r="AV36" s="37"/>
      <c r="AW36" s="38"/>
    </row>
    <row r="37" spans="1:49 16319:16321" x14ac:dyDescent="0.2">
      <c r="B37" s="39">
        <v>2.2053138497826009E-2</v>
      </c>
      <c r="C37" s="40">
        <v>0.48867583383045654</v>
      </c>
      <c r="D37" s="39">
        <v>2.1635703032222897E-2</v>
      </c>
      <c r="E37" s="40">
        <v>0.48643174781841952</v>
      </c>
      <c r="F37" s="39">
        <v>2.1209465247519498E-2</v>
      </c>
      <c r="G37" s="40">
        <v>0.48414104163580429</v>
      </c>
      <c r="H37" s="39">
        <v>2.0774572744895126E-2</v>
      </c>
      <c r="I37" s="40">
        <v>0.48180489172022029</v>
      </c>
      <c r="J37" s="39">
        <v>2.0331373410421724E-2</v>
      </c>
      <c r="K37" s="40">
        <v>0.47942561050674359</v>
      </c>
      <c r="L37" s="39">
        <v>1.9880488540096226E-2</v>
      </c>
      <c r="M37" s="40">
        <v>0.47700703945549161</v>
      </c>
      <c r="N37" s="39">
        <v>1.942290535822579E-2</v>
      </c>
      <c r="O37" s="40">
        <v>0.47455503992270726</v>
      </c>
      <c r="P37" s="39">
        <v>1.8960059910586299E-2</v>
      </c>
      <c r="Q37" s="40">
        <v>0.47207792231612822</v>
      </c>
      <c r="R37" s="39">
        <v>1.8493891971784606E-2</v>
      </c>
      <c r="S37" s="40">
        <v>0.46958671104354704</v>
      </c>
      <c r="T37" s="39">
        <v>1.8026768703420182E-2</v>
      </c>
      <c r="U37" s="40">
        <v>0.46709468988803771</v>
      </c>
      <c r="V37" s="39">
        <v>1.7561087556938963E-2</v>
      </c>
      <c r="W37" s="40">
        <v>0.46461522068620881</v>
      </c>
      <c r="X37" s="39">
        <v>1.7098200532817229E-2</v>
      </c>
      <c r="Y37" s="40">
        <v>0.46215595249042868</v>
      </c>
      <c r="Z37" s="39">
        <v>1.6635974423657225E-2</v>
      </c>
      <c r="AA37" s="40">
        <v>0.45970584536037817</v>
      </c>
      <c r="AB37" s="39">
        <v>1.6163878239389907E-2</v>
      </c>
      <c r="AC37" s="40">
        <v>0.45720929320557485</v>
      </c>
      <c r="AD37" s="39">
        <v>1.5653763844910039E-2</v>
      </c>
      <c r="AE37" s="40">
        <v>0.45451805493611525</v>
      </c>
      <c r="AF37" s="39">
        <v>1.5043839368631261E-2</v>
      </c>
      <c r="AG37" s="40">
        <v>0.45130901783371058</v>
      </c>
      <c r="AH37" s="39">
        <v>1.4213933313135486E-2</v>
      </c>
      <c r="AI37" s="40">
        <v>0.44696201842108768</v>
      </c>
      <c r="AJ37" s="39">
        <v>1.2961264083681931E-2</v>
      </c>
      <c r="AK37" s="40">
        <v>0.4404612044141395</v>
      </c>
      <c r="AL37" s="39">
        <v>1.1022792129337999E-2</v>
      </c>
      <c r="AM37" s="40">
        <v>0.43060601270723931</v>
      </c>
      <c r="AN37" s="39">
        <v>8.1005019226007263E-3</v>
      </c>
      <c r="AO37" s="40">
        <v>0.41645107898413947</v>
      </c>
      <c r="AP37" s="39">
        <v>7.3403913905582029E-3</v>
      </c>
      <c r="AQ37" s="40">
        <v>0.41296043064630722</v>
      </c>
      <c r="AR37" s="39">
        <v>6.4827392165631879E-3</v>
      </c>
      <c r="AS37" s="40">
        <v>0.40914446557970574</v>
      </c>
      <c r="AT37" s="39">
        <v>5.4758934033176708E-3</v>
      </c>
      <c r="AU37" s="40">
        <v>0.4048596383023419</v>
      </c>
      <c r="AV37" s="39"/>
      <c r="AW37" s="40"/>
    </row>
    <row r="38" spans="1:49 16319:16321" x14ac:dyDescent="0.2">
      <c r="A38" t="s">
        <v>22</v>
      </c>
      <c r="B38" s="37">
        <v>0.14928344905798796</v>
      </c>
      <c r="C38" s="38">
        <v>3.7916652170162192E-2</v>
      </c>
      <c r="D38" s="37">
        <v>0.14953259474944647</v>
      </c>
      <c r="E38" s="38">
        <v>3.8132455644854256E-2</v>
      </c>
      <c r="F38" s="37">
        <v>0.14980010616046638</v>
      </c>
      <c r="G38" s="38">
        <v>3.8362061166295619E-2</v>
      </c>
      <c r="H38" s="37">
        <v>0.15008791685902267</v>
      </c>
      <c r="I38" s="38">
        <v>3.8606580942403892E-2</v>
      </c>
      <c r="J38" s="37">
        <v>0.15039811170947781</v>
      </c>
      <c r="K38" s="38">
        <v>3.8867138168002503E-2</v>
      </c>
      <c r="L38" s="37">
        <v>0.15073287497125873</v>
      </c>
      <c r="M38" s="38">
        <v>3.9144803979587472E-2</v>
      </c>
      <c r="N38" s="37">
        <v>0.15109437878240659</v>
      </c>
      <c r="O38" s="38">
        <v>3.9440532763654661E-2</v>
      </c>
      <c r="P38" s="37">
        <v>0.15148459205272122</v>
      </c>
      <c r="Q38" s="38">
        <v>3.9755014061571947E-2</v>
      </c>
      <c r="R38" s="37">
        <v>0.15190494660866852</v>
      </c>
      <c r="S38" s="38">
        <v>4.0088550979152558E-2</v>
      </c>
      <c r="T38" s="37">
        <v>0.15235581132045548</v>
      </c>
      <c r="U38" s="38">
        <v>4.0440961475345365E-2</v>
      </c>
      <c r="V38" s="37">
        <v>0.15283570682315173</v>
      </c>
      <c r="W38" s="38">
        <v>4.0811619246168045E-2</v>
      </c>
      <c r="X38" s="37">
        <v>0.15334017721631446</v>
      </c>
      <c r="Y38" s="38">
        <v>4.1200113040632508E-2</v>
      </c>
      <c r="Z38" s="37">
        <v>0.15386025977241408</v>
      </c>
      <c r="AA38" s="38">
        <v>4.160805597342996E-2</v>
      </c>
      <c r="AB38" s="37">
        <v>0.15438030779733999</v>
      </c>
      <c r="AC38" s="38">
        <v>4.2043600040320504E-2</v>
      </c>
      <c r="AD38" s="37">
        <v>0.1548745732760772</v>
      </c>
      <c r="AE38" s="38">
        <v>4.2531058094592025E-2</v>
      </c>
      <c r="AF38" s="37">
        <v>0.15530028430334716</v>
      </c>
      <c r="AG38" s="38">
        <v>4.3131085473812489E-2</v>
      </c>
      <c r="AH38" s="37">
        <v>0.15558020340039344</v>
      </c>
      <c r="AI38" s="38">
        <v>4.3982882752301576E-2</v>
      </c>
      <c r="AJ38" s="37">
        <v>0.1555522800223674</v>
      </c>
      <c r="AK38" s="38">
        <v>4.5394388215739837E-2</v>
      </c>
      <c r="AL38" s="37">
        <v>0.1548057844102404</v>
      </c>
      <c r="AM38" s="38">
        <v>4.8043803452156475E-2</v>
      </c>
      <c r="AN38" s="37">
        <v>0.15179699672214428</v>
      </c>
      <c r="AO38" s="38">
        <v>5.3806211071088753E-2</v>
      </c>
      <c r="AP38" s="37">
        <v>0.15039361813799995</v>
      </c>
      <c r="AQ38" s="38">
        <v>5.5852154490790062E-2</v>
      </c>
      <c r="AR38" s="37">
        <v>0.1482944406612077</v>
      </c>
      <c r="AS38" s="38">
        <v>5.8567284559726963E-2</v>
      </c>
      <c r="AT38" s="37">
        <v>0.14483939993746375</v>
      </c>
      <c r="AU38" s="38">
        <v>6.2489176817623872E-2</v>
      </c>
      <c r="AV38" s="37"/>
      <c r="AW38" s="38"/>
    </row>
    <row r="39" spans="1:49 16319:16321" x14ac:dyDescent="0.2">
      <c r="A39" t="s">
        <v>23</v>
      </c>
      <c r="B39" s="39">
        <v>0.22700160168381014</v>
      </c>
      <c r="C39" s="40">
        <v>0.18696331369363389</v>
      </c>
      <c r="D39" s="39">
        <v>0.2270984888822479</v>
      </c>
      <c r="E39" s="40">
        <v>0.18791079573466365</v>
      </c>
      <c r="F39" s="39">
        <v>0.22720179371514226</v>
      </c>
      <c r="G39" s="40">
        <v>0.1889163346322085</v>
      </c>
      <c r="H39" s="39">
        <v>0.22731208483011731</v>
      </c>
      <c r="I39" s="40">
        <v>0.18998419984369755</v>
      </c>
      <c r="J39" s="39">
        <v>0.2274299512842656</v>
      </c>
      <c r="K39" s="40">
        <v>0.19111858609085008</v>
      </c>
      <c r="L39" s="39">
        <v>0.22755597837543798</v>
      </c>
      <c r="M39" s="40">
        <v>0.19232336534248864</v>
      </c>
      <c r="N39" s="39">
        <v>0.22769070830846069</v>
      </c>
      <c r="O39" s="40">
        <v>0.19360166085235184</v>
      </c>
      <c r="P39" s="39">
        <v>0.22783458003502929</v>
      </c>
      <c r="Q39" s="40">
        <v>0.19495542721898795</v>
      </c>
      <c r="R39" s="39">
        <v>0.22798784884599516</v>
      </c>
      <c r="S39" s="40">
        <v>0.19638491090032056</v>
      </c>
      <c r="T39" s="39">
        <v>0.22815049656385486</v>
      </c>
      <c r="U39" s="40">
        <v>0.19788844031461961</v>
      </c>
      <c r="V39" s="39">
        <v>0.22832217466480256</v>
      </c>
      <c r="W39" s="40">
        <v>0.19946339530693594</v>
      </c>
      <c r="X39" s="39">
        <v>0.22850229067810643</v>
      </c>
      <c r="Y39" s="40">
        <v>0.20110988939914304</v>
      </c>
      <c r="Z39" s="39">
        <v>0.22869046564286316</v>
      </c>
      <c r="AA39" s="40">
        <v>0.20284114351016655</v>
      </c>
      <c r="AB39" s="39">
        <v>0.22888781937746661</v>
      </c>
      <c r="AC39" s="40">
        <v>0.20470716327815572</v>
      </c>
      <c r="AD39" s="39">
        <v>0.22909990223859056</v>
      </c>
      <c r="AE39" s="40">
        <v>0.20684561924378089</v>
      </c>
      <c r="AF39" s="39">
        <v>0.2293429461164109</v>
      </c>
      <c r="AG39" s="40">
        <v>0.209587198099358</v>
      </c>
      <c r="AH39" s="39">
        <v>0.22965716384414964</v>
      </c>
      <c r="AI39" s="40">
        <v>0.21368019879849026</v>
      </c>
      <c r="AJ39" s="39">
        <v>0.23013626662427417</v>
      </c>
      <c r="AK39" s="40">
        <v>0.22078741074017735</v>
      </c>
      <c r="AL39" s="39">
        <v>0.2310007270100099</v>
      </c>
      <c r="AM39" s="40">
        <v>0.23467578044079043</v>
      </c>
      <c r="AN39" s="39">
        <v>0.23294200091758144</v>
      </c>
      <c r="AO39" s="40">
        <v>0.26652782017476728</v>
      </c>
      <c r="AP39" s="39">
        <v>0.2336768968159996</v>
      </c>
      <c r="AQ39" s="40">
        <v>0.2783882365898111</v>
      </c>
      <c r="AR39" s="39">
        <v>0.23470380031670601</v>
      </c>
      <c r="AS39" s="40">
        <v>0.29462561095088452</v>
      </c>
      <c r="AT39" s="39">
        <v>0.23631698519479188</v>
      </c>
      <c r="AU39" s="40">
        <v>0.31917339317868404</v>
      </c>
      <c r="AV39" s="39"/>
      <c r="AW39" s="40"/>
    </row>
    <row r="40" spans="1:49 16319:16321" x14ac:dyDescent="0.2">
      <c r="B40" s="138"/>
      <c r="C40" s="138"/>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138"/>
      <c r="AB40" s="138"/>
      <c r="AC40" s="138"/>
      <c r="AD40" s="138"/>
      <c r="AE40" s="138"/>
      <c r="AF40" s="138"/>
      <c r="AG40" s="138"/>
      <c r="AH40" s="138"/>
      <c r="AI40" s="138"/>
      <c r="AJ40" s="138"/>
      <c r="AK40" s="138"/>
      <c r="AL40" s="138"/>
      <c r="AM40" s="138"/>
      <c r="AN40" s="138"/>
      <c r="AO40" s="138"/>
      <c r="AP40" s="138"/>
      <c r="AQ40" s="138"/>
      <c r="AR40" s="138"/>
      <c r="AS40" s="138"/>
      <c r="AT40" s="138"/>
      <c r="AU40" s="138"/>
    </row>
    <row r="41" spans="1:49 16319:16321" x14ac:dyDescent="0.2">
      <c r="B41" s="138"/>
      <c r="C41" s="138"/>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138"/>
      <c r="AB41" s="138"/>
      <c r="AC41" s="138"/>
      <c r="AD41" s="138"/>
      <c r="AE41" s="138"/>
      <c r="AF41" s="138"/>
      <c r="AG41" s="138"/>
      <c r="AH41" s="138"/>
      <c r="AI41" s="138"/>
      <c r="AJ41" s="138"/>
      <c r="AK41" s="138"/>
      <c r="AL41" s="138"/>
      <c r="AM41" s="138"/>
      <c r="AN41" s="138"/>
      <c r="AO41" s="138"/>
      <c r="AP41" s="138"/>
      <c r="AQ41" s="138"/>
      <c r="AR41" s="138"/>
      <c r="AS41" s="138"/>
      <c r="AT41" s="138"/>
      <c r="AU41" s="138"/>
    </row>
    <row r="42" spans="1:49 16319:16321" x14ac:dyDescent="0.2">
      <c r="A42" t="s">
        <v>110</v>
      </c>
      <c r="B42" s="180">
        <v>0.10800000000000001</v>
      </c>
      <c r="C42" s="138"/>
      <c r="D42" s="180">
        <v>0.11517920551181277</v>
      </c>
      <c r="E42" s="138"/>
      <c r="F42" s="180">
        <v>0.12337375902638689</v>
      </c>
      <c r="G42" s="138"/>
      <c r="H42" s="180">
        <v>0.13278770570860476</v>
      </c>
      <c r="I42" s="138"/>
      <c r="J42" s="180">
        <v>0.14367432332128854</v>
      </c>
      <c r="K42" s="138"/>
      <c r="L42" s="180">
        <v>0.15634795531858942</v>
      </c>
      <c r="M42" s="138"/>
      <c r="N42" s="180">
        <v>0.17119715945189029</v>
      </c>
      <c r="O42" s="138"/>
      <c r="P42" s="180">
        <v>0.18869736820132699</v>
      </c>
      <c r="Q42" s="138"/>
      <c r="R42" s="180">
        <v>0.20941922145333419</v>
      </c>
      <c r="S42" s="138"/>
      <c r="T42" s="180">
        <v>0.23402500394728579</v>
      </c>
      <c r="U42" s="138"/>
      <c r="V42" s="180">
        <v>0.26324114555820255</v>
      </c>
      <c r="W42" s="138"/>
      <c r="X42" s="180">
        <v>0.2977904758902431</v>
      </c>
      <c r="Y42" s="165"/>
      <c r="Z42" s="180">
        <v>0.3382714516107389</v>
      </c>
      <c r="AA42" s="138"/>
      <c r="AB42" s="180">
        <v>0.38499006174485251</v>
      </c>
      <c r="AC42" s="138"/>
      <c r="AD42" s="180">
        <v>0.43780071194250025</v>
      </c>
      <c r="AE42" s="138"/>
      <c r="AF42" s="180">
        <v>0.49608552293621311</v>
      </c>
      <c r="AG42" s="138"/>
      <c r="AH42" s="180">
        <v>0.55906356508977639</v>
      </c>
      <c r="AI42" s="138"/>
      <c r="AJ42" s="180">
        <v>0.62660510066794084</v>
      </c>
      <c r="AK42" s="138"/>
      <c r="AL42" s="180">
        <v>0.70110615162975209</v>
      </c>
      <c r="AM42" s="138"/>
      <c r="AN42" s="180">
        <v>0.7944938214322651</v>
      </c>
      <c r="AO42" s="138"/>
      <c r="AP42" s="180">
        <v>0.81869062404300097</v>
      </c>
      <c r="AQ42" s="138"/>
      <c r="AR42" s="180">
        <v>0.84656610093584528</v>
      </c>
      <c r="AS42" s="138"/>
      <c r="AT42" s="180">
        <v>0.8800826770936141</v>
      </c>
      <c r="AU42" s="138"/>
      <c r="AV42" s="180">
        <v>1</v>
      </c>
    </row>
    <row r="43" spans="1:49 16319:16321" x14ac:dyDescent="0.2">
      <c r="A43" t="s">
        <v>111</v>
      </c>
      <c r="B43" s="165">
        <v>0.60327031657597174</v>
      </c>
      <c r="C43" s="138"/>
      <c r="D43" s="165">
        <v>0.60876661891924777</v>
      </c>
      <c r="E43" s="138"/>
      <c r="F43" s="165">
        <v>0.6091479919380981</v>
      </c>
      <c r="G43" s="138"/>
      <c r="H43" s="165">
        <v>0.60958965532503862</v>
      </c>
      <c r="I43" s="138"/>
      <c r="J43" s="165">
        <v>0.61009830937529352</v>
      </c>
      <c r="K43" s="138"/>
      <c r="L43" s="165">
        <v>0.61068106986769299</v>
      </c>
      <c r="M43" s="138"/>
      <c r="N43" s="165">
        <v>0.61134513804808688</v>
      </c>
      <c r="O43" s="138"/>
      <c r="P43" s="165">
        <v>0.61209720326657691</v>
      </c>
      <c r="Q43" s="138"/>
      <c r="R43" s="165">
        <v>0.61294234534386338</v>
      </c>
      <c r="S43" s="138"/>
      <c r="T43" s="165">
        <v>0.6138822118024192</v>
      </c>
      <c r="U43" s="138"/>
      <c r="V43" s="165">
        <v>0.6149121151667809</v>
      </c>
      <c r="W43" s="138"/>
      <c r="X43" s="165">
        <v>0.61601652164975884</v>
      </c>
      <c r="Y43" s="138"/>
      <c r="Z43" s="165">
        <v>0.61716226402996865</v>
      </c>
      <c r="AA43" s="138"/>
      <c r="AB43" s="165">
        <v>0.61828796027976995</v>
      </c>
      <c r="AC43" s="138"/>
      <c r="AD43" s="165">
        <v>0.61928631842921267</v>
      </c>
      <c r="AE43" s="138"/>
      <c r="AF43" s="165">
        <v>0.61996928103632998</v>
      </c>
      <c r="AG43" s="138"/>
      <c r="AH43" s="165">
        <v>0.61998399370895707</v>
      </c>
      <c r="AI43" s="138"/>
      <c r="AJ43" s="165">
        <v>0.61857144389476382</v>
      </c>
      <c r="AK43" s="138"/>
      <c r="AL43" s="165">
        <v>0.61376894769276225</v>
      </c>
      <c r="AM43" s="138"/>
      <c r="AN43" s="165">
        <v>0.5981581507413829</v>
      </c>
      <c r="AO43" s="138"/>
      <c r="AP43" s="165">
        <v>0.59116255246104554</v>
      </c>
      <c r="AQ43" s="138"/>
      <c r="AR43" s="165">
        <v>0.58072338202789764</v>
      </c>
      <c r="AS43" s="138"/>
      <c r="AT43" s="165">
        <v>0.56334633395994216</v>
      </c>
      <c r="AU43" s="138"/>
      <c r="AV43" s="165" t="e">
        <v>#DIV/0!</v>
      </c>
    </row>
    <row r="44" spans="1:49 16319:16321" x14ac:dyDescent="0.2">
      <c r="A44" t="s">
        <v>145</v>
      </c>
      <c r="B44" s="196">
        <v>0.21620509429616297</v>
      </c>
      <c r="D44" s="196">
        <v>0.21759844907634654</v>
      </c>
      <c r="F44" s="196">
        <v>0.21902624901774864</v>
      </c>
      <c r="H44" s="196">
        <v>0.22049297325117101</v>
      </c>
      <c r="J44" s="196">
        <v>0.22200394375092877</v>
      </c>
      <c r="L44" s="196">
        <v>0.22356557793930362</v>
      </c>
      <c r="N44" s="196">
        <v>0.22518574267703681</v>
      </c>
      <c r="P44" s="196">
        <v>0.22687440488739491</v>
      </c>
      <c r="R44" s="196">
        <v>0.22864472666512187</v>
      </c>
      <c r="T44" s="196">
        <v>0.2305151827837367</v>
      </c>
      <c r="V44" s="196">
        <v>0.23251373604111153</v>
      </c>
      <c r="X44" s="196">
        <v>0.23468612605975744</v>
      </c>
      <c r="Z44" s="196">
        <v>0.23711277883262719</v>
      </c>
      <c r="AB44" s="196">
        <v>0.23994109452952167</v>
      </c>
      <c r="AD44" s="196">
        <v>0.24344958898122523</v>
      </c>
      <c r="AF44" s="196">
        <v>0.24817051526769743</v>
      </c>
      <c r="AH44" s="196">
        <v>0.25512184783329478</v>
      </c>
      <c r="AJ44" s="196">
        <v>0.26619313388488036</v>
      </c>
      <c r="AL44" s="196">
        <v>0.2847110356759171</v>
      </c>
      <c r="AN44" s="196">
        <v>0.31898802786256908</v>
      </c>
      <c r="AP44" s="196">
        <v>0.33025963344697923</v>
      </c>
      <c r="AR44" s="196">
        <v>0.34492499615127598</v>
      </c>
      <c r="AT44" s="196">
        <v>0.36581736056766051</v>
      </c>
      <c r="AV44" s="196" t="e">
        <v>#DIV/0!</v>
      </c>
    </row>
    <row r="45" spans="1:49 16319:16321" x14ac:dyDescent="0.2">
      <c r="A45" t="s">
        <v>84</v>
      </c>
      <c r="B45" s="196">
        <v>0.20445380142857192</v>
      </c>
      <c r="D45" s="196">
        <v>0.20628587344808247</v>
      </c>
      <c r="F45" s="196">
        <v>0.20840990045152458</v>
      </c>
      <c r="H45" s="196">
        <v>0.21089296536856028</v>
      </c>
      <c r="J45" s="196">
        <v>0.21382238934333908</v>
      </c>
      <c r="L45" s="196">
        <v>0.21731306849610582</v>
      </c>
      <c r="N45" s="196">
        <v>0.22151772782232618</v>
      </c>
      <c r="P45" s="196">
        <v>0.22664125313391895</v>
      </c>
      <c r="R45" s="196">
        <v>0.2329605088049892</v>
      </c>
      <c r="T45" s="196">
        <v>0.24085128403490705</v>
      </c>
      <c r="V45" s="196">
        <v>0.25082390735708965</v>
      </c>
      <c r="X45" s="196">
        <v>0.26356802132163432</v>
      </c>
      <c r="Z45" s="196">
        <v>0.28000541272289942</v>
      </c>
      <c r="AB45" s="196">
        <v>0.301346737918881</v>
      </c>
      <c r="AD45" s="196">
        <v>0.32915020386736721</v>
      </c>
      <c r="AF45" s="196">
        <v>0.3654027947570766</v>
      </c>
      <c r="AH45" s="196">
        <v>0.41274523860992585</v>
      </c>
      <c r="AJ45" s="196">
        <v>0.475361103946495</v>
      </c>
      <c r="AL45" s="196">
        <v>0.56348054338505138</v>
      </c>
      <c r="AN45" s="196">
        <v>0.72329628609778596</v>
      </c>
      <c r="AP45" s="196">
        <v>0.78079479950160802</v>
      </c>
      <c r="AR45" s="196">
        <v>0.86098889389249977</v>
      </c>
      <c r="AT45" s="196">
        <v>0.98723705714168142</v>
      </c>
      <c r="AV45" s="196" t="e">
        <v>#DIV/0!</v>
      </c>
      <c r="XCQ45" s="196"/>
    </row>
    <row r="46" spans="1:49 16319:16321" x14ac:dyDescent="0.2">
      <c r="A46" t="s">
        <v>142</v>
      </c>
      <c r="B46" s="196">
        <v>1.1751292867591055E-2</v>
      </c>
      <c r="D46" s="196">
        <v>1.1312575628264069E-2</v>
      </c>
      <c r="F46" s="196">
        <v>1.0616348566224072E-2</v>
      </c>
      <c r="H46" s="196">
        <v>9.6000078826107456E-3</v>
      </c>
      <c r="J46" s="196">
        <v>8.1815544075896952E-3</v>
      </c>
      <c r="L46" s="196">
        <v>6.2525094431978212E-3</v>
      </c>
      <c r="N46" s="196">
        <v>3.6680148547106393E-3</v>
      </c>
      <c r="P46" s="196">
        <v>2.3315175347596133E-4</v>
      </c>
      <c r="R46" s="196">
        <v>-4.3157821398673458E-3</v>
      </c>
      <c r="T46" s="196">
        <v>-1.0336101251170366E-2</v>
      </c>
      <c r="V46" s="196">
        <v>-1.8310171315978094E-2</v>
      </c>
      <c r="X46" s="196">
        <v>-2.8881895261876882E-2</v>
      </c>
      <c r="Z46" s="196">
        <v>-4.2892633890272258E-2</v>
      </c>
      <c r="AB46" s="196">
        <v>-6.1405643389359332E-2</v>
      </c>
      <c r="AD46" s="196">
        <v>-8.5700614886141946E-2</v>
      </c>
      <c r="AF46" s="196">
        <v>-0.1172322794893792</v>
      </c>
      <c r="AH46" s="196">
        <v>-0.15762339077663109</v>
      </c>
      <c r="AJ46" s="196">
        <v>-0.20916797006161464</v>
      </c>
      <c r="AL46" s="196">
        <v>-0.27876950770913433</v>
      </c>
      <c r="AN46" s="196">
        <v>-0.40430825823521682</v>
      </c>
      <c r="AP46" s="196">
        <v>-0.45053516605462879</v>
      </c>
      <c r="AR46" s="196">
        <v>-0.51606389774122385</v>
      </c>
      <c r="AT46" s="196">
        <v>-0.62141969657402085</v>
      </c>
      <c r="AV46" s="196" t="e">
        <v>#DIV/0!</v>
      </c>
      <c r="XCS46" s="196"/>
    </row>
    <row r="48" spans="1:49 16319:16321" x14ac:dyDescent="0.2">
      <c r="A48" t="s">
        <v>162</v>
      </c>
      <c r="B48" s="194">
        <v>1</v>
      </c>
      <c r="C48" s="194"/>
      <c r="D48" s="194">
        <v>1</v>
      </c>
      <c r="E48" s="194"/>
      <c r="F48" s="194">
        <v>1</v>
      </c>
      <c r="G48" s="194"/>
      <c r="H48" s="194">
        <v>1</v>
      </c>
      <c r="I48" s="194"/>
      <c r="J48" s="194">
        <v>1</v>
      </c>
      <c r="K48" s="194"/>
      <c r="L48" s="194">
        <v>1</v>
      </c>
      <c r="M48" s="194"/>
      <c r="N48" s="194">
        <v>1</v>
      </c>
      <c r="O48" s="194"/>
      <c r="P48" s="194">
        <v>1</v>
      </c>
      <c r="Q48" s="194"/>
      <c r="R48" s="194">
        <v>1</v>
      </c>
      <c r="S48" s="194"/>
      <c r="T48" s="194">
        <v>1</v>
      </c>
      <c r="U48" s="194"/>
      <c r="V48" s="194">
        <v>1</v>
      </c>
      <c r="W48" s="194"/>
      <c r="X48" s="194">
        <v>1</v>
      </c>
      <c r="Y48" s="194"/>
      <c r="Z48" s="194">
        <v>1</v>
      </c>
      <c r="AA48" s="194"/>
      <c r="AB48" s="194">
        <v>1</v>
      </c>
      <c r="AC48" s="194"/>
      <c r="AD48" s="194">
        <v>1</v>
      </c>
      <c r="AE48" s="194"/>
      <c r="AF48" s="194">
        <v>1</v>
      </c>
      <c r="AG48" s="194"/>
      <c r="AH48" s="194">
        <v>1</v>
      </c>
      <c r="AI48" s="194"/>
      <c r="AJ48" s="194">
        <v>1</v>
      </c>
      <c r="AK48" s="194"/>
      <c r="AL48" s="194">
        <v>1</v>
      </c>
      <c r="AM48" s="194"/>
      <c r="AN48" s="194">
        <v>1</v>
      </c>
      <c r="AO48" s="194"/>
      <c r="AP48" s="194">
        <v>1</v>
      </c>
      <c r="AQ48" s="194"/>
      <c r="AR48" s="194">
        <v>1</v>
      </c>
      <c r="AS48" s="194"/>
      <c r="AT48" s="194">
        <v>1</v>
      </c>
      <c r="AU48" s="194"/>
      <c r="AV48" s="194">
        <v>0</v>
      </c>
    </row>
    <row r="49" spans="1:48 16321:16384" x14ac:dyDescent="0.2">
      <c r="A49" t="s">
        <v>163</v>
      </c>
      <c r="B49" s="194">
        <v>1</v>
      </c>
      <c r="C49" s="194"/>
      <c r="D49" s="194">
        <v>0.99358487073266955</v>
      </c>
      <c r="E49" s="194"/>
      <c r="F49" s="194">
        <v>0.98677945665571598</v>
      </c>
      <c r="G49" s="194"/>
      <c r="H49" s="194">
        <v>0.97954996677634942</v>
      </c>
      <c r="I49" s="194"/>
      <c r="J49" s="194">
        <v>0.97186169875638362</v>
      </c>
      <c r="K49" s="194"/>
      <c r="L49" s="194">
        <v>0.96368068586230027</v>
      </c>
      <c r="M49" s="194"/>
      <c r="N49" s="194">
        <v>0.95497657735722641</v>
      </c>
      <c r="O49" s="194"/>
      <c r="P49" s="194">
        <v>0.94572700484014627</v>
      </c>
      <c r="Q49" s="194"/>
      <c r="R49" s="194">
        <v>0.93592429176025449</v>
      </c>
      <c r="S49" s="194"/>
      <c r="T49" s="194">
        <v>0.92558466340521606</v>
      </c>
      <c r="U49" s="194"/>
      <c r="V49" s="194">
        <v>0.91475964836135415</v>
      </c>
      <c r="W49" s="194"/>
      <c r="X49" s="194">
        <v>0.90354815274846356</v>
      </c>
      <c r="Y49" s="194"/>
      <c r="Z49" s="194">
        <v>0.89210472259615703</v>
      </c>
      <c r="AA49" s="194"/>
      <c r="AB49" s="194">
        <v>0.8806380045236033</v>
      </c>
      <c r="AC49" s="194"/>
      <c r="AD49" s="194">
        <v>0.86939017803176755</v>
      </c>
      <c r="AE49" s="194"/>
      <c r="AF49" s="194">
        <v>0.85859176723157449</v>
      </c>
      <c r="AG49" s="194"/>
      <c r="AH49" s="194">
        <v>0.84839139832389276</v>
      </c>
      <c r="AI49" s="194"/>
      <c r="AJ49" s="194">
        <v>0.8387701814910935</v>
      </c>
      <c r="AK49" s="194"/>
      <c r="AL49" s="194">
        <v>0.82939993624050012</v>
      </c>
      <c r="AM49" s="194"/>
      <c r="AN49" s="194">
        <v>0.81909320495723581</v>
      </c>
      <c r="AO49" s="194"/>
      <c r="AP49" s="194">
        <v>0.8166395214602602</v>
      </c>
      <c r="AQ49" s="194"/>
      <c r="AR49" s="194">
        <v>0.81390981957945396</v>
      </c>
      <c r="AS49" s="194"/>
      <c r="AT49" s="194">
        <v>0.81075573287888458</v>
      </c>
      <c r="AU49" s="194"/>
      <c r="AV49" s="194" t="e">
        <v>#DIV/0!</v>
      </c>
    </row>
    <row r="51" spans="1:48 16321:16384" x14ac:dyDescent="0.2">
      <c r="A51" t="s">
        <v>169</v>
      </c>
      <c r="B51" s="29">
        <v>898591.45196639095</v>
      </c>
      <c r="D51" s="29">
        <v>909937.72594593884</v>
      </c>
      <c r="F51" s="29">
        <v>920556.71277484437</v>
      </c>
      <c r="H51" s="29">
        <v>930290.34714015992</v>
      </c>
      <c r="J51" s="29">
        <v>938940.23882705765</v>
      </c>
      <c r="L51" s="29">
        <v>946258.7694800552</v>
      </c>
      <c r="N51" s="29">
        <v>951940.64008378796</v>
      </c>
      <c r="P51" s="29">
        <v>955618.49899276625</v>
      </c>
      <c r="R51" s="29">
        <v>956869.97024948662</v>
      </c>
      <c r="T51" s="29">
        <v>955251.09172281064</v>
      </c>
      <c r="V51" s="29">
        <v>950382.90215833345</v>
      </c>
      <c r="X51" s="29">
        <v>942135.34370617662</v>
      </c>
      <c r="Z51" s="29">
        <v>930971.57647626451</v>
      </c>
      <c r="AB51" s="29">
        <v>918544.60343128419</v>
      </c>
      <c r="AD51" s="29">
        <v>908665.2113223176</v>
      </c>
      <c r="AF51" s="29">
        <v>908908.25017890893</v>
      </c>
      <c r="AH51" s="29">
        <v>933548.91739035957</v>
      </c>
      <c r="AJ51" s="29">
        <v>1009258.4046504365</v>
      </c>
      <c r="AL51" s="29">
        <v>1185914.5017281931</v>
      </c>
      <c r="AN51" s="29">
        <v>1586262.3191761125</v>
      </c>
      <c r="AP51" s="29">
        <v>1726405.0213776389</v>
      </c>
      <c r="AQ51" s="29"/>
      <c r="AR51" s="29">
        <v>1908988.7507639981</v>
      </c>
      <c r="AT51" s="29">
        <v>2162505.6928976001</v>
      </c>
      <c r="AV51" s="29">
        <v>0</v>
      </c>
      <c r="XFD51" s="29"/>
    </row>
    <row r="52" spans="1:48 16321:16384" x14ac:dyDescent="0.2">
      <c r="A52" t="s">
        <v>170</v>
      </c>
      <c r="B52" s="29">
        <v>639893.22495732247</v>
      </c>
      <c r="D52" s="29">
        <v>631546.47517678712</v>
      </c>
      <c r="F52" s="29">
        <v>622563.10555009043</v>
      </c>
      <c r="H52" s="29">
        <v>612839.97635302856</v>
      </c>
      <c r="J52" s="29">
        <v>602254.5149814632</v>
      </c>
      <c r="L52" s="29">
        <v>590661.8988930881</v>
      </c>
      <c r="N52" s="29">
        <v>577893.20984374324</v>
      </c>
      <c r="P52" s="29">
        <v>563755.97985497094</v>
      </c>
      <c r="R52" s="29">
        <v>548040.13118545001</v>
      </c>
      <c r="T52" s="29">
        <v>530533.94595885463</v>
      </c>
      <c r="V52" s="29">
        <v>511057.0628993467</v>
      </c>
      <c r="X52" s="29">
        <v>489519.59806496563</v>
      </c>
      <c r="Z52" s="29">
        <v>466014.52031573316</v>
      </c>
      <c r="AB52" s="29">
        <v>440945.55275616521</v>
      </c>
      <c r="AD52" s="29">
        <v>415175.54207614897</v>
      </c>
      <c r="AF52" s="29">
        <v>390174.57456680737</v>
      </c>
      <c r="AH52" s="29">
        <v>368167.08331562701</v>
      </c>
      <c r="AJ52" s="29">
        <v>352310.16653045674</v>
      </c>
      <c r="AL52" s="29">
        <v>346633.67255832074</v>
      </c>
      <c r="AN52" s="29">
        <v>355532.4728538745</v>
      </c>
      <c r="AP52" s="29">
        <v>359467.49575237196</v>
      </c>
      <c r="AQ52" s="29"/>
      <c r="AR52" s="29">
        <v>364037.46172402182</v>
      </c>
      <c r="AT52" s="29">
        <v>368539.49629608064</v>
      </c>
      <c r="AV52" s="29">
        <v>0</v>
      </c>
    </row>
    <row r="53" spans="1:48 16321:16384" x14ac:dyDescent="0.2">
      <c r="A53" t="s">
        <v>171</v>
      </c>
      <c r="B53" s="29">
        <v>994319.23090072128</v>
      </c>
      <c r="D53" s="29">
        <v>982698.38662970928</v>
      </c>
      <c r="F53" s="29">
        <v>970272.78299289756</v>
      </c>
      <c r="H53" s="29">
        <v>956892.95903640741</v>
      </c>
      <c r="J53" s="29">
        <v>942377.1946592977</v>
      </c>
      <c r="L53" s="29">
        <v>926505.26966035599</v>
      </c>
      <c r="N53" s="29">
        <v>909012.69670128787</v>
      </c>
      <c r="P53" s="29">
        <v>889587.44690665358</v>
      </c>
      <c r="R53" s="29">
        <v>867873.29822942859</v>
      </c>
      <c r="T53" s="29">
        <v>843487.04498128418</v>
      </c>
      <c r="V53" s="29">
        <v>816060.93542637245</v>
      </c>
      <c r="X53" s="29">
        <v>785325.87228743942</v>
      </c>
      <c r="Z53" s="29">
        <v>751249.2876392199</v>
      </c>
      <c r="AB53" s="29">
        <v>714232.97679545579</v>
      </c>
      <c r="AD53" s="29">
        <v>675343.55974119448</v>
      </c>
      <c r="AF53" s="29">
        <v>636517.62450278166</v>
      </c>
      <c r="AH53" s="29">
        <v>600652.85379422957</v>
      </c>
      <c r="AJ53" s="29">
        <v>571349.48320288525</v>
      </c>
      <c r="AL53" s="29">
        <v>550843.81012368202</v>
      </c>
      <c r="AN53" s="29">
        <v>529224.73575896269</v>
      </c>
      <c r="AP53" s="29">
        <v>519775.58219029027</v>
      </c>
      <c r="AQ53" s="29"/>
      <c r="AR53" s="29">
        <v>504213.82184324838</v>
      </c>
      <c r="AT53" s="29">
        <v>475469.21119584626</v>
      </c>
      <c r="AV53" s="29">
        <v>0</v>
      </c>
      <c r="XFD53" s="29"/>
    </row>
    <row r="55" spans="1:48 16321:16384" x14ac:dyDescent="0.2">
      <c r="A55" t="s">
        <v>172</v>
      </c>
      <c r="B55" s="196">
        <v>0.29343319644276039</v>
      </c>
      <c r="D55" s="196">
        <v>0.29516931929595885</v>
      </c>
      <c r="F55" s="196">
        <v>0.29694836099024358</v>
      </c>
      <c r="H55" s="196">
        <v>0.29877590278267574</v>
      </c>
      <c r="J55" s="196">
        <v>0.30065857619931119</v>
      </c>
      <c r="L55" s="196">
        <v>0.30260437242814336</v>
      </c>
      <c r="N55" s="196">
        <v>0.30462310079078575</v>
      </c>
      <c r="P55" s="196">
        <v>0.30672717743111849</v>
      </c>
      <c r="R55" s="196">
        <v>0.30893300255248102</v>
      </c>
      <c r="T55" s="196">
        <v>0.311263593400254</v>
      </c>
      <c r="V55" s="196">
        <v>0.3137537947869396</v>
      </c>
      <c r="X55" s="196">
        <v>0.31646067993405069</v>
      </c>
      <c r="Z55" s="196">
        <v>0.31948423197775411</v>
      </c>
      <c r="AB55" s="196">
        <v>0.3230083045461864</v>
      </c>
      <c r="AD55" s="196">
        <v>0.32737988880151642</v>
      </c>
      <c r="AF55" s="196">
        <v>0.3332621740541391</v>
      </c>
      <c r="AH55" s="196">
        <v>0.34192354458818047</v>
      </c>
      <c r="AJ55" s="196">
        <v>0.35571838622357138</v>
      </c>
      <c r="AL55" s="196">
        <v>0.37879172516500853</v>
      </c>
      <c r="AN55" s="196">
        <v>0.42150091868624701</v>
      </c>
      <c r="AP55" s="196">
        <v>0.43554535970492414</v>
      </c>
      <c r="AR55" s="196">
        <v>0.45381842831258273</v>
      </c>
      <c r="AT55" s="196">
        <v>0.47985035245305435</v>
      </c>
      <c r="AV55" s="196" t="e">
        <v>#DIV/0!</v>
      </c>
      <c r="XCS55" s="196"/>
      <c r="XFD55" s="196"/>
    </row>
    <row r="56" spans="1:48 16321:16384" x14ac:dyDescent="0.2">
      <c r="A56" t="s">
        <v>173</v>
      </c>
      <c r="B56" s="196">
        <v>0.12330490389763608</v>
      </c>
      <c r="D56" s="196">
        <v>0.1255757702709093</v>
      </c>
      <c r="F56" s="196">
        <v>0.1279208593988298</v>
      </c>
      <c r="H56" s="196">
        <v>0.13034936021000262</v>
      </c>
      <c r="J56" s="196">
        <v>0.13287194813927644</v>
      </c>
      <c r="L56" s="196">
        <v>0.13550110410837315</v>
      </c>
      <c r="N56" s="196">
        <v>0.13825155331833522</v>
      </c>
      <c r="P56" s="196">
        <v>0.14114098584394411</v>
      </c>
      <c r="R56" s="196">
        <v>0.14419132825452124</v>
      </c>
      <c r="T56" s="196">
        <v>0.1474312765413186</v>
      </c>
      <c r="V56" s="196">
        <v>0.1509015771895644</v>
      </c>
      <c r="X56" s="196">
        <v>0.15466609929024833</v>
      </c>
      <c r="Z56" s="196">
        <v>0.15883469916308257</v>
      </c>
      <c r="AB56" s="196">
        <v>0.16360950402249816</v>
      </c>
      <c r="AD56" s="196">
        <v>0.1693757485056164</v>
      </c>
      <c r="AF56" s="196">
        <v>0.17687713514589284</v>
      </c>
      <c r="AH56" s="196">
        <v>0.18754164714900454</v>
      </c>
      <c r="AJ56" s="196">
        <v>0.20399325488844586</v>
      </c>
      <c r="AL56" s="196">
        <v>0.23067883238834919</v>
      </c>
      <c r="AN56" s="196">
        <v>0.27814933498070055</v>
      </c>
      <c r="AP56" s="196">
        <v>0.29331978852097251</v>
      </c>
      <c r="AR56" s="196">
        <v>0.31280766105509722</v>
      </c>
      <c r="AT56" s="196">
        <v>0.34020357115876221</v>
      </c>
      <c r="AV56" s="196" t="e">
        <v>#DIV/0!</v>
      </c>
      <c r="XFD56" s="196"/>
    </row>
    <row r="57" spans="1:48 16321:16384" x14ac:dyDescent="0.2">
      <c r="A57" t="s">
        <v>174</v>
      </c>
      <c r="B57" s="196">
        <v>0.15814435802029927</v>
      </c>
      <c r="D57" s="196">
        <v>0.15762574415018696</v>
      </c>
      <c r="F57" s="196">
        <v>0.15707639743179866</v>
      </c>
      <c r="H57" s="196">
        <v>0.1564927972859603</v>
      </c>
      <c r="J57" s="196">
        <v>0.15587100733879666</v>
      </c>
      <c r="L57" s="196">
        <v>0.15520667282408004</v>
      </c>
      <c r="N57" s="196">
        <v>0.15449505157658727</v>
      </c>
      <c r="P57" s="196">
        <v>0.15373109797656828</v>
      </c>
      <c r="R57" s="196">
        <v>0.15290959625475753</v>
      </c>
      <c r="T57" s="196">
        <v>0.15202530683417406</v>
      </c>
      <c r="V57" s="196">
        <v>0.15107297670961983</v>
      </c>
      <c r="X57" s="196">
        <v>0.15004681707517917</v>
      </c>
      <c r="Y57" s="196"/>
      <c r="Z57" s="196">
        <v>0.14893859353745229</v>
      </c>
      <c r="AB57" s="196">
        <v>0.14773280786845611</v>
      </c>
      <c r="AD57" s="196">
        <v>0.14639607006428576</v>
      </c>
      <c r="AF57" s="196">
        <v>0.14485653821303313</v>
      </c>
      <c r="AH57" s="196">
        <v>0.14297018420241103</v>
      </c>
      <c r="AJ57" s="196">
        <v>0.14049419220898662</v>
      </c>
      <c r="AL57" s="196">
        <v>0.13716865555823821</v>
      </c>
      <c r="AN57" s="196">
        <v>0.13290107501871068</v>
      </c>
      <c r="AP57" s="196">
        <v>0.13193206993901518</v>
      </c>
      <c r="AR57" s="196">
        <v>0.13092070888744559</v>
      </c>
      <c r="AT57" s="196">
        <v>0.12984824419616869</v>
      </c>
      <c r="AV57" s="196" t="e">
        <v>#DIV/0!</v>
      </c>
      <c r="XFD57" s="196"/>
    </row>
    <row r="58" spans="1:48 16321:16384" x14ac:dyDescent="0.2">
      <c r="A58" t="s">
        <v>175</v>
      </c>
      <c r="B58" s="196">
        <v>1.1983934524824984E-2</v>
      </c>
      <c r="D58" s="196">
        <v>1.1967804874862643E-2</v>
      </c>
      <c r="F58" s="196">
        <v>1.1951104159615138E-2</v>
      </c>
      <c r="H58" s="196">
        <v>1.1933745286712819E-2</v>
      </c>
      <c r="J58" s="196">
        <v>1.1915620721238088E-2</v>
      </c>
      <c r="L58" s="196">
        <v>1.189659549569019E-2</v>
      </c>
      <c r="N58" s="196">
        <v>1.1876495895863308E-2</v>
      </c>
      <c r="P58" s="196">
        <v>1.1855093610606096E-2</v>
      </c>
      <c r="R58" s="196">
        <v>1.1832078043202262E-2</v>
      </c>
      <c r="T58" s="196">
        <v>1.1807010024761352E-2</v>
      </c>
      <c r="V58" s="196">
        <v>1.177924088775536E-2</v>
      </c>
      <c r="X58" s="196">
        <v>1.1747763568623166E-2</v>
      </c>
      <c r="Y58" s="196"/>
      <c r="Z58" s="196">
        <v>1.1710939277219329E-2</v>
      </c>
      <c r="AB58" s="196">
        <v>1.1665992655232094E-2</v>
      </c>
      <c r="AD58" s="196">
        <v>1.1608070231614243E-2</v>
      </c>
      <c r="AF58" s="196">
        <v>1.1528500695213184E-2</v>
      </c>
      <c r="AH58" s="196">
        <v>1.1411713236764867E-2</v>
      </c>
      <c r="AJ58" s="196">
        <v>1.1230939126138905E-2</v>
      </c>
      <c r="AL58" s="196">
        <v>1.094423721842112E-2</v>
      </c>
      <c r="AN58" s="196">
        <v>1.0450508686835811E-2</v>
      </c>
      <c r="AP58" s="196">
        <v>1.0293501244936486E-2</v>
      </c>
      <c r="AR58" s="196">
        <v>1.0090058370039897E-2</v>
      </c>
      <c r="AT58" s="196">
        <v>9.7985370981234412E-3</v>
      </c>
      <c r="AV58" s="196" t="e">
        <v>#DIV/0!</v>
      </c>
      <c r="XFD58" s="196"/>
    </row>
    <row r="59" spans="1:48 16321:16384" x14ac:dyDescent="0.2">
      <c r="A59" t="s">
        <v>176</v>
      </c>
      <c r="B59" s="196">
        <v>1.7199725200015354E-2</v>
      </c>
      <c r="D59" s="196">
        <v>1.9524054066095999E-2</v>
      </c>
      <c r="F59" s="196">
        <v>2.1910825110554803E-2</v>
      </c>
      <c r="H59" s="196">
        <v>2.4366082242813392E-2</v>
      </c>
      <c r="J59" s="196">
        <v>2.6896347407434032E-2</v>
      </c>
      <c r="L59" s="196">
        <v>2.9508568764364595E-2</v>
      </c>
      <c r="N59" s="196">
        <v>3.2210047987997821E-2</v>
      </c>
      <c r="P59" s="196">
        <v>3.5008459885129947E-2</v>
      </c>
      <c r="R59" s="196">
        <v>3.7912196474393402E-2</v>
      </c>
      <c r="T59" s="196">
        <v>4.0931731414707198E-2</v>
      </c>
      <c r="V59" s="196">
        <v>4.4083565702536479E-2</v>
      </c>
      <c r="X59" s="196">
        <v>4.7400100882844715E-2</v>
      </c>
      <c r="Z59" s="196">
        <v>5.0952156021187821E-2</v>
      </c>
      <c r="AB59" s="196">
        <v>5.4897158727681819E-2</v>
      </c>
      <c r="AD59" s="196">
        <v>5.9576723129871702E-2</v>
      </c>
      <c r="AF59" s="196">
        <v>6.5706901489174588E-2</v>
      </c>
      <c r="AH59" s="196">
        <v>7.4728491399106048E-2</v>
      </c>
      <c r="AJ59" s="196">
        <v>8.9331357963560842E-2</v>
      </c>
      <c r="AL59" s="196">
        <v>0.11392317427976131</v>
      </c>
      <c r="AN59" s="196">
        <v>0.15782493603590633</v>
      </c>
      <c r="AP59" s="196">
        <v>0.17157373209946811</v>
      </c>
      <c r="AR59" s="196">
        <v>0.18893090763016632</v>
      </c>
      <c r="AT59" s="196">
        <v>0.21265845042679471</v>
      </c>
      <c r="AV59" s="196" t="e">
        <v>#DIV/0!</v>
      </c>
      <c r="XFD59" s="196"/>
    </row>
    <row r="60" spans="1:48 16321:16384" x14ac:dyDescent="0.2">
      <c r="A60" t="s">
        <v>177</v>
      </c>
      <c r="B60" s="196">
        <v>0.10610517869762073</v>
      </c>
      <c r="D60" s="196">
        <v>0.10605171620481328</v>
      </c>
      <c r="F60" s="196">
        <v>0.10601003428827499</v>
      </c>
      <c r="H60" s="196">
        <v>0.10598327796718925</v>
      </c>
      <c r="J60" s="196">
        <v>0.10597560073184242</v>
      </c>
      <c r="L60" s="196">
        <v>0.10599253534400854</v>
      </c>
      <c r="N60" s="196">
        <v>0.1060415053303374</v>
      </c>
      <c r="P60" s="196">
        <v>0.10613252595881416</v>
      </c>
      <c r="R60" s="196">
        <v>0.10627913178012784</v>
      </c>
      <c r="T60" s="196">
        <v>0.10649954512661139</v>
      </c>
      <c r="V60" s="196">
        <v>0.10681801148702792</v>
      </c>
      <c r="X60" s="196">
        <v>0.10726599840740361</v>
      </c>
      <c r="Z60" s="196">
        <v>0.10788254314189474</v>
      </c>
      <c r="AB60" s="196">
        <v>0.10871234529481637</v>
      </c>
      <c r="AD60" s="196">
        <v>0.10979902537574469</v>
      </c>
      <c r="AF60" s="196">
        <v>0.11117023365671826</v>
      </c>
      <c r="AH60" s="196">
        <v>0.11281315574989852</v>
      </c>
      <c r="AJ60" s="196">
        <v>0.114661896924885</v>
      </c>
      <c r="AL60" s="196">
        <v>0.11675565810858786</v>
      </c>
      <c r="AN60" s="196">
        <v>0.1203243989447942</v>
      </c>
      <c r="AP60" s="196">
        <v>0.12174605642150442</v>
      </c>
      <c r="AR60" s="196">
        <v>0.1238767534249309</v>
      </c>
      <c r="AT60" s="196">
        <v>0.12754512073196747</v>
      </c>
      <c r="AV60" s="196" t="e">
        <v>#DIV/0!</v>
      </c>
      <c r="XFD60" s="196"/>
    </row>
    <row r="62" spans="1:48 16321:16384" x14ac:dyDescent="0.2">
      <c r="A62" t="s">
        <v>178</v>
      </c>
      <c r="B62">
        <v>1</v>
      </c>
      <c r="D62">
        <v>0.99587243726807073</v>
      </c>
      <c r="F62">
        <v>0.9914585841250646</v>
      </c>
      <c r="H62">
        <v>0.98673025698851091</v>
      </c>
      <c r="J62">
        <v>0.98165762067511042</v>
      </c>
      <c r="L62">
        <v>0.97621022912362543</v>
      </c>
      <c r="N62">
        <v>0.97035906219951129</v>
      </c>
      <c r="P62">
        <v>0.9640799723116743</v>
      </c>
      <c r="R62">
        <v>0.95735956521238097</v>
      </c>
      <c r="T62">
        <v>0.95020455853377872</v>
      </c>
      <c r="V62">
        <v>0.94265621892189677</v>
      </c>
      <c r="X62">
        <v>0.93481235965222453</v>
      </c>
      <c r="Z62">
        <v>0.92686068050750248</v>
      </c>
      <c r="AB62">
        <v>0.91913306992253407</v>
      </c>
      <c r="AD62">
        <v>0.91220349683656143</v>
      </c>
      <c r="AF62">
        <v>0.90709530283951267</v>
      </c>
      <c r="AH62">
        <v>0.90579100614032937</v>
      </c>
      <c r="AJ62">
        <v>0.91265100746135264</v>
      </c>
      <c r="AL62">
        <v>0.9390664784566618</v>
      </c>
      <c r="AN62">
        <v>1.0309189863887687</v>
      </c>
      <c r="AP62">
        <v>1.0745592328408171</v>
      </c>
      <c r="AR62">
        <v>1.1426852851634499</v>
      </c>
      <c r="AT62">
        <v>1.264648593557717</v>
      </c>
      <c r="AV62" t="e">
        <v>#DIV/0!</v>
      </c>
    </row>
    <row r="65" spans="1:48 16384:16384" x14ac:dyDescent="0.2">
      <c r="A65" t="s">
        <v>179</v>
      </c>
      <c r="B65" s="194">
        <v>1</v>
      </c>
      <c r="C65" s="194"/>
      <c r="D65" s="194">
        <v>0.9991290044873371</v>
      </c>
      <c r="E65" s="194"/>
      <c r="F65" s="194">
        <v>0.99857608637210127</v>
      </c>
      <c r="G65" s="194"/>
      <c r="H65" s="194">
        <v>0.99842008236697699</v>
      </c>
      <c r="I65" s="194"/>
      <c r="J65" s="194">
        <v>0.99876627803202078</v>
      </c>
      <c r="K65" s="194"/>
      <c r="L65" s="194">
        <v>0.99975720484166408</v>
      </c>
      <c r="M65" s="194"/>
      <c r="N65" s="194">
        <v>1.0015886583864477</v>
      </c>
      <c r="O65" s="194"/>
      <c r="P65" s="194">
        <v>1.0045336203749957</v>
      </c>
      <c r="Q65" s="194"/>
      <c r="R65" s="194">
        <v>1.0089788248889981</v>
      </c>
      <c r="S65" s="194"/>
      <c r="T65" s="194">
        <v>1.0154814288587739</v>
      </c>
      <c r="U65" s="194"/>
      <c r="V65" s="194">
        <v>1.0248589849271224</v>
      </c>
      <c r="W65" s="194"/>
      <c r="X65" s="194">
        <v>1.0383366907685985</v>
      </c>
      <c r="Y65" s="194"/>
      <c r="Z65" s="194">
        <v>1.0577987146456806</v>
      </c>
      <c r="AA65" s="194"/>
      <c r="AB65" s="194">
        <v>1.0862462059253621</v>
      </c>
      <c r="AC65" s="194"/>
      <c r="AD65" s="194">
        <v>1.1287026117804897</v>
      </c>
      <c r="AE65" s="194"/>
      <c r="AF65" s="194">
        <v>1.1942209455819734</v>
      </c>
      <c r="AG65" s="194"/>
      <c r="AH65" s="194">
        <v>1.3009705201161961</v>
      </c>
      <c r="AI65" s="194"/>
      <c r="AJ65" s="194">
        <v>1.4913646087772554</v>
      </c>
      <c r="AK65" s="194"/>
      <c r="AL65" s="194">
        <v>1.894589258188804</v>
      </c>
      <c r="AM65" s="194"/>
      <c r="AN65" s="194">
        <v>3.4543781663802222</v>
      </c>
      <c r="AO65" s="194"/>
      <c r="AP65" s="194">
        <v>4.9138958695715722</v>
      </c>
      <c r="AQ65" s="194"/>
      <c r="AR65" s="194" t="e">
        <v>#NUM!</v>
      </c>
      <c r="AS65" s="194"/>
      <c r="AT65" s="194" t="e">
        <v>#NUM!</v>
      </c>
      <c r="AU65" s="194"/>
      <c r="AV65" s="194" t="e">
        <v>#DIV/0!</v>
      </c>
    </row>
    <row r="66" spans="1:48 16384:16384" x14ac:dyDescent="0.2">
      <c r="A66" t="s">
        <v>185</v>
      </c>
      <c r="B66" s="194">
        <v>1</v>
      </c>
      <c r="C66" s="194"/>
      <c r="D66" s="194">
        <v>0.99908772873235907</v>
      </c>
      <c r="E66" s="194"/>
      <c r="F66" s="194">
        <v>0.99850829776301531</v>
      </c>
      <c r="G66" s="194"/>
      <c r="H66" s="194">
        <v>0.99834479455381386</v>
      </c>
      <c r="I66" s="194"/>
      <c r="J66" s="194">
        <v>0.99870769955762984</v>
      </c>
      <c r="K66" s="194"/>
      <c r="L66" s="194">
        <v>0.99974578589694418</v>
      </c>
      <c r="M66" s="194"/>
      <c r="N66" s="194">
        <v>1.0016620893999071</v>
      </c>
      <c r="O66" s="194"/>
      <c r="P66" s="194">
        <v>1.0047373759014309</v>
      </c>
      <c r="Q66" s="194"/>
      <c r="R66" s="194">
        <v>1.0093653038573094</v>
      </c>
      <c r="S66" s="194"/>
      <c r="T66" s="194">
        <v>1.016105534786838</v>
      </c>
      <c r="U66" s="194"/>
      <c r="V66" s="194">
        <v>1.025765377074497</v>
      </c>
      <c r="W66" s="194"/>
      <c r="X66" s="194">
        <v>1.0395281746971474</v>
      </c>
      <c r="Y66" s="194"/>
      <c r="Z66" s="194">
        <v>1.0591621707080243</v>
      </c>
      <c r="AA66" s="194"/>
      <c r="AB66" s="194">
        <v>1.0873811078554623</v>
      </c>
      <c r="AC66" s="194"/>
      <c r="AD66" s="194">
        <v>1.1285143340767501</v>
      </c>
      <c r="AE66" s="194"/>
      <c r="AF66" s="194">
        <v>1.1898892868043276</v>
      </c>
      <c r="AG66" s="194"/>
      <c r="AH66" s="194">
        <v>1.2849857420344568</v>
      </c>
      <c r="AI66" s="194"/>
      <c r="AJ66" s="194">
        <v>1.4411507080852359</v>
      </c>
      <c r="AK66" s="194"/>
      <c r="AL66" s="194">
        <v>1.7215307169936078</v>
      </c>
      <c r="AM66" s="194"/>
      <c r="AN66" s="194">
        <v>2.3393068595978153</v>
      </c>
      <c r="AO66" s="194"/>
      <c r="AP66" s="194">
        <v>2.5719726458464263</v>
      </c>
      <c r="AQ66" s="194"/>
      <c r="AR66" s="194">
        <v>2.8943794339954305</v>
      </c>
      <c r="AS66" s="194"/>
      <c r="AT66" s="194">
        <v>3.3875802359565492</v>
      </c>
      <c r="AU66" s="194"/>
      <c r="AV66" s="194" t="e">
        <v>#DIV/0!</v>
      </c>
      <c r="XFD66" s="194"/>
    </row>
    <row r="67" spans="1:48 16384:16384" x14ac:dyDescent="0.2">
      <c r="A67" t="s">
        <v>186</v>
      </c>
      <c r="B67" s="194">
        <v>1</v>
      </c>
      <c r="C67" s="194"/>
      <c r="D67" s="194">
        <v>1</v>
      </c>
      <c r="E67" s="194"/>
      <c r="F67" s="194">
        <v>1</v>
      </c>
      <c r="G67" s="194"/>
      <c r="H67" s="194">
        <v>1</v>
      </c>
      <c r="I67" s="194"/>
      <c r="J67" s="194">
        <v>1</v>
      </c>
      <c r="K67" s="194"/>
      <c r="L67" s="194">
        <v>1</v>
      </c>
      <c r="M67" s="194"/>
      <c r="N67" s="194">
        <v>1</v>
      </c>
      <c r="O67" s="194"/>
      <c r="P67" s="194">
        <v>1</v>
      </c>
      <c r="Q67" s="194"/>
      <c r="R67" s="194">
        <v>1</v>
      </c>
      <c r="S67" s="194"/>
      <c r="T67" s="194">
        <v>1</v>
      </c>
      <c r="U67" s="194"/>
      <c r="V67" s="194">
        <v>1</v>
      </c>
      <c r="W67" s="194"/>
      <c r="X67" s="194">
        <v>1</v>
      </c>
      <c r="Y67" s="194"/>
      <c r="Z67" s="194">
        <v>1</v>
      </c>
      <c r="AA67" s="194"/>
      <c r="AB67" s="194">
        <v>1</v>
      </c>
      <c r="AC67" s="194"/>
      <c r="AD67" s="194">
        <v>1</v>
      </c>
      <c r="AE67" s="194"/>
      <c r="AF67" s="194">
        <v>1</v>
      </c>
      <c r="AG67" s="194"/>
      <c r="AH67" s="194">
        <v>1</v>
      </c>
      <c r="AI67" s="194"/>
      <c r="AJ67" s="194">
        <v>1</v>
      </c>
      <c r="AK67" s="194"/>
      <c r="AL67" s="194">
        <v>1</v>
      </c>
      <c r="AM67" s="194"/>
      <c r="AN67" s="194">
        <v>1</v>
      </c>
      <c r="AO67" s="194"/>
      <c r="AP67" s="194">
        <v>1</v>
      </c>
      <c r="AQ67" s="194"/>
      <c r="AR67" s="194">
        <v>1</v>
      </c>
      <c r="AS67" s="194"/>
      <c r="AT67" s="194">
        <v>1</v>
      </c>
      <c r="AU67" s="194"/>
      <c r="AV67" s="194" t="e">
        <v>#DIV/0!</v>
      </c>
      <c r="XFD67" s="194"/>
    </row>
    <row r="68" spans="1:48 16384:16384" x14ac:dyDescent="0.2">
      <c r="A68" t="s">
        <v>184</v>
      </c>
      <c r="B68" s="194">
        <v>1</v>
      </c>
      <c r="C68" s="194"/>
      <c r="D68" s="194">
        <v>0.99908772873235907</v>
      </c>
      <c r="E68" s="194"/>
      <c r="F68" s="194">
        <v>0.99850829776301531</v>
      </c>
      <c r="G68" s="194"/>
      <c r="H68" s="194">
        <v>0.99834479455381386</v>
      </c>
      <c r="I68" s="194"/>
      <c r="J68" s="194">
        <v>0.99870769955762984</v>
      </c>
      <c r="K68" s="194"/>
      <c r="L68" s="194">
        <v>0.99974578589694418</v>
      </c>
      <c r="M68" s="194"/>
      <c r="N68" s="194">
        <v>1.0016620893999071</v>
      </c>
      <c r="O68" s="194"/>
      <c r="P68" s="194">
        <v>1.0047373759014309</v>
      </c>
      <c r="Q68" s="194"/>
      <c r="R68" s="194">
        <v>1.0093653038573094</v>
      </c>
      <c r="S68" s="194"/>
      <c r="T68" s="194">
        <v>1.016105534786838</v>
      </c>
      <c r="U68" s="194"/>
      <c r="V68" s="194">
        <v>1.025765377074497</v>
      </c>
      <c r="W68" s="194"/>
      <c r="X68" s="194">
        <v>1.0395281746971474</v>
      </c>
      <c r="Y68" s="194"/>
      <c r="Z68" s="194">
        <v>1.0591621707080243</v>
      </c>
      <c r="AA68" s="194"/>
      <c r="AB68" s="194">
        <v>1.0873811078554623</v>
      </c>
      <c r="AC68" s="194"/>
      <c r="AD68" s="194">
        <v>1.1285143340767501</v>
      </c>
      <c r="AE68" s="194"/>
      <c r="AF68" s="194">
        <v>1.1898892868043276</v>
      </c>
      <c r="AG68" s="194"/>
      <c r="AH68" s="194">
        <v>1.2849857420344568</v>
      </c>
      <c r="AI68" s="194"/>
      <c r="AJ68" s="194">
        <v>1.4411507080852359</v>
      </c>
      <c r="AK68" s="194"/>
      <c r="AL68" s="194">
        <v>1.7215307169936078</v>
      </c>
      <c r="AM68" s="194"/>
      <c r="AN68" s="194">
        <v>2.3393068595978153</v>
      </c>
      <c r="AO68" s="194"/>
      <c r="AP68" s="194">
        <v>2.5719726458464263</v>
      </c>
      <c r="AQ68" s="194"/>
      <c r="AR68" s="194">
        <v>2.8943794339954305</v>
      </c>
      <c r="AS68" s="194"/>
      <c r="AT68" s="194">
        <v>3.3875802359565492</v>
      </c>
      <c r="AU68" s="194"/>
      <c r="AV68" s="194" t="e">
        <v>#DIV/0!</v>
      </c>
      <c r="XFD68" s="194"/>
    </row>
    <row r="69" spans="1:48 16384:16384" x14ac:dyDescent="0.2">
      <c r="A69" t="s">
        <v>180</v>
      </c>
      <c r="B69" s="194">
        <v>1</v>
      </c>
      <c r="C69" s="194"/>
      <c r="D69" s="194">
        <v>0.99107782646245213</v>
      </c>
      <c r="E69" s="194"/>
      <c r="F69" s="194">
        <v>0.98095110445212874</v>
      </c>
      <c r="G69" s="194"/>
      <c r="H69" s="194">
        <v>0.96939404229877391</v>
      </c>
      <c r="I69" s="194"/>
      <c r="J69" s="194">
        <v>0.95612910636073856</v>
      </c>
      <c r="K69" s="194"/>
      <c r="L69" s="194">
        <v>0.94081532983646021</v>
      </c>
      <c r="M69" s="194"/>
      <c r="N69" s="194">
        <v>0.92303578984577417</v>
      </c>
      <c r="O69" s="194"/>
      <c r="P69" s="194">
        <v>0.90228618656557502</v>
      </c>
      <c r="Q69" s="194"/>
      <c r="R69" s="194">
        <v>0.87796904464606074</v>
      </c>
      <c r="S69" s="194"/>
      <c r="T69" s="194">
        <v>0.84940156225898267</v>
      </c>
      <c r="U69" s="194"/>
      <c r="V69" s="194">
        <v>0.81584974851690306</v>
      </c>
      <c r="W69" s="194"/>
      <c r="X69" s="194">
        <v>0.77660563552997719</v>
      </c>
      <c r="Y69" s="194"/>
      <c r="Z69" s="194">
        <v>0.73111920017518683</v>
      </c>
      <c r="AA69" s="194"/>
      <c r="AB69" s="194">
        <v>0.67917580474924966</v>
      </c>
      <c r="AC69" s="194"/>
      <c r="AD69" s="194">
        <v>0.62105292447541627</v>
      </c>
      <c r="AE69" s="194"/>
      <c r="AF69" s="194">
        <v>0.55750041557012153</v>
      </c>
      <c r="AG69" s="194"/>
      <c r="AH69" s="194">
        <v>0.48926479932381933</v>
      </c>
      <c r="AI69" s="194"/>
      <c r="AJ69" s="194">
        <v>0.41562064646194796</v>
      </c>
      <c r="AK69" s="194"/>
      <c r="AL69" s="194">
        <v>0.32969774034309912</v>
      </c>
      <c r="AM69" s="194"/>
      <c r="AN69" s="194">
        <v>0.19142394798656021</v>
      </c>
      <c r="AO69" s="194"/>
      <c r="AP69" s="194">
        <v>0.13705619608180702</v>
      </c>
      <c r="AQ69" s="194"/>
      <c r="AR69" s="194" t="e">
        <v>#NUM!</v>
      </c>
      <c r="AS69" s="194"/>
      <c r="AT69" s="194" t="e">
        <v>#NUM!</v>
      </c>
      <c r="AU69" s="194"/>
      <c r="AV69" s="194" t="e">
        <v>#DIV/0!</v>
      </c>
    </row>
    <row r="70" spans="1:48 16384:16384" x14ac:dyDescent="0.2">
      <c r="A70" t="s">
        <v>181</v>
      </c>
      <c r="B70" s="141">
        <v>1</v>
      </c>
      <c r="C70" s="141"/>
      <c r="D70" s="141">
        <v>0.9909997356039546</v>
      </c>
      <c r="E70" s="141"/>
      <c r="F70" s="141">
        <v>0.98075382780959608</v>
      </c>
      <c r="G70" s="141"/>
      <c r="H70" s="141">
        <v>0.96902858386371304</v>
      </c>
      <c r="I70" s="141"/>
      <c r="J70" s="141">
        <v>0.95553715714055343</v>
      </c>
      <c r="K70" s="141"/>
      <c r="L70" s="141">
        <v>0.93992774764845399</v>
      </c>
      <c r="M70" s="141"/>
      <c r="N70" s="141">
        <v>0.92177107866814756</v>
      </c>
      <c r="O70" s="141"/>
      <c r="P70" s="141">
        <v>0.90054929644264115</v>
      </c>
      <c r="Q70" s="141"/>
      <c r="R70" s="141">
        <v>0.87565090433676096</v>
      </c>
      <c r="S70" s="141"/>
      <c r="T70" s="141">
        <v>0.84638007086225375</v>
      </c>
      <c r="U70" s="141"/>
      <c r="V70" s="141">
        <v>0.81199318741485749</v>
      </c>
      <c r="W70" s="141"/>
      <c r="X70" s="141">
        <v>0.77177943185280362</v>
      </c>
      <c r="Y70" s="141"/>
      <c r="Z70" s="141">
        <v>0.72519668274079396</v>
      </c>
      <c r="AA70" s="141"/>
      <c r="AB70" s="141">
        <v>0.67205342001306967</v>
      </c>
      <c r="AC70" s="141"/>
      <c r="AD70" s="141">
        <v>0.61267235608300497</v>
      </c>
      <c r="AE70" s="141"/>
      <c r="AF70" s="141">
        <v>0.54789840326723793</v>
      </c>
      <c r="AG70" s="141"/>
      <c r="AH70" s="141">
        <v>0.47875873863660878</v>
      </c>
      <c r="AI70" s="141"/>
      <c r="AJ70" s="141">
        <v>0.40562209575443703</v>
      </c>
      <c r="AK70" s="141"/>
      <c r="AL70" s="141">
        <v>0.32630419089398993</v>
      </c>
      <c r="AM70" s="141"/>
      <c r="AN70" s="141">
        <v>0.22880551480238118</v>
      </c>
      <c r="AO70" s="141"/>
      <c r="AP70" s="141">
        <v>0.20374918477153764</v>
      </c>
      <c r="AQ70" s="141"/>
      <c r="AR70" s="141">
        <v>0.17486446332840294</v>
      </c>
      <c r="AS70" s="141"/>
      <c r="AT70" s="141">
        <v>0.13992661781243287</v>
      </c>
      <c r="AU70" s="141"/>
      <c r="AV70" s="141">
        <v>0</v>
      </c>
    </row>
    <row r="71" spans="1:48 16384:16384" x14ac:dyDescent="0.2">
      <c r="A71" t="s">
        <v>182</v>
      </c>
      <c r="B71" s="141">
        <v>1</v>
      </c>
      <c r="D71" s="141">
        <v>0.91548684793460533</v>
      </c>
      <c r="E71" s="141"/>
      <c r="F71" s="141">
        <v>0.83259723008600661</v>
      </c>
      <c r="G71" s="141"/>
      <c r="H71" s="141">
        <v>0.75155599924365601</v>
      </c>
      <c r="I71" s="141"/>
      <c r="J71" s="141">
        <v>0.67262365568664895</v>
      </c>
      <c r="K71" s="141"/>
      <c r="L71" s="141">
        <v>0.59610040757386995</v>
      </c>
      <c r="M71" s="141"/>
      <c r="N71" s="141">
        <v>0.52232732618377975</v>
      </c>
      <c r="O71" s="141"/>
      <c r="P71" s="141">
        <v>0.45168612065072206</v>
      </c>
      <c r="Q71" s="141"/>
      <c r="R71" s="141">
        <v>0.38459052682834438</v>
      </c>
      <c r="S71" s="141"/>
      <c r="T71" s="141">
        <v>0.32146882726327586</v>
      </c>
      <c r="U71" s="141"/>
      <c r="V71" s="141">
        <v>0.26273521366380487</v>
      </c>
      <c r="W71" s="141"/>
      <c r="X71" s="141">
        <v>0.20874971947639387</v>
      </c>
      <c r="Y71" s="141"/>
      <c r="Z71" s="141">
        <v>0.15978659067469825</v>
      </c>
      <c r="AA71" s="141"/>
      <c r="AB71" s="141">
        <v>0.11604552839537663</v>
      </c>
      <c r="AC71" s="141"/>
      <c r="AD71" s="141">
        <v>7.7784630835867147E-2</v>
      </c>
      <c r="AE71" s="141"/>
      <c r="AF71" s="141">
        <v>4.5649472819003882E-2</v>
      </c>
      <c r="AG71" s="141"/>
      <c r="AH71" s="141">
        <v>2.1120495168103017E-2</v>
      </c>
      <c r="AI71" s="141"/>
      <c r="AJ71" s="141">
        <v>6.2314219837946343E-3</v>
      </c>
      <c r="AK71" s="141"/>
      <c r="AL71" s="141">
        <v>7.6590988025304304E-4</v>
      </c>
      <c r="AM71" s="141"/>
      <c r="AN71" s="141">
        <v>1.3359408892200715E-5</v>
      </c>
      <c r="AO71" s="141"/>
      <c r="AP71" s="141">
        <v>3.5163944829402532E-6</v>
      </c>
      <c r="AQ71" s="141"/>
      <c r="AR71" s="141">
        <v>6.3304543651151672E-7</v>
      </c>
      <c r="AS71" s="141"/>
      <c r="AT71" s="141">
        <v>5.8269968845277532E-8</v>
      </c>
      <c r="AU71" s="141"/>
      <c r="AV71" s="141">
        <v>0</v>
      </c>
      <c r="XFD71" s="141"/>
    </row>
    <row r="72" spans="1:48 16384:16384" x14ac:dyDescent="0.2">
      <c r="A72" t="s">
        <v>183</v>
      </c>
      <c r="B72" s="141">
        <v>1</v>
      </c>
      <c r="D72" s="141">
        <v>1.0047026006415343</v>
      </c>
      <c r="E72" s="141"/>
      <c r="F72" s="141">
        <v>1.0088127994029874</v>
      </c>
      <c r="G72" s="141"/>
      <c r="H72" s="141">
        <v>1.0120145214966707</v>
      </c>
      <c r="I72" s="141"/>
      <c r="J72" s="141">
        <v>1.0139058144885236</v>
      </c>
      <c r="K72" s="141"/>
      <c r="L72" s="141">
        <v>1.0139805094889611</v>
      </c>
      <c r="M72" s="141"/>
      <c r="N72" s="141">
        <v>1.0116090305213072</v>
      </c>
      <c r="O72" s="141"/>
      <c r="P72" s="141">
        <v>1.0060236469262995</v>
      </c>
      <c r="Q72" s="141"/>
      <c r="R72" s="141">
        <v>0.99631289702605796</v>
      </c>
      <c r="S72" s="141"/>
      <c r="T72" s="141">
        <v>0.98143710982879129</v>
      </c>
      <c r="U72" s="141"/>
      <c r="V72" s="141">
        <v>0.96027772821511626</v>
      </c>
      <c r="W72" s="141"/>
      <c r="X72" s="141">
        <v>0.93172622877489886</v>
      </c>
      <c r="Y72" s="141"/>
      <c r="Z72" s="141">
        <v>0.89479295034497131</v>
      </c>
      <c r="AA72" s="141"/>
      <c r="AB72" s="141">
        <v>0.84864305723563171</v>
      </c>
      <c r="AC72" s="141"/>
      <c r="AD72" s="141">
        <v>0.79232536346563254</v>
      </c>
      <c r="AE72" s="141"/>
      <c r="AF72" s="141">
        <v>0.72375542881675237</v>
      </c>
      <c r="AG72" s="141"/>
      <c r="AH72" s="141">
        <v>0.63751085671253083</v>
      </c>
      <c r="AI72" s="141"/>
      <c r="AJ72" s="141">
        <v>0.5228217468238695</v>
      </c>
      <c r="AK72" s="141"/>
      <c r="AL72" s="141">
        <v>0.37014050624375472</v>
      </c>
      <c r="AM72" s="141"/>
      <c r="AN72" s="141">
        <v>0.18900124168317509</v>
      </c>
      <c r="AO72" s="141"/>
      <c r="AP72" s="141">
        <v>0.15135766012453009</v>
      </c>
      <c r="AQ72" s="141"/>
      <c r="AR72" s="141">
        <v>0.11357756101405922</v>
      </c>
      <c r="AS72" s="141"/>
      <c r="AT72" s="141">
        <v>7.5734339401436729E-2</v>
      </c>
      <c r="AU72" s="141"/>
      <c r="AV72" s="141">
        <v>0</v>
      </c>
      <c r="XFD72" s="141"/>
    </row>
    <row r="73" spans="1:48 16384:16384" x14ac:dyDescent="0.2">
      <c r="A73" t="s">
        <v>187</v>
      </c>
      <c r="B73" s="196">
        <v>0.56706723273486048</v>
      </c>
      <c r="D73" s="196">
        <v>0.56567387795467683</v>
      </c>
      <c r="E73" s="141"/>
      <c r="F73" s="196">
        <v>0.56424607801327453</v>
      </c>
      <c r="G73" s="141"/>
      <c r="H73" s="196">
        <v>0.56277935377985233</v>
      </c>
      <c r="I73" s="141"/>
      <c r="J73" s="196">
        <v>0.56126838328009443</v>
      </c>
      <c r="K73" s="141"/>
      <c r="L73" s="196">
        <v>0.55970674909171969</v>
      </c>
      <c r="M73" s="141"/>
      <c r="N73" s="196">
        <v>0.55808658435398661</v>
      </c>
      <c r="O73" s="141"/>
      <c r="P73" s="196">
        <v>0.5563979221436286</v>
      </c>
      <c r="Q73" s="141"/>
      <c r="R73" s="196">
        <v>0.55462760036590142</v>
      </c>
      <c r="S73" s="141"/>
      <c r="T73" s="196">
        <v>0.55275714424728672</v>
      </c>
      <c r="U73" s="141"/>
      <c r="V73" s="196">
        <v>0.55075859098991187</v>
      </c>
      <c r="W73" s="141"/>
      <c r="X73" s="196">
        <v>0.54858620097126598</v>
      </c>
      <c r="Y73" s="141"/>
      <c r="Z73" s="196">
        <v>0.54615954819839629</v>
      </c>
      <c r="AA73" s="141"/>
      <c r="AB73" s="196">
        <v>0.54333123250150173</v>
      </c>
      <c r="AC73" s="141"/>
      <c r="AD73" s="196">
        <v>0.53982273804979808</v>
      </c>
      <c r="AE73" s="141"/>
      <c r="AF73" s="196">
        <v>0.53510181176332594</v>
      </c>
      <c r="AG73" s="141"/>
      <c r="AH73" s="196">
        <v>0.52815047919772862</v>
      </c>
      <c r="AI73" s="141"/>
      <c r="AJ73" s="196">
        <v>0.51707919314614315</v>
      </c>
      <c r="AK73" s="141"/>
      <c r="AL73" s="196">
        <v>0.49856129135510635</v>
      </c>
      <c r="AM73" s="141"/>
      <c r="AN73" s="196">
        <v>0.46428429916845415</v>
      </c>
      <c r="AO73" s="141"/>
      <c r="AP73" s="196">
        <v>0.45301269358404411</v>
      </c>
      <c r="AQ73" s="141"/>
      <c r="AR73" s="196">
        <v>0.43834733087974748</v>
      </c>
      <c r="AS73" s="141"/>
      <c r="AT73" s="196">
        <v>0.41745496646336283</v>
      </c>
      <c r="AU73" s="141"/>
      <c r="AV73" s="196" t="e">
        <v>#DIV/0!</v>
      </c>
      <c r="XFD73" s="196"/>
    </row>
    <row r="74" spans="1:48 16384:16384" x14ac:dyDescent="0.2">
      <c r="A74" t="s">
        <v>188</v>
      </c>
      <c r="B74" s="196">
        <v>0.21672767296897655</v>
      </c>
      <c r="D74" s="196">
        <v>0.21672767296897655</v>
      </c>
      <c r="E74" s="141"/>
      <c r="F74" s="196">
        <v>0.21672767296897658</v>
      </c>
      <c r="G74" s="141"/>
      <c r="H74" s="196">
        <v>0.21672767296897655</v>
      </c>
      <c r="I74" s="141"/>
      <c r="J74" s="196">
        <v>0.21672767296897658</v>
      </c>
      <c r="K74" s="141"/>
      <c r="L74" s="196">
        <v>0.21672767296897655</v>
      </c>
      <c r="M74" s="141"/>
      <c r="N74" s="196">
        <v>0.21672767296897655</v>
      </c>
      <c r="O74" s="141"/>
      <c r="P74" s="196">
        <v>0.21672767296897655</v>
      </c>
      <c r="Q74" s="141"/>
      <c r="R74" s="196">
        <v>0.21672767296897652</v>
      </c>
      <c r="S74" s="141"/>
      <c r="T74" s="196">
        <v>0.21672767296897655</v>
      </c>
      <c r="U74" s="141"/>
      <c r="V74" s="196">
        <v>0.21672767296897655</v>
      </c>
      <c r="W74" s="141"/>
      <c r="X74" s="196">
        <v>0.21672767296897655</v>
      </c>
      <c r="Y74" s="141"/>
      <c r="Z74" s="196">
        <v>0.21672767296897655</v>
      </c>
      <c r="AA74" s="141"/>
      <c r="AB74" s="196">
        <v>0.21672767296897655</v>
      </c>
      <c r="AC74" s="141"/>
      <c r="AD74" s="196">
        <v>0.21672767296897655</v>
      </c>
      <c r="AE74" s="141"/>
      <c r="AF74" s="196">
        <v>0.21672767296897655</v>
      </c>
      <c r="AG74" s="141"/>
      <c r="AH74" s="196">
        <v>0.21672767296897655</v>
      </c>
      <c r="AI74" s="141"/>
      <c r="AJ74" s="196">
        <v>0.21672767296897658</v>
      </c>
      <c r="AK74" s="141"/>
      <c r="AL74" s="196">
        <v>0.21672767296897655</v>
      </c>
      <c r="AM74" s="141"/>
      <c r="AN74" s="196">
        <v>0.21672767296897655</v>
      </c>
      <c r="AO74" s="141"/>
      <c r="AP74" s="196">
        <v>0.21672767296897655</v>
      </c>
      <c r="AQ74" s="141"/>
      <c r="AR74" s="196">
        <v>0.21672767296897658</v>
      </c>
      <c r="AS74" s="141"/>
      <c r="AT74" s="196">
        <v>0.21672767296897655</v>
      </c>
      <c r="AU74" s="141"/>
      <c r="AV74" s="196" t="e">
        <v>#DIV/0!</v>
      </c>
      <c r="XFD74" s="196"/>
    </row>
    <row r="75" spans="1:48 16384:16384" x14ac:dyDescent="0.2">
      <c r="A75" t="s">
        <v>189</v>
      </c>
      <c r="B75" s="196">
        <v>0.20445380142857192</v>
      </c>
      <c r="D75" s="196">
        <v>0.20628587344808247</v>
      </c>
      <c r="E75" s="141"/>
      <c r="F75" s="196">
        <v>0.20840990045152458</v>
      </c>
      <c r="G75" s="141"/>
      <c r="H75" s="196">
        <v>0.21089296536856028</v>
      </c>
      <c r="I75" s="141"/>
      <c r="J75" s="196">
        <v>0.21382238934333908</v>
      </c>
      <c r="K75" s="141"/>
      <c r="L75" s="196">
        <v>0.21731306849610582</v>
      </c>
      <c r="M75" s="141"/>
      <c r="N75" s="196">
        <v>0.22151772782232618</v>
      </c>
      <c r="O75" s="141"/>
      <c r="P75" s="196">
        <v>0.22664125313391895</v>
      </c>
      <c r="Q75" s="141"/>
      <c r="R75" s="196">
        <v>0.2329605088049892</v>
      </c>
      <c r="S75" s="141"/>
      <c r="T75" s="196">
        <v>0.24085128403490705</v>
      </c>
      <c r="U75" s="141"/>
      <c r="V75" s="196">
        <v>0.25082390735708965</v>
      </c>
      <c r="W75" s="141"/>
      <c r="X75" s="196">
        <v>0.26356802132163432</v>
      </c>
      <c r="Y75" s="141"/>
      <c r="Z75" s="196">
        <v>0.28000541272289942</v>
      </c>
      <c r="AA75" s="141"/>
      <c r="AB75" s="196">
        <v>0.301346737918881</v>
      </c>
      <c r="AC75" s="141"/>
      <c r="AD75" s="196">
        <v>0.32915020386736721</v>
      </c>
      <c r="AE75" s="141"/>
      <c r="AF75" s="196">
        <v>0.3654027947570766</v>
      </c>
      <c r="AG75" s="141"/>
      <c r="AH75" s="196">
        <v>0.41274523860992585</v>
      </c>
      <c r="AI75" s="141"/>
      <c r="AJ75" s="196">
        <v>0.475361103946495</v>
      </c>
      <c r="AK75" s="141"/>
      <c r="AL75" s="196">
        <v>0.56348054338505138</v>
      </c>
      <c r="AM75" s="141"/>
      <c r="AN75" s="196">
        <v>0.72329628609778596</v>
      </c>
      <c r="AO75" s="141"/>
      <c r="AP75" s="196">
        <v>0.78079479950160802</v>
      </c>
      <c r="AQ75" s="141"/>
      <c r="AR75" s="196">
        <v>0.86098889389249977</v>
      </c>
      <c r="AS75" s="141"/>
      <c r="AT75" s="196">
        <v>0.98723705714168142</v>
      </c>
      <c r="AU75" s="141"/>
      <c r="AV75" s="196" t="e">
        <v>#DIV/0!</v>
      </c>
      <c r="XFD75" s="196"/>
    </row>
    <row r="76" spans="1:48 16384:16384" x14ac:dyDescent="0.2">
      <c r="A76" t="s">
        <v>190</v>
      </c>
      <c r="B76" s="196">
        <v>0.20231859885161138</v>
      </c>
      <c r="D76" s="196">
        <v>0.20222682054154212</v>
      </c>
      <c r="E76" s="141"/>
      <c r="F76" s="196">
        <v>0.20196844613577358</v>
      </c>
      <c r="G76" s="141"/>
      <c r="H76" s="196">
        <v>0.20149422323805741</v>
      </c>
      <c r="I76" s="141"/>
      <c r="J76" s="196">
        <v>0.20073943673260639</v>
      </c>
      <c r="K76" s="141"/>
      <c r="L76" s="196">
        <v>0.19961854380733149</v>
      </c>
      <c r="M76" s="141"/>
      <c r="N76" s="196">
        <v>0.19801785534363658</v>
      </c>
      <c r="O76" s="141"/>
      <c r="P76" s="196">
        <v>0.19578583269428784</v>
      </c>
      <c r="Q76" s="141"/>
      <c r="R76" s="196">
        <v>0.19272037743585885</v>
      </c>
      <c r="S76" s="141"/>
      <c r="T76" s="196">
        <v>0.18855312715883862</v>
      </c>
      <c r="U76" s="141"/>
      <c r="V76" s="196">
        <v>0.1829317146485821</v>
      </c>
      <c r="W76" s="141"/>
      <c r="X76" s="196">
        <v>0.17540338052965612</v>
      </c>
      <c r="Y76" s="141"/>
      <c r="Z76" s="196">
        <v>0.16540816652288293</v>
      </c>
      <c r="AA76" s="141"/>
      <c r="AB76" s="196">
        <v>0.15229695949220928</v>
      </c>
      <c r="AC76" s="141"/>
      <c r="AD76" s="196">
        <v>0.13540304541467946</v>
      </c>
      <c r="AE76" s="141"/>
      <c r="AF76" s="196">
        <v>0.11421191521935001</v>
      </c>
      <c r="AG76" s="141"/>
      <c r="AH76" s="196">
        <v>8.871900970950343E-2</v>
      </c>
      <c r="AI76" s="141"/>
      <c r="AJ76" s="196">
        <v>6.0179180926635809E-2</v>
      </c>
      <c r="AK76" s="141"/>
      <c r="AL76" s="196">
        <v>3.2198088371921563E-2</v>
      </c>
      <c r="AM76" s="141"/>
      <c r="AN76" s="196">
        <v>1.0259716606494622E-2</v>
      </c>
      <c r="AO76" s="141"/>
      <c r="AP76" s="196">
        <v>7.067952526421414E-3</v>
      </c>
      <c r="AQ76" s="141"/>
      <c r="AR76" s="196">
        <v>4.3748471527619475E-3</v>
      </c>
      <c r="AS76" s="141"/>
      <c r="AT76" s="196">
        <v>2.2350798959578791E-3</v>
      </c>
      <c r="AU76" s="141"/>
      <c r="AV76" s="196" t="e">
        <v>#DIV/0!</v>
      </c>
      <c r="XFD76" s="196"/>
    </row>
    <row r="77" spans="1:48 16384:16384" x14ac:dyDescent="0.2">
      <c r="A77" t="s">
        <v>191</v>
      </c>
      <c r="B77" s="196">
        <v>0.19056730598402033</v>
      </c>
      <c r="D77" s="196">
        <v>0.19091424491327805</v>
      </c>
      <c r="E77" s="141"/>
      <c r="F77" s="196">
        <v>0.19135209756954955</v>
      </c>
      <c r="G77" s="141"/>
      <c r="H77" s="196">
        <v>0.19189421535544668</v>
      </c>
      <c r="I77" s="141"/>
      <c r="J77" s="196">
        <v>0.19255788232501669</v>
      </c>
      <c r="K77" s="141"/>
      <c r="L77" s="196">
        <v>0.19336603436413369</v>
      </c>
      <c r="M77" s="141"/>
      <c r="N77" s="196">
        <v>0.19434984048892595</v>
      </c>
      <c r="O77" s="141"/>
      <c r="P77" s="196">
        <v>0.19555268094081188</v>
      </c>
      <c r="Q77" s="141"/>
      <c r="R77" s="196">
        <v>0.19703615957572621</v>
      </c>
      <c r="S77" s="141"/>
      <c r="T77" s="196">
        <v>0.19888922841000897</v>
      </c>
      <c r="U77" s="141"/>
      <c r="V77" s="196">
        <v>0.20124188596456022</v>
      </c>
      <c r="W77" s="141"/>
      <c r="X77" s="196">
        <v>0.20428527579153302</v>
      </c>
      <c r="Y77" s="141"/>
      <c r="Z77" s="196">
        <v>0.20830080041315518</v>
      </c>
      <c r="AA77" s="141"/>
      <c r="AB77" s="196">
        <v>0.21370260288156864</v>
      </c>
      <c r="AC77" s="141"/>
      <c r="AD77" s="196">
        <v>0.2211036603008214</v>
      </c>
      <c r="AE77" s="141"/>
      <c r="AF77" s="196">
        <v>0.23144419470872921</v>
      </c>
      <c r="AG77" s="141"/>
      <c r="AH77" s="196">
        <v>0.24634240048613454</v>
      </c>
      <c r="AI77" s="141"/>
      <c r="AJ77" s="196">
        <v>0.26934715098825046</v>
      </c>
      <c r="AK77" s="141"/>
      <c r="AL77" s="196">
        <v>0.3109675960810559</v>
      </c>
      <c r="AM77" s="141"/>
      <c r="AN77" s="196">
        <v>0.41456797484171154</v>
      </c>
      <c r="AO77" s="141"/>
      <c r="AP77" s="196">
        <v>0.45760311858105024</v>
      </c>
      <c r="AQ77" s="141"/>
      <c r="AR77" s="196">
        <v>0.52043874489398578</v>
      </c>
      <c r="AS77" s="141"/>
      <c r="AT77" s="196">
        <v>0.62365477646997891</v>
      </c>
      <c r="AU77" s="141"/>
      <c r="AV77" s="196" t="e">
        <v>#DIV/0!</v>
      </c>
      <c r="XFD77" s="196"/>
    </row>
    <row r="78" spans="1:48 16384:16384" x14ac:dyDescent="0.2">
      <c r="A78" t="s">
        <v>192</v>
      </c>
      <c r="B78" s="196">
        <v>0.27666372811889955</v>
      </c>
      <c r="D78" s="196">
        <v>0.27575328964728918</v>
      </c>
      <c r="E78" s="141"/>
      <c r="F78" s="196">
        <v>0.27478914374038133</v>
      </c>
      <c r="G78" s="141"/>
      <c r="H78" s="196">
        <v>0.27376513974615668</v>
      </c>
      <c r="I78" s="141"/>
      <c r="J78" s="196">
        <v>0.27267440095281309</v>
      </c>
      <c r="K78" s="141"/>
      <c r="L78" s="196">
        <v>0.27150932014587231</v>
      </c>
      <c r="M78" s="141"/>
      <c r="N78" s="196">
        <v>0.27026161377544594</v>
      </c>
      <c r="O78" s="141"/>
      <c r="P78" s="196">
        <v>0.26892246858446417</v>
      </c>
      <c r="Q78" s="141"/>
      <c r="R78" s="196">
        <v>0.26748277412140514</v>
      </c>
      <c r="S78" s="141"/>
      <c r="T78" s="196">
        <v>0.26593337744103512</v>
      </c>
      <c r="U78" s="141"/>
      <c r="V78" s="196">
        <v>0.26426509912745949</v>
      </c>
      <c r="W78" s="141"/>
      <c r="X78" s="196">
        <v>0.26246781643080641</v>
      </c>
      <c r="Y78" s="141"/>
      <c r="Z78" s="196">
        <v>0.26052711939980699</v>
      </c>
      <c r="AA78" s="141"/>
      <c r="AB78" s="196">
        <v>0.25841588179452168</v>
      </c>
      <c r="AC78" s="141"/>
      <c r="AD78" s="196">
        <v>0.25607567909582202</v>
      </c>
      <c r="AE78" s="141"/>
      <c r="AF78" s="196">
        <v>0.25338085594334125</v>
      </c>
      <c r="AG78" s="141"/>
      <c r="AH78" s="196">
        <v>0.25007958683674164</v>
      </c>
      <c r="AI78" s="141"/>
      <c r="AJ78" s="196">
        <v>0.24574740600856931</v>
      </c>
      <c r="AK78" s="141"/>
      <c r="AL78" s="196">
        <v>0.23992992603690227</v>
      </c>
      <c r="AM78" s="141"/>
      <c r="AN78" s="196">
        <v>0.23246514064651777</v>
      </c>
      <c r="AO78" s="141"/>
      <c r="AP78" s="196">
        <v>0.23077019438958235</v>
      </c>
      <c r="AQ78" s="141"/>
      <c r="AR78" s="196">
        <v>0.22900116217582067</v>
      </c>
      <c r="AS78" s="141"/>
      <c r="AT78" s="196">
        <v>0.22712525051658655</v>
      </c>
      <c r="AU78" s="141"/>
      <c r="AV78" s="196" t="e">
        <v>#DIV/0!</v>
      </c>
      <c r="XFD78" s="196"/>
    </row>
    <row r="79" spans="1:48 16384:16384" x14ac:dyDescent="0.2">
      <c r="A79" t="s">
        <v>193</v>
      </c>
      <c r="B79" s="196">
        <v>0.42990307543833983</v>
      </c>
      <c r="D79" s="196">
        <v>0.42907738938511308</v>
      </c>
      <c r="F79" s="196">
        <v>0.42826249235831598</v>
      </c>
      <c r="H79" s="196">
        <v>0.42745895300702469</v>
      </c>
      <c r="J79" s="196">
        <v>0.42666701640788107</v>
      </c>
      <c r="L79" s="196">
        <v>0.42588630881468725</v>
      </c>
      <c r="N79" s="196">
        <v>0.42511528802923149</v>
      </c>
      <c r="P79" s="196">
        <v>0.42435035865239296</v>
      </c>
      <c r="R79" s="196">
        <v>0.42358423076456669</v>
      </c>
      <c r="T79" s="196">
        <v>0.42280302779537421</v>
      </c>
      <c r="V79" s="196">
        <v>0.42198110475379802</v>
      </c>
      <c r="X79" s="196">
        <v>0.42107153156010579</v>
      </c>
      <c r="Z79" s="196">
        <v>0.41998865770791566</v>
      </c>
      <c r="AB79" s="196">
        <v>0.41857581588397863</v>
      </c>
      <c r="AD79" s="196">
        <v>0.41654443279319364</v>
      </c>
      <c r="AF79" s="196">
        <v>0.41335697155202961</v>
      </c>
      <c r="AH79" s="196">
        <v>0.407996869672338</v>
      </c>
      <c r="AJ79" s="196">
        <v>0.39853420866101402</v>
      </c>
      <c r="AL79" s="196">
        <v>0.38127834969242347</v>
      </c>
      <c r="AN79" s="196">
        <v>0.34603394070951099</v>
      </c>
      <c r="AP79" s="196">
        <v>0.33368444590506507</v>
      </c>
      <c r="AR79" s="196">
        <v>0.31718040951167525</v>
      </c>
      <c r="AT79" s="196">
        <v>0.29302439708937328</v>
      </c>
      <c r="AV79" s="196" t="e">
        <v>#DIV/0!</v>
      </c>
      <c r="XFD79" s="196"/>
    </row>
    <row r="80" spans="1:48 16384:16384" x14ac:dyDescent="0.2">
      <c r="A80" t="s">
        <v>172</v>
      </c>
      <c r="B80" s="239">
        <v>0.29343319644276039</v>
      </c>
      <c r="D80" s="239">
        <v>0.29516931929595885</v>
      </c>
      <c r="F80" s="239">
        <v>0.29694836099024358</v>
      </c>
      <c r="H80" s="239">
        <v>0.29877590278267574</v>
      </c>
      <c r="J80" s="239">
        <v>0.30065857619931119</v>
      </c>
      <c r="L80" s="239">
        <v>0.30260437242814336</v>
      </c>
      <c r="N80" s="239">
        <v>0.30462310079078575</v>
      </c>
      <c r="P80" s="239">
        <v>0.30672717743111849</v>
      </c>
      <c r="R80" s="239">
        <v>0.30893300255248102</v>
      </c>
      <c r="T80" s="239">
        <v>0.311263593400254</v>
      </c>
      <c r="V80" s="239">
        <v>0.3137537947869396</v>
      </c>
      <c r="X80" s="239">
        <v>0.31646067993405069</v>
      </c>
      <c r="Z80" s="239">
        <v>0.31948423197775411</v>
      </c>
      <c r="AB80" s="239">
        <v>0.3230083045461864</v>
      </c>
      <c r="AD80" s="239">
        <v>0.32737988880151642</v>
      </c>
      <c r="AF80" s="239">
        <v>0.3332621740541391</v>
      </c>
      <c r="AH80" s="239">
        <v>0.34192354458818047</v>
      </c>
      <c r="AJ80" s="239">
        <v>0.35571838622357138</v>
      </c>
      <c r="AL80" s="239">
        <v>0.37879172516500853</v>
      </c>
      <c r="AN80" s="239">
        <v>0.42150091868624701</v>
      </c>
      <c r="AP80" s="239">
        <v>0.43554535970492414</v>
      </c>
      <c r="AR80" s="239">
        <v>0.45381842831258273</v>
      </c>
      <c r="AT80" s="239">
        <v>0.47985035245305435</v>
      </c>
      <c r="AV80" s="239" t="e">
        <v>#DIV/0!</v>
      </c>
      <c r="XFD80" s="239"/>
    </row>
    <row r="81" spans="1:48 16384:16384" x14ac:dyDescent="0.2">
      <c r="A81" t="s">
        <v>194</v>
      </c>
      <c r="B81" s="239">
        <v>7.6705523473783829E-2</v>
      </c>
      <c r="D81" s="239">
        <v>7.8441646326982334E-2</v>
      </c>
      <c r="F81" s="239">
        <v>8.0220688021267E-2</v>
      </c>
      <c r="H81" s="239">
        <v>8.2048229813699192E-2</v>
      </c>
      <c r="J81" s="239">
        <v>8.3930903230334628E-2</v>
      </c>
      <c r="L81" s="239">
        <v>8.587669945916683E-2</v>
      </c>
      <c r="N81" s="239">
        <v>8.789542782180923E-2</v>
      </c>
      <c r="P81" s="239">
        <v>8.9999504462141944E-2</v>
      </c>
      <c r="R81" s="239">
        <v>9.2205329583504497E-2</v>
      </c>
      <c r="T81" s="239">
        <v>9.453592043127744E-2</v>
      </c>
      <c r="V81" s="239">
        <v>9.7026121817963037E-2</v>
      </c>
      <c r="X81" s="239">
        <v>9.9733006965074145E-2</v>
      </c>
      <c r="Z81" s="239">
        <v>0.10275655900877756</v>
      </c>
      <c r="AB81" s="239">
        <v>0.10628063157720985</v>
      </c>
      <c r="AD81" s="239">
        <v>0.11065221583253987</v>
      </c>
      <c r="AF81" s="239">
        <v>0.11653450108516257</v>
      </c>
      <c r="AH81" s="239">
        <v>0.1251958716192039</v>
      </c>
      <c r="AJ81" s="239">
        <v>0.13899071325459483</v>
      </c>
      <c r="AL81" s="239">
        <v>0.16206405219603195</v>
      </c>
      <c r="AN81" s="239">
        <v>0.20477324571727046</v>
      </c>
      <c r="AP81" s="239">
        <v>0.21881768673594762</v>
      </c>
      <c r="AR81" s="239">
        <v>0.23709075534360616</v>
      </c>
      <c r="AT81" s="239">
        <v>0.26312267948407775</v>
      </c>
      <c r="AV81" s="239" t="e">
        <v>#DIV/0!</v>
      </c>
      <c r="XFD81" s="239"/>
    </row>
    <row r="82" spans="1:48 16384:16384" x14ac:dyDescent="0.2">
      <c r="A82" t="s">
        <v>195</v>
      </c>
      <c r="B82" s="239">
        <v>5.4622536949655895E-2</v>
      </c>
      <c r="D82" s="239">
        <v>5.4442786393288964E-2</v>
      </c>
      <c r="F82" s="239">
        <v>5.4252432219350041E-2</v>
      </c>
      <c r="H82" s="239">
        <v>5.4050260086445451E-2</v>
      </c>
      <c r="J82" s="239">
        <v>5.383491230505421E-2</v>
      </c>
      <c r="L82" s="239">
        <v>5.3604886960354509E-2</v>
      </c>
      <c r="N82" s="239">
        <v>5.335854860662697E-2</v>
      </c>
      <c r="P82" s="239">
        <v>5.3094157216498933E-2</v>
      </c>
      <c r="R82" s="239">
        <v>5.2809914086619412E-2</v>
      </c>
      <c r="T82" s="239">
        <v>5.2504012123978275E-2</v>
      </c>
      <c r="V82" s="239">
        <v>5.2174639009384682E-2</v>
      </c>
      <c r="X82" s="239">
        <v>5.1819796178434609E-2</v>
      </c>
      <c r="Z82" s="239">
        <v>5.1436638631890262E-2</v>
      </c>
      <c r="AB82" s="239">
        <v>5.1019810756084867E-2</v>
      </c>
      <c r="AD82" s="239">
        <v>5.0557777625654152E-2</v>
      </c>
      <c r="AF82" s="239">
        <v>5.0025730731686514E-2</v>
      </c>
      <c r="AH82" s="239">
        <v>4.9373951421901104E-2</v>
      </c>
      <c r="AJ82" s="239">
        <v>4.8518636166199287E-2</v>
      </c>
      <c r="AL82" s="239">
        <v>4.7370073913869264E-2</v>
      </c>
      <c r="AN82" s="239">
        <v>4.5896279287519486E-2</v>
      </c>
      <c r="AP82" s="239">
        <v>4.5561641042106457E-2</v>
      </c>
      <c r="AR82" s="239">
        <v>4.5212375787429482E-2</v>
      </c>
      <c r="AT82" s="239">
        <v>4.4842009008171847E-2</v>
      </c>
      <c r="AV82" s="239" t="e">
        <v>#DIV/0!</v>
      </c>
    </row>
    <row r="83" spans="1:48 16384:16384" x14ac:dyDescent="0.2">
      <c r="A83" t="s">
        <v>196</v>
      </c>
      <c r="B83" s="239">
        <v>8.4877033872722163E-2</v>
      </c>
      <c r="D83" s="239">
        <v>8.4714016236627096E-2</v>
      </c>
      <c r="F83" s="239">
        <v>8.4553128709884656E-2</v>
      </c>
      <c r="H83" s="239">
        <v>8.4394483562561448E-2</v>
      </c>
      <c r="J83" s="239">
        <v>8.4238129180862681E-2</v>
      </c>
      <c r="L83" s="239">
        <v>8.4083991774972666E-2</v>
      </c>
      <c r="N83" s="239">
        <v>8.3931766864143692E-2</v>
      </c>
      <c r="P83" s="239">
        <v>8.3780744598108581E-2</v>
      </c>
      <c r="R83" s="239">
        <v>8.3629485706509438E-2</v>
      </c>
      <c r="T83" s="239">
        <v>8.3475250497072939E-2</v>
      </c>
      <c r="V83" s="239">
        <v>8.3312975803481834E-2</v>
      </c>
      <c r="X83" s="239">
        <v>8.3133396081489813E-2</v>
      </c>
      <c r="Z83" s="239">
        <v>8.2919601098659049E-2</v>
      </c>
      <c r="AB83" s="239">
        <v>8.2640659564628779E-2</v>
      </c>
      <c r="AD83" s="239">
        <v>8.2239597601465958E-2</v>
      </c>
      <c r="AF83" s="239">
        <v>8.161028771467714E-2</v>
      </c>
      <c r="AH83" s="239">
        <v>8.05520269698803E-2</v>
      </c>
      <c r="AJ83" s="239">
        <v>7.868378585910131E-2</v>
      </c>
      <c r="AL83" s="239">
        <v>7.5276910658949259E-2</v>
      </c>
      <c r="AN83" s="239">
        <v>6.8318502901534198E-2</v>
      </c>
      <c r="AP83" s="239">
        <v>6.5880305668915659E-2</v>
      </c>
      <c r="AR83" s="239">
        <v>6.2621865020241335E-2</v>
      </c>
      <c r="AT83" s="239">
        <v>5.7852672144598161E-2</v>
      </c>
      <c r="AV83" s="239" t="e">
        <v>#DIV/0!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dimension ref="A1:XFD83"/>
  <sheetViews>
    <sheetView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97" x14ac:dyDescent="0.2">
      <c r="B1" s="97"/>
      <c r="D1" s="97"/>
      <c r="F1" s="97"/>
      <c r="H1" s="97"/>
      <c r="J1" s="97"/>
      <c r="L1" s="97"/>
      <c r="N1" s="97"/>
      <c r="P1" s="97"/>
      <c r="R1" s="97"/>
      <c r="T1" s="97"/>
      <c r="V1" s="97"/>
      <c r="X1" s="97"/>
      <c r="Z1" s="97"/>
      <c r="AB1" s="97"/>
      <c r="AD1" s="97"/>
      <c r="AF1" s="97"/>
      <c r="AH1" s="97"/>
      <c r="AJ1" s="97"/>
      <c r="AL1" s="97"/>
      <c r="AN1" s="97"/>
      <c r="AP1" s="97"/>
      <c r="AR1" s="97"/>
      <c r="AT1" s="97"/>
      <c r="AV1" s="97"/>
      <c r="AX1" s="97"/>
      <c r="AZ1" s="97"/>
      <c r="BB1" s="97"/>
      <c r="BD1" s="97"/>
      <c r="BF1" s="97"/>
      <c r="BH1" s="97"/>
      <c r="BJ1" s="97"/>
      <c r="BL1" s="97"/>
      <c r="BN1" s="97"/>
      <c r="BP1" s="97"/>
      <c r="BR1" s="97"/>
      <c r="BT1" s="97"/>
      <c r="BV1" s="97"/>
      <c r="BX1" s="97"/>
      <c r="BZ1" s="97"/>
      <c r="CB1" s="97"/>
      <c r="CD1" s="97"/>
      <c r="CF1" s="97"/>
      <c r="CH1" s="97"/>
      <c r="CJ1" s="97"/>
      <c r="CL1" s="97"/>
      <c r="CN1" s="97"/>
      <c r="CP1" s="97"/>
      <c r="CR1" s="97"/>
    </row>
    <row r="2" spans="1:97" x14ac:dyDescent="0.2">
      <c r="A2" s="84"/>
      <c r="B2" s="98"/>
      <c r="C2" s="84"/>
      <c r="D2" s="98"/>
      <c r="E2" s="84"/>
      <c r="F2" s="98"/>
      <c r="G2" s="84"/>
      <c r="H2" s="98"/>
      <c r="I2" s="84"/>
      <c r="J2" s="98"/>
      <c r="K2" s="84"/>
      <c r="L2" s="98"/>
      <c r="M2" s="84"/>
      <c r="N2" s="98"/>
      <c r="O2" s="84"/>
      <c r="P2" s="98"/>
      <c r="Q2" s="84"/>
      <c r="R2" s="98"/>
      <c r="S2" s="84"/>
      <c r="T2" s="98"/>
      <c r="U2" s="84"/>
      <c r="V2" s="98"/>
      <c r="W2" s="84"/>
      <c r="X2" s="98"/>
      <c r="Y2" s="84"/>
      <c r="Z2" s="98"/>
      <c r="AA2" s="84"/>
      <c r="AB2" s="98"/>
      <c r="AC2" s="84"/>
      <c r="AD2" s="98"/>
      <c r="AE2" s="84"/>
      <c r="AF2" s="98"/>
      <c r="AG2" s="84"/>
      <c r="AH2" s="98"/>
      <c r="AI2" s="84"/>
      <c r="AJ2" s="98"/>
      <c r="AK2" s="84"/>
      <c r="AL2" s="98"/>
      <c r="AM2" s="84"/>
      <c r="AN2" s="98"/>
      <c r="AO2" s="84"/>
      <c r="AP2" s="98"/>
      <c r="AQ2" s="84"/>
      <c r="AR2" s="98"/>
      <c r="AS2" s="84"/>
      <c r="AT2" s="98"/>
      <c r="AU2" s="84"/>
      <c r="AV2" s="98"/>
      <c r="AW2" s="84"/>
      <c r="AX2" s="98"/>
      <c r="AZ2" s="98"/>
      <c r="BB2" s="98"/>
      <c r="BD2" s="98"/>
      <c r="BF2" s="98"/>
      <c r="BH2" s="98"/>
      <c r="BJ2" s="98"/>
      <c r="BL2" s="98"/>
      <c r="BN2" s="98"/>
      <c r="BP2" s="98"/>
      <c r="BR2" s="98"/>
      <c r="BT2" s="98"/>
      <c r="BV2" s="98"/>
      <c r="BX2" s="98"/>
      <c r="BZ2" s="98"/>
      <c r="CB2" s="98"/>
      <c r="CD2" s="98"/>
      <c r="CF2" s="98"/>
      <c r="CH2" s="98"/>
      <c r="CJ2" s="98"/>
      <c r="CL2" s="98"/>
      <c r="CN2" s="98"/>
      <c r="CP2" s="98"/>
      <c r="CR2" s="98"/>
    </row>
    <row r="3" spans="1:97" x14ac:dyDescent="0.2">
      <c r="B3" s="87"/>
      <c r="C3" s="88"/>
      <c r="D3" s="87"/>
      <c r="E3" s="88"/>
      <c r="F3" s="87"/>
      <c r="G3" s="88"/>
      <c r="H3" s="87"/>
      <c r="I3" s="88"/>
      <c r="J3" s="87"/>
      <c r="K3" s="88"/>
      <c r="L3" s="87"/>
      <c r="M3" s="88"/>
      <c r="N3" s="87"/>
      <c r="O3" s="88"/>
      <c r="P3" s="87"/>
      <c r="Q3" s="88"/>
      <c r="R3" s="87"/>
      <c r="S3" s="88"/>
      <c r="T3" s="87"/>
      <c r="U3" s="88"/>
      <c r="V3" s="87"/>
      <c r="W3" s="88"/>
      <c r="X3" s="87"/>
      <c r="Y3" s="88"/>
      <c r="Z3" s="87"/>
      <c r="AA3" s="88"/>
      <c r="AB3" s="87"/>
      <c r="AC3" s="88"/>
      <c r="AD3" s="87"/>
      <c r="AE3" s="88"/>
      <c r="AF3" s="87"/>
      <c r="AG3" s="88"/>
      <c r="AH3" s="87"/>
      <c r="AI3" s="88"/>
      <c r="AJ3" s="87"/>
      <c r="AK3" s="88"/>
      <c r="AL3" s="87"/>
      <c r="AM3" s="88"/>
      <c r="AN3" s="87"/>
      <c r="AO3" s="88"/>
      <c r="AP3" s="87"/>
      <c r="AQ3" s="88"/>
      <c r="AR3" s="87"/>
      <c r="AS3" s="88"/>
      <c r="AT3" s="87"/>
      <c r="AU3" s="88"/>
      <c r="AV3" s="87"/>
      <c r="AW3" s="88"/>
      <c r="AX3" s="87"/>
      <c r="AY3" s="88"/>
      <c r="AZ3" s="87"/>
      <c r="BA3" s="88"/>
      <c r="BB3" s="87"/>
      <c r="BC3" s="88"/>
      <c r="BD3" s="87"/>
      <c r="BE3" s="88"/>
      <c r="BF3" s="87"/>
      <c r="BG3" s="88"/>
      <c r="BH3" s="87"/>
      <c r="BI3" s="88"/>
      <c r="BJ3" s="87"/>
      <c r="BK3" s="88"/>
      <c r="BL3" s="87"/>
      <c r="BM3" s="88"/>
      <c r="BN3" s="87"/>
      <c r="BO3" s="88"/>
      <c r="BP3" s="87"/>
      <c r="BQ3" s="88"/>
      <c r="BR3" s="87"/>
      <c r="BS3" s="88"/>
      <c r="BT3" s="87"/>
      <c r="BU3" s="88"/>
      <c r="BV3" s="87"/>
      <c r="BW3" s="88"/>
      <c r="BX3" s="87"/>
      <c r="BY3" s="88"/>
      <c r="BZ3" s="87"/>
      <c r="CA3" s="88"/>
      <c r="CB3" s="87"/>
      <c r="CC3" s="88"/>
      <c r="CD3" s="87"/>
      <c r="CE3" s="88"/>
      <c r="CF3" s="87"/>
      <c r="CG3" s="88"/>
      <c r="CH3" s="87"/>
      <c r="CI3" s="88"/>
      <c r="CJ3" s="87"/>
      <c r="CK3" s="88"/>
      <c r="CL3" s="87"/>
      <c r="CM3" s="88"/>
      <c r="CN3" s="87"/>
      <c r="CO3" s="88"/>
      <c r="CP3" s="87"/>
      <c r="CQ3" s="88"/>
      <c r="CR3" s="87"/>
      <c r="CS3" s="88"/>
    </row>
    <row r="4" spans="1:97" x14ac:dyDescent="0.2">
      <c r="B4" s="104"/>
      <c r="C4" s="105"/>
      <c r="D4" s="104"/>
      <c r="E4" s="105"/>
      <c r="F4" s="104"/>
      <c r="G4" s="105"/>
      <c r="H4" s="104"/>
      <c r="I4" s="105"/>
      <c r="J4" s="104"/>
      <c r="K4" s="105"/>
      <c r="L4" s="104"/>
      <c r="M4" s="105"/>
      <c r="N4" s="104"/>
      <c r="O4" s="105"/>
      <c r="P4" s="104"/>
      <c r="Q4" s="105"/>
      <c r="R4" s="104"/>
      <c r="S4" s="105"/>
      <c r="T4" s="104"/>
      <c r="U4" s="105"/>
      <c r="V4" s="104"/>
      <c r="W4" s="105"/>
      <c r="X4" s="104"/>
      <c r="Y4" s="105"/>
      <c r="Z4" s="104"/>
      <c r="AA4" s="105"/>
      <c r="AB4" s="104"/>
      <c r="AC4" s="105"/>
      <c r="AD4" s="104"/>
      <c r="AE4" s="105"/>
      <c r="AF4" s="104"/>
      <c r="AG4" s="105"/>
      <c r="AH4" s="104"/>
      <c r="AI4" s="105"/>
      <c r="AJ4" s="104"/>
      <c r="AK4" s="105"/>
      <c r="AL4" s="104"/>
      <c r="AM4" s="105"/>
      <c r="AN4" s="104"/>
      <c r="AO4" s="105"/>
      <c r="AP4" s="104"/>
      <c r="AQ4" s="105"/>
      <c r="AR4" s="104"/>
      <c r="AS4" s="105"/>
      <c r="AT4" s="104"/>
      <c r="AU4" s="105"/>
      <c r="AV4" s="104"/>
      <c r="AW4" s="105"/>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c r="CR4" s="59"/>
      <c r="CS4" s="60"/>
    </row>
    <row r="5" spans="1:97" x14ac:dyDescent="0.2">
      <c r="B5" s="41"/>
      <c r="C5" s="42"/>
      <c r="D5" s="41"/>
      <c r="E5" s="42"/>
      <c r="F5" s="41"/>
      <c r="G5" s="42"/>
      <c r="H5" s="41"/>
      <c r="I5" s="42"/>
      <c r="J5" s="41"/>
      <c r="K5" s="42"/>
      <c r="L5" s="41"/>
      <c r="M5" s="42"/>
      <c r="N5" s="41"/>
      <c r="O5" s="42"/>
      <c r="P5" s="41"/>
      <c r="Q5" s="42"/>
      <c r="R5" s="41"/>
      <c r="S5" s="42"/>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c r="CR5" s="41"/>
      <c r="CS5" s="42"/>
    </row>
    <row r="6" spans="1:97" x14ac:dyDescent="0.2">
      <c r="B6" s="41"/>
      <c r="C6" s="42"/>
      <c r="D6" s="41"/>
      <c r="E6" s="42"/>
      <c r="F6" s="41"/>
      <c r="G6" s="42"/>
      <c r="H6" s="41"/>
      <c r="I6" s="42"/>
      <c r="J6" s="41"/>
      <c r="K6" s="42"/>
      <c r="L6" s="41"/>
      <c r="M6" s="42"/>
      <c r="N6" s="41"/>
      <c r="O6" s="42"/>
      <c r="P6" s="41"/>
      <c r="Q6" s="42"/>
      <c r="R6" s="41"/>
      <c r="S6" s="42"/>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c r="CR6" s="41"/>
      <c r="CS6" s="42"/>
    </row>
    <row r="7" spans="1:97" x14ac:dyDescent="0.2">
      <c r="B7" s="33"/>
      <c r="C7" s="34"/>
      <c r="D7" s="33"/>
      <c r="E7" s="34"/>
      <c r="F7" s="33"/>
      <c r="G7" s="34"/>
      <c r="H7" s="33"/>
      <c r="I7" s="34"/>
      <c r="J7" s="33"/>
      <c r="K7" s="34"/>
      <c r="L7" s="33"/>
      <c r="M7" s="34"/>
      <c r="N7" s="33"/>
      <c r="O7" s="34"/>
      <c r="P7" s="33"/>
      <c r="Q7" s="34"/>
      <c r="R7" s="33"/>
      <c r="S7" s="34"/>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c r="CR7" s="33"/>
      <c r="CS7" s="34"/>
    </row>
    <row r="8" spans="1:97" x14ac:dyDescent="0.2">
      <c r="B8" s="35"/>
      <c r="C8" s="36"/>
      <c r="D8" s="35"/>
      <c r="E8" s="36"/>
      <c r="F8" s="35"/>
      <c r="G8" s="36"/>
      <c r="H8" s="35"/>
      <c r="I8" s="36"/>
      <c r="J8" s="35"/>
      <c r="K8" s="36"/>
      <c r="L8" s="35"/>
      <c r="M8" s="36"/>
      <c r="N8" s="35"/>
      <c r="O8" s="36"/>
      <c r="P8" s="35"/>
      <c r="Q8" s="36"/>
      <c r="R8" s="35"/>
      <c r="S8" s="36"/>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c r="CR8" s="35"/>
      <c r="CS8" s="36"/>
    </row>
    <row r="9" spans="1:97" x14ac:dyDescent="0.2">
      <c r="B9" s="41"/>
      <c r="C9" s="42"/>
      <c r="D9" s="41"/>
      <c r="E9" s="42"/>
      <c r="F9" s="41"/>
      <c r="G9" s="42"/>
      <c r="H9" s="41"/>
      <c r="I9" s="42"/>
      <c r="J9" s="41"/>
      <c r="K9" s="42"/>
      <c r="L9" s="41"/>
      <c r="M9" s="42"/>
      <c r="N9" s="41"/>
      <c r="O9" s="42"/>
      <c r="P9" s="41"/>
      <c r="Q9" s="42"/>
      <c r="R9" s="41"/>
      <c r="S9" s="42"/>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c r="CR9" s="41"/>
      <c r="CS9" s="42"/>
    </row>
    <row r="10" spans="1:97" x14ac:dyDescent="0.2">
      <c r="B10" s="41"/>
      <c r="C10" s="42"/>
      <c r="D10" s="41"/>
      <c r="E10" s="42"/>
      <c r="F10" s="41"/>
      <c r="G10" s="42"/>
      <c r="H10" s="41"/>
      <c r="I10" s="42"/>
      <c r="J10" s="41"/>
      <c r="K10" s="42"/>
      <c r="L10" s="41"/>
      <c r="M10" s="42"/>
      <c r="N10" s="41"/>
      <c r="O10" s="42"/>
      <c r="P10" s="41"/>
      <c r="Q10" s="42"/>
      <c r="R10" s="41"/>
      <c r="S10" s="42"/>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c r="CR10" s="41"/>
      <c r="CS10" s="42"/>
    </row>
    <row r="11" spans="1:97" x14ac:dyDescent="0.2">
      <c r="B11" s="41"/>
      <c r="C11" s="42"/>
      <c r="D11" s="41"/>
      <c r="E11" s="42"/>
      <c r="F11" s="41"/>
      <c r="G11" s="42"/>
      <c r="H11" s="41"/>
      <c r="I11" s="42"/>
      <c r="J11" s="41"/>
      <c r="K11" s="42"/>
      <c r="L11" s="41"/>
      <c r="M11" s="42"/>
      <c r="N11" s="41"/>
      <c r="O11" s="42"/>
      <c r="P11" s="41"/>
      <c r="Q11" s="42"/>
      <c r="R11" s="41"/>
      <c r="S11" s="42"/>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c r="CR11" s="41"/>
      <c r="CS11" s="42"/>
    </row>
    <row r="12" spans="1:97" x14ac:dyDescent="0.2">
      <c r="B12" s="41"/>
      <c r="C12" s="42"/>
      <c r="D12" s="41"/>
      <c r="E12" s="42"/>
      <c r="F12" s="41"/>
      <c r="G12" s="42"/>
      <c r="H12" s="41"/>
      <c r="I12" s="42"/>
      <c r="J12" s="41"/>
      <c r="K12" s="42"/>
      <c r="L12" s="41"/>
      <c r="M12" s="42"/>
      <c r="N12" s="41"/>
      <c r="O12" s="42"/>
      <c r="P12" s="41"/>
      <c r="Q12" s="42"/>
      <c r="R12" s="41"/>
      <c r="S12" s="42"/>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c r="CR12" s="41"/>
      <c r="CS12" s="42"/>
    </row>
    <row r="13" spans="1:97" x14ac:dyDescent="0.2">
      <c r="B13" s="100"/>
      <c r="C13" s="101"/>
      <c r="D13" s="100"/>
      <c r="E13" s="101"/>
      <c r="F13" s="100"/>
      <c r="G13" s="101"/>
      <c r="H13" s="100"/>
      <c r="I13" s="101"/>
      <c r="J13" s="100"/>
      <c r="K13" s="101"/>
      <c r="L13" s="100"/>
      <c r="M13" s="101"/>
      <c r="N13" s="100"/>
      <c r="O13" s="101"/>
      <c r="P13" s="100"/>
      <c r="Q13" s="101"/>
      <c r="R13" s="100"/>
      <c r="S13" s="101"/>
      <c r="T13" s="100"/>
      <c r="U13" s="101"/>
      <c r="V13" s="100"/>
      <c r="W13" s="101"/>
      <c r="X13" s="100"/>
      <c r="Y13" s="101"/>
      <c r="Z13" s="100"/>
      <c r="AA13" s="101"/>
      <c r="AB13" s="100"/>
      <c r="AC13" s="101"/>
      <c r="AD13" s="100"/>
      <c r="AE13" s="101"/>
      <c r="AF13" s="100"/>
      <c r="AG13" s="101"/>
      <c r="AH13" s="100"/>
      <c r="AI13" s="101"/>
      <c r="AJ13" s="100"/>
      <c r="AK13" s="101"/>
      <c r="AL13" s="100"/>
      <c r="AM13" s="101"/>
      <c r="AN13" s="100"/>
      <c r="AO13" s="101"/>
      <c r="AP13" s="100"/>
      <c r="AQ13" s="101"/>
      <c r="AR13" s="100"/>
      <c r="AS13" s="101"/>
      <c r="AT13" s="100"/>
      <c r="AU13" s="101"/>
      <c r="AV13" s="100"/>
      <c r="AW13" s="101"/>
      <c r="AX13" s="100"/>
      <c r="AY13" s="101"/>
      <c r="AZ13" s="100"/>
      <c r="BA13" s="101"/>
      <c r="BB13" s="100"/>
      <c r="BC13" s="101"/>
      <c r="BD13" s="100"/>
      <c r="BE13" s="101"/>
      <c r="BF13" s="100"/>
      <c r="BG13" s="101"/>
      <c r="BH13" s="100"/>
      <c r="BI13" s="101"/>
      <c r="BJ13" s="100"/>
      <c r="BK13" s="101"/>
      <c r="BL13" s="100"/>
      <c r="BM13" s="101"/>
      <c r="BN13" s="100"/>
      <c r="BO13" s="101"/>
      <c r="BP13" s="100"/>
      <c r="BQ13" s="101"/>
      <c r="BR13" s="100"/>
      <c r="BS13" s="101"/>
      <c r="BT13" s="100"/>
      <c r="BU13" s="101"/>
      <c r="BV13" s="100"/>
      <c r="BW13" s="101"/>
      <c r="BX13" s="100"/>
      <c r="BY13" s="101"/>
      <c r="BZ13" s="100"/>
      <c r="CA13" s="101"/>
      <c r="CB13" s="100"/>
      <c r="CC13" s="101"/>
      <c r="CD13" s="100"/>
      <c r="CE13" s="101"/>
      <c r="CF13" s="100"/>
      <c r="CG13" s="101"/>
      <c r="CH13" s="100"/>
      <c r="CI13" s="101"/>
      <c r="CJ13" s="100"/>
      <c r="CK13" s="101"/>
      <c r="CL13" s="100"/>
      <c r="CM13" s="101"/>
      <c r="CN13" s="100"/>
      <c r="CO13" s="101"/>
      <c r="CP13" s="100"/>
      <c r="CQ13" s="101"/>
      <c r="CR13" s="100"/>
      <c r="CS13" s="101"/>
    </row>
    <row r="14" spans="1:97" x14ac:dyDescent="0.2">
      <c r="B14" s="41"/>
      <c r="C14" s="42"/>
      <c r="D14" s="41"/>
      <c r="E14" s="42"/>
      <c r="F14" s="41"/>
      <c r="G14" s="42"/>
      <c r="H14" s="41"/>
      <c r="I14" s="42"/>
      <c r="J14" s="41"/>
      <c r="K14" s="42"/>
      <c r="L14" s="41"/>
      <c r="M14" s="42"/>
      <c r="N14" s="41"/>
      <c r="O14" s="42"/>
      <c r="P14" s="41"/>
      <c r="Q14" s="42"/>
      <c r="R14" s="41"/>
      <c r="S14" s="42"/>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c r="CR14" s="41"/>
      <c r="CS14" s="42"/>
    </row>
    <row r="15" spans="1:97" x14ac:dyDescent="0.2">
      <c r="B15" s="157"/>
      <c r="C15" s="158"/>
      <c r="D15" s="157"/>
      <c r="E15" s="158"/>
      <c r="F15" s="157"/>
      <c r="G15" s="158"/>
      <c r="H15" s="157"/>
      <c r="I15" s="158"/>
      <c r="J15" s="157"/>
      <c r="K15" s="158"/>
      <c r="L15" s="157"/>
      <c r="M15" s="158"/>
      <c r="N15" s="157"/>
      <c r="O15" s="158"/>
      <c r="P15" s="157"/>
      <c r="Q15" s="158"/>
      <c r="R15" s="157"/>
      <c r="S15" s="158"/>
      <c r="T15" s="157"/>
      <c r="U15" s="158"/>
      <c r="V15" s="157"/>
      <c r="W15" s="158"/>
      <c r="X15" s="157"/>
      <c r="Y15" s="158"/>
      <c r="Z15" s="157"/>
      <c r="AA15" s="158"/>
      <c r="AB15" s="157"/>
      <c r="AC15" s="158"/>
      <c r="AD15" s="157"/>
      <c r="AE15" s="158"/>
      <c r="AF15" s="157"/>
      <c r="AG15" s="158"/>
      <c r="AH15" s="157"/>
      <c r="AI15" s="158"/>
      <c r="AJ15" s="157"/>
      <c r="AK15" s="158"/>
      <c r="AL15" s="157"/>
      <c r="AM15" s="158"/>
      <c r="AN15" s="157"/>
      <c r="AO15" s="158"/>
      <c r="AP15" s="157"/>
      <c r="AQ15" s="158"/>
      <c r="AR15" s="157"/>
      <c r="AS15" s="158"/>
      <c r="AT15" s="157"/>
      <c r="AU15" s="158"/>
      <c r="AV15" s="157"/>
      <c r="AW15" s="158"/>
      <c r="AX15" s="102"/>
      <c r="AY15" s="103"/>
      <c r="AZ15" s="102"/>
      <c r="BA15" s="103"/>
      <c r="BB15" s="102"/>
      <c r="BC15" s="103"/>
      <c r="BD15" s="102"/>
      <c r="BE15" s="103"/>
      <c r="BF15" s="102"/>
      <c r="BG15" s="103"/>
      <c r="BH15" s="102"/>
      <c r="BI15" s="103"/>
      <c r="BJ15" s="102"/>
      <c r="BK15" s="103"/>
      <c r="BL15" s="102"/>
      <c r="BM15" s="103"/>
      <c r="BN15" s="102"/>
      <c r="BO15" s="103"/>
      <c r="BP15" s="102"/>
      <c r="BQ15" s="103"/>
      <c r="BR15" s="102"/>
      <c r="BS15" s="103"/>
      <c r="BT15" s="102"/>
      <c r="BU15" s="103"/>
      <c r="BV15" s="102"/>
      <c r="BW15" s="103"/>
      <c r="BX15" s="102"/>
      <c r="BY15" s="103"/>
      <c r="BZ15" s="102"/>
      <c r="CA15" s="103"/>
      <c r="CB15" s="102"/>
      <c r="CC15" s="103"/>
      <c r="CD15" s="102"/>
      <c r="CE15" s="103"/>
      <c r="CF15" s="102"/>
      <c r="CG15" s="103"/>
      <c r="CH15" s="102"/>
      <c r="CI15" s="103"/>
      <c r="CJ15" s="102"/>
      <c r="CK15" s="103"/>
      <c r="CL15" s="102"/>
      <c r="CM15" s="103"/>
      <c r="CN15" s="102"/>
      <c r="CO15" s="103"/>
      <c r="CP15" s="102"/>
      <c r="CQ15" s="103"/>
      <c r="CR15" s="102"/>
      <c r="CS15" s="103"/>
    </row>
    <row r="16" spans="1:97" s="29" customFormat="1" x14ac:dyDescent="0.2">
      <c r="A16"/>
      <c r="B16" s="41"/>
      <c r="C16" s="42"/>
      <c r="D16" s="41"/>
      <c r="E16" s="42"/>
      <c r="F16" s="41"/>
      <c r="G16" s="42"/>
      <c r="H16" s="41"/>
      <c r="I16" s="42"/>
      <c r="J16" s="41"/>
      <c r="K16" s="42"/>
      <c r="L16" s="41"/>
      <c r="M16" s="42"/>
      <c r="N16" s="41"/>
      <c r="O16" s="42"/>
      <c r="P16" s="41"/>
      <c r="Q16" s="42"/>
      <c r="R16" s="41"/>
      <c r="S16" s="42"/>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c r="CR16" s="41"/>
      <c r="CS16" s="42"/>
    </row>
    <row r="17" spans="2:97" x14ac:dyDescent="0.2">
      <c r="B17" s="35"/>
      <c r="C17" s="36"/>
      <c r="D17" s="35"/>
      <c r="E17" s="36"/>
      <c r="F17" s="35"/>
      <c r="G17" s="36"/>
      <c r="H17" s="35"/>
      <c r="I17" s="36"/>
      <c r="J17" s="35"/>
      <c r="K17" s="36"/>
      <c r="L17" s="35"/>
      <c r="M17" s="36"/>
      <c r="N17" s="35"/>
      <c r="O17" s="36"/>
      <c r="P17" s="35"/>
      <c r="Q17" s="36"/>
      <c r="R17" s="35"/>
      <c r="S17" s="36"/>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c r="CR17" s="35"/>
      <c r="CS17" s="36"/>
    </row>
    <row r="18" spans="2:97" x14ac:dyDescent="0.2">
      <c r="B18" s="33"/>
      <c r="C18" s="34"/>
      <c r="D18" s="33"/>
      <c r="E18" s="34"/>
      <c r="F18" s="33"/>
      <c r="G18" s="34"/>
      <c r="H18" s="33"/>
      <c r="I18" s="34"/>
      <c r="J18" s="33"/>
      <c r="K18" s="34"/>
      <c r="L18" s="33"/>
      <c r="M18" s="34"/>
      <c r="N18" s="33"/>
      <c r="O18" s="34"/>
      <c r="P18" s="33"/>
      <c r="Q18" s="34"/>
      <c r="R18" s="33"/>
      <c r="S18" s="34"/>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c r="CR18" s="41"/>
      <c r="CS18" s="42"/>
    </row>
    <row r="19" spans="2:97" x14ac:dyDescent="0.2">
      <c r="B19" s="41"/>
      <c r="C19" s="42"/>
      <c r="D19" s="41"/>
      <c r="E19" s="42"/>
      <c r="F19" s="41"/>
      <c r="G19" s="42"/>
      <c r="H19" s="41"/>
      <c r="I19" s="42"/>
      <c r="J19" s="41"/>
      <c r="K19" s="42"/>
      <c r="L19" s="41"/>
      <c r="M19" s="42"/>
      <c r="N19" s="41"/>
      <c r="O19" s="42"/>
      <c r="P19" s="41"/>
      <c r="Q19" s="42"/>
      <c r="R19" s="41"/>
      <c r="S19" s="42"/>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5"/>
      <c r="AY19" s="86"/>
      <c r="AZ19" s="85"/>
      <c r="BA19" s="86"/>
      <c r="BB19" s="85"/>
      <c r="BC19" s="86"/>
      <c r="BD19" s="85"/>
      <c r="BE19" s="86"/>
      <c r="BF19" s="85"/>
      <c r="BG19" s="86"/>
      <c r="BH19" s="85"/>
      <c r="BI19" s="86"/>
      <c r="BJ19" s="85"/>
      <c r="BK19" s="86"/>
      <c r="BL19" s="85"/>
      <c r="BM19" s="86"/>
      <c r="BN19" s="85"/>
      <c r="BO19" s="86"/>
      <c r="BP19" s="85"/>
      <c r="BQ19" s="86"/>
      <c r="BR19" s="85"/>
      <c r="BS19" s="86"/>
      <c r="BT19" s="85"/>
      <c r="BU19" s="86"/>
      <c r="BV19" s="85"/>
      <c r="BW19" s="86"/>
      <c r="BX19" s="85"/>
      <c r="BY19" s="86"/>
      <c r="BZ19" s="85"/>
      <c r="CA19" s="86"/>
      <c r="CB19" s="85"/>
      <c r="CC19" s="86"/>
      <c r="CD19" s="85"/>
      <c r="CE19" s="86"/>
      <c r="CF19" s="85"/>
      <c r="CG19" s="86"/>
      <c r="CH19" s="85"/>
      <c r="CI19" s="86"/>
      <c r="CJ19" s="85"/>
      <c r="CK19" s="86"/>
      <c r="CL19" s="85"/>
      <c r="CM19" s="86"/>
      <c r="CN19" s="85"/>
      <c r="CO19" s="86"/>
      <c r="CP19" s="85"/>
      <c r="CQ19" s="86"/>
      <c r="CR19" s="85"/>
      <c r="CS19" s="86"/>
    </row>
    <row r="20" spans="2:97" x14ac:dyDescent="0.2">
      <c r="B20" s="85"/>
      <c r="C20" s="86"/>
      <c r="D20" s="85"/>
      <c r="E20" s="86"/>
      <c r="F20" s="85"/>
      <c r="G20" s="86"/>
      <c r="H20" s="85"/>
      <c r="I20" s="86"/>
      <c r="J20" s="85"/>
      <c r="K20" s="86"/>
      <c r="L20" s="85"/>
      <c r="M20" s="86"/>
      <c r="N20" s="85"/>
      <c r="O20" s="86"/>
      <c r="P20" s="85"/>
      <c r="Q20" s="86"/>
      <c r="R20" s="85"/>
      <c r="S20" s="86"/>
      <c r="T20" s="85"/>
      <c r="U20" s="86"/>
      <c r="V20" s="85"/>
      <c r="W20" s="86"/>
      <c r="X20" s="85"/>
      <c r="Y20" s="86"/>
      <c r="Z20" s="85"/>
      <c r="AA20" s="86"/>
      <c r="AB20" s="85"/>
      <c r="AC20" s="86"/>
      <c r="AD20" s="85"/>
      <c r="AE20" s="86"/>
      <c r="AF20" s="85"/>
      <c r="AG20" s="86"/>
      <c r="AH20" s="85"/>
      <c r="AI20" s="86"/>
      <c r="AJ20" s="85"/>
      <c r="AK20" s="86"/>
      <c r="AL20" s="85"/>
      <c r="AM20" s="86"/>
      <c r="AN20" s="85"/>
      <c r="AO20" s="86"/>
      <c r="AP20" s="85"/>
      <c r="AQ20" s="86"/>
      <c r="AR20" s="85"/>
      <c r="AS20" s="86"/>
      <c r="AT20" s="85"/>
      <c r="AU20" s="86"/>
      <c r="AV20" s="85"/>
      <c r="AW20" s="86"/>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c r="CR20" s="41"/>
      <c r="CS20" s="42"/>
    </row>
    <row r="21" spans="2:97" x14ac:dyDescent="0.2">
      <c r="B21" s="85"/>
      <c r="C21" s="86"/>
      <c r="D21" s="85"/>
      <c r="E21" s="86"/>
      <c r="F21" s="85"/>
      <c r="G21" s="86"/>
      <c r="H21" s="85"/>
      <c r="I21" s="86"/>
      <c r="J21" s="85"/>
      <c r="K21" s="86"/>
      <c r="L21" s="85"/>
      <c r="M21" s="86"/>
      <c r="N21" s="85"/>
      <c r="O21" s="86"/>
      <c r="P21" s="85"/>
      <c r="Q21" s="86"/>
      <c r="R21" s="85"/>
      <c r="S21" s="86"/>
      <c r="T21" s="85"/>
      <c r="U21" s="86"/>
      <c r="V21" s="85"/>
      <c r="W21" s="86"/>
      <c r="X21" s="85"/>
      <c r="Y21" s="86"/>
      <c r="Z21" s="85"/>
      <c r="AA21" s="86"/>
      <c r="AB21" s="85"/>
      <c r="AC21" s="86"/>
      <c r="AD21" s="85"/>
      <c r="AE21" s="86"/>
      <c r="AF21" s="85"/>
      <c r="AG21" s="86"/>
      <c r="AH21" s="85"/>
      <c r="AI21" s="86"/>
      <c r="AJ21" s="85"/>
      <c r="AK21" s="86"/>
      <c r="AL21" s="85"/>
      <c r="AM21" s="86"/>
      <c r="AN21" s="85"/>
      <c r="AO21" s="86"/>
      <c r="AP21" s="85"/>
      <c r="AQ21" s="86"/>
      <c r="AR21" s="85"/>
      <c r="AS21" s="86"/>
      <c r="AT21" s="85"/>
      <c r="AU21" s="86"/>
      <c r="AV21" s="85"/>
      <c r="AW21" s="86"/>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c r="CR21" s="41"/>
      <c r="CS21" s="42"/>
    </row>
    <row r="22" spans="2:97" x14ac:dyDescent="0.2">
      <c r="B22" s="41"/>
      <c r="C22" s="42"/>
      <c r="D22" s="41"/>
      <c r="E22" s="42"/>
      <c r="F22" s="41"/>
      <c r="G22" s="42"/>
      <c r="H22" s="41"/>
      <c r="I22" s="42"/>
      <c r="J22" s="41"/>
      <c r="K22" s="42"/>
      <c r="L22" s="41"/>
      <c r="M22" s="42"/>
      <c r="N22" s="41"/>
      <c r="O22" s="42"/>
      <c r="P22" s="41"/>
      <c r="Q22" s="42"/>
      <c r="R22" s="41"/>
      <c r="S22" s="42"/>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9"/>
      <c r="AY22" s="8"/>
      <c r="AZ22" s="119"/>
      <c r="BA22" s="8"/>
      <c r="BB22" s="119"/>
      <c r="BC22" s="8"/>
      <c r="BD22" s="119"/>
      <c r="BE22" s="8"/>
      <c r="BF22" s="119"/>
      <c r="BG22" s="8"/>
      <c r="BH22" s="119"/>
      <c r="BI22" s="8"/>
      <c r="BJ22" s="119"/>
      <c r="BK22" s="8"/>
      <c r="BL22" s="119"/>
      <c r="BM22" s="8"/>
      <c r="BN22" s="119"/>
      <c r="BO22" s="8"/>
      <c r="BP22" s="119"/>
      <c r="BQ22" s="8"/>
      <c r="BR22" s="119"/>
      <c r="BS22" s="8"/>
      <c r="BT22" s="119"/>
      <c r="BU22" s="8"/>
      <c r="BV22" s="119"/>
      <c r="BW22" s="8"/>
      <c r="BX22" s="119"/>
      <c r="BY22" s="8"/>
      <c r="BZ22" s="119"/>
      <c r="CA22" s="8"/>
      <c r="CB22" s="119"/>
      <c r="CC22" s="8"/>
      <c r="CD22" s="119"/>
      <c r="CE22" s="8"/>
      <c r="CF22" s="119"/>
      <c r="CG22" s="8"/>
      <c r="CH22" s="119"/>
      <c r="CI22" s="8"/>
      <c r="CJ22" s="119"/>
      <c r="CK22" s="8"/>
      <c r="CL22" s="119"/>
      <c r="CM22" s="8"/>
      <c r="CN22" s="119"/>
      <c r="CO22" s="8"/>
      <c r="CP22" s="119"/>
      <c r="CQ22" s="8"/>
      <c r="CR22" s="119"/>
      <c r="CS22" s="8"/>
    </row>
    <row r="23" spans="2:97" x14ac:dyDescent="0.2">
      <c r="B23" s="119"/>
      <c r="C23" s="8"/>
      <c r="D23" s="119"/>
      <c r="E23" s="8"/>
      <c r="F23" s="119"/>
      <c r="G23" s="8"/>
      <c r="H23" s="119"/>
      <c r="I23" s="8"/>
      <c r="J23" s="119"/>
      <c r="K23" s="8"/>
      <c r="L23" s="119"/>
      <c r="M23" s="8"/>
      <c r="N23" s="119"/>
      <c r="O23" s="8"/>
      <c r="P23" s="119"/>
      <c r="Q23" s="8"/>
      <c r="R23" s="119"/>
      <c r="S23" s="8"/>
      <c r="T23" s="119"/>
      <c r="U23" s="8"/>
      <c r="V23" s="119"/>
      <c r="W23" s="8"/>
      <c r="X23" s="119"/>
      <c r="Y23" s="8"/>
      <c r="Z23" s="119"/>
      <c r="AA23" s="8"/>
      <c r="AB23" s="119"/>
      <c r="AC23" s="8"/>
      <c r="AD23" s="119"/>
      <c r="AE23" s="8"/>
      <c r="AF23" s="119"/>
      <c r="AG23" s="8"/>
      <c r="AH23" s="119"/>
      <c r="AI23" s="8"/>
      <c r="AJ23" s="119"/>
      <c r="AK23" s="8"/>
      <c r="AL23" s="119"/>
      <c r="AM23" s="8"/>
      <c r="AN23" s="119"/>
      <c r="AO23" s="8"/>
      <c r="AP23" s="119"/>
      <c r="AQ23" s="8"/>
      <c r="AR23" s="119"/>
      <c r="AS23" s="8"/>
      <c r="AT23" s="119"/>
      <c r="AU23" s="8"/>
      <c r="AV23" s="119"/>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c r="CR23" s="59"/>
      <c r="CS23" s="8"/>
    </row>
    <row r="24" spans="2:97" x14ac:dyDescent="0.2">
      <c r="B24" s="100"/>
      <c r="C24" s="8"/>
      <c r="D24" s="100"/>
      <c r="E24" s="8"/>
      <c r="F24" s="100"/>
      <c r="G24" s="8"/>
      <c r="H24" s="100"/>
      <c r="I24" s="8"/>
      <c r="J24" s="100"/>
      <c r="K24" s="8"/>
      <c r="L24" s="100"/>
      <c r="M24" s="8"/>
      <c r="N24" s="100"/>
      <c r="O24" s="8"/>
      <c r="P24" s="100"/>
      <c r="Q24" s="8"/>
      <c r="R24" s="100"/>
      <c r="S24" s="8"/>
      <c r="T24" s="100"/>
      <c r="U24" s="8"/>
      <c r="V24" s="100"/>
      <c r="W24" s="8"/>
      <c r="X24" s="100"/>
      <c r="Y24" s="8"/>
      <c r="Z24" s="100"/>
      <c r="AA24" s="8"/>
      <c r="AB24" s="100"/>
      <c r="AC24" s="8"/>
      <c r="AD24" s="100"/>
      <c r="AE24" s="8"/>
      <c r="AF24" s="100"/>
      <c r="AG24" s="8"/>
      <c r="AH24" s="100"/>
      <c r="AI24" s="8"/>
      <c r="AJ24" s="100"/>
      <c r="AK24" s="8"/>
      <c r="AL24" s="100"/>
      <c r="AM24" s="8"/>
      <c r="AN24" s="100"/>
      <c r="AO24" s="8"/>
      <c r="AP24" s="100"/>
      <c r="AQ24" s="8"/>
      <c r="AR24" s="100"/>
      <c r="AS24" s="8"/>
      <c r="AT24" s="100"/>
      <c r="AU24" s="8"/>
      <c r="AV24" s="100"/>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c r="CR24" s="41"/>
      <c r="CS24" s="42"/>
    </row>
    <row r="25" spans="2:97" x14ac:dyDescent="0.2">
      <c r="B25" s="41"/>
      <c r="C25" s="42"/>
      <c r="D25" s="41"/>
      <c r="E25" s="42"/>
      <c r="F25" s="41"/>
      <c r="G25" s="42"/>
      <c r="H25" s="41"/>
      <c r="I25" s="42"/>
      <c r="J25" s="41"/>
      <c r="K25" s="42"/>
      <c r="L25" s="41"/>
      <c r="M25" s="42"/>
      <c r="N25" s="41"/>
      <c r="O25" s="42"/>
      <c r="P25" s="41"/>
      <c r="Q25" s="42"/>
      <c r="R25" s="41"/>
      <c r="S25" s="42"/>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c r="CR25" s="41"/>
      <c r="CS25" s="42"/>
    </row>
    <row r="26" spans="2:97" x14ac:dyDescent="0.2">
      <c r="B26" s="33"/>
      <c r="C26" s="34"/>
      <c r="D26" s="33"/>
      <c r="E26" s="34"/>
      <c r="F26" s="33"/>
      <c r="G26" s="34"/>
      <c r="H26" s="33"/>
      <c r="I26" s="34"/>
      <c r="J26" s="33"/>
      <c r="K26" s="34"/>
      <c r="L26" s="33"/>
      <c r="M26" s="34"/>
      <c r="N26" s="33"/>
      <c r="O26" s="34"/>
      <c r="P26" s="33"/>
      <c r="Q26" s="34"/>
      <c r="R26" s="33"/>
      <c r="S26" s="34"/>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c r="CR26" s="41"/>
      <c r="CS26" s="42"/>
    </row>
    <row r="27" spans="2:97" x14ac:dyDescent="0.2">
      <c r="B27" s="35"/>
      <c r="C27" s="36"/>
      <c r="D27" s="35"/>
      <c r="E27" s="36"/>
      <c r="F27" s="35"/>
      <c r="G27" s="36"/>
      <c r="H27" s="35"/>
      <c r="I27" s="36"/>
      <c r="J27" s="35"/>
      <c r="K27" s="36"/>
      <c r="L27" s="35"/>
      <c r="M27" s="36"/>
      <c r="N27" s="35"/>
      <c r="O27" s="36"/>
      <c r="P27" s="35"/>
      <c r="Q27" s="36"/>
      <c r="R27" s="35"/>
      <c r="S27" s="36"/>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c r="CR27" s="41"/>
      <c r="CS27" s="42"/>
    </row>
    <row r="28" spans="2:97" x14ac:dyDescent="0.2">
      <c r="B28" s="41"/>
      <c r="C28" s="42"/>
      <c r="D28" s="41"/>
      <c r="E28" s="42"/>
      <c r="F28" s="41"/>
      <c r="G28" s="42"/>
      <c r="H28" s="41"/>
      <c r="I28" s="42"/>
      <c r="J28" s="41"/>
      <c r="K28" s="42"/>
      <c r="L28" s="41"/>
      <c r="M28" s="42"/>
      <c r="N28" s="41"/>
      <c r="O28" s="42"/>
      <c r="P28" s="41"/>
      <c r="Q28" s="42"/>
      <c r="R28" s="41"/>
      <c r="S28" s="42"/>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c r="CR28" s="35"/>
      <c r="CS28" s="36"/>
    </row>
    <row r="29" spans="2:97" x14ac:dyDescent="0.2">
      <c r="B29" s="35"/>
      <c r="C29" s="36"/>
      <c r="D29" s="35"/>
      <c r="E29" s="36"/>
      <c r="F29" s="35"/>
      <c r="G29" s="36"/>
      <c r="H29" s="35"/>
      <c r="I29" s="36"/>
      <c r="J29" s="35"/>
      <c r="K29" s="36"/>
      <c r="L29" s="35"/>
      <c r="M29" s="36"/>
      <c r="N29" s="35"/>
      <c r="O29" s="36"/>
      <c r="P29" s="35"/>
      <c r="Q29" s="36"/>
      <c r="R29" s="35"/>
      <c r="S29" s="36"/>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21"/>
      <c r="AZ29" s="122"/>
      <c r="BB29" s="122"/>
      <c r="BD29" s="122"/>
      <c r="BF29" s="122"/>
      <c r="BH29" s="122"/>
      <c r="BJ29" s="122"/>
      <c r="BL29" s="122"/>
      <c r="BN29" s="122"/>
      <c r="BP29" s="122"/>
      <c r="BR29" s="122"/>
      <c r="BT29" s="122"/>
      <c r="BV29" s="122"/>
      <c r="BX29" s="122"/>
      <c r="BZ29" s="122"/>
      <c r="CB29" s="122"/>
      <c r="CD29" s="122"/>
      <c r="CF29" s="122"/>
      <c r="CH29" s="122"/>
      <c r="CJ29" s="122"/>
      <c r="CL29" s="122"/>
      <c r="CN29" s="122"/>
      <c r="CP29" s="122"/>
      <c r="CR29" s="122"/>
    </row>
    <row r="30" spans="2:97" x14ac:dyDescent="0.2">
      <c r="B30" s="122"/>
      <c r="D30" s="122"/>
      <c r="F30" s="122"/>
      <c r="H30" s="122"/>
      <c r="J30" s="122"/>
      <c r="L30" s="122"/>
      <c r="N30" s="122"/>
      <c r="P30" s="122"/>
      <c r="R30" s="122"/>
      <c r="T30" s="122"/>
      <c r="V30" s="122"/>
      <c r="X30" s="122"/>
      <c r="Z30" s="122"/>
      <c r="AB30" s="122"/>
      <c r="AD30" s="122"/>
      <c r="AF30" s="122"/>
      <c r="AH30" s="122"/>
      <c r="AJ30" s="122"/>
      <c r="AL30" s="122"/>
      <c r="AN30" s="122"/>
      <c r="AP30" s="122"/>
      <c r="AR30" s="122"/>
      <c r="AT30" s="122"/>
      <c r="AV30" s="122"/>
      <c r="AX30" s="89"/>
      <c r="AZ30" s="89"/>
      <c r="BB30" s="89"/>
      <c r="BD30" s="89"/>
      <c r="BF30" s="89"/>
      <c r="BH30" s="89"/>
      <c r="BJ30" s="89"/>
      <c r="BL30" s="89"/>
      <c r="BN30" s="89"/>
      <c r="BP30" s="89"/>
      <c r="BR30" s="89"/>
      <c r="BT30" s="89"/>
      <c r="BV30" s="89"/>
      <c r="BX30" s="89"/>
      <c r="BZ30" s="89"/>
      <c r="CB30" s="89"/>
      <c r="CD30" s="89"/>
      <c r="CF30" s="89"/>
      <c r="CH30" s="89"/>
      <c r="CJ30" s="89"/>
      <c r="CL30" s="89"/>
      <c r="CN30" s="89"/>
      <c r="CP30" s="89"/>
      <c r="CR30" s="89"/>
    </row>
    <row r="31" spans="2:97" x14ac:dyDescent="0.2">
      <c r="B31" s="83"/>
      <c r="D31" s="83"/>
      <c r="F31" s="83"/>
      <c r="H31" s="83"/>
      <c r="J31" s="83"/>
      <c r="L31" s="83"/>
      <c r="N31" s="83"/>
      <c r="P31" s="83"/>
      <c r="R31" s="83"/>
      <c r="T31" s="83"/>
      <c r="V31" s="83"/>
      <c r="X31" s="83"/>
      <c r="Z31" s="83"/>
      <c r="AB31" s="83"/>
      <c r="AD31" s="83"/>
      <c r="AF31" s="83"/>
      <c r="AH31" s="83"/>
      <c r="AJ31" s="83"/>
      <c r="AL31" s="83"/>
      <c r="AN31" s="83"/>
      <c r="AP31" s="83"/>
      <c r="AR31" s="83"/>
      <c r="AT31" s="83"/>
      <c r="AV31" s="83"/>
      <c r="AX31" s="73"/>
      <c r="AZ31" s="73"/>
      <c r="BB31" s="73"/>
      <c r="BD31" s="73"/>
      <c r="BF31" s="73"/>
      <c r="BH31" s="73"/>
      <c r="BJ31" s="73"/>
      <c r="BL31" s="73"/>
      <c r="BN31" s="73"/>
      <c r="BP31" s="73"/>
      <c r="BR31" s="73"/>
      <c r="BT31" s="73"/>
      <c r="BV31" s="73"/>
      <c r="BX31" s="73"/>
      <c r="BZ31" s="73"/>
      <c r="CB31" s="73"/>
      <c r="CD31" s="73"/>
      <c r="CF31" s="73"/>
      <c r="CH31" s="73"/>
      <c r="CJ31" s="73"/>
      <c r="CL31" s="73"/>
      <c r="CN31" s="73"/>
      <c r="CP31" s="73"/>
      <c r="CR31" s="73"/>
    </row>
    <row r="32" spans="2:97" x14ac:dyDescent="0.2">
      <c r="B32" s="89"/>
      <c r="C32" s="38"/>
      <c r="D32" s="89"/>
      <c r="E32" s="38"/>
      <c r="F32" s="89"/>
      <c r="G32" s="38"/>
      <c r="H32" s="89"/>
      <c r="I32" s="38"/>
      <c r="J32" s="89"/>
      <c r="K32" s="38"/>
      <c r="L32" s="89"/>
      <c r="M32" s="38"/>
      <c r="N32" s="89"/>
      <c r="O32" s="38"/>
      <c r="P32" s="89"/>
      <c r="Q32" s="38"/>
      <c r="R32" s="89"/>
      <c r="S32" s="38"/>
      <c r="T32" s="89"/>
      <c r="U32" s="38"/>
      <c r="V32" s="89"/>
      <c r="W32" s="38"/>
      <c r="X32" s="89"/>
      <c r="Y32" s="38"/>
      <c r="Z32" s="89"/>
      <c r="AA32" s="38"/>
      <c r="AB32" s="89"/>
      <c r="AC32" s="38"/>
      <c r="AD32" s="89"/>
      <c r="AE32" s="38"/>
      <c r="AF32" s="89"/>
      <c r="AG32" s="38"/>
      <c r="AH32" s="89"/>
      <c r="AI32" s="38"/>
      <c r="AJ32" s="89"/>
      <c r="AK32" s="38"/>
      <c r="AL32" s="89"/>
      <c r="AM32" s="38"/>
      <c r="AN32" s="89"/>
      <c r="AO32" s="38"/>
      <c r="AP32" s="89"/>
      <c r="AQ32" s="38"/>
      <c r="AR32" s="89"/>
      <c r="AS32" s="38"/>
      <c r="AT32" s="89"/>
      <c r="AU32" s="38"/>
      <c r="AV32" s="89"/>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c r="CR32" s="37"/>
      <c r="CS32" s="38"/>
    </row>
    <row r="33" spans="2:97 16384:16384" x14ac:dyDescent="0.2">
      <c r="B33" s="120"/>
      <c r="C33" s="40"/>
      <c r="D33" s="120"/>
      <c r="E33" s="40"/>
      <c r="F33" s="120"/>
      <c r="G33" s="40"/>
      <c r="H33" s="120"/>
      <c r="I33" s="40"/>
      <c r="J33" s="120"/>
      <c r="K33" s="40"/>
      <c r="L33" s="120"/>
      <c r="M33" s="40"/>
      <c r="N33" s="120"/>
      <c r="O33" s="40"/>
      <c r="P33" s="120"/>
      <c r="Q33" s="40"/>
      <c r="R33" s="120"/>
      <c r="S33" s="40"/>
      <c r="T33" s="120"/>
      <c r="U33" s="40"/>
      <c r="V33" s="120"/>
      <c r="W33" s="40"/>
      <c r="X33" s="120"/>
      <c r="Y33" s="40"/>
      <c r="Z33" s="120"/>
      <c r="AA33" s="40"/>
      <c r="AB33" s="120"/>
      <c r="AC33" s="40"/>
      <c r="AD33" s="120"/>
      <c r="AE33" s="40"/>
      <c r="AF33" s="120"/>
      <c r="AG33" s="40"/>
      <c r="AH33" s="120"/>
      <c r="AI33" s="40"/>
      <c r="AJ33" s="120"/>
      <c r="AK33" s="40"/>
      <c r="AL33" s="120"/>
      <c r="AM33" s="40"/>
      <c r="AN33" s="120"/>
      <c r="AO33" s="40"/>
      <c r="AP33" s="120"/>
      <c r="AQ33" s="40"/>
      <c r="AR33" s="120"/>
      <c r="AS33" s="40"/>
      <c r="AT33" s="120"/>
      <c r="AU33" s="40"/>
      <c r="AV33" s="120"/>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c r="CR33" s="39"/>
      <c r="CS33" s="40"/>
    </row>
    <row r="34" spans="2:97 16384:16384" x14ac:dyDescent="0.2">
      <c r="B34" s="73"/>
      <c r="C34" s="38"/>
      <c r="D34" s="73"/>
      <c r="E34" s="38"/>
      <c r="F34" s="73"/>
      <c r="G34" s="38"/>
      <c r="H34" s="73"/>
      <c r="I34" s="38"/>
      <c r="J34" s="73"/>
      <c r="K34" s="38"/>
      <c r="L34" s="73"/>
      <c r="M34" s="38"/>
      <c r="N34" s="73"/>
      <c r="O34" s="38"/>
      <c r="P34" s="73"/>
      <c r="Q34" s="38"/>
      <c r="R34" s="73"/>
      <c r="S34" s="38"/>
      <c r="T34" s="73"/>
      <c r="U34" s="38"/>
      <c r="V34" s="73"/>
      <c r="W34" s="38"/>
      <c r="X34" s="73"/>
      <c r="Y34" s="38"/>
      <c r="Z34" s="73"/>
      <c r="AA34" s="38"/>
      <c r="AB34" s="73"/>
      <c r="AC34" s="38"/>
      <c r="AD34" s="73"/>
      <c r="AE34" s="38"/>
      <c r="AF34" s="73"/>
      <c r="AG34" s="38"/>
      <c r="AH34" s="73"/>
      <c r="AI34" s="38"/>
      <c r="AJ34" s="73"/>
      <c r="AK34" s="38"/>
      <c r="AL34" s="73"/>
      <c r="AM34" s="38"/>
      <c r="AN34" s="73"/>
      <c r="AO34" s="38"/>
      <c r="AP34" s="73"/>
      <c r="AQ34" s="38"/>
      <c r="AR34" s="73"/>
      <c r="AS34" s="38"/>
      <c r="AT34" s="73"/>
      <c r="AU34" s="38"/>
      <c r="AV34" s="73"/>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c r="CR34" s="37"/>
      <c r="CS34" s="38"/>
    </row>
    <row r="35" spans="2:97 16384:16384" x14ac:dyDescent="0.2">
      <c r="B35" s="37"/>
      <c r="C35" s="38"/>
      <c r="D35" s="37"/>
      <c r="E35" s="38"/>
      <c r="F35" s="37"/>
      <c r="G35" s="38"/>
      <c r="H35" s="37"/>
      <c r="I35" s="38"/>
      <c r="J35" s="37"/>
      <c r="K35" s="38"/>
      <c r="L35" s="37"/>
      <c r="M35" s="38"/>
      <c r="N35" s="37"/>
      <c r="O35" s="38"/>
      <c r="P35" s="37"/>
      <c r="Q35" s="38"/>
      <c r="R35" s="37"/>
      <c r="S35" s="38"/>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c r="CR35" s="39"/>
      <c r="CS35" s="40"/>
    </row>
    <row r="36" spans="2:97 16384:16384" x14ac:dyDescent="0.2">
      <c r="B36" s="39"/>
      <c r="C36" s="40"/>
      <c r="D36" s="39"/>
      <c r="E36" s="40"/>
      <c r="F36" s="39"/>
      <c r="G36" s="40"/>
      <c r="H36" s="39"/>
      <c r="I36" s="40"/>
      <c r="J36" s="39"/>
      <c r="K36" s="40"/>
      <c r="L36" s="39"/>
      <c r="M36" s="40"/>
      <c r="N36" s="39"/>
      <c r="O36" s="40"/>
      <c r="P36" s="39"/>
      <c r="Q36" s="40"/>
      <c r="R36" s="39"/>
      <c r="S36" s="40"/>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2:97 16384:16384" x14ac:dyDescent="0.2">
      <c r="B37" s="37"/>
      <c r="C37" s="38"/>
      <c r="D37" s="37"/>
      <c r="E37" s="38"/>
      <c r="F37" s="37"/>
      <c r="G37" s="38"/>
      <c r="H37" s="37"/>
      <c r="I37" s="38"/>
      <c r="J37" s="37"/>
      <c r="K37" s="38"/>
      <c r="L37" s="37"/>
      <c r="M37" s="38"/>
      <c r="N37" s="37"/>
      <c r="O37" s="38"/>
      <c r="P37" s="37"/>
      <c r="Q37" s="38"/>
      <c r="R37" s="37"/>
      <c r="S37" s="38"/>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2:97 16384:16384" x14ac:dyDescent="0.2">
      <c r="B38" s="39"/>
      <c r="C38" s="40"/>
      <c r="D38" s="39"/>
      <c r="E38" s="40"/>
      <c r="F38" s="39"/>
      <c r="G38" s="40"/>
      <c r="H38" s="39"/>
      <c r="I38" s="40"/>
      <c r="J38" s="39"/>
      <c r="K38" s="40"/>
      <c r="L38" s="39"/>
      <c r="M38" s="40"/>
      <c r="N38" s="39"/>
      <c r="O38" s="40"/>
      <c r="P38" s="39"/>
      <c r="Q38" s="40"/>
      <c r="R38" s="39"/>
      <c r="S38" s="40"/>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2:97 16384:16384" x14ac:dyDescent="0.2">
      <c r="B39" s="138"/>
      <c r="C39" s="138"/>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8"/>
      <c r="AB39" s="138"/>
      <c r="AC39" s="138"/>
      <c r="AD39" s="138"/>
      <c r="AE39" s="138"/>
      <c r="AF39" s="138"/>
      <c r="AG39" s="138"/>
      <c r="AH39" s="138"/>
      <c r="AI39" s="138"/>
      <c r="AJ39" s="138"/>
      <c r="AK39" s="138"/>
      <c r="AL39" s="138"/>
      <c r="AM39" s="138"/>
      <c r="AN39" s="138"/>
      <c r="AO39" s="138"/>
      <c r="AP39" s="138"/>
      <c r="AQ39" s="138"/>
      <c r="AR39" s="138"/>
      <c r="AS39" s="138"/>
      <c r="AT39" s="138"/>
      <c r="AU39" s="138"/>
      <c r="AV39" s="138"/>
      <c r="AW39" s="138"/>
    </row>
    <row r="40" spans="2:97 16384:16384" x14ac:dyDescent="0.2">
      <c r="B40" s="138"/>
      <c r="C40" s="138"/>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138"/>
      <c r="AB40" s="138"/>
      <c r="AC40" s="138"/>
      <c r="AD40" s="138"/>
      <c r="AE40" s="138"/>
      <c r="AF40" s="138"/>
      <c r="AG40" s="138"/>
      <c r="AH40" s="138"/>
      <c r="AI40" s="138"/>
      <c r="AJ40" s="138"/>
      <c r="AK40" s="138"/>
      <c r="AL40" s="138"/>
      <c r="AM40" s="138"/>
      <c r="AN40" s="138"/>
      <c r="AO40" s="138"/>
      <c r="AP40" s="138"/>
      <c r="AQ40" s="138"/>
      <c r="AR40" s="138"/>
      <c r="AS40" s="138"/>
      <c r="AT40" s="138"/>
      <c r="AU40" s="138"/>
      <c r="AV40" s="138"/>
      <c r="AW40" s="138"/>
    </row>
    <row r="41" spans="2:97 16384:16384" x14ac:dyDescent="0.2">
      <c r="B41" s="165"/>
      <c r="C41" s="138"/>
      <c r="D41" s="165"/>
      <c r="E41" s="138"/>
      <c r="F41" s="165"/>
      <c r="G41" s="138"/>
      <c r="H41" s="165"/>
      <c r="I41" s="138"/>
      <c r="J41" s="165"/>
      <c r="K41" s="138"/>
      <c r="L41" s="165"/>
      <c r="M41" s="138"/>
      <c r="N41" s="165"/>
      <c r="O41" s="138"/>
      <c r="P41" s="165"/>
      <c r="Q41" s="138"/>
      <c r="R41" s="165"/>
      <c r="S41" s="138"/>
      <c r="T41" s="165"/>
      <c r="U41" s="138"/>
      <c r="V41" s="165"/>
      <c r="W41" s="138"/>
      <c r="X41" s="165"/>
      <c r="Y41" s="138"/>
      <c r="Z41" s="165"/>
      <c r="AA41" s="165"/>
      <c r="AB41" s="165"/>
      <c r="AC41" s="138"/>
      <c r="AD41" s="165"/>
      <c r="AE41" s="138"/>
      <c r="AF41" s="165"/>
      <c r="AG41" s="138"/>
      <c r="AH41" s="165"/>
      <c r="AI41" s="138"/>
      <c r="AJ41" s="165"/>
      <c r="AK41" s="138"/>
      <c r="AL41" s="165"/>
      <c r="AM41" s="138"/>
      <c r="AN41" s="165"/>
      <c r="AO41" s="138"/>
      <c r="AP41" s="165"/>
      <c r="AQ41" s="138"/>
      <c r="AR41" s="165"/>
      <c r="AS41" s="138"/>
      <c r="AT41" s="165"/>
      <c r="AU41" s="138"/>
      <c r="AV41" s="165"/>
      <c r="AW41" s="138"/>
    </row>
    <row r="42" spans="2:97 16384:16384" x14ac:dyDescent="0.2">
      <c r="B42" s="165"/>
      <c r="C42" s="138"/>
      <c r="D42" s="165"/>
      <c r="E42" s="138"/>
      <c r="F42" s="165"/>
      <c r="G42" s="138"/>
      <c r="H42" s="165"/>
      <c r="I42" s="138"/>
      <c r="J42" s="165"/>
      <c r="K42" s="138"/>
      <c r="L42" s="165"/>
      <c r="M42" s="138"/>
      <c r="N42" s="165"/>
      <c r="O42" s="138"/>
      <c r="P42" s="165"/>
      <c r="Q42" s="138"/>
      <c r="R42" s="165"/>
      <c r="S42" s="138"/>
      <c r="T42" s="165"/>
      <c r="U42" s="138"/>
      <c r="V42" s="165"/>
      <c r="W42" s="138"/>
      <c r="X42" s="165"/>
      <c r="Y42" s="138"/>
      <c r="Z42" s="165"/>
      <c r="AA42" s="138"/>
      <c r="AB42" s="165"/>
      <c r="AC42" s="138"/>
      <c r="AD42" s="165"/>
      <c r="AE42" s="138"/>
      <c r="AF42" s="165"/>
      <c r="AG42" s="138"/>
      <c r="AH42" s="165"/>
      <c r="AI42" s="138"/>
      <c r="AJ42" s="165"/>
      <c r="AK42" s="138"/>
      <c r="AL42" s="165"/>
      <c r="AM42" s="138"/>
      <c r="AN42" s="165"/>
      <c r="AO42" s="138"/>
      <c r="AP42" s="165"/>
      <c r="AQ42" s="138"/>
      <c r="AR42" s="165"/>
      <c r="AS42" s="138"/>
      <c r="AT42" s="165"/>
      <c r="AU42" s="138"/>
      <c r="AV42" s="165"/>
      <c r="AW42" s="138"/>
      <c r="AX42" s="165"/>
      <c r="AZ42" s="165"/>
      <c r="BB42" s="165"/>
      <c r="BD42" s="165"/>
      <c r="BF42" s="165"/>
      <c r="BH42" s="165"/>
      <c r="BJ42" s="165"/>
      <c r="BL42" s="165"/>
      <c r="BN42" s="165"/>
      <c r="BP42" s="165"/>
      <c r="BR42" s="165"/>
      <c r="BT42" s="165"/>
    </row>
    <row r="43" spans="2:97 16384:16384" x14ac:dyDescent="0.2">
      <c r="B43" s="196"/>
      <c r="D43" s="196"/>
      <c r="F43" s="196"/>
      <c r="H43" s="196"/>
      <c r="J43" s="196"/>
      <c r="L43" s="196"/>
      <c r="N43" s="196"/>
      <c r="P43" s="196"/>
      <c r="R43" s="196"/>
      <c r="T43" s="196"/>
      <c r="V43" s="196"/>
      <c r="X43" s="196"/>
      <c r="Z43" s="196"/>
      <c r="AB43" s="196"/>
      <c r="AD43" s="196"/>
      <c r="AF43" s="196"/>
      <c r="AH43" s="196"/>
      <c r="AJ43" s="196"/>
      <c r="AL43" s="196"/>
      <c r="AN43" s="196"/>
      <c r="AP43" s="196"/>
      <c r="AR43" s="196"/>
      <c r="AT43" s="196"/>
      <c r="AV43" s="196"/>
    </row>
    <row r="44" spans="2:97 16384:16384" x14ac:dyDescent="0.2">
      <c r="B44" s="196"/>
      <c r="D44" s="196"/>
      <c r="F44" s="196"/>
      <c r="H44" s="196"/>
      <c r="J44" s="196"/>
      <c r="L44" s="196"/>
      <c r="N44" s="196"/>
      <c r="P44" s="196"/>
      <c r="R44" s="196"/>
      <c r="T44" s="196"/>
      <c r="V44" s="196"/>
      <c r="X44" s="196"/>
      <c r="Z44" s="196"/>
      <c r="AB44" s="196"/>
      <c r="AD44" s="196"/>
      <c r="AF44" s="196"/>
      <c r="AH44" s="196"/>
      <c r="AJ44" s="196"/>
      <c r="AL44" s="196"/>
      <c r="AN44" s="196"/>
      <c r="AP44" s="196"/>
      <c r="AR44" s="196"/>
      <c r="AT44" s="196"/>
      <c r="AV44" s="196"/>
      <c r="XFD44" s="196"/>
    </row>
    <row r="51" spans="2:48 16321:16384" x14ac:dyDescent="0.2">
      <c r="B51" s="29"/>
      <c r="D51" s="29"/>
      <c r="F51" s="29"/>
      <c r="H51" s="29"/>
      <c r="J51" s="29"/>
      <c r="L51" s="29"/>
      <c r="N51" s="29"/>
      <c r="P51" s="29"/>
      <c r="R51" s="29"/>
      <c r="T51" s="29"/>
      <c r="V51" s="29"/>
      <c r="X51" s="29"/>
      <c r="Z51" s="29"/>
      <c r="AB51" s="29"/>
      <c r="AD51" s="29"/>
      <c r="AF51" s="29"/>
      <c r="AH51" s="29"/>
      <c r="AJ51" s="29"/>
      <c r="AL51" s="29"/>
      <c r="AN51" s="29"/>
      <c r="AP51" s="29"/>
      <c r="AQ51" s="29"/>
      <c r="AR51" s="29"/>
      <c r="AT51" s="29"/>
      <c r="AV51" s="29"/>
      <c r="XFD51" s="29"/>
    </row>
    <row r="52" spans="2:48 16321:16384" x14ac:dyDescent="0.2">
      <c r="B52" s="29"/>
      <c r="D52" s="29"/>
      <c r="F52" s="29"/>
      <c r="H52" s="29"/>
      <c r="J52" s="29"/>
      <c r="L52" s="29"/>
      <c r="N52" s="29"/>
      <c r="P52" s="29"/>
      <c r="R52" s="29"/>
      <c r="T52" s="29"/>
      <c r="V52" s="29"/>
      <c r="X52" s="29"/>
      <c r="Z52" s="29"/>
      <c r="AB52" s="29"/>
      <c r="AD52" s="29"/>
      <c r="AF52" s="29"/>
      <c r="AH52" s="29"/>
      <c r="AJ52" s="29"/>
      <c r="AL52" s="29"/>
      <c r="AN52" s="29"/>
      <c r="AP52" s="29"/>
      <c r="AQ52" s="29"/>
      <c r="AR52" s="29"/>
      <c r="AT52" s="29"/>
      <c r="AV52" s="29"/>
    </row>
    <row r="53" spans="2:48 16321:16384" x14ac:dyDescent="0.2">
      <c r="B53" s="29"/>
      <c r="D53" s="29"/>
      <c r="F53" s="29"/>
      <c r="H53" s="29"/>
      <c r="J53" s="29"/>
      <c r="L53" s="29"/>
      <c r="N53" s="29"/>
      <c r="P53" s="29"/>
      <c r="R53" s="29"/>
      <c r="T53" s="29"/>
      <c r="V53" s="29"/>
      <c r="X53" s="29"/>
      <c r="Z53" s="29"/>
      <c r="AB53" s="29"/>
      <c r="AD53" s="29"/>
      <c r="AF53" s="29"/>
      <c r="AH53" s="29"/>
      <c r="AJ53" s="29"/>
      <c r="AL53" s="29"/>
      <c r="AN53" s="29"/>
      <c r="AP53" s="29"/>
      <c r="AQ53" s="29"/>
      <c r="AR53" s="29"/>
      <c r="AT53" s="29"/>
      <c r="AV53" s="29"/>
      <c r="XFD53" s="29"/>
    </row>
    <row r="55" spans="2:48 16321:16384" x14ac:dyDescent="0.2">
      <c r="B55" s="196"/>
      <c r="D55" s="196"/>
      <c r="F55" s="196"/>
      <c r="H55" s="196"/>
      <c r="J55" s="196"/>
      <c r="L55" s="196"/>
      <c r="N55" s="196"/>
      <c r="P55" s="196"/>
      <c r="R55" s="196"/>
      <c r="T55" s="196"/>
      <c r="V55" s="196"/>
      <c r="X55" s="196"/>
      <c r="Z55" s="196"/>
      <c r="AB55" s="196"/>
      <c r="AD55" s="196"/>
      <c r="AF55" s="196"/>
      <c r="AH55" s="196"/>
      <c r="AJ55" s="196"/>
      <c r="AL55" s="196"/>
      <c r="AN55" s="196"/>
      <c r="AP55" s="196"/>
      <c r="AR55" s="196"/>
      <c r="AT55" s="196"/>
      <c r="AV55" s="196"/>
      <c r="XCS55" s="196"/>
      <c r="XFD55" s="196"/>
    </row>
    <row r="56" spans="2:48 16321:16384" x14ac:dyDescent="0.2">
      <c r="B56" s="196"/>
      <c r="D56" s="196"/>
      <c r="F56" s="196"/>
      <c r="H56" s="196"/>
      <c r="J56" s="196"/>
      <c r="L56" s="196"/>
      <c r="N56" s="196"/>
      <c r="P56" s="196"/>
      <c r="R56" s="196"/>
      <c r="T56" s="196"/>
      <c r="V56" s="196"/>
      <c r="X56" s="196"/>
      <c r="Z56" s="196"/>
      <c r="AB56" s="196"/>
      <c r="AD56" s="196"/>
      <c r="AF56" s="196"/>
      <c r="AH56" s="196"/>
      <c r="AJ56" s="196"/>
      <c r="AL56" s="196"/>
      <c r="AN56" s="196"/>
      <c r="AP56" s="196"/>
      <c r="AR56" s="196"/>
      <c r="AT56" s="196"/>
      <c r="AV56" s="196"/>
      <c r="XFD56" s="196"/>
    </row>
    <row r="57" spans="2:48 16321:16384" x14ac:dyDescent="0.2">
      <c r="B57" s="196"/>
      <c r="D57" s="196"/>
      <c r="F57" s="196"/>
      <c r="H57" s="196"/>
      <c r="J57" s="196"/>
      <c r="L57" s="196"/>
      <c r="N57" s="196"/>
      <c r="P57" s="196"/>
      <c r="R57" s="196"/>
      <c r="T57" s="196"/>
      <c r="V57" s="196"/>
      <c r="X57" s="196"/>
      <c r="Y57" s="196"/>
      <c r="Z57" s="196"/>
      <c r="AB57" s="196"/>
      <c r="AD57" s="196"/>
      <c r="AF57" s="196"/>
      <c r="AH57" s="196"/>
      <c r="AJ57" s="196"/>
      <c r="AL57" s="196"/>
      <c r="AN57" s="196"/>
      <c r="AP57" s="196"/>
      <c r="AR57" s="196"/>
      <c r="AT57" s="196"/>
      <c r="AV57" s="196"/>
      <c r="XFD57" s="196"/>
    </row>
    <row r="58" spans="2:48 16321:16384" x14ac:dyDescent="0.2">
      <c r="B58" s="196"/>
      <c r="D58" s="196"/>
      <c r="F58" s="196"/>
      <c r="H58" s="196"/>
      <c r="J58" s="196"/>
      <c r="L58" s="196"/>
      <c r="N58" s="196"/>
      <c r="P58" s="196"/>
      <c r="R58" s="196"/>
      <c r="T58" s="196"/>
      <c r="V58" s="196"/>
      <c r="X58" s="196"/>
      <c r="Y58" s="196"/>
      <c r="Z58" s="196"/>
      <c r="AB58" s="196"/>
      <c r="AD58" s="196"/>
      <c r="AF58" s="196"/>
      <c r="AH58" s="196"/>
      <c r="AJ58" s="196"/>
      <c r="AL58" s="196"/>
      <c r="AN58" s="196"/>
      <c r="AP58" s="196"/>
      <c r="AR58" s="196"/>
      <c r="AT58" s="196"/>
      <c r="AV58" s="196"/>
      <c r="XFD58" s="196"/>
    </row>
    <row r="59" spans="2:48 16321:16384" x14ac:dyDescent="0.2">
      <c r="B59" s="196"/>
      <c r="D59" s="196"/>
      <c r="F59" s="196"/>
      <c r="H59" s="196"/>
      <c r="J59" s="196"/>
      <c r="L59" s="196"/>
      <c r="N59" s="196"/>
      <c r="P59" s="196"/>
      <c r="R59" s="196"/>
      <c r="T59" s="196"/>
      <c r="V59" s="196"/>
      <c r="X59" s="196"/>
      <c r="Z59" s="196"/>
      <c r="AB59" s="196"/>
      <c r="AD59" s="196"/>
      <c r="AF59" s="196"/>
      <c r="AH59" s="196"/>
      <c r="AJ59" s="196"/>
      <c r="AL59" s="196"/>
      <c r="AN59" s="196"/>
      <c r="AP59" s="196"/>
      <c r="AR59" s="196"/>
      <c r="AT59" s="196"/>
      <c r="AV59" s="196"/>
      <c r="XFD59" s="196"/>
    </row>
    <row r="60" spans="2:48 16321:16384" x14ac:dyDescent="0.2">
      <c r="B60" s="196"/>
      <c r="D60" s="196"/>
      <c r="F60" s="196"/>
      <c r="H60" s="196"/>
      <c r="J60" s="196"/>
      <c r="L60" s="196"/>
      <c r="N60" s="196"/>
      <c r="P60" s="196"/>
      <c r="R60" s="196"/>
      <c r="T60" s="196"/>
      <c r="V60" s="196"/>
      <c r="X60" s="196"/>
      <c r="Z60" s="196"/>
      <c r="AB60" s="196"/>
      <c r="AD60" s="196"/>
      <c r="AF60" s="196"/>
      <c r="AH60" s="196"/>
      <c r="AJ60" s="196"/>
      <c r="AL60" s="196"/>
      <c r="AN60" s="196"/>
      <c r="AP60" s="196"/>
      <c r="AR60" s="196"/>
      <c r="AT60" s="196"/>
      <c r="AV60" s="196"/>
      <c r="XFD60" s="196"/>
    </row>
    <row r="65" spans="2:48 16384:16384" x14ac:dyDescent="0.2">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194"/>
      <c r="AK65" s="194"/>
      <c r="AL65" s="194"/>
      <c r="AM65" s="194"/>
      <c r="AN65" s="194"/>
      <c r="AO65" s="194"/>
      <c r="AP65" s="194"/>
      <c r="AQ65" s="194"/>
      <c r="AR65" s="194"/>
      <c r="AS65" s="194"/>
      <c r="AT65" s="194"/>
      <c r="AU65" s="194"/>
      <c r="AV65" s="194"/>
    </row>
    <row r="66" spans="2:48 16384:16384" x14ac:dyDescent="0.2">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194"/>
      <c r="AK66" s="194"/>
      <c r="AL66" s="194"/>
      <c r="AM66" s="194"/>
      <c r="AN66" s="194"/>
      <c r="AO66" s="194"/>
      <c r="AP66" s="194"/>
      <c r="AQ66" s="194"/>
      <c r="AR66" s="194"/>
      <c r="AS66" s="194"/>
      <c r="AT66" s="194"/>
      <c r="AU66" s="194"/>
      <c r="AV66" s="194"/>
      <c r="XFD66" s="194"/>
    </row>
    <row r="67" spans="2:48 16384:16384" x14ac:dyDescent="0.2">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194"/>
      <c r="AK67" s="194"/>
      <c r="AL67" s="194"/>
      <c r="AM67" s="194"/>
      <c r="AN67" s="194"/>
      <c r="AO67" s="194"/>
      <c r="AP67" s="194"/>
      <c r="AQ67" s="194"/>
      <c r="AR67" s="194"/>
      <c r="AS67" s="194"/>
      <c r="AT67" s="194"/>
      <c r="AU67" s="194"/>
      <c r="AV67" s="194"/>
      <c r="XFD67" s="194"/>
    </row>
    <row r="68" spans="2:48 16384:16384" x14ac:dyDescent="0.2">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194"/>
      <c r="AK68" s="194"/>
      <c r="AL68" s="194"/>
      <c r="AM68" s="194"/>
      <c r="AN68" s="194"/>
      <c r="AO68" s="194"/>
      <c r="AP68" s="194"/>
      <c r="AQ68" s="194"/>
      <c r="AR68" s="194"/>
      <c r="AS68" s="194"/>
      <c r="AT68" s="194"/>
      <c r="AU68" s="194"/>
      <c r="AV68" s="194"/>
      <c r="XFD68" s="194"/>
    </row>
    <row r="69" spans="2:48 16384:16384" x14ac:dyDescent="0.2">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194"/>
      <c r="AK69" s="194"/>
      <c r="AL69" s="194"/>
      <c r="AM69" s="194"/>
      <c r="AN69" s="194"/>
      <c r="AO69" s="194"/>
      <c r="AP69" s="194"/>
      <c r="AQ69" s="194"/>
      <c r="AR69" s="194"/>
      <c r="AS69" s="194"/>
      <c r="AT69" s="194"/>
      <c r="AU69" s="194"/>
      <c r="AV69" s="194"/>
    </row>
    <row r="70" spans="2:48 16384:16384" x14ac:dyDescent="0.2">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141"/>
      <c r="AB70" s="141"/>
      <c r="AC70" s="141"/>
      <c r="AD70" s="141"/>
      <c r="AE70" s="141"/>
      <c r="AF70" s="141"/>
      <c r="AG70" s="141"/>
      <c r="AH70" s="141"/>
      <c r="AI70" s="141"/>
      <c r="AJ70" s="141"/>
      <c r="AK70" s="141"/>
      <c r="AL70" s="141"/>
      <c r="AM70" s="141"/>
      <c r="AN70" s="141"/>
      <c r="AO70" s="141"/>
      <c r="AP70" s="141"/>
      <c r="AQ70" s="141"/>
      <c r="AR70" s="141"/>
      <c r="AS70" s="141"/>
      <c r="AT70" s="141"/>
      <c r="AU70" s="141"/>
      <c r="AV70" s="141"/>
    </row>
    <row r="71" spans="2:48 16384:16384" x14ac:dyDescent="0.2">
      <c r="B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141"/>
      <c r="AB71" s="141"/>
      <c r="AC71" s="141"/>
      <c r="AD71" s="141"/>
      <c r="AE71" s="141"/>
      <c r="AF71" s="141"/>
      <c r="AG71" s="141"/>
      <c r="AH71" s="141"/>
      <c r="AI71" s="141"/>
      <c r="AJ71" s="141"/>
      <c r="AK71" s="141"/>
      <c r="AL71" s="141"/>
      <c r="AM71" s="141"/>
      <c r="AN71" s="141"/>
      <c r="AO71" s="141"/>
      <c r="AP71" s="141"/>
      <c r="AQ71" s="141"/>
      <c r="AR71" s="141"/>
      <c r="AS71" s="141"/>
      <c r="AT71" s="141"/>
      <c r="AU71" s="141"/>
      <c r="AV71" s="141"/>
      <c r="XFD71" s="141"/>
    </row>
    <row r="72" spans="2:48 16384:16384" x14ac:dyDescent="0.2">
      <c r="B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141"/>
      <c r="AB72" s="141"/>
      <c r="AC72" s="141"/>
      <c r="AD72" s="141"/>
      <c r="AE72" s="141"/>
      <c r="AF72" s="141"/>
      <c r="AG72" s="141"/>
      <c r="AH72" s="141"/>
      <c r="AI72" s="141"/>
      <c r="AJ72" s="141"/>
      <c r="AK72" s="141"/>
      <c r="AL72" s="141"/>
      <c r="AM72" s="141"/>
      <c r="AN72" s="141"/>
      <c r="AO72" s="141"/>
      <c r="AP72" s="141"/>
      <c r="AQ72" s="141"/>
      <c r="AR72" s="141"/>
      <c r="AS72" s="141"/>
      <c r="AT72" s="141"/>
      <c r="AU72" s="141"/>
      <c r="AV72" s="141"/>
      <c r="XFD72" s="141"/>
    </row>
    <row r="73" spans="2:48 16384:16384" x14ac:dyDescent="0.2">
      <c r="B73" s="196"/>
      <c r="D73" s="196"/>
      <c r="E73" s="141"/>
      <c r="F73" s="196"/>
      <c r="G73" s="141"/>
      <c r="H73" s="196"/>
      <c r="I73" s="141"/>
      <c r="J73" s="196"/>
      <c r="K73" s="141"/>
      <c r="L73" s="196"/>
      <c r="M73" s="141"/>
      <c r="N73" s="196"/>
      <c r="O73" s="141"/>
      <c r="P73" s="196"/>
      <c r="Q73" s="141"/>
      <c r="R73" s="196"/>
      <c r="S73" s="141"/>
      <c r="T73" s="196"/>
      <c r="U73" s="141"/>
      <c r="V73" s="196"/>
      <c r="W73" s="141"/>
      <c r="X73" s="196"/>
      <c r="Y73" s="141"/>
      <c r="Z73" s="196"/>
      <c r="AA73" s="141"/>
      <c r="AB73" s="196"/>
      <c r="AC73" s="141"/>
      <c r="AD73" s="196"/>
      <c r="AE73" s="141"/>
      <c r="AF73" s="196"/>
      <c r="AG73" s="141"/>
      <c r="AH73" s="196"/>
      <c r="AI73" s="141"/>
      <c r="AJ73" s="196"/>
      <c r="AK73" s="141"/>
      <c r="AL73" s="196"/>
      <c r="AM73" s="141"/>
      <c r="AN73" s="196"/>
      <c r="AO73" s="141"/>
      <c r="AP73" s="196"/>
      <c r="AQ73" s="141"/>
      <c r="AR73" s="196"/>
      <c r="AS73" s="141"/>
      <c r="AT73" s="196"/>
      <c r="AU73" s="141"/>
      <c r="AV73" s="196"/>
      <c r="XFD73" s="196"/>
    </row>
    <row r="74" spans="2:48 16384:16384" x14ac:dyDescent="0.2">
      <c r="B74" s="196"/>
      <c r="D74" s="196"/>
      <c r="E74" s="141"/>
      <c r="F74" s="196"/>
      <c r="G74" s="141"/>
      <c r="H74" s="196"/>
      <c r="I74" s="141"/>
      <c r="J74" s="196"/>
      <c r="K74" s="141"/>
      <c r="L74" s="196"/>
      <c r="M74" s="141"/>
      <c r="N74" s="196"/>
      <c r="O74" s="141"/>
      <c r="P74" s="196"/>
      <c r="Q74" s="141"/>
      <c r="R74" s="196"/>
      <c r="S74" s="141"/>
      <c r="T74" s="196"/>
      <c r="U74" s="141"/>
      <c r="V74" s="196"/>
      <c r="W74" s="141"/>
      <c r="X74" s="196"/>
      <c r="Y74" s="141"/>
      <c r="Z74" s="196"/>
      <c r="AA74" s="141"/>
      <c r="AB74" s="196"/>
      <c r="AC74" s="141"/>
      <c r="AD74" s="196"/>
      <c r="AE74" s="141"/>
      <c r="AF74" s="196"/>
      <c r="AG74" s="141"/>
      <c r="AH74" s="196"/>
      <c r="AI74" s="141"/>
      <c r="AJ74" s="196"/>
      <c r="AK74" s="141"/>
      <c r="AL74" s="196"/>
      <c r="AM74" s="141"/>
      <c r="AN74" s="196"/>
      <c r="AO74" s="141"/>
      <c r="AP74" s="196"/>
      <c r="AQ74" s="141"/>
      <c r="AR74" s="196"/>
      <c r="AS74" s="141"/>
      <c r="AT74" s="196"/>
      <c r="AU74" s="141"/>
      <c r="AV74" s="196"/>
      <c r="XFD74" s="196"/>
    </row>
    <row r="75" spans="2:48 16384:16384" x14ac:dyDescent="0.2">
      <c r="B75" s="196"/>
      <c r="D75" s="196"/>
      <c r="E75" s="141"/>
      <c r="F75" s="196"/>
      <c r="G75" s="141"/>
      <c r="H75" s="196"/>
      <c r="I75" s="141"/>
      <c r="J75" s="196"/>
      <c r="K75" s="141"/>
      <c r="L75" s="196"/>
      <c r="M75" s="141"/>
      <c r="N75" s="196"/>
      <c r="O75" s="141"/>
      <c r="P75" s="196"/>
      <c r="Q75" s="141"/>
      <c r="R75" s="196"/>
      <c r="S75" s="141"/>
      <c r="T75" s="196"/>
      <c r="U75" s="141"/>
      <c r="V75" s="196"/>
      <c r="W75" s="141"/>
      <c r="X75" s="196"/>
      <c r="Y75" s="141"/>
      <c r="Z75" s="196"/>
      <c r="AA75" s="141"/>
      <c r="AB75" s="196"/>
      <c r="AC75" s="141"/>
      <c r="AD75" s="196"/>
      <c r="AE75" s="141"/>
      <c r="AF75" s="196"/>
      <c r="AG75" s="141"/>
      <c r="AH75" s="196"/>
      <c r="AI75" s="141"/>
      <c r="AJ75" s="196"/>
      <c r="AK75" s="141"/>
      <c r="AL75" s="196"/>
      <c r="AM75" s="141"/>
      <c r="AN75" s="196"/>
      <c r="AO75" s="141"/>
      <c r="AP75" s="196"/>
      <c r="AQ75" s="141"/>
      <c r="AR75" s="196"/>
      <c r="AS75" s="141"/>
      <c r="AT75" s="196"/>
      <c r="AU75" s="141"/>
      <c r="AV75" s="196"/>
      <c r="XFD75" s="196"/>
    </row>
    <row r="76" spans="2:48 16384:16384" x14ac:dyDescent="0.2">
      <c r="B76" s="196"/>
      <c r="D76" s="196"/>
      <c r="E76" s="141"/>
      <c r="F76" s="196"/>
      <c r="G76" s="141"/>
      <c r="H76" s="196"/>
      <c r="I76" s="141"/>
      <c r="J76" s="196"/>
      <c r="K76" s="141"/>
      <c r="L76" s="196"/>
      <c r="M76" s="141"/>
      <c r="N76" s="196"/>
      <c r="O76" s="141"/>
      <c r="P76" s="196"/>
      <c r="Q76" s="141"/>
      <c r="R76" s="196"/>
      <c r="S76" s="141"/>
      <c r="T76" s="196"/>
      <c r="U76" s="141"/>
      <c r="V76" s="196"/>
      <c r="W76" s="141"/>
      <c r="X76" s="196"/>
      <c r="Y76" s="141"/>
      <c r="Z76" s="196"/>
      <c r="AA76" s="141"/>
      <c r="AB76" s="196"/>
      <c r="AC76" s="141"/>
      <c r="AD76" s="196"/>
      <c r="AE76" s="141"/>
      <c r="AF76" s="196"/>
      <c r="AG76" s="141"/>
      <c r="AH76" s="196"/>
      <c r="AI76" s="141"/>
      <c r="AJ76" s="196"/>
      <c r="AK76" s="141"/>
      <c r="AL76" s="196"/>
      <c r="AM76" s="141"/>
      <c r="AN76" s="196"/>
      <c r="AO76" s="141"/>
      <c r="AP76" s="196"/>
      <c r="AQ76" s="141"/>
      <c r="AR76" s="196"/>
      <c r="AS76" s="141"/>
      <c r="AT76" s="196"/>
      <c r="AU76" s="141"/>
      <c r="AV76" s="196"/>
      <c r="XFD76" s="196"/>
    </row>
    <row r="77" spans="2:48 16384:16384" x14ac:dyDescent="0.2">
      <c r="B77" s="196"/>
      <c r="D77" s="196"/>
      <c r="E77" s="141"/>
      <c r="F77" s="196"/>
      <c r="G77" s="141"/>
      <c r="H77" s="196"/>
      <c r="I77" s="141"/>
      <c r="J77" s="196"/>
      <c r="K77" s="141"/>
      <c r="L77" s="196"/>
      <c r="M77" s="141"/>
      <c r="N77" s="196"/>
      <c r="O77" s="141"/>
      <c r="P77" s="196"/>
      <c r="Q77" s="141"/>
      <c r="R77" s="196"/>
      <c r="S77" s="141"/>
      <c r="T77" s="196"/>
      <c r="U77" s="141"/>
      <c r="V77" s="196"/>
      <c r="W77" s="141"/>
      <c r="X77" s="196"/>
      <c r="Y77" s="141"/>
      <c r="Z77" s="196"/>
      <c r="AA77" s="141"/>
      <c r="AB77" s="196"/>
      <c r="AC77" s="141"/>
      <c r="AD77" s="196"/>
      <c r="AE77" s="141"/>
      <c r="AF77" s="196"/>
      <c r="AG77" s="141"/>
      <c r="AH77" s="196"/>
      <c r="AI77" s="141"/>
      <c r="AJ77" s="196"/>
      <c r="AK77" s="141"/>
      <c r="AL77" s="196"/>
      <c r="AM77" s="141"/>
      <c r="AN77" s="196"/>
      <c r="AO77" s="141"/>
      <c r="AP77" s="196"/>
      <c r="AQ77" s="141"/>
      <c r="AR77" s="196"/>
      <c r="AS77" s="141"/>
      <c r="AT77" s="196"/>
      <c r="AU77" s="141"/>
      <c r="AV77" s="196"/>
      <c r="XFD77" s="196"/>
    </row>
    <row r="78" spans="2:48 16384:16384" x14ac:dyDescent="0.2">
      <c r="B78" s="196"/>
      <c r="D78" s="196"/>
      <c r="E78" s="141"/>
      <c r="F78" s="196"/>
      <c r="G78" s="141"/>
      <c r="H78" s="196"/>
      <c r="I78" s="141"/>
      <c r="J78" s="196"/>
      <c r="K78" s="141"/>
      <c r="L78" s="196"/>
      <c r="M78" s="141"/>
      <c r="N78" s="196"/>
      <c r="O78" s="141"/>
      <c r="P78" s="196"/>
      <c r="Q78" s="141"/>
      <c r="R78" s="196"/>
      <c r="S78" s="141"/>
      <c r="T78" s="196"/>
      <c r="U78" s="141"/>
      <c r="V78" s="196"/>
      <c r="W78" s="141"/>
      <c r="X78" s="196"/>
      <c r="Y78" s="141"/>
      <c r="Z78" s="196"/>
      <c r="AA78" s="141"/>
      <c r="AB78" s="196"/>
      <c r="AC78" s="141"/>
      <c r="AD78" s="196"/>
      <c r="AE78" s="141"/>
      <c r="AF78" s="196"/>
      <c r="AG78" s="141"/>
      <c r="AH78" s="196"/>
      <c r="AI78" s="141"/>
      <c r="AJ78" s="196"/>
      <c r="AK78" s="141"/>
      <c r="AL78" s="196"/>
      <c r="AM78" s="141"/>
      <c r="AN78" s="196"/>
      <c r="AO78" s="141"/>
      <c r="AP78" s="196"/>
      <c r="AQ78" s="141"/>
      <c r="AR78" s="196"/>
      <c r="AS78" s="141"/>
      <c r="AT78" s="196"/>
      <c r="AU78" s="141"/>
      <c r="AV78" s="196"/>
      <c r="XFD78" s="196"/>
    </row>
    <row r="79" spans="2:48 16384:16384" x14ac:dyDescent="0.2">
      <c r="B79" s="196"/>
      <c r="D79" s="196"/>
      <c r="F79" s="196"/>
      <c r="H79" s="196"/>
      <c r="J79" s="196"/>
      <c r="L79" s="196"/>
      <c r="N79" s="196"/>
      <c r="P79" s="196"/>
      <c r="R79" s="196"/>
      <c r="T79" s="196"/>
      <c r="V79" s="196"/>
      <c r="X79" s="196"/>
      <c r="Z79" s="196"/>
      <c r="AB79" s="196"/>
      <c r="AD79" s="196"/>
      <c r="AF79" s="196"/>
      <c r="AH79" s="196"/>
      <c r="AJ79" s="196"/>
      <c r="AL79" s="196"/>
      <c r="AN79" s="196"/>
      <c r="AP79" s="196"/>
      <c r="AR79" s="196"/>
      <c r="AT79" s="196"/>
      <c r="AV79" s="196"/>
      <c r="XFD79" s="196"/>
    </row>
    <row r="80" spans="2:48 16384:16384" x14ac:dyDescent="0.2">
      <c r="B80" s="239"/>
      <c r="D80" s="239"/>
      <c r="F80" s="239"/>
      <c r="H80" s="239"/>
      <c r="J80" s="239"/>
      <c r="L80" s="239"/>
      <c r="N80" s="239"/>
      <c r="P80" s="239"/>
      <c r="R80" s="239"/>
      <c r="T80" s="239"/>
      <c r="V80" s="239"/>
      <c r="X80" s="239"/>
      <c r="Z80" s="239"/>
      <c r="AB80" s="239"/>
      <c r="AD80" s="239"/>
      <c r="AF80" s="239"/>
      <c r="AH80" s="239"/>
      <c r="AJ80" s="239"/>
      <c r="AL80" s="239"/>
      <c r="AN80" s="239"/>
      <c r="AP80" s="239"/>
      <c r="AR80" s="239"/>
      <c r="AT80" s="239"/>
      <c r="AV80" s="239"/>
      <c r="XFD80" s="239"/>
    </row>
    <row r="81" spans="2:48 16384:16384" x14ac:dyDescent="0.2">
      <c r="B81" s="239"/>
      <c r="D81" s="239"/>
      <c r="F81" s="239"/>
      <c r="H81" s="239"/>
      <c r="J81" s="239"/>
      <c r="L81" s="239"/>
      <c r="N81" s="239"/>
      <c r="P81" s="239"/>
      <c r="R81" s="239"/>
      <c r="T81" s="239"/>
      <c r="V81" s="239"/>
      <c r="X81" s="239"/>
      <c r="Z81" s="239"/>
      <c r="AB81" s="239"/>
      <c r="AD81" s="239"/>
      <c r="AF81" s="239"/>
      <c r="AH81" s="239"/>
      <c r="AJ81" s="239"/>
      <c r="AL81" s="239"/>
      <c r="AN81" s="239"/>
      <c r="AP81" s="239"/>
      <c r="AR81" s="239"/>
      <c r="AT81" s="239"/>
      <c r="AV81" s="239"/>
      <c r="XFD81" s="239"/>
    </row>
    <row r="82" spans="2:48 16384:16384" x14ac:dyDescent="0.2">
      <c r="B82" s="239"/>
      <c r="D82" s="239"/>
      <c r="F82" s="239"/>
      <c r="H82" s="239"/>
      <c r="J82" s="239"/>
      <c r="L82" s="239"/>
      <c r="N82" s="239"/>
      <c r="P82" s="239"/>
      <c r="R82" s="239"/>
      <c r="T82" s="239"/>
      <c r="V82" s="239"/>
      <c r="X82" s="239"/>
      <c r="Z82" s="239"/>
      <c r="AB82" s="239"/>
      <c r="AD82" s="239"/>
      <c r="AF82" s="239"/>
      <c r="AH82" s="239"/>
      <c r="AJ82" s="239"/>
      <c r="AL82" s="239"/>
      <c r="AN82" s="239"/>
      <c r="AP82" s="239"/>
      <c r="AR82" s="239"/>
      <c r="AT82" s="239"/>
      <c r="AV82" s="239"/>
    </row>
    <row r="83" spans="2:48 16384:16384" x14ac:dyDescent="0.2">
      <c r="B83" s="239"/>
      <c r="D83" s="239"/>
      <c r="F83" s="239"/>
      <c r="H83" s="239"/>
      <c r="J83" s="239"/>
      <c r="L83" s="239"/>
      <c r="N83" s="239"/>
      <c r="P83" s="239"/>
      <c r="R83" s="239"/>
      <c r="T83" s="239"/>
      <c r="V83" s="239"/>
      <c r="X83" s="239"/>
      <c r="Z83" s="239"/>
      <c r="AB83" s="239"/>
      <c r="AD83" s="239"/>
      <c r="AF83" s="239"/>
      <c r="AH83" s="239"/>
      <c r="AJ83" s="239"/>
      <c r="AL83" s="239"/>
      <c r="AN83" s="239"/>
      <c r="AP83" s="239"/>
      <c r="AR83" s="239"/>
      <c r="AT83" s="239"/>
      <c r="AV83" s="23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XFD83"/>
  <sheetViews>
    <sheetView workbookViewId="0">
      <pane xSplit="1" ySplit="1" topLeftCell="I2" activePane="bottomRight" state="frozen"/>
      <selection pane="topRight" activeCell="B1" sqref="B1"/>
      <selection pane="bottomLeft" activeCell="A2" sqref="A2"/>
      <selection pane="bottomRight" sqref="A1:XFD1048576"/>
    </sheetView>
  </sheetViews>
  <sheetFormatPr baseColWidth="10" defaultRowHeight="10" x14ac:dyDescent="0.2"/>
  <sheetData>
    <row r="1" spans="1:95" ht="10.5" x14ac:dyDescent="0.25">
      <c r="B1" s="97"/>
      <c r="D1" s="97"/>
      <c r="F1" s="97"/>
      <c r="H1" s="97"/>
      <c r="J1" s="97"/>
      <c r="L1" s="97"/>
      <c r="N1" s="97"/>
      <c r="P1" s="97"/>
      <c r="R1" s="199"/>
      <c r="S1" s="99"/>
      <c r="T1" s="97"/>
      <c r="V1" s="97"/>
      <c r="X1" s="97"/>
      <c r="Z1" s="97"/>
      <c r="AB1" s="97"/>
      <c r="AD1" s="97"/>
      <c r="AF1" s="97"/>
      <c r="AH1" s="97"/>
      <c r="AJ1" s="97"/>
      <c r="AL1" s="97"/>
      <c r="AN1" s="97"/>
      <c r="AP1" s="97"/>
      <c r="AR1" s="97"/>
      <c r="AT1" s="97"/>
      <c r="AV1" s="97"/>
      <c r="AX1" s="97"/>
      <c r="AZ1" s="97"/>
      <c r="BB1" s="97"/>
      <c r="BD1" s="97"/>
      <c r="BF1" s="97"/>
      <c r="BH1" s="97"/>
      <c r="BJ1" s="97"/>
      <c r="BL1" s="97"/>
      <c r="BN1" s="97"/>
      <c r="BP1" s="97"/>
      <c r="BR1" s="97"/>
      <c r="BT1" s="97"/>
      <c r="BV1" s="97"/>
      <c r="BX1" s="97"/>
      <c r="BZ1" s="97"/>
      <c r="CB1" s="97"/>
      <c r="CD1" s="97"/>
      <c r="CF1" s="97"/>
      <c r="CH1" s="97"/>
      <c r="CJ1" s="97"/>
      <c r="CL1" s="97"/>
      <c r="CN1" s="97"/>
      <c r="CP1" s="97"/>
    </row>
    <row r="2" spans="1:95" ht="10.5" x14ac:dyDescent="0.25">
      <c r="A2" s="232"/>
      <c r="B2" s="229"/>
      <c r="C2" s="230"/>
      <c r="D2" s="229"/>
      <c r="E2" s="230"/>
      <c r="F2" s="229"/>
      <c r="G2" s="230"/>
      <c r="H2" s="229"/>
      <c r="I2" s="230"/>
      <c r="J2" s="229"/>
      <c r="K2" s="230"/>
      <c r="L2" s="229"/>
      <c r="M2" s="230"/>
      <c r="N2" s="229"/>
      <c r="O2" s="230"/>
      <c r="P2" s="229"/>
      <c r="Q2" s="230"/>
      <c r="R2" s="233"/>
      <c r="S2" s="234"/>
      <c r="T2" s="229"/>
      <c r="U2" s="230"/>
      <c r="V2" s="229"/>
      <c r="W2" s="230"/>
      <c r="X2" s="229"/>
      <c r="Y2" s="230"/>
      <c r="Z2" s="229"/>
      <c r="AA2" s="230"/>
      <c r="AB2" s="229"/>
      <c r="AC2" s="230"/>
      <c r="AD2" s="229"/>
      <c r="AE2" s="230"/>
      <c r="AF2" s="229"/>
      <c r="AG2" s="230"/>
      <c r="AH2" s="229"/>
      <c r="AI2" s="230"/>
      <c r="AJ2" s="229"/>
      <c r="AK2" s="230"/>
      <c r="AL2" s="229"/>
      <c r="AM2" s="230"/>
      <c r="AN2" s="229"/>
      <c r="AO2" s="230"/>
      <c r="AP2" s="229"/>
      <c r="AQ2" s="230"/>
      <c r="AR2" s="229"/>
      <c r="AS2" s="230"/>
      <c r="AT2" s="229"/>
      <c r="AU2" s="230"/>
      <c r="AV2" s="229"/>
      <c r="AW2" s="230"/>
      <c r="AX2" s="229"/>
      <c r="AY2" s="231"/>
      <c r="AZ2" s="229"/>
      <c r="BA2" s="231"/>
      <c r="BB2" s="229"/>
      <c r="BC2" s="231"/>
      <c r="BD2" s="229"/>
      <c r="BE2" s="231"/>
      <c r="BF2" s="229"/>
      <c r="BG2" s="231"/>
      <c r="BH2" s="229"/>
      <c r="BI2" s="231"/>
      <c r="BJ2" s="229"/>
      <c r="BK2" s="231"/>
      <c r="BL2" s="229"/>
      <c r="BM2" s="231"/>
      <c r="BN2" s="229"/>
      <c r="BO2" s="231"/>
      <c r="BP2" s="229"/>
      <c r="BQ2" s="231"/>
      <c r="BR2" s="229"/>
      <c r="BS2" s="231"/>
      <c r="BT2" s="229"/>
      <c r="BU2" s="231"/>
      <c r="BV2" s="229"/>
      <c r="BW2" s="231"/>
      <c r="BX2" s="229"/>
      <c r="BY2" s="231"/>
      <c r="BZ2" s="229"/>
      <c r="CA2" s="231"/>
      <c r="CB2" s="229"/>
      <c r="CC2" s="231"/>
      <c r="CD2" s="229"/>
      <c r="CE2" s="231"/>
      <c r="CF2" s="229"/>
      <c r="CG2" s="231"/>
      <c r="CH2" s="229"/>
      <c r="CI2" s="231"/>
      <c r="CJ2" s="229"/>
      <c r="CK2" s="231"/>
      <c r="CL2" s="229"/>
      <c r="CM2" s="231"/>
      <c r="CN2" s="229"/>
      <c r="CO2" s="231"/>
      <c r="CP2" s="229"/>
      <c r="CQ2" s="231"/>
    </row>
    <row r="3" spans="1:95" ht="10.5" x14ac:dyDescent="0.25">
      <c r="B3" s="87"/>
      <c r="C3" s="88"/>
      <c r="D3" s="87"/>
      <c r="E3" s="88"/>
      <c r="F3" s="87"/>
      <c r="G3" s="88"/>
      <c r="H3" s="87"/>
      <c r="I3" s="88"/>
      <c r="J3" s="87"/>
      <c r="K3" s="88"/>
      <c r="L3" s="87"/>
      <c r="M3" s="88"/>
      <c r="N3" s="87"/>
      <c r="O3" s="88"/>
      <c r="P3" s="87"/>
      <c r="Q3" s="88"/>
      <c r="R3" s="200"/>
      <c r="S3" s="201"/>
      <c r="T3" s="87"/>
      <c r="U3" s="88"/>
      <c r="V3" s="87"/>
      <c r="W3" s="88"/>
      <c r="X3" s="87"/>
      <c r="Y3" s="88"/>
      <c r="Z3" s="87"/>
      <c r="AA3" s="88"/>
      <c r="AB3" s="87"/>
      <c r="AC3" s="88"/>
      <c r="AD3" s="87"/>
      <c r="AE3" s="88"/>
      <c r="AF3" s="87"/>
      <c r="AG3" s="88"/>
      <c r="AH3" s="87"/>
      <c r="AI3" s="88"/>
      <c r="AJ3" s="87"/>
      <c r="AK3" s="88"/>
      <c r="AL3" s="87"/>
      <c r="AM3" s="88"/>
      <c r="AN3" s="87"/>
      <c r="AO3" s="88"/>
      <c r="AP3" s="87"/>
      <c r="AQ3" s="88"/>
      <c r="AR3" s="87"/>
      <c r="AS3" s="88"/>
      <c r="AT3" s="87"/>
      <c r="AU3" s="88"/>
      <c r="AV3" s="87"/>
      <c r="AW3" s="88"/>
      <c r="AX3" s="87"/>
      <c r="AY3" s="88"/>
      <c r="AZ3" s="87"/>
      <c r="BA3" s="88"/>
      <c r="BB3" s="87"/>
      <c r="BC3" s="88"/>
      <c r="BD3" s="87"/>
      <c r="BE3" s="88"/>
      <c r="BF3" s="87"/>
      <c r="BG3" s="88"/>
      <c r="BH3" s="87"/>
      <c r="BI3" s="88"/>
      <c r="BJ3" s="87"/>
      <c r="BK3" s="88"/>
      <c r="BL3" s="87"/>
      <c r="BM3" s="88"/>
      <c r="BN3" s="87"/>
      <c r="BO3" s="88"/>
      <c r="BP3" s="87"/>
      <c r="BQ3" s="88"/>
      <c r="BR3" s="87"/>
      <c r="BS3" s="88"/>
      <c r="BT3" s="87"/>
      <c r="BU3" s="88"/>
      <c r="BV3" s="87"/>
      <c r="BW3" s="88"/>
      <c r="BX3" s="87"/>
      <c r="BY3" s="88"/>
      <c r="BZ3" s="87"/>
      <c r="CA3" s="88"/>
      <c r="CB3" s="87"/>
      <c r="CC3" s="88"/>
      <c r="CD3" s="87"/>
      <c r="CE3" s="88"/>
      <c r="CF3" s="87"/>
      <c r="CG3" s="88"/>
      <c r="CH3" s="87"/>
      <c r="CI3" s="88"/>
      <c r="CJ3" s="87"/>
      <c r="CK3" s="88"/>
      <c r="CL3" s="87"/>
      <c r="CM3" s="88"/>
      <c r="CN3" s="87"/>
      <c r="CO3" s="88"/>
      <c r="CP3" s="87"/>
      <c r="CQ3" s="88"/>
    </row>
    <row r="4" spans="1:95" ht="10.5" x14ac:dyDescent="0.25">
      <c r="B4" s="104"/>
      <c r="C4" s="105"/>
      <c r="D4" s="104"/>
      <c r="E4" s="105"/>
      <c r="F4" s="104"/>
      <c r="G4" s="105"/>
      <c r="H4" s="104"/>
      <c r="I4" s="105"/>
      <c r="J4" s="104"/>
      <c r="K4" s="105"/>
      <c r="L4" s="104"/>
      <c r="M4" s="105"/>
      <c r="N4" s="104"/>
      <c r="O4" s="105"/>
      <c r="P4" s="104"/>
      <c r="Q4" s="105"/>
      <c r="R4" s="202"/>
      <c r="S4" s="203"/>
      <c r="T4" s="104"/>
      <c r="U4" s="105"/>
      <c r="V4" s="104"/>
      <c r="W4" s="105"/>
      <c r="X4" s="104"/>
      <c r="Y4" s="105"/>
      <c r="Z4" s="104"/>
      <c r="AA4" s="105"/>
      <c r="AB4" s="104"/>
      <c r="AC4" s="105"/>
      <c r="AD4" s="104"/>
      <c r="AE4" s="105"/>
      <c r="AF4" s="104"/>
      <c r="AG4" s="105"/>
      <c r="AH4" s="104"/>
      <c r="AI4" s="105"/>
      <c r="AJ4" s="104"/>
      <c r="AK4" s="105"/>
      <c r="AL4" s="104"/>
      <c r="AM4" s="105"/>
      <c r="AN4" s="104"/>
      <c r="AO4" s="105"/>
      <c r="AP4" s="104"/>
      <c r="AQ4" s="105"/>
      <c r="AR4" s="104"/>
      <c r="AS4" s="105"/>
      <c r="AT4" s="104"/>
      <c r="AU4" s="105"/>
      <c r="AV4" s="104"/>
      <c r="AW4" s="105"/>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row>
    <row r="5" spans="1:95" ht="10.5" x14ac:dyDescent="0.25">
      <c r="B5" s="41"/>
      <c r="C5" s="42"/>
      <c r="D5" s="41"/>
      <c r="E5" s="42"/>
      <c r="F5" s="41"/>
      <c r="G5" s="42"/>
      <c r="H5" s="41"/>
      <c r="I5" s="42"/>
      <c r="J5" s="41"/>
      <c r="K5" s="42"/>
      <c r="L5" s="41"/>
      <c r="M5" s="42"/>
      <c r="N5" s="41"/>
      <c r="O5" s="42"/>
      <c r="P5" s="41"/>
      <c r="Q5" s="42"/>
      <c r="R5" s="204"/>
      <c r="S5" s="205"/>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row>
    <row r="6" spans="1:95" ht="10.5" x14ac:dyDescent="0.25">
      <c r="B6" s="41"/>
      <c r="C6" s="42"/>
      <c r="D6" s="41"/>
      <c r="E6" s="42"/>
      <c r="F6" s="41"/>
      <c r="G6" s="42"/>
      <c r="H6" s="41"/>
      <c r="I6" s="42"/>
      <c r="J6" s="41"/>
      <c r="K6" s="42"/>
      <c r="L6" s="41"/>
      <c r="M6" s="42"/>
      <c r="N6" s="41"/>
      <c r="O6" s="42"/>
      <c r="P6" s="41"/>
      <c r="Q6" s="42"/>
      <c r="R6" s="204"/>
      <c r="S6" s="205"/>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row>
    <row r="7" spans="1:95" ht="10.5" x14ac:dyDescent="0.25">
      <c r="B7" s="33"/>
      <c r="C7" s="34"/>
      <c r="D7" s="33"/>
      <c r="E7" s="34"/>
      <c r="F7" s="33"/>
      <c r="G7" s="34"/>
      <c r="H7" s="33"/>
      <c r="I7" s="34"/>
      <c r="J7" s="33"/>
      <c r="K7" s="34"/>
      <c r="L7" s="33"/>
      <c r="M7" s="34"/>
      <c r="N7" s="33"/>
      <c r="O7" s="34"/>
      <c r="P7" s="33"/>
      <c r="Q7" s="34"/>
      <c r="R7" s="206"/>
      <c r="S7" s="207"/>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row>
    <row r="8" spans="1:95" ht="10.5" x14ac:dyDescent="0.25">
      <c r="B8" s="35"/>
      <c r="C8" s="36"/>
      <c r="D8" s="35"/>
      <c r="E8" s="36"/>
      <c r="F8" s="35"/>
      <c r="G8" s="36"/>
      <c r="H8" s="35"/>
      <c r="I8" s="36"/>
      <c r="J8" s="35"/>
      <c r="K8" s="36"/>
      <c r="L8" s="35"/>
      <c r="M8" s="36"/>
      <c r="N8" s="35"/>
      <c r="O8" s="36"/>
      <c r="P8" s="35"/>
      <c r="Q8" s="36"/>
      <c r="R8" s="208"/>
      <c r="S8" s="209"/>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row>
    <row r="9" spans="1:95" ht="10.5" x14ac:dyDescent="0.25">
      <c r="B9" s="41"/>
      <c r="C9" s="42"/>
      <c r="D9" s="41"/>
      <c r="E9" s="42"/>
      <c r="F9" s="41"/>
      <c r="G9" s="42"/>
      <c r="H9" s="41"/>
      <c r="I9" s="42"/>
      <c r="J9" s="41"/>
      <c r="K9" s="42"/>
      <c r="L9" s="41"/>
      <c r="M9" s="42"/>
      <c r="N9" s="41"/>
      <c r="O9" s="42"/>
      <c r="P9" s="41"/>
      <c r="Q9" s="42"/>
      <c r="R9" s="204"/>
      <c r="S9" s="205"/>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row>
    <row r="10" spans="1:95" ht="10.5" x14ac:dyDescent="0.25">
      <c r="B10" s="41"/>
      <c r="C10" s="42"/>
      <c r="D10" s="41"/>
      <c r="E10" s="42"/>
      <c r="F10" s="41"/>
      <c r="G10" s="42"/>
      <c r="H10" s="41"/>
      <c r="I10" s="42"/>
      <c r="J10" s="41"/>
      <c r="K10" s="42"/>
      <c r="L10" s="41"/>
      <c r="M10" s="42"/>
      <c r="N10" s="41"/>
      <c r="O10" s="42"/>
      <c r="P10" s="41"/>
      <c r="Q10" s="42"/>
      <c r="R10" s="204"/>
      <c r="S10" s="205"/>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row>
    <row r="11" spans="1:95" ht="10.5" x14ac:dyDescent="0.25">
      <c r="B11" s="41"/>
      <c r="C11" s="42"/>
      <c r="D11" s="41"/>
      <c r="E11" s="42"/>
      <c r="F11" s="41"/>
      <c r="G11" s="42"/>
      <c r="H11" s="41"/>
      <c r="I11" s="42"/>
      <c r="J11" s="41"/>
      <c r="K11" s="42"/>
      <c r="L11" s="41"/>
      <c r="M11" s="42"/>
      <c r="N11" s="41"/>
      <c r="O11" s="42"/>
      <c r="P11" s="41"/>
      <c r="Q11" s="42"/>
      <c r="R11" s="204"/>
      <c r="S11" s="205"/>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row>
    <row r="12" spans="1:95" ht="10.5" x14ac:dyDescent="0.25">
      <c r="B12" s="41"/>
      <c r="C12" s="42"/>
      <c r="D12" s="41"/>
      <c r="E12" s="42"/>
      <c r="F12" s="41"/>
      <c r="G12" s="42"/>
      <c r="H12" s="41"/>
      <c r="I12" s="42"/>
      <c r="J12" s="41"/>
      <c r="K12" s="42"/>
      <c r="L12" s="41"/>
      <c r="M12" s="42"/>
      <c r="N12" s="41"/>
      <c r="O12" s="42"/>
      <c r="P12" s="41"/>
      <c r="Q12" s="42"/>
      <c r="R12" s="204"/>
      <c r="S12" s="205"/>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row>
    <row r="13" spans="1:95" ht="10.5" x14ac:dyDescent="0.25">
      <c r="B13" s="100"/>
      <c r="C13" s="101"/>
      <c r="D13" s="100"/>
      <c r="E13" s="101"/>
      <c r="F13" s="100"/>
      <c r="G13" s="101"/>
      <c r="H13" s="100"/>
      <c r="I13" s="101"/>
      <c r="J13" s="100"/>
      <c r="K13" s="101"/>
      <c r="L13" s="100"/>
      <c r="M13" s="101"/>
      <c r="N13" s="100"/>
      <c r="O13" s="101"/>
      <c r="P13" s="100"/>
      <c r="Q13" s="101"/>
      <c r="R13" s="210"/>
      <c r="S13" s="211"/>
      <c r="T13" s="100"/>
      <c r="U13" s="101"/>
      <c r="V13" s="100"/>
      <c r="W13" s="101"/>
      <c r="X13" s="100"/>
      <c r="Y13" s="101"/>
      <c r="Z13" s="100"/>
      <c r="AA13" s="101"/>
      <c r="AB13" s="100"/>
      <c r="AC13" s="101"/>
      <c r="AD13" s="100"/>
      <c r="AE13" s="101"/>
      <c r="AF13" s="100"/>
      <c r="AG13" s="101"/>
      <c r="AH13" s="100"/>
      <c r="AI13" s="101"/>
      <c r="AJ13" s="100"/>
      <c r="AK13" s="101"/>
      <c r="AL13" s="100"/>
      <c r="AM13" s="101"/>
      <c r="AN13" s="100"/>
      <c r="AO13" s="101"/>
      <c r="AP13" s="100"/>
      <c r="AQ13" s="101"/>
      <c r="AR13" s="100"/>
      <c r="AS13" s="101"/>
      <c r="AT13" s="100"/>
      <c r="AU13" s="101"/>
      <c r="AV13" s="100"/>
      <c r="AW13" s="101"/>
      <c r="AX13" s="100"/>
      <c r="AY13" s="101"/>
      <c r="AZ13" s="100"/>
      <c r="BA13" s="101"/>
      <c r="BB13" s="100"/>
      <c r="BC13" s="101"/>
      <c r="BD13" s="100"/>
      <c r="BE13" s="101"/>
      <c r="BF13" s="100"/>
      <c r="BG13" s="101"/>
      <c r="BH13" s="100"/>
      <c r="BI13" s="101"/>
      <c r="BJ13" s="100"/>
      <c r="BK13" s="101"/>
      <c r="BL13" s="100"/>
      <c r="BM13" s="101"/>
      <c r="BN13" s="100"/>
      <c r="BO13" s="101"/>
      <c r="BP13" s="100"/>
      <c r="BQ13" s="101"/>
      <c r="BR13" s="100"/>
      <c r="BS13" s="101"/>
      <c r="BT13" s="100"/>
      <c r="BU13" s="101"/>
      <c r="BV13" s="100"/>
      <c r="BW13" s="101"/>
      <c r="BX13" s="100"/>
      <c r="BY13" s="101"/>
      <c r="BZ13" s="100"/>
      <c r="CA13" s="101"/>
      <c r="CB13" s="100"/>
      <c r="CC13" s="101"/>
      <c r="CD13" s="100"/>
      <c r="CE13" s="101"/>
      <c r="CF13" s="100"/>
      <c r="CG13" s="101"/>
      <c r="CH13" s="100"/>
      <c r="CI13" s="101"/>
      <c r="CJ13" s="100"/>
      <c r="CK13" s="101"/>
      <c r="CL13" s="100"/>
      <c r="CM13" s="101"/>
      <c r="CN13" s="100"/>
      <c r="CO13" s="101"/>
      <c r="CP13" s="100"/>
      <c r="CQ13" s="101"/>
    </row>
    <row r="14" spans="1:95" ht="10.5" x14ac:dyDescent="0.25">
      <c r="B14" s="41"/>
      <c r="C14" s="42"/>
      <c r="D14" s="41"/>
      <c r="E14" s="42"/>
      <c r="F14" s="41"/>
      <c r="G14" s="42"/>
      <c r="H14" s="41"/>
      <c r="I14" s="42"/>
      <c r="J14" s="41"/>
      <c r="K14" s="42"/>
      <c r="L14" s="41"/>
      <c r="M14" s="42"/>
      <c r="N14" s="41"/>
      <c r="O14" s="42"/>
      <c r="P14" s="41"/>
      <c r="Q14" s="42"/>
      <c r="R14" s="204"/>
      <c r="S14" s="205"/>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row>
    <row r="15" spans="1:95" ht="10.5" x14ac:dyDescent="0.25">
      <c r="B15" s="157"/>
      <c r="C15" s="158"/>
      <c r="D15" s="157"/>
      <c r="E15" s="158"/>
      <c r="F15" s="157"/>
      <c r="G15" s="158"/>
      <c r="H15" s="157"/>
      <c r="I15" s="158"/>
      <c r="J15" s="157"/>
      <c r="K15" s="158"/>
      <c r="L15" s="157"/>
      <c r="M15" s="158"/>
      <c r="N15" s="157"/>
      <c r="O15" s="158"/>
      <c r="P15" s="157"/>
      <c r="Q15" s="158"/>
      <c r="R15" s="212"/>
      <c r="S15" s="213"/>
      <c r="T15" s="157"/>
      <c r="U15" s="158"/>
      <c r="V15" s="157"/>
      <c r="W15" s="158"/>
      <c r="X15" s="157"/>
      <c r="Y15" s="158"/>
      <c r="Z15" s="157"/>
      <c r="AA15" s="158"/>
      <c r="AB15" s="157"/>
      <c r="AC15" s="158"/>
      <c r="AD15" s="157"/>
      <c r="AE15" s="158"/>
      <c r="AF15" s="157"/>
      <c r="AG15" s="158"/>
      <c r="AH15" s="157"/>
      <c r="AI15" s="158"/>
      <c r="AJ15" s="157"/>
      <c r="AK15" s="158"/>
      <c r="AL15" s="157"/>
      <c r="AM15" s="158"/>
      <c r="AN15" s="157"/>
      <c r="AO15" s="158"/>
      <c r="AP15" s="157"/>
      <c r="AQ15" s="158"/>
      <c r="AR15" s="157"/>
      <c r="AS15" s="158"/>
      <c r="AT15" s="157"/>
      <c r="AU15" s="158"/>
      <c r="AV15" s="157"/>
      <c r="AW15" s="158"/>
      <c r="AX15" s="102"/>
      <c r="AY15" s="103"/>
      <c r="AZ15" s="102"/>
      <c r="BA15" s="103"/>
      <c r="BB15" s="102"/>
      <c r="BC15" s="103"/>
      <c r="BD15" s="102"/>
      <c r="BE15" s="103"/>
      <c r="BF15" s="102"/>
      <c r="BG15" s="103"/>
      <c r="BH15" s="102"/>
      <c r="BI15" s="103"/>
      <c r="BJ15" s="102"/>
      <c r="BK15" s="103"/>
      <c r="BL15" s="102"/>
      <c r="BM15" s="103"/>
      <c r="BN15" s="102"/>
      <c r="BO15" s="103"/>
      <c r="BP15" s="102"/>
      <c r="BQ15" s="103"/>
      <c r="BR15" s="102"/>
      <c r="BS15" s="103"/>
      <c r="BT15" s="102"/>
      <c r="BU15" s="103"/>
      <c r="BV15" s="102"/>
      <c r="BW15" s="103"/>
      <c r="BX15" s="102"/>
      <c r="BY15" s="103"/>
      <c r="BZ15" s="102"/>
      <c r="CA15" s="103"/>
      <c r="CB15" s="102"/>
      <c r="CC15" s="103"/>
      <c r="CD15" s="102"/>
      <c r="CE15" s="103"/>
      <c r="CF15" s="102"/>
      <c r="CG15" s="103"/>
      <c r="CH15" s="102"/>
      <c r="CI15" s="103"/>
      <c r="CJ15" s="102"/>
      <c r="CK15" s="103"/>
      <c r="CL15" s="102"/>
      <c r="CM15" s="103"/>
      <c r="CN15" s="102"/>
      <c r="CO15" s="103"/>
      <c r="CP15" s="102"/>
      <c r="CQ15" s="103"/>
    </row>
    <row r="16" spans="1:95" s="29" customFormat="1" ht="10.5" x14ac:dyDescent="0.25">
      <c r="A16"/>
      <c r="B16" s="41"/>
      <c r="C16" s="42"/>
      <c r="D16" s="41"/>
      <c r="E16" s="42"/>
      <c r="F16" s="41"/>
      <c r="G16" s="42"/>
      <c r="H16" s="41"/>
      <c r="I16" s="42"/>
      <c r="J16" s="41"/>
      <c r="K16" s="42"/>
      <c r="L16" s="41"/>
      <c r="M16" s="42"/>
      <c r="N16" s="41"/>
      <c r="O16" s="42"/>
      <c r="P16" s="41"/>
      <c r="Q16" s="42"/>
      <c r="R16" s="204"/>
      <c r="S16" s="205"/>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row>
    <row r="17" spans="2:95" ht="10.5" x14ac:dyDescent="0.25">
      <c r="B17" s="35"/>
      <c r="C17" s="36"/>
      <c r="D17" s="35"/>
      <c r="E17" s="36"/>
      <c r="F17" s="35"/>
      <c r="G17" s="36"/>
      <c r="H17" s="35"/>
      <c r="I17" s="36"/>
      <c r="J17" s="35"/>
      <c r="K17" s="36"/>
      <c r="L17" s="35"/>
      <c r="M17" s="36"/>
      <c r="N17" s="35"/>
      <c r="O17" s="36"/>
      <c r="P17" s="35"/>
      <c r="Q17" s="36"/>
      <c r="R17" s="208"/>
      <c r="S17" s="209"/>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row>
    <row r="18" spans="2:95" ht="10.5" x14ac:dyDescent="0.25">
      <c r="B18" s="33"/>
      <c r="C18" s="34"/>
      <c r="D18" s="33"/>
      <c r="E18" s="34"/>
      <c r="F18" s="33"/>
      <c r="G18" s="34"/>
      <c r="H18" s="33"/>
      <c r="I18" s="34"/>
      <c r="J18" s="33"/>
      <c r="K18" s="34"/>
      <c r="L18" s="33"/>
      <c r="M18" s="34"/>
      <c r="N18" s="33"/>
      <c r="O18" s="34"/>
      <c r="P18" s="33"/>
      <c r="Q18" s="34"/>
      <c r="R18" s="206"/>
      <c r="S18" s="207"/>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row>
    <row r="19" spans="2:95" ht="10.5" x14ac:dyDescent="0.25">
      <c r="B19" s="41"/>
      <c r="C19" s="42"/>
      <c r="D19" s="41"/>
      <c r="E19" s="42"/>
      <c r="F19" s="41"/>
      <c r="G19" s="42"/>
      <c r="H19" s="41"/>
      <c r="I19" s="42"/>
      <c r="J19" s="41"/>
      <c r="K19" s="42"/>
      <c r="L19" s="41"/>
      <c r="M19" s="42"/>
      <c r="N19" s="41"/>
      <c r="O19" s="42"/>
      <c r="P19" s="41"/>
      <c r="Q19" s="42"/>
      <c r="R19" s="204"/>
      <c r="S19" s="205"/>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5"/>
      <c r="AY19" s="86"/>
      <c r="AZ19" s="85"/>
      <c r="BA19" s="86"/>
      <c r="BB19" s="85"/>
      <c r="BC19" s="86"/>
      <c r="BD19" s="85"/>
      <c r="BE19" s="86"/>
      <c r="BF19" s="85"/>
      <c r="BG19" s="86"/>
      <c r="BH19" s="85"/>
      <c r="BI19" s="86"/>
      <c r="BJ19" s="85"/>
      <c r="BK19" s="86"/>
      <c r="BL19" s="85"/>
      <c r="BM19" s="86"/>
      <c r="BN19" s="85"/>
      <c r="BO19" s="86"/>
      <c r="BP19" s="85"/>
      <c r="BQ19" s="86"/>
      <c r="BR19" s="85"/>
      <c r="BS19" s="86"/>
      <c r="BT19" s="85"/>
      <c r="BU19" s="86"/>
      <c r="BV19" s="85"/>
      <c r="BW19" s="86"/>
      <c r="BX19" s="85"/>
      <c r="BY19" s="86"/>
      <c r="BZ19" s="85"/>
      <c r="CA19" s="86"/>
      <c r="CB19" s="85"/>
      <c r="CC19" s="86"/>
      <c r="CD19" s="85"/>
      <c r="CE19" s="86"/>
      <c r="CF19" s="85"/>
      <c r="CG19" s="86"/>
      <c r="CH19" s="85"/>
      <c r="CI19" s="86"/>
      <c r="CJ19" s="85"/>
      <c r="CK19" s="86"/>
      <c r="CL19" s="85"/>
      <c r="CM19" s="86"/>
      <c r="CN19" s="85"/>
      <c r="CO19" s="86"/>
      <c r="CP19" s="85"/>
      <c r="CQ19" s="86"/>
    </row>
    <row r="20" spans="2:95" ht="10.5" x14ac:dyDescent="0.25">
      <c r="B20" s="85"/>
      <c r="C20" s="86"/>
      <c r="D20" s="85"/>
      <c r="E20" s="86"/>
      <c r="F20" s="85"/>
      <c r="G20" s="86"/>
      <c r="H20" s="85"/>
      <c r="I20" s="86"/>
      <c r="J20" s="85"/>
      <c r="K20" s="86"/>
      <c r="L20" s="85"/>
      <c r="M20" s="86"/>
      <c r="N20" s="85"/>
      <c r="O20" s="86"/>
      <c r="P20" s="85"/>
      <c r="Q20" s="86"/>
      <c r="R20" s="214"/>
      <c r="S20" s="215"/>
      <c r="T20" s="85"/>
      <c r="U20" s="86"/>
      <c r="V20" s="85"/>
      <c r="W20" s="86"/>
      <c r="X20" s="85"/>
      <c r="Y20" s="86"/>
      <c r="Z20" s="85"/>
      <c r="AA20" s="86"/>
      <c r="AB20" s="85"/>
      <c r="AC20" s="86"/>
      <c r="AD20" s="85"/>
      <c r="AE20" s="86"/>
      <c r="AF20" s="85"/>
      <c r="AG20" s="86"/>
      <c r="AH20" s="85"/>
      <c r="AI20" s="86"/>
      <c r="AJ20" s="85"/>
      <c r="AK20" s="86"/>
      <c r="AL20" s="85"/>
      <c r="AM20" s="86"/>
      <c r="AN20" s="85"/>
      <c r="AO20" s="86"/>
      <c r="AP20" s="85"/>
      <c r="AQ20" s="86"/>
      <c r="AR20" s="85"/>
      <c r="AS20" s="86"/>
      <c r="AT20" s="85"/>
      <c r="AU20" s="86"/>
      <c r="AV20" s="85"/>
      <c r="AW20" s="86"/>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row>
    <row r="21" spans="2:95" ht="10.5" x14ac:dyDescent="0.25">
      <c r="B21" s="85"/>
      <c r="C21" s="86"/>
      <c r="D21" s="85"/>
      <c r="E21" s="86"/>
      <c r="F21" s="85"/>
      <c r="G21" s="86"/>
      <c r="H21" s="85"/>
      <c r="I21" s="86"/>
      <c r="J21" s="85"/>
      <c r="K21" s="86"/>
      <c r="L21" s="85"/>
      <c r="M21" s="86"/>
      <c r="N21" s="85"/>
      <c r="O21" s="86"/>
      <c r="P21" s="85"/>
      <c r="Q21" s="86"/>
      <c r="R21" s="214"/>
      <c r="S21" s="215"/>
      <c r="T21" s="85"/>
      <c r="U21" s="86"/>
      <c r="V21" s="85"/>
      <c r="W21" s="86"/>
      <c r="X21" s="85"/>
      <c r="Y21" s="86"/>
      <c r="Z21" s="85"/>
      <c r="AA21" s="86"/>
      <c r="AB21" s="85"/>
      <c r="AC21" s="86"/>
      <c r="AD21" s="85"/>
      <c r="AE21" s="86"/>
      <c r="AF21" s="85"/>
      <c r="AG21" s="86"/>
      <c r="AH21" s="85"/>
      <c r="AI21" s="86"/>
      <c r="AJ21" s="85"/>
      <c r="AK21" s="86"/>
      <c r="AL21" s="85"/>
      <c r="AM21" s="86"/>
      <c r="AN21" s="85"/>
      <c r="AO21" s="86"/>
      <c r="AP21" s="85"/>
      <c r="AQ21" s="86"/>
      <c r="AR21" s="85"/>
      <c r="AS21" s="86"/>
      <c r="AT21" s="85"/>
      <c r="AU21" s="86"/>
      <c r="AV21" s="85"/>
      <c r="AW21" s="86"/>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row>
    <row r="22" spans="2:95" ht="10.5" x14ac:dyDescent="0.25">
      <c r="B22" s="41"/>
      <c r="C22" s="42"/>
      <c r="D22" s="41"/>
      <c r="E22" s="42"/>
      <c r="F22" s="41"/>
      <c r="G22" s="42"/>
      <c r="H22" s="41"/>
      <c r="I22" s="42"/>
      <c r="J22" s="41"/>
      <c r="K22" s="42"/>
      <c r="L22" s="41"/>
      <c r="M22" s="42"/>
      <c r="N22" s="41"/>
      <c r="O22" s="42"/>
      <c r="P22" s="41"/>
      <c r="Q22" s="42"/>
      <c r="R22" s="204"/>
      <c r="S22" s="205"/>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9"/>
      <c r="AY22" s="8"/>
      <c r="AZ22" s="119"/>
      <c r="BA22" s="8"/>
      <c r="BB22" s="119"/>
      <c r="BC22" s="8"/>
      <c r="BD22" s="119"/>
      <c r="BE22" s="8"/>
      <c r="BF22" s="119"/>
      <c r="BG22" s="8"/>
      <c r="BH22" s="119"/>
      <c r="BI22" s="8"/>
      <c r="BJ22" s="119"/>
      <c r="BK22" s="8"/>
      <c r="BL22" s="119"/>
      <c r="BM22" s="8"/>
      <c r="BN22" s="119"/>
      <c r="BO22" s="8"/>
      <c r="BP22" s="119"/>
      <c r="BQ22" s="8"/>
      <c r="BR22" s="119"/>
      <c r="BS22" s="8"/>
      <c r="BT22" s="119"/>
      <c r="BU22" s="8"/>
      <c r="BV22" s="119"/>
      <c r="BW22" s="8"/>
      <c r="BX22" s="119"/>
      <c r="BY22" s="8"/>
      <c r="BZ22" s="119"/>
      <c r="CA22" s="8"/>
      <c r="CB22" s="119"/>
      <c r="CC22" s="8"/>
      <c r="CD22" s="119"/>
      <c r="CE22" s="8"/>
      <c r="CF22" s="119"/>
      <c r="CG22" s="8"/>
      <c r="CH22" s="119"/>
      <c r="CI22" s="8"/>
      <c r="CJ22" s="119"/>
      <c r="CK22" s="8"/>
      <c r="CL22" s="119"/>
      <c r="CM22" s="8"/>
      <c r="CN22" s="119"/>
      <c r="CO22" s="8"/>
      <c r="CP22" s="119"/>
      <c r="CQ22" s="8"/>
    </row>
    <row r="23" spans="2:95" ht="10.5" x14ac:dyDescent="0.25">
      <c r="B23" s="119"/>
      <c r="C23" s="8"/>
      <c r="D23" s="119"/>
      <c r="E23" s="8"/>
      <c r="F23" s="119"/>
      <c r="G23" s="8"/>
      <c r="H23" s="119"/>
      <c r="I23" s="8"/>
      <c r="J23" s="119"/>
      <c r="K23" s="8"/>
      <c r="L23" s="119"/>
      <c r="M23" s="8"/>
      <c r="N23" s="119"/>
      <c r="O23" s="8"/>
      <c r="P23" s="119"/>
      <c r="Q23" s="8"/>
      <c r="R23" s="216"/>
      <c r="S23" s="217"/>
      <c r="T23" s="119"/>
      <c r="U23" s="8"/>
      <c r="V23" s="119"/>
      <c r="W23" s="8"/>
      <c r="X23" s="119"/>
      <c r="Y23" s="8"/>
      <c r="Z23" s="119"/>
      <c r="AA23" s="8"/>
      <c r="AB23" s="119"/>
      <c r="AC23" s="8"/>
      <c r="AD23" s="119"/>
      <c r="AE23" s="8"/>
      <c r="AF23" s="119"/>
      <c r="AG23" s="8"/>
      <c r="AH23" s="119"/>
      <c r="AI23" s="8"/>
      <c r="AJ23" s="119"/>
      <c r="AK23" s="8"/>
      <c r="AL23" s="119"/>
      <c r="AM23" s="8"/>
      <c r="AN23" s="119"/>
      <c r="AO23" s="8"/>
      <c r="AP23" s="119"/>
      <c r="AQ23" s="8"/>
      <c r="AR23" s="119"/>
      <c r="AS23" s="8"/>
      <c r="AT23" s="119"/>
      <c r="AU23" s="8"/>
      <c r="AV23" s="119"/>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row>
    <row r="24" spans="2:95" ht="10.5" x14ac:dyDescent="0.25">
      <c r="B24" s="100"/>
      <c r="C24" s="8"/>
      <c r="D24" s="100"/>
      <c r="E24" s="8"/>
      <c r="F24" s="100"/>
      <c r="G24" s="8"/>
      <c r="H24" s="100"/>
      <c r="I24" s="8"/>
      <c r="J24" s="100"/>
      <c r="K24" s="8"/>
      <c r="L24" s="100"/>
      <c r="M24" s="8"/>
      <c r="N24" s="100"/>
      <c r="O24" s="8"/>
      <c r="P24" s="100"/>
      <c r="Q24" s="8"/>
      <c r="R24" s="210"/>
      <c r="S24" s="217"/>
      <c r="T24" s="100"/>
      <c r="U24" s="8"/>
      <c r="V24" s="100"/>
      <c r="W24" s="8"/>
      <c r="X24" s="100"/>
      <c r="Y24" s="8"/>
      <c r="Z24" s="100"/>
      <c r="AA24" s="8"/>
      <c r="AB24" s="100"/>
      <c r="AC24" s="8"/>
      <c r="AD24" s="100"/>
      <c r="AE24" s="8"/>
      <c r="AF24" s="100"/>
      <c r="AG24" s="8"/>
      <c r="AH24" s="100"/>
      <c r="AI24" s="8"/>
      <c r="AJ24" s="100"/>
      <c r="AK24" s="8"/>
      <c r="AL24" s="100"/>
      <c r="AM24" s="8"/>
      <c r="AN24" s="100"/>
      <c r="AO24" s="8"/>
      <c r="AP24" s="100"/>
      <c r="AQ24" s="8"/>
      <c r="AR24" s="100"/>
      <c r="AS24" s="8"/>
      <c r="AT24" s="100"/>
      <c r="AU24" s="8"/>
      <c r="AV24" s="100"/>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row>
    <row r="25" spans="2:95" ht="10.5" x14ac:dyDescent="0.25">
      <c r="B25" s="41"/>
      <c r="C25" s="42"/>
      <c r="D25" s="41"/>
      <c r="E25" s="42"/>
      <c r="F25" s="41"/>
      <c r="G25" s="42"/>
      <c r="H25" s="41"/>
      <c r="I25" s="42"/>
      <c r="J25" s="41"/>
      <c r="K25" s="42"/>
      <c r="L25" s="41"/>
      <c r="M25" s="42"/>
      <c r="N25" s="41"/>
      <c r="O25" s="42"/>
      <c r="P25" s="41"/>
      <c r="Q25" s="42"/>
      <c r="R25" s="204"/>
      <c r="S25" s="205"/>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row>
    <row r="26" spans="2:95" ht="10.5" x14ac:dyDescent="0.25">
      <c r="B26" s="33"/>
      <c r="C26" s="34"/>
      <c r="D26" s="33"/>
      <c r="E26" s="34"/>
      <c r="F26" s="33"/>
      <c r="G26" s="34"/>
      <c r="H26" s="33"/>
      <c r="I26" s="34"/>
      <c r="J26" s="33"/>
      <c r="K26" s="34"/>
      <c r="L26" s="33"/>
      <c r="M26" s="34"/>
      <c r="N26" s="33"/>
      <c r="O26" s="34"/>
      <c r="P26" s="33"/>
      <c r="Q26" s="34"/>
      <c r="R26" s="206"/>
      <c r="S26" s="207"/>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row>
    <row r="27" spans="2:95" ht="10.5" x14ac:dyDescent="0.25">
      <c r="B27" s="35"/>
      <c r="C27" s="36"/>
      <c r="D27" s="35"/>
      <c r="E27" s="36"/>
      <c r="F27" s="35"/>
      <c r="G27" s="36"/>
      <c r="H27" s="35"/>
      <c r="I27" s="36"/>
      <c r="J27" s="35"/>
      <c r="K27" s="36"/>
      <c r="L27" s="35"/>
      <c r="M27" s="36"/>
      <c r="N27" s="35"/>
      <c r="O27" s="36"/>
      <c r="P27" s="35"/>
      <c r="Q27" s="36"/>
      <c r="R27" s="208"/>
      <c r="S27" s="209"/>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row>
    <row r="28" spans="2:95" ht="10.5" x14ac:dyDescent="0.25">
      <c r="B28" s="41"/>
      <c r="C28" s="42"/>
      <c r="D28" s="41"/>
      <c r="E28" s="42"/>
      <c r="F28" s="41"/>
      <c r="G28" s="42"/>
      <c r="H28" s="41"/>
      <c r="I28" s="42"/>
      <c r="J28" s="41"/>
      <c r="K28" s="42"/>
      <c r="L28" s="41"/>
      <c r="M28" s="42"/>
      <c r="N28" s="41"/>
      <c r="O28" s="42"/>
      <c r="P28" s="41"/>
      <c r="Q28" s="42"/>
      <c r="R28" s="204"/>
      <c r="S28" s="205"/>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row>
    <row r="29" spans="2:95" ht="10.5" x14ac:dyDescent="0.25">
      <c r="B29" s="35"/>
      <c r="C29" s="36"/>
      <c r="D29" s="35"/>
      <c r="E29" s="36"/>
      <c r="F29" s="35"/>
      <c r="G29" s="36"/>
      <c r="H29" s="35"/>
      <c r="I29" s="36"/>
      <c r="J29" s="35"/>
      <c r="K29" s="36"/>
      <c r="L29" s="35"/>
      <c r="M29" s="36"/>
      <c r="N29" s="35"/>
      <c r="O29" s="36"/>
      <c r="P29" s="35"/>
      <c r="Q29" s="36"/>
      <c r="R29" s="208"/>
      <c r="S29" s="209"/>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22"/>
      <c r="AZ29" s="122"/>
      <c r="BB29" s="122"/>
      <c r="BD29" s="122"/>
      <c r="BF29" s="122"/>
      <c r="BH29" s="122"/>
      <c r="BJ29" s="122"/>
      <c r="BL29" s="122"/>
      <c r="BN29" s="122"/>
      <c r="BP29" s="122"/>
      <c r="BR29" s="122"/>
      <c r="BT29" s="122"/>
      <c r="BV29" s="122"/>
      <c r="BX29" s="122"/>
      <c r="BZ29" s="122"/>
      <c r="CB29" s="122"/>
      <c r="CD29" s="122"/>
      <c r="CF29" s="122"/>
      <c r="CH29" s="122"/>
      <c r="CJ29" s="122"/>
      <c r="CL29" s="122"/>
      <c r="CN29" s="122"/>
      <c r="CP29" s="122"/>
    </row>
    <row r="30" spans="2:95" ht="10.5" x14ac:dyDescent="0.25">
      <c r="B30" s="122"/>
      <c r="D30" s="122"/>
      <c r="F30" s="122"/>
      <c r="H30" s="122"/>
      <c r="J30" s="122"/>
      <c r="L30" s="122"/>
      <c r="N30" s="122"/>
      <c r="P30" s="122"/>
      <c r="R30" s="9"/>
      <c r="S30" s="99"/>
      <c r="T30" s="122"/>
      <c r="V30" s="122"/>
      <c r="X30" s="122"/>
      <c r="Z30" s="122"/>
      <c r="AB30" s="122"/>
      <c r="AD30" s="122"/>
      <c r="AF30" s="122"/>
      <c r="AH30" s="122"/>
      <c r="AJ30" s="122"/>
      <c r="AL30" s="122"/>
      <c r="AN30" s="122"/>
      <c r="AP30" s="122"/>
      <c r="AR30" s="122"/>
      <c r="AT30" s="122"/>
      <c r="AV30" s="122"/>
      <c r="AX30" s="89"/>
      <c r="AZ30" s="89"/>
      <c r="BB30" s="89"/>
      <c r="BD30" s="89"/>
      <c r="BF30" s="89"/>
      <c r="BH30" s="89"/>
      <c r="BJ30" s="89"/>
      <c r="BL30" s="89"/>
      <c r="BN30" s="89"/>
      <c r="BP30" s="89"/>
      <c r="BR30" s="89"/>
      <c r="BT30" s="89"/>
      <c r="BV30" s="89"/>
      <c r="BX30" s="89"/>
      <c r="BZ30" s="89"/>
      <c r="CB30" s="89"/>
      <c r="CD30" s="89"/>
      <c r="CF30" s="89"/>
      <c r="CH30" s="89"/>
      <c r="CJ30" s="89"/>
      <c r="CL30" s="89"/>
      <c r="CN30" s="89"/>
      <c r="CP30" s="89"/>
    </row>
    <row r="31" spans="2:95" ht="10.5" x14ac:dyDescent="0.25">
      <c r="B31" s="83"/>
      <c r="D31" s="83"/>
      <c r="F31" s="83"/>
      <c r="H31" s="83"/>
      <c r="J31" s="83"/>
      <c r="L31" s="83"/>
      <c r="N31" s="83"/>
      <c r="P31" s="83"/>
      <c r="R31" s="218"/>
      <c r="S31" s="99"/>
      <c r="T31" s="83"/>
      <c r="V31" s="83"/>
      <c r="X31" s="83"/>
      <c r="Z31" s="83"/>
      <c r="AB31" s="83"/>
      <c r="AD31" s="83"/>
      <c r="AF31" s="83"/>
      <c r="AH31" s="83"/>
      <c r="AJ31" s="83"/>
      <c r="AL31" s="83"/>
      <c r="AN31" s="83"/>
      <c r="AP31" s="83"/>
      <c r="AR31" s="83"/>
      <c r="AT31" s="83"/>
      <c r="AV31" s="83"/>
      <c r="AX31" s="73"/>
      <c r="AZ31" s="73"/>
      <c r="BB31" s="73"/>
      <c r="BD31" s="73"/>
      <c r="BF31" s="73"/>
      <c r="BH31" s="73"/>
      <c r="BJ31" s="73"/>
      <c r="BL31" s="73"/>
      <c r="BN31" s="73"/>
      <c r="BP31" s="73"/>
      <c r="BR31" s="73"/>
      <c r="BT31" s="73"/>
      <c r="BV31" s="73"/>
      <c r="BX31" s="73"/>
      <c r="BZ31" s="73"/>
      <c r="CB31" s="73"/>
      <c r="CD31" s="73"/>
      <c r="CF31" s="73"/>
      <c r="CH31" s="73"/>
      <c r="CJ31" s="73"/>
      <c r="CL31" s="73"/>
      <c r="CN31" s="73"/>
      <c r="CP31" s="73"/>
    </row>
    <row r="32" spans="2:95" ht="10.5" x14ac:dyDescent="0.25">
      <c r="B32" s="89"/>
      <c r="C32" s="38"/>
      <c r="D32" s="89"/>
      <c r="E32" s="38"/>
      <c r="F32" s="89"/>
      <c r="G32" s="38"/>
      <c r="H32" s="89"/>
      <c r="I32" s="38"/>
      <c r="J32" s="89"/>
      <c r="K32" s="38"/>
      <c r="L32" s="89"/>
      <c r="M32" s="38"/>
      <c r="N32" s="89"/>
      <c r="O32" s="38"/>
      <c r="P32" s="89"/>
      <c r="Q32" s="38"/>
      <c r="R32" s="219"/>
      <c r="S32" s="220"/>
      <c r="T32" s="89"/>
      <c r="U32" s="38"/>
      <c r="V32" s="89"/>
      <c r="W32" s="38"/>
      <c r="X32" s="89"/>
      <c r="Y32" s="38"/>
      <c r="Z32" s="89"/>
      <c r="AA32" s="38"/>
      <c r="AB32" s="89"/>
      <c r="AC32" s="38"/>
      <c r="AD32" s="89"/>
      <c r="AE32" s="38"/>
      <c r="AF32" s="89"/>
      <c r="AG32" s="38"/>
      <c r="AH32" s="89"/>
      <c r="AI32" s="38"/>
      <c r="AJ32" s="89"/>
      <c r="AK32" s="38"/>
      <c r="AL32" s="89"/>
      <c r="AM32" s="38"/>
      <c r="AN32" s="89"/>
      <c r="AO32" s="38"/>
      <c r="AP32" s="89"/>
      <c r="AQ32" s="38"/>
      <c r="AR32" s="89"/>
      <c r="AS32" s="38"/>
      <c r="AT32" s="89"/>
      <c r="AU32" s="38"/>
      <c r="AV32" s="89"/>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row>
    <row r="33" spans="2:95 16382:16384" ht="10.5" x14ac:dyDescent="0.25">
      <c r="B33" s="120"/>
      <c r="C33" s="40"/>
      <c r="D33" s="120"/>
      <c r="E33" s="40"/>
      <c r="F33" s="120"/>
      <c r="G33" s="40"/>
      <c r="H33" s="120"/>
      <c r="I33" s="40"/>
      <c r="J33" s="120"/>
      <c r="K33" s="40"/>
      <c r="L33" s="120"/>
      <c r="M33" s="40"/>
      <c r="N33" s="120"/>
      <c r="O33" s="40"/>
      <c r="P33" s="120"/>
      <c r="Q33" s="40"/>
      <c r="R33" s="221"/>
      <c r="S33" s="222"/>
      <c r="T33" s="120"/>
      <c r="U33" s="40"/>
      <c r="V33" s="120"/>
      <c r="W33" s="40"/>
      <c r="X33" s="120"/>
      <c r="Y33" s="40"/>
      <c r="Z33" s="120"/>
      <c r="AA33" s="40"/>
      <c r="AB33" s="120"/>
      <c r="AC33" s="40"/>
      <c r="AD33" s="120"/>
      <c r="AE33" s="40"/>
      <c r="AF33" s="120"/>
      <c r="AG33" s="40"/>
      <c r="AH33" s="120"/>
      <c r="AI33" s="40"/>
      <c r="AJ33" s="120"/>
      <c r="AK33" s="40"/>
      <c r="AL33" s="120"/>
      <c r="AM33" s="40"/>
      <c r="AN33" s="120"/>
      <c r="AO33" s="40"/>
      <c r="AP33" s="120"/>
      <c r="AQ33" s="40"/>
      <c r="AR33" s="120"/>
      <c r="AS33" s="40"/>
      <c r="AT33" s="120"/>
      <c r="AU33" s="40"/>
      <c r="AV33" s="120"/>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row>
    <row r="34" spans="2:95 16382:16384" ht="10.5" x14ac:dyDescent="0.25">
      <c r="B34" s="73"/>
      <c r="C34" s="38"/>
      <c r="D34" s="73"/>
      <c r="E34" s="38"/>
      <c r="F34" s="73"/>
      <c r="G34" s="38"/>
      <c r="H34" s="73"/>
      <c r="I34" s="38"/>
      <c r="J34" s="73"/>
      <c r="K34" s="38"/>
      <c r="L34" s="73"/>
      <c r="M34" s="38"/>
      <c r="N34" s="73"/>
      <c r="O34" s="38"/>
      <c r="P34" s="73"/>
      <c r="Q34" s="38"/>
      <c r="R34" s="223"/>
      <c r="S34" s="220"/>
      <c r="T34" s="73"/>
      <c r="U34" s="38"/>
      <c r="V34" s="73"/>
      <c r="W34" s="38"/>
      <c r="X34" s="73"/>
      <c r="Y34" s="38"/>
      <c r="Z34" s="73"/>
      <c r="AA34" s="38"/>
      <c r="AB34" s="73"/>
      <c r="AC34" s="38"/>
      <c r="AD34" s="73"/>
      <c r="AE34" s="38"/>
      <c r="AF34" s="73"/>
      <c r="AG34" s="38"/>
      <c r="AH34" s="73"/>
      <c r="AI34" s="38"/>
      <c r="AJ34" s="73"/>
      <c r="AK34" s="38"/>
      <c r="AL34" s="73"/>
      <c r="AM34" s="38"/>
      <c r="AN34" s="73"/>
      <c r="AO34" s="38"/>
      <c r="AP34" s="73"/>
      <c r="AQ34" s="38"/>
      <c r="AR34" s="73"/>
      <c r="AS34" s="38"/>
      <c r="AT34" s="73"/>
      <c r="AU34" s="38"/>
      <c r="AV34" s="73"/>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row>
    <row r="35" spans="2:95 16382:16384" ht="10.5" x14ac:dyDescent="0.25">
      <c r="B35" s="37"/>
      <c r="C35" s="38"/>
      <c r="D35" s="37"/>
      <c r="E35" s="38"/>
      <c r="F35" s="37"/>
      <c r="G35" s="38"/>
      <c r="H35" s="37"/>
      <c r="I35" s="38"/>
      <c r="J35" s="37"/>
      <c r="K35" s="38"/>
      <c r="L35" s="37"/>
      <c r="M35" s="38"/>
      <c r="N35" s="37"/>
      <c r="O35" s="38"/>
      <c r="P35" s="37"/>
      <c r="Q35" s="38"/>
      <c r="R35" s="224"/>
      <c r="S35" s="220"/>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row>
    <row r="36" spans="2:95 16382:16384" ht="10.5" x14ac:dyDescent="0.25">
      <c r="B36" s="39"/>
      <c r="C36" s="40"/>
      <c r="D36" s="39"/>
      <c r="E36" s="40"/>
      <c r="F36" s="39"/>
      <c r="G36" s="40"/>
      <c r="H36" s="39"/>
      <c r="I36" s="40"/>
      <c r="J36" s="39"/>
      <c r="K36" s="40"/>
      <c r="L36" s="39"/>
      <c r="M36" s="40"/>
      <c r="N36" s="39"/>
      <c r="O36" s="40"/>
      <c r="P36" s="39"/>
      <c r="Q36" s="40"/>
      <c r="R36" s="225"/>
      <c r="S36" s="222"/>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2:95 16382:16384" ht="10.5" x14ac:dyDescent="0.25">
      <c r="B37" s="37"/>
      <c r="C37" s="38"/>
      <c r="D37" s="37"/>
      <c r="E37" s="38"/>
      <c r="F37" s="37"/>
      <c r="G37" s="38"/>
      <c r="H37" s="37"/>
      <c r="I37" s="38"/>
      <c r="J37" s="37"/>
      <c r="K37" s="38"/>
      <c r="L37" s="37"/>
      <c r="M37" s="38"/>
      <c r="N37" s="37"/>
      <c r="O37" s="38"/>
      <c r="P37" s="37"/>
      <c r="Q37" s="38"/>
      <c r="R37" s="224"/>
      <c r="S37" s="220"/>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2:95 16382:16384" ht="10.5" x14ac:dyDescent="0.25">
      <c r="B38" s="39"/>
      <c r="C38" s="40"/>
      <c r="D38" s="39"/>
      <c r="E38" s="40"/>
      <c r="F38" s="39"/>
      <c r="G38" s="40"/>
      <c r="H38" s="39"/>
      <c r="I38" s="40"/>
      <c r="J38" s="39"/>
      <c r="K38" s="40"/>
      <c r="L38" s="39"/>
      <c r="M38" s="40"/>
      <c r="N38" s="39"/>
      <c r="O38" s="40"/>
      <c r="P38" s="39"/>
      <c r="Q38" s="40"/>
      <c r="R38" s="225"/>
      <c r="S38" s="222"/>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2:95 16382:16384" x14ac:dyDescent="0.2">
      <c r="B39" s="138"/>
      <c r="C39" s="138"/>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8"/>
      <c r="AB39" s="138"/>
      <c r="AC39" s="138"/>
      <c r="AD39" s="138"/>
      <c r="AE39" s="138"/>
      <c r="AF39" s="138"/>
      <c r="AG39" s="138"/>
      <c r="AH39" s="138"/>
      <c r="AI39" s="138"/>
      <c r="AJ39" s="138"/>
      <c r="AK39" s="138"/>
      <c r="AL39" s="138"/>
      <c r="AM39" s="138"/>
      <c r="AN39" s="138"/>
      <c r="AO39" s="138"/>
      <c r="AP39" s="138"/>
      <c r="AQ39" s="138"/>
      <c r="AR39" s="138"/>
      <c r="AS39" s="138"/>
      <c r="AT39" s="138"/>
      <c r="AU39" s="138"/>
    </row>
    <row r="40" spans="2:95 16382:16384" x14ac:dyDescent="0.2">
      <c r="B40" s="138"/>
      <c r="C40" s="138"/>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138"/>
      <c r="AB40" s="138"/>
      <c r="AC40" s="138"/>
      <c r="AD40" s="138"/>
      <c r="AE40" s="138"/>
      <c r="AF40" s="138"/>
      <c r="AG40" s="138"/>
      <c r="AH40" s="138"/>
      <c r="AI40" s="138"/>
      <c r="AJ40" s="138"/>
      <c r="AK40" s="138"/>
      <c r="AL40" s="138"/>
      <c r="AM40" s="138"/>
      <c r="AN40" s="138"/>
      <c r="AO40" s="138"/>
      <c r="AP40" s="138"/>
      <c r="AQ40" s="138"/>
      <c r="AR40" s="138"/>
      <c r="AS40" s="138"/>
      <c r="AT40" s="138"/>
      <c r="AU40" s="138"/>
    </row>
    <row r="41" spans="2:95 16382:16384" x14ac:dyDescent="0.2">
      <c r="B41" s="165"/>
      <c r="C41" s="138"/>
      <c r="D41" s="165"/>
      <c r="E41" s="138"/>
      <c r="F41" s="165"/>
      <c r="G41" s="138"/>
      <c r="H41" s="165"/>
      <c r="I41" s="138"/>
      <c r="J41" s="165"/>
      <c r="K41" s="138"/>
      <c r="L41" s="165"/>
      <c r="M41" s="138"/>
      <c r="N41" s="165"/>
      <c r="O41" s="138"/>
      <c r="P41" s="165"/>
      <c r="Q41" s="138"/>
      <c r="R41" s="165"/>
      <c r="S41" s="138"/>
      <c r="T41" s="165"/>
      <c r="U41" s="138"/>
      <c r="V41" s="165"/>
      <c r="W41" s="138"/>
      <c r="X41" s="165"/>
      <c r="Y41" s="165"/>
      <c r="Z41" s="165"/>
      <c r="AA41" s="138"/>
      <c r="AB41" s="165"/>
      <c r="AC41" s="138"/>
      <c r="AD41" s="165"/>
      <c r="AE41" s="138"/>
      <c r="AF41" s="165"/>
      <c r="AG41" s="138"/>
      <c r="AH41" s="165"/>
      <c r="AI41" s="138"/>
      <c r="AJ41" s="165"/>
      <c r="AK41" s="138"/>
      <c r="AL41" s="165"/>
      <c r="AM41" s="138"/>
      <c r="AN41" s="165"/>
      <c r="AO41" s="138"/>
      <c r="AP41" s="165"/>
      <c r="AQ41" s="138"/>
      <c r="AR41" s="165"/>
      <c r="AS41" s="138"/>
      <c r="AT41" s="165"/>
      <c r="AU41" s="138"/>
    </row>
    <row r="42" spans="2:95 16382:16384" x14ac:dyDescent="0.2">
      <c r="B42" s="165"/>
      <c r="C42" s="138"/>
      <c r="D42" s="165"/>
      <c r="E42" s="138"/>
      <c r="F42" s="165"/>
      <c r="G42" s="138"/>
      <c r="H42" s="165"/>
      <c r="I42" s="138"/>
      <c r="J42" s="165"/>
      <c r="K42" s="138"/>
      <c r="L42" s="165"/>
      <c r="M42" s="138"/>
      <c r="N42" s="165"/>
      <c r="O42" s="138"/>
      <c r="P42" s="165"/>
      <c r="Q42" s="138"/>
      <c r="R42" s="165"/>
      <c r="S42" s="138"/>
      <c r="T42" s="165"/>
      <c r="U42" s="138"/>
      <c r="V42" s="165"/>
      <c r="W42" s="138"/>
      <c r="X42" s="165"/>
      <c r="Y42" s="138"/>
      <c r="Z42" s="165"/>
      <c r="AA42" s="138"/>
      <c r="AB42" s="165"/>
      <c r="AC42" s="138"/>
      <c r="AD42" s="165"/>
      <c r="AE42" s="138"/>
      <c r="AF42" s="165"/>
      <c r="AG42" s="138"/>
      <c r="AH42" s="165"/>
      <c r="AI42" s="138"/>
      <c r="AJ42" s="165"/>
      <c r="AK42" s="138"/>
      <c r="AL42" s="165"/>
      <c r="AM42" s="138"/>
      <c r="AN42" s="165"/>
      <c r="AO42" s="138"/>
      <c r="AP42" s="165"/>
      <c r="AQ42" s="138"/>
      <c r="AR42" s="165"/>
      <c r="AS42" s="138"/>
      <c r="AT42" s="165"/>
      <c r="AU42" s="138"/>
      <c r="AV42" s="165"/>
      <c r="AX42" s="165"/>
      <c r="AZ42" s="165"/>
      <c r="BB42" s="165"/>
      <c r="BD42" s="165"/>
      <c r="BF42" s="165"/>
      <c r="BH42" s="165"/>
      <c r="BJ42" s="165"/>
      <c r="BL42" s="165"/>
      <c r="BN42" s="165"/>
      <c r="BP42" s="165"/>
      <c r="BR42" s="165"/>
    </row>
    <row r="43" spans="2:95 16382:16384" x14ac:dyDescent="0.2">
      <c r="B43" s="196"/>
      <c r="D43" s="196"/>
      <c r="F43" s="196"/>
      <c r="H43" s="196"/>
      <c r="J43" s="196"/>
      <c r="L43" s="196"/>
      <c r="N43" s="196"/>
      <c r="P43" s="196"/>
      <c r="R43" s="196"/>
      <c r="T43" s="196"/>
      <c r="V43" s="196"/>
      <c r="X43" s="196"/>
      <c r="Z43" s="196"/>
      <c r="AB43" s="196"/>
      <c r="AD43" s="196"/>
      <c r="AF43" s="196"/>
      <c r="AH43" s="196"/>
      <c r="AJ43" s="196"/>
      <c r="AL43" s="196"/>
      <c r="AN43" s="196"/>
      <c r="AP43" s="196"/>
      <c r="AR43" s="196"/>
      <c r="AT43" s="196"/>
    </row>
    <row r="44" spans="2:95 16382:16384" x14ac:dyDescent="0.2">
      <c r="B44" s="196"/>
      <c r="D44" s="196"/>
      <c r="F44" s="196"/>
      <c r="H44" s="196"/>
      <c r="J44" s="196"/>
      <c r="L44" s="196"/>
      <c r="N44" s="196"/>
      <c r="P44" s="196"/>
      <c r="R44" s="196"/>
      <c r="T44" s="196"/>
      <c r="V44" s="196"/>
      <c r="X44" s="196"/>
      <c r="Z44" s="196"/>
      <c r="AB44" s="196"/>
      <c r="AD44" s="196"/>
      <c r="AF44" s="196"/>
      <c r="AH44" s="196"/>
      <c r="AJ44" s="196"/>
      <c r="AL44" s="196"/>
      <c r="AN44" s="196"/>
      <c r="AP44" s="196"/>
      <c r="AR44" s="196"/>
      <c r="AT44" s="196"/>
      <c r="XFB44" s="196"/>
    </row>
    <row r="45" spans="2:95 16382:16384" x14ac:dyDescent="0.2">
      <c r="B45" s="196"/>
      <c r="D45" s="196"/>
      <c r="F45" s="196"/>
      <c r="H45" s="196"/>
      <c r="J45" s="196"/>
      <c r="L45" s="196"/>
      <c r="N45" s="196"/>
      <c r="P45" s="196"/>
      <c r="R45" s="196"/>
      <c r="T45" s="196"/>
      <c r="V45" s="196"/>
      <c r="X45" s="196"/>
      <c r="Z45" s="196"/>
      <c r="AB45" s="196"/>
      <c r="AD45" s="196"/>
      <c r="AF45" s="196"/>
      <c r="AH45" s="196"/>
      <c r="AJ45" s="196"/>
      <c r="AL45" s="196"/>
      <c r="AN45" s="196"/>
      <c r="AP45" s="196"/>
      <c r="AR45" s="196"/>
      <c r="AT45" s="196"/>
      <c r="AV45" s="196"/>
      <c r="XFD45" s="196"/>
    </row>
    <row r="51" spans="2:48 16321:16384" x14ac:dyDescent="0.2">
      <c r="B51" s="29"/>
      <c r="D51" s="29"/>
      <c r="F51" s="29"/>
      <c r="H51" s="29"/>
      <c r="J51" s="29"/>
      <c r="L51" s="29"/>
      <c r="N51" s="29"/>
      <c r="P51" s="29"/>
      <c r="R51" s="29"/>
      <c r="T51" s="29"/>
      <c r="V51" s="29"/>
      <c r="X51" s="29"/>
      <c r="Z51" s="29"/>
      <c r="AB51" s="29"/>
      <c r="AD51" s="29"/>
      <c r="AF51" s="29"/>
      <c r="AH51" s="29"/>
      <c r="AJ51" s="29"/>
      <c r="AL51" s="29"/>
      <c r="AN51" s="29"/>
      <c r="AP51" s="29"/>
      <c r="AQ51" s="29"/>
      <c r="AR51" s="29"/>
      <c r="AT51" s="29"/>
      <c r="AV51" s="29"/>
      <c r="XFD51" s="29"/>
    </row>
    <row r="52" spans="2:48 16321:16384" x14ac:dyDescent="0.2">
      <c r="B52" s="29"/>
      <c r="D52" s="29"/>
      <c r="F52" s="29"/>
      <c r="H52" s="29"/>
      <c r="J52" s="29"/>
      <c r="L52" s="29"/>
      <c r="N52" s="29"/>
      <c r="P52" s="29"/>
      <c r="R52" s="29"/>
      <c r="T52" s="29"/>
      <c r="V52" s="29"/>
      <c r="X52" s="29"/>
      <c r="Z52" s="29"/>
      <c r="AB52" s="29"/>
      <c r="AD52" s="29"/>
      <c r="AF52" s="29"/>
      <c r="AH52" s="29"/>
      <c r="AJ52" s="29"/>
      <c r="AL52" s="29"/>
      <c r="AN52" s="29"/>
      <c r="AP52" s="29"/>
      <c r="AQ52" s="29"/>
      <c r="AR52" s="29"/>
      <c r="AT52" s="29"/>
      <c r="AV52" s="29"/>
    </row>
    <row r="53" spans="2:48 16321:16384" x14ac:dyDescent="0.2">
      <c r="B53" s="29"/>
      <c r="D53" s="29"/>
      <c r="F53" s="29"/>
      <c r="H53" s="29"/>
      <c r="J53" s="29"/>
      <c r="L53" s="29"/>
      <c r="N53" s="29"/>
      <c r="P53" s="29"/>
      <c r="R53" s="29"/>
      <c r="T53" s="29"/>
      <c r="V53" s="29"/>
      <c r="X53" s="29"/>
      <c r="Z53" s="29"/>
      <c r="AB53" s="29"/>
      <c r="AD53" s="29"/>
      <c r="AF53" s="29"/>
      <c r="AH53" s="29"/>
      <c r="AJ53" s="29"/>
      <c r="AL53" s="29"/>
      <c r="AN53" s="29"/>
      <c r="AP53" s="29"/>
      <c r="AQ53" s="29"/>
      <c r="AR53" s="29"/>
      <c r="AT53" s="29"/>
      <c r="AV53" s="29"/>
      <c r="XFD53" s="29"/>
    </row>
    <row r="55" spans="2:48 16321:16384" x14ac:dyDescent="0.2">
      <c r="B55" s="196"/>
      <c r="D55" s="196"/>
      <c r="F55" s="196"/>
      <c r="H55" s="196"/>
      <c r="J55" s="196"/>
      <c r="L55" s="196"/>
      <c r="N55" s="196"/>
      <c r="P55" s="196"/>
      <c r="R55" s="196"/>
      <c r="T55" s="196"/>
      <c r="V55" s="196"/>
      <c r="X55" s="196"/>
      <c r="Z55" s="196"/>
      <c r="AB55" s="196"/>
      <c r="AD55" s="196"/>
      <c r="AF55" s="196"/>
      <c r="AH55" s="196"/>
      <c r="AJ55" s="196"/>
      <c r="AL55" s="196"/>
      <c r="AN55" s="196"/>
      <c r="AP55" s="196"/>
      <c r="AR55" s="196"/>
      <c r="AT55" s="196"/>
      <c r="AV55" s="196"/>
      <c r="XCS55" s="196"/>
      <c r="XFD55" s="196"/>
    </row>
    <row r="56" spans="2:48 16321:16384" x14ac:dyDescent="0.2">
      <c r="B56" s="196"/>
      <c r="D56" s="196"/>
      <c r="F56" s="196"/>
      <c r="H56" s="196"/>
      <c r="J56" s="196"/>
      <c r="L56" s="196"/>
      <c r="N56" s="196"/>
      <c r="P56" s="196"/>
      <c r="R56" s="196"/>
      <c r="T56" s="196"/>
      <c r="V56" s="196"/>
      <c r="X56" s="196"/>
      <c r="Z56" s="196"/>
      <c r="AB56" s="196"/>
      <c r="AD56" s="196"/>
      <c r="AF56" s="196"/>
      <c r="AH56" s="196"/>
      <c r="AJ56" s="196"/>
      <c r="AL56" s="196"/>
      <c r="AN56" s="196"/>
      <c r="AP56" s="196"/>
      <c r="AR56" s="196"/>
      <c r="AT56" s="196"/>
      <c r="AV56" s="196"/>
      <c r="XFD56" s="196"/>
    </row>
    <row r="57" spans="2:48 16321:16384" x14ac:dyDescent="0.2">
      <c r="B57" s="196"/>
      <c r="D57" s="196"/>
      <c r="F57" s="196"/>
      <c r="H57" s="196"/>
      <c r="J57" s="196"/>
      <c r="L57" s="196"/>
      <c r="N57" s="196"/>
      <c r="P57" s="196"/>
      <c r="R57" s="196"/>
      <c r="T57" s="196"/>
      <c r="V57" s="196"/>
      <c r="X57" s="196"/>
      <c r="Y57" s="196"/>
      <c r="Z57" s="196"/>
      <c r="AB57" s="196"/>
      <c r="AD57" s="196"/>
      <c r="AF57" s="196"/>
      <c r="AH57" s="196"/>
      <c r="AJ57" s="196"/>
      <c r="AL57" s="196"/>
      <c r="AN57" s="196"/>
      <c r="AP57" s="196"/>
      <c r="AR57" s="196"/>
      <c r="AT57" s="196"/>
      <c r="AV57" s="196"/>
      <c r="XFD57" s="196"/>
    </row>
    <row r="58" spans="2:48 16321:16384" x14ac:dyDescent="0.2">
      <c r="B58" s="196"/>
      <c r="D58" s="196"/>
      <c r="F58" s="196"/>
      <c r="H58" s="196"/>
      <c r="J58" s="196"/>
      <c r="L58" s="196"/>
      <c r="N58" s="196"/>
      <c r="P58" s="196"/>
      <c r="R58" s="196"/>
      <c r="T58" s="196"/>
      <c r="V58" s="196"/>
      <c r="X58" s="196"/>
      <c r="Y58" s="196"/>
      <c r="Z58" s="196"/>
      <c r="AB58" s="196"/>
      <c r="AD58" s="196"/>
      <c r="AF58" s="196"/>
      <c r="AH58" s="196"/>
      <c r="AJ58" s="196"/>
      <c r="AL58" s="196"/>
      <c r="AN58" s="196"/>
      <c r="AP58" s="196"/>
      <c r="AR58" s="196"/>
      <c r="AT58" s="196"/>
      <c r="AV58" s="196"/>
      <c r="XFD58" s="196"/>
    </row>
    <row r="59" spans="2:48 16321:16384" x14ac:dyDescent="0.2">
      <c r="B59" s="196"/>
      <c r="D59" s="196"/>
      <c r="F59" s="196"/>
      <c r="H59" s="196"/>
      <c r="J59" s="196"/>
      <c r="L59" s="196"/>
      <c r="N59" s="196"/>
      <c r="P59" s="196"/>
      <c r="R59" s="196"/>
      <c r="T59" s="196"/>
      <c r="V59" s="196"/>
      <c r="X59" s="196"/>
      <c r="Z59" s="196"/>
      <c r="AB59" s="196"/>
      <c r="AD59" s="196"/>
      <c r="AF59" s="196"/>
      <c r="AH59" s="196"/>
      <c r="AJ59" s="196"/>
      <c r="AL59" s="196"/>
      <c r="AN59" s="196"/>
      <c r="AP59" s="196"/>
      <c r="AR59" s="196"/>
      <c r="AT59" s="196"/>
      <c r="AV59" s="196"/>
      <c r="XFD59" s="196"/>
    </row>
    <row r="60" spans="2:48 16321:16384" x14ac:dyDescent="0.2">
      <c r="B60" s="196"/>
      <c r="D60" s="196"/>
      <c r="F60" s="196"/>
      <c r="H60" s="196"/>
      <c r="J60" s="196"/>
      <c r="L60" s="196"/>
      <c r="N60" s="196"/>
      <c r="P60" s="196"/>
      <c r="R60" s="196"/>
      <c r="T60" s="196"/>
      <c r="V60" s="196"/>
      <c r="X60" s="196"/>
      <c r="Z60" s="196"/>
      <c r="AB60" s="196"/>
      <c r="AD60" s="196"/>
      <c r="AF60" s="196"/>
      <c r="AH60" s="196"/>
      <c r="AJ60" s="196"/>
      <c r="AL60" s="196"/>
      <c r="AN60" s="196"/>
      <c r="AP60" s="196"/>
      <c r="AR60" s="196"/>
      <c r="AT60" s="196"/>
      <c r="AV60" s="196"/>
      <c r="XFD60" s="196"/>
    </row>
    <row r="65" spans="2:48 16384:16384" x14ac:dyDescent="0.2">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194"/>
      <c r="AK65" s="194"/>
      <c r="AL65" s="194"/>
      <c r="AM65" s="194"/>
      <c r="AN65" s="194"/>
      <c r="AO65" s="194"/>
      <c r="AP65" s="194"/>
      <c r="AQ65" s="194"/>
      <c r="AR65" s="194"/>
      <c r="AS65" s="194"/>
      <c r="AT65" s="194"/>
      <c r="AU65" s="194"/>
      <c r="AV65" s="194"/>
    </row>
    <row r="66" spans="2:48 16384:16384" x14ac:dyDescent="0.2">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194"/>
      <c r="AK66" s="194"/>
      <c r="AL66" s="194"/>
      <c r="AM66" s="194"/>
      <c r="AN66" s="194"/>
      <c r="AO66" s="194"/>
      <c r="AP66" s="194"/>
      <c r="AQ66" s="194"/>
      <c r="AR66" s="194"/>
      <c r="AS66" s="194"/>
      <c r="AT66" s="194"/>
      <c r="AU66" s="194"/>
      <c r="AV66" s="194"/>
      <c r="XFD66" s="194"/>
    </row>
    <row r="67" spans="2:48 16384:16384" x14ac:dyDescent="0.2">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194"/>
      <c r="AK67" s="194"/>
      <c r="AL67" s="194"/>
      <c r="AM67" s="194"/>
      <c r="AN67" s="194"/>
      <c r="AO67" s="194"/>
      <c r="AP67" s="194"/>
      <c r="AQ67" s="194"/>
      <c r="AR67" s="194"/>
      <c r="AS67" s="194"/>
      <c r="AT67" s="194"/>
      <c r="AU67" s="194"/>
      <c r="AV67" s="194"/>
      <c r="XFD67" s="194"/>
    </row>
    <row r="68" spans="2:48 16384:16384" x14ac:dyDescent="0.2">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194"/>
      <c r="AK68" s="194"/>
      <c r="AL68" s="194"/>
      <c r="AM68" s="194"/>
      <c r="AN68" s="194"/>
      <c r="AO68" s="194"/>
      <c r="AP68" s="194"/>
      <c r="AQ68" s="194"/>
      <c r="AR68" s="194"/>
      <c r="AS68" s="194"/>
      <c r="AT68" s="194"/>
      <c r="AU68" s="194"/>
      <c r="AV68" s="194"/>
      <c r="XFD68" s="194"/>
    </row>
    <row r="69" spans="2:48 16384:16384" x14ac:dyDescent="0.2">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194"/>
      <c r="AK69" s="194"/>
      <c r="AL69" s="194"/>
      <c r="AM69" s="194"/>
      <c r="AN69" s="194"/>
      <c r="AO69" s="194"/>
      <c r="AP69" s="194"/>
      <c r="AQ69" s="194"/>
      <c r="AR69" s="194"/>
      <c r="AS69" s="194"/>
      <c r="AT69" s="194"/>
      <c r="AU69" s="194"/>
      <c r="AV69" s="194"/>
    </row>
    <row r="70" spans="2:48 16384:16384" x14ac:dyDescent="0.2">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141"/>
      <c r="AB70" s="141"/>
      <c r="AC70" s="141"/>
      <c r="AD70" s="141"/>
      <c r="AE70" s="141"/>
      <c r="AF70" s="141"/>
      <c r="AG70" s="141"/>
      <c r="AH70" s="141"/>
      <c r="AI70" s="141"/>
      <c r="AJ70" s="141"/>
      <c r="AK70" s="141"/>
      <c r="AL70" s="141"/>
      <c r="AM70" s="141"/>
      <c r="AN70" s="141"/>
      <c r="AO70" s="141"/>
      <c r="AP70" s="141"/>
      <c r="AQ70" s="141"/>
      <c r="AR70" s="141"/>
      <c r="AS70" s="141"/>
      <c r="AT70" s="141"/>
      <c r="AU70" s="141"/>
      <c r="AV70" s="141"/>
    </row>
    <row r="71" spans="2:48 16384:16384" x14ac:dyDescent="0.2">
      <c r="B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141"/>
      <c r="AB71" s="141"/>
      <c r="AC71" s="141"/>
      <c r="AD71" s="141"/>
      <c r="AE71" s="141"/>
      <c r="AF71" s="141"/>
      <c r="AG71" s="141"/>
      <c r="AH71" s="141"/>
      <c r="AI71" s="141"/>
      <c r="AJ71" s="141"/>
      <c r="AK71" s="141"/>
      <c r="AL71" s="141"/>
      <c r="AM71" s="141"/>
      <c r="AN71" s="141"/>
      <c r="AO71" s="141"/>
      <c r="AP71" s="141"/>
      <c r="AQ71" s="141"/>
      <c r="AR71" s="141"/>
      <c r="AS71" s="141"/>
      <c r="AT71" s="141"/>
      <c r="AU71" s="141"/>
      <c r="AV71" s="141"/>
      <c r="XFD71" s="141"/>
    </row>
    <row r="72" spans="2:48 16384:16384" x14ac:dyDescent="0.2">
      <c r="B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141"/>
      <c r="AB72" s="141"/>
      <c r="AC72" s="141"/>
      <c r="AD72" s="141"/>
      <c r="AE72" s="141"/>
      <c r="AF72" s="141"/>
      <c r="AG72" s="141"/>
      <c r="AH72" s="141"/>
      <c r="AI72" s="141"/>
      <c r="AJ72" s="141"/>
      <c r="AK72" s="141"/>
      <c r="AL72" s="141"/>
      <c r="AM72" s="141"/>
      <c r="AN72" s="141"/>
      <c r="AO72" s="141"/>
      <c r="AP72" s="141"/>
      <c r="AQ72" s="141"/>
      <c r="AR72" s="141"/>
      <c r="AS72" s="141"/>
      <c r="AT72" s="141"/>
      <c r="AU72" s="141"/>
      <c r="AV72" s="141"/>
      <c r="XFD72" s="141"/>
    </row>
    <row r="73" spans="2:48 16384:16384" x14ac:dyDescent="0.2">
      <c r="B73" s="196"/>
      <c r="D73" s="196"/>
      <c r="E73" s="141"/>
      <c r="F73" s="196"/>
      <c r="G73" s="141"/>
      <c r="H73" s="196"/>
      <c r="I73" s="141"/>
      <c r="J73" s="196"/>
      <c r="K73" s="141"/>
      <c r="L73" s="196"/>
      <c r="M73" s="141"/>
      <c r="N73" s="196"/>
      <c r="O73" s="141"/>
      <c r="P73" s="196"/>
      <c r="Q73" s="141"/>
      <c r="R73" s="196"/>
      <c r="S73" s="141"/>
      <c r="T73" s="196"/>
      <c r="U73" s="141"/>
      <c r="V73" s="196"/>
      <c r="W73" s="141"/>
      <c r="X73" s="196"/>
      <c r="Y73" s="141"/>
      <c r="Z73" s="196"/>
      <c r="AA73" s="141"/>
      <c r="AB73" s="196"/>
      <c r="AC73" s="141"/>
      <c r="AD73" s="196"/>
      <c r="AE73" s="141"/>
      <c r="AF73" s="196"/>
      <c r="AG73" s="141"/>
      <c r="AH73" s="196"/>
      <c r="AI73" s="141"/>
      <c r="AJ73" s="196"/>
      <c r="AK73" s="141"/>
      <c r="AL73" s="196"/>
      <c r="AM73" s="141"/>
      <c r="AN73" s="196"/>
      <c r="AO73" s="141"/>
      <c r="AP73" s="196"/>
      <c r="AQ73" s="141"/>
      <c r="AR73" s="196"/>
      <c r="AS73" s="141"/>
      <c r="AT73" s="196"/>
      <c r="AU73" s="141"/>
      <c r="AV73" s="196"/>
      <c r="XFD73" s="196"/>
    </row>
    <row r="74" spans="2:48 16384:16384" x14ac:dyDescent="0.2">
      <c r="B74" s="196"/>
      <c r="D74" s="196"/>
      <c r="E74" s="141"/>
      <c r="F74" s="196"/>
      <c r="G74" s="141"/>
      <c r="H74" s="196"/>
      <c r="I74" s="141"/>
      <c r="J74" s="196"/>
      <c r="K74" s="141"/>
      <c r="L74" s="196"/>
      <c r="M74" s="141"/>
      <c r="N74" s="196"/>
      <c r="O74" s="141"/>
      <c r="P74" s="196"/>
      <c r="Q74" s="141"/>
      <c r="R74" s="196"/>
      <c r="S74" s="141"/>
      <c r="T74" s="196"/>
      <c r="U74" s="141"/>
      <c r="V74" s="196"/>
      <c r="W74" s="141"/>
      <c r="X74" s="196"/>
      <c r="Y74" s="141"/>
      <c r="Z74" s="196"/>
      <c r="AA74" s="141"/>
      <c r="AB74" s="196"/>
      <c r="AC74" s="141"/>
      <c r="AD74" s="196"/>
      <c r="AE74" s="141"/>
      <c r="AF74" s="196"/>
      <c r="AG74" s="141"/>
      <c r="AH74" s="196"/>
      <c r="AI74" s="141"/>
      <c r="AJ74" s="196"/>
      <c r="AK74" s="141"/>
      <c r="AL74" s="196"/>
      <c r="AM74" s="141"/>
      <c r="AN74" s="196"/>
      <c r="AO74" s="141"/>
      <c r="AP74" s="196"/>
      <c r="AQ74" s="141"/>
      <c r="AR74" s="196"/>
      <c r="AS74" s="141"/>
      <c r="AT74" s="196"/>
      <c r="AU74" s="141"/>
      <c r="AV74" s="196"/>
      <c r="XFD74" s="196"/>
    </row>
    <row r="75" spans="2:48 16384:16384" x14ac:dyDescent="0.2">
      <c r="B75" s="196"/>
      <c r="D75" s="196"/>
      <c r="E75" s="141"/>
      <c r="F75" s="196"/>
      <c r="G75" s="141"/>
      <c r="H75" s="196"/>
      <c r="I75" s="141"/>
      <c r="J75" s="196"/>
      <c r="K75" s="141"/>
      <c r="L75" s="196"/>
      <c r="M75" s="141"/>
      <c r="N75" s="196"/>
      <c r="O75" s="141"/>
      <c r="P75" s="196"/>
      <c r="Q75" s="141"/>
      <c r="R75" s="196"/>
      <c r="S75" s="141"/>
      <c r="T75" s="196"/>
      <c r="U75" s="141"/>
      <c r="V75" s="196"/>
      <c r="W75" s="141"/>
      <c r="X75" s="196"/>
      <c r="Y75" s="141"/>
      <c r="Z75" s="196"/>
      <c r="AA75" s="141"/>
      <c r="AB75" s="196"/>
      <c r="AC75" s="141"/>
      <c r="AD75" s="196"/>
      <c r="AE75" s="141"/>
      <c r="AF75" s="196"/>
      <c r="AG75" s="141"/>
      <c r="AH75" s="196"/>
      <c r="AI75" s="141"/>
      <c r="AJ75" s="196"/>
      <c r="AK75" s="141"/>
      <c r="AL75" s="196"/>
      <c r="AM75" s="141"/>
      <c r="AN75" s="196"/>
      <c r="AO75" s="141"/>
      <c r="AP75" s="196"/>
      <c r="AQ75" s="141"/>
      <c r="AR75" s="196"/>
      <c r="AS75" s="141"/>
      <c r="AT75" s="196"/>
      <c r="AU75" s="141"/>
      <c r="AV75" s="196"/>
      <c r="XFD75" s="196"/>
    </row>
    <row r="76" spans="2:48 16384:16384" x14ac:dyDescent="0.2">
      <c r="B76" s="196"/>
      <c r="D76" s="196"/>
      <c r="E76" s="141"/>
      <c r="F76" s="196"/>
      <c r="G76" s="141"/>
      <c r="H76" s="196"/>
      <c r="I76" s="141"/>
      <c r="J76" s="196"/>
      <c r="K76" s="141"/>
      <c r="L76" s="196"/>
      <c r="M76" s="141"/>
      <c r="N76" s="196"/>
      <c r="O76" s="141"/>
      <c r="P76" s="196"/>
      <c r="Q76" s="141"/>
      <c r="R76" s="196"/>
      <c r="S76" s="141"/>
      <c r="T76" s="196"/>
      <c r="U76" s="141"/>
      <c r="V76" s="196"/>
      <c r="W76" s="141"/>
      <c r="X76" s="196"/>
      <c r="Y76" s="141"/>
      <c r="Z76" s="196"/>
      <c r="AA76" s="141"/>
      <c r="AB76" s="196"/>
      <c r="AC76" s="141"/>
      <c r="AD76" s="196"/>
      <c r="AE76" s="141"/>
      <c r="AF76" s="196"/>
      <c r="AG76" s="141"/>
      <c r="AH76" s="196"/>
      <c r="AI76" s="141"/>
      <c r="AJ76" s="196"/>
      <c r="AK76" s="141"/>
      <c r="AL76" s="196"/>
      <c r="AM76" s="141"/>
      <c r="AN76" s="196"/>
      <c r="AO76" s="141"/>
      <c r="AP76" s="196"/>
      <c r="AQ76" s="141"/>
      <c r="AR76" s="196"/>
      <c r="AS76" s="141"/>
      <c r="AT76" s="196"/>
      <c r="AU76" s="141"/>
      <c r="AV76" s="196"/>
      <c r="XFD76" s="196"/>
    </row>
    <row r="77" spans="2:48 16384:16384" x14ac:dyDescent="0.2">
      <c r="B77" s="196"/>
      <c r="D77" s="196"/>
      <c r="E77" s="141"/>
      <c r="F77" s="196"/>
      <c r="G77" s="141"/>
      <c r="H77" s="196"/>
      <c r="I77" s="141"/>
      <c r="J77" s="196"/>
      <c r="K77" s="141"/>
      <c r="L77" s="196"/>
      <c r="M77" s="141"/>
      <c r="N77" s="196"/>
      <c r="O77" s="141"/>
      <c r="P77" s="196"/>
      <c r="Q77" s="141"/>
      <c r="R77" s="196"/>
      <c r="S77" s="141"/>
      <c r="T77" s="196"/>
      <c r="U77" s="141"/>
      <c r="V77" s="196"/>
      <c r="W77" s="141"/>
      <c r="X77" s="196"/>
      <c r="Y77" s="141"/>
      <c r="Z77" s="196"/>
      <c r="AA77" s="141"/>
      <c r="AB77" s="196"/>
      <c r="AC77" s="141"/>
      <c r="AD77" s="196"/>
      <c r="AE77" s="141"/>
      <c r="AF77" s="196"/>
      <c r="AG77" s="141"/>
      <c r="AH77" s="196"/>
      <c r="AI77" s="141"/>
      <c r="AJ77" s="196"/>
      <c r="AK77" s="141"/>
      <c r="AL77" s="196"/>
      <c r="AM77" s="141"/>
      <c r="AN77" s="196"/>
      <c r="AO77" s="141"/>
      <c r="AP77" s="196"/>
      <c r="AQ77" s="141"/>
      <c r="AR77" s="196"/>
      <c r="AS77" s="141"/>
      <c r="AT77" s="196"/>
      <c r="AU77" s="141"/>
      <c r="AV77" s="196"/>
      <c r="XFD77" s="196"/>
    </row>
    <row r="78" spans="2:48 16384:16384" x14ac:dyDescent="0.2">
      <c r="B78" s="196"/>
      <c r="D78" s="196"/>
      <c r="E78" s="141"/>
      <c r="F78" s="196"/>
      <c r="G78" s="141"/>
      <c r="H78" s="196"/>
      <c r="I78" s="141"/>
      <c r="J78" s="196"/>
      <c r="K78" s="141"/>
      <c r="L78" s="196"/>
      <c r="M78" s="141"/>
      <c r="N78" s="196"/>
      <c r="O78" s="141"/>
      <c r="P78" s="196"/>
      <c r="Q78" s="141"/>
      <c r="R78" s="196"/>
      <c r="S78" s="141"/>
      <c r="T78" s="196"/>
      <c r="U78" s="141"/>
      <c r="V78" s="196"/>
      <c r="W78" s="141"/>
      <c r="X78" s="196"/>
      <c r="Y78" s="141"/>
      <c r="Z78" s="196"/>
      <c r="AA78" s="141"/>
      <c r="AB78" s="196"/>
      <c r="AC78" s="141"/>
      <c r="AD78" s="196"/>
      <c r="AE78" s="141"/>
      <c r="AF78" s="196"/>
      <c r="AG78" s="141"/>
      <c r="AH78" s="196"/>
      <c r="AI78" s="141"/>
      <c r="AJ78" s="196"/>
      <c r="AK78" s="141"/>
      <c r="AL78" s="196"/>
      <c r="AM78" s="141"/>
      <c r="AN78" s="196"/>
      <c r="AO78" s="141"/>
      <c r="AP78" s="196"/>
      <c r="AQ78" s="141"/>
      <c r="AR78" s="196"/>
      <c r="AS78" s="141"/>
      <c r="AT78" s="196"/>
      <c r="AU78" s="141"/>
      <c r="AV78" s="196"/>
      <c r="XFD78" s="196"/>
    </row>
    <row r="79" spans="2:48 16384:16384" x14ac:dyDescent="0.2">
      <c r="B79" s="196"/>
      <c r="D79" s="196"/>
      <c r="F79" s="196"/>
      <c r="H79" s="196"/>
      <c r="J79" s="196"/>
      <c r="L79" s="196"/>
      <c r="N79" s="196"/>
      <c r="P79" s="196"/>
      <c r="R79" s="196"/>
      <c r="T79" s="196"/>
      <c r="V79" s="196"/>
      <c r="X79" s="196"/>
      <c r="Z79" s="196"/>
      <c r="AB79" s="196"/>
      <c r="AD79" s="196"/>
      <c r="AF79" s="196"/>
      <c r="AH79" s="196"/>
      <c r="AJ79" s="196"/>
      <c r="AL79" s="196"/>
      <c r="AN79" s="196"/>
      <c r="AP79" s="196"/>
      <c r="AR79" s="196"/>
      <c r="AT79" s="196"/>
      <c r="AV79" s="196"/>
      <c r="XFD79" s="196"/>
    </row>
    <row r="80" spans="2:48 16384:16384" x14ac:dyDescent="0.2">
      <c r="B80" s="239"/>
      <c r="D80" s="239"/>
      <c r="F80" s="239"/>
      <c r="H80" s="239"/>
      <c r="J80" s="239"/>
      <c r="L80" s="239"/>
      <c r="N80" s="239"/>
      <c r="P80" s="239"/>
      <c r="R80" s="239"/>
      <c r="T80" s="239"/>
      <c r="V80" s="239"/>
      <c r="X80" s="239"/>
      <c r="Z80" s="239"/>
      <c r="AB80" s="239"/>
      <c r="AD80" s="239"/>
      <c r="AF80" s="239"/>
      <c r="AH80" s="239"/>
      <c r="AJ80" s="239"/>
      <c r="AL80" s="239"/>
      <c r="AN80" s="239"/>
      <c r="AP80" s="239"/>
      <c r="AR80" s="239"/>
      <c r="AT80" s="239"/>
      <c r="AV80" s="239"/>
      <c r="XFD80" s="239"/>
    </row>
    <row r="81" spans="2:48 16384:16384" x14ac:dyDescent="0.2">
      <c r="B81" s="239"/>
      <c r="D81" s="239"/>
      <c r="F81" s="239"/>
      <c r="H81" s="239"/>
      <c r="J81" s="239"/>
      <c r="L81" s="239"/>
      <c r="N81" s="239"/>
      <c r="P81" s="239"/>
      <c r="R81" s="239"/>
      <c r="T81" s="239"/>
      <c r="V81" s="239"/>
      <c r="X81" s="239"/>
      <c r="Z81" s="239"/>
      <c r="AB81" s="239"/>
      <c r="AD81" s="239"/>
      <c r="AF81" s="239"/>
      <c r="AH81" s="239"/>
      <c r="AJ81" s="239"/>
      <c r="AL81" s="239"/>
      <c r="AN81" s="239"/>
      <c r="AP81" s="239"/>
      <c r="AR81" s="239"/>
      <c r="AT81" s="239"/>
      <c r="AV81" s="239"/>
      <c r="XFD81" s="239"/>
    </row>
    <row r="82" spans="2:48 16384:16384" x14ac:dyDescent="0.2">
      <c r="B82" s="239"/>
      <c r="D82" s="239"/>
      <c r="F82" s="239"/>
      <c r="H82" s="239"/>
      <c r="J82" s="239"/>
      <c r="L82" s="239"/>
      <c r="N82" s="239"/>
      <c r="P82" s="239"/>
      <c r="R82" s="239"/>
      <c r="T82" s="239"/>
      <c r="V82" s="239"/>
      <c r="X82" s="239"/>
      <c r="Z82" s="239"/>
      <c r="AB82" s="239"/>
      <c r="AD82" s="239"/>
      <c r="AF82" s="239"/>
      <c r="AH82" s="239"/>
      <c r="AJ82" s="239"/>
      <c r="AL82" s="239"/>
      <c r="AN82" s="239"/>
      <c r="AP82" s="239"/>
      <c r="AR82" s="239"/>
      <c r="AT82" s="239"/>
      <c r="AV82" s="239"/>
    </row>
    <row r="83" spans="2:48 16384:16384" x14ac:dyDescent="0.2">
      <c r="B83" s="239"/>
      <c r="D83" s="239"/>
      <c r="F83" s="239"/>
      <c r="H83" s="239"/>
      <c r="J83" s="239"/>
      <c r="L83" s="239"/>
      <c r="N83" s="239"/>
      <c r="P83" s="239"/>
      <c r="R83" s="239"/>
      <c r="T83" s="239"/>
      <c r="V83" s="239"/>
      <c r="X83" s="239"/>
      <c r="Z83" s="239"/>
      <c r="AB83" s="239"/>
      <c r="AD83" s="239"/>
      <c r="AF83" s="239"/>
      <c r="AH83" s="239"/>
      <c r="AJ83" s="239"/>
      <c r="AL83" s="239"/>
      <c r="AN83" s="239"/>
      <c r="AP83" s="239"/>
      <c r="AR83" s="239"/>
      <c r="AT83" s="239"/>
      <c r="AV83" s="23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Y81"/>
  <sheetViews>
    <sheetView topLeftCell="I1" workbookViewId="0">
      <selection activeCell="P23" sqref="P23"/>
    </sheetView>
  </sheetViews>
  <sheetFormatPr baseColWidth="10" defaultRowHeight="10" x14ac:dyDescent="0.2"/>
  <cols>
    <col min="1" max="1" width="19.6640625" customWidth="1"/>
    <col min="26" max="26" width="12"/>
  </cols>
  <sheetData>
    <row r="1" spans="1:27" x14ac:dyDescent="0.2">
      <c r="A1" t="s">
        <v>99</v>
      </c>
    </row>
    <row r="2" spans="1:27" x14ac:dyDescent="0.2">
      <c r="A2" t="s">
        <v>150</v>
      </c>
      <c r="B2" s="97">
        <v>0</v>
      </c>
      <c r="C2" s="97">
        <v>0.05</v>
      </c>
      <c r="D2" s="97">
        <v>0.1</v>
      </c>
      <c r="E2" s="97">
        <v>0.15000000000000002</v>
      </c>
      <c r="F2" s="97">
        <v>0.2</v>
      </c>
      <c r="G2" s="97">
        <v>0.25</v>
      </c>
      <c r="H2" s="97">
        <v>0.3</v>
      </c>
      <c r="I2" s="97">
        <v>0.35</v>
      </c>
      <c r="J2" s="97">
        <v>0.39999999999999997</v>
      </c>
      <c r="K2" s="97">
        <v>0.44999999999999996</v>
      </c>
      <c r="L2" s="97">
        <v>0.49999999999999994</v>
      </c>
      <c r="M2" s="97">
        <v>0.54999999999999993</v>
      </c>
      <c r="N2" s="97">
        <v>0.6</v>
      </c>
      <c r="O2" s="97">
        <v>0.65</v>
      </c>
      <c r="P2" s="97">
        <v>0.70000000000000007</v>
      </c>
      <c r="Q2" s="97">
        <v>0.75000000000000011</v>
      </c>
      <c r="R2" s="97">
        <v>0.80000000000000016</v>
      </c>
      <c r="S2" s="97">
        <v>0.8500000000000002</v>
      </c>
      <c r="T2" s="97">
        <v>0.90000000000000024</v>
      </c>
      <c r="U2" s="97">
        <v>0.95000000000000029</v>
      </c>
      <c r="V2" s="97">
        <v>0.9600000000000003</v>
      </c>
      <c r="W2" s="97">
        <v>0.97000000000000031</v>
      </c>
      <c r="X2" s="97">
        <v>0.98000000000000032</v>
      </c>
      <c r="Y2" s="97">
        <v>0.99000000000000032</v>
      </c>
    </row>
    <row r="3" spans="1:27" x14ac:dyDescent="0.2">
      <c r="A3" t="s">
        <v>91</v>
      </c>
      <c r="B3" s="83">
        <f>NeoClassical!B$31</f>
        <v>0.99999999999999867</v>
      </c>
      <c r="C3" s="83">
        <f>NeoClassical!D$31</f>
        <v>0.99385642585082579</v>
      </c>
      <c r="D3" s="83">
        <f>NeoClassical!F$31</f>
        <v>0.98727002692792054</v>
      </c>
      <c r="E3" s="83">
        <f>NeoClassical!H$31</f>
        <v>0.98016970409736848</v>
      </c>
      <c r="F3" s="83">
        <f>NeoClassical!J$31</f>
        <v>0.97246632462133831</v>
      </c>
      <c r="G3" s="83">
        <f>NeoClassical!L$31</f>
        <v>0.96404626277431216</v>
      </c>
      <c r="H3" s="83">
        <f>NeoClassical!N$31</f>
        <v>0.95476208421958586</v>
      </c>
      <c r="I3" s="83">
        <f>NeoClassical!P$31</f>
        <v>0.944418275272361</v>
      </c>
      <c r="J3" s="83">
        <f>NeoClassical!R$31</f>
        <v>0.93274978949975473</v>
      </c>
      <c r="K3" s="83">
        <f>NeoClassical!T$31</f>
        <v>0.91938873219634032</v>
      </c>
      <c r="L3" s="83">
        <f>NeoClassical!V$31</f>
        <v>0.90381203207405336</v>
      </c>
      <c r="M3" s="83">
        <f>NeoClassical!X$31</f>
        <v>0.88525989627687796</v>
      </c>
      <c r="N3" s="83">
        <f>NeoClassical!Z$31</f>
        <v>0.86261354928831413</v>
      </c>
      <c r="O3" s="83">
        <f>NeoClassical!AB$31</f>
        <v>0.8342298840282506</v>
      </c>
      <c r="P3" s="83">
        <f>NeoClassical!AD$31</f>
        <v>0.79775824213480095</v>
      </c>
      <c r="Q3" s="83">
        <f>NeoClassical!AF$31</f>
        <v>0.74995510461847237</v>
      </c>
      <c r="R3" s="83">
        <f>NeoClassical!AH$31</f>
        <v>0.68624512371493007</v>
      </c>
      <c r="S3" s="83">
        <f>NeoClassical!AJ$31</f>
        <v>0.59916681337345301</v>
      </c>
      <c r="T3" s="83">
        <f>NeoClassical!AL$31</f>
        <v>0.47413537973819325</v>
      </c>
      <c r="U3" s="83">
        <f>NeoClassical!AN$31</f>
        <v>0.27885601986350522</v>
      </c>
      <c r="V3" s="83">
        <f>NeoClassical!AP$31</f>
        <v>0.2261944032341458</v>
      </c>
      <c r="W3" s="83">
        <f>NeoClassical!AR$31</f>
        <v>0.16777391499836261</v>
      </c>
      <c r="X3" s="83">
        <f>NeoClassical!AT$31</f>
        <v>0</v>
      </c>
      <c r="Y3" s="83">
        <f>NeoClassical!AV$31</f>
        <v>0</v>
      </c>
    </row>
    <row r="4" spans="1:27" x14ac:dyDescent="0.2">
      <c r="A4" t="s">
        <v>166</v>
      </c>
      <c r="B4" s="83">
        <f>Kaldorian!B$31</f>
        <v>0.99999999999999867</v>
      </c>
      <c r="C4" s="83">
        <f>Kaldorian!D$31</f>
        <v>0.9979026318616494</v>
      </c>
      <c r="D4" s="83">
        <f>Kaldorian!F$31</f>
        <v>0.99545397934919078</v>
      </c>
      <c r="E4" s="83">
        <f>Kaldorian!H$31</f>
        <v>0.99260259534027817</v>
      </c>
      <c r="F4" s="83">
        <f>Kaldorian!J$31</f>
        <v>0.98928423543944954</v>
      </c>
      <c r="G4" s="83">
        <f>Kaldorian!L$31</f>
        <v>0.98541764901559525</v>
      </c>
      <c r="H4" s="83">
        <f>Kaldorian!N$31</f>
        <v>0.9808977590237733</v>
      </c>
      <c r="I4" s="83">
        <f>Kaldorian!P$31</f>
        <v>0.97558598444017297</v>
      </c>
      <c r="J4" s="83">
        <f>Kaldorian!R$31</f>
        <v>0.96929573963379012</v>
      </c>
      <c r="K4" s="83">
        <f>Kaldorian!T$31</f>
        <v>0</v>
      </c>
      <c r="L4" s="83">
        <f>Kaldorian!V$31</f>
        <v>0</v>
      </c>
      <c r="M4" s="83">
        <f>Kaldorian!X$31</f>
        <v>0</v>
      </c>
      <c r="N4" s="83">
        <f>Kaldorian!Z$31</f>
        <v>0</v>
      </c>
      <c r="O4" s="83">
        <f>Kaldorian!AB$31</f>
        <v>0</v>
      </c>
      <c r="P4" s="83">
        <f>Kaldorian!AD$31</f>
        <v>0</v>
      </c>
      <c r="Q4" s="83">
        <f>Kaldorian!AF$31</f>
        <v>0</v>
      </c>
      <c r="R4" s="83">
        <f>Kaldorian!AH$31</f>
        <v>0</v>
      </c>
      <c r="S4" s="83">
        <f>Kaldorian!AJ$31</f>
        <v>0</v>
      </c>
      <c r="T4" s="83">
        <f>Kaldorian!AL$31</f>
        <v>0</v>
      </c>
      <c r="U4" s="83">
        <f>Kaldorian!AN$31</f>
        <v>0</v>
      </c>
      <c r="V4" s="83">
        <f>Kaldorian!AP$31</f>
        <v>0</v>
      </c>
      <c r="W4" s="83">
        <f>Kaldorian!AR$31</f>
        <v>0</v>
      </c>
      <c r="X4" s="83">
        <f>Kaldorian!AT$31</f>
        <v>0</v>
      </c>
      <c r="Y4" s="83">
        <f>Kaldorian!AV$31</f>
        <v>0</v>
      </c>
    </row>
    <row r="5" spans="1:27" x14ac:dyDescent="0.2">
      <c r="A5" t="s">
        <v>92</v>
      </c>
      <c r="B5" s="83">
        <f>Johansen!B$31</f>
        <v>0.99999999999999867</v>
      </c>
      <c r="C5" s="83">
        <f>Johansen!D$31</f>
        <v>0.99772916870726192</v>
      </c>
      <c r="D5" s="83">
        <f>Johansen!F$31</f>
        <v>0.99511660851336936</v>
      </c>
      <c r="E5" s="83">
        <f>Johansen!H$31</f>
        <v>0.99211078787739537</v>
      </c>
      <c r="F5" s="83">
        <f>Johansen!J$31</f>
        <v>0.98864777860926356</v>
      </c>
      <c r="G5" s="83">
        <f>Johansen!L$31</f>
        <v>0.98464706521719869</v>
      </c>
      <c r="H5" s="83">
        <f>Johansen!N$31</f>
        <v>0.98000550657006757</v>
      </c>
      <c r="I5" s="83">
        <f>Johansen!P$31</f>
        <v>0.97458806523618458</v>
      </c>
      <c r="J5" s="83">
        <f>Johansen!R$31</f>
        <v>0.96821386602807691</v>
      </c>
      <c r="K5" s="83">
        <f>Johansen!T$31</f>
        <v>0.9606344043197369</v>
      </c>
      <c r="L5" s="83">
        <f>Johansen!V$31</f>
        <v>0.95149846243029346</v>
      </c>
      <c r="M5" s="83">
        <f>Johansen!X$31</f>
        <v>0.94029498797280309</v>
      </c>
      <c r="N5" s="83">
        <f>Johansen!Z$31</f>
        <v>0.92626033934204077</v>
      </c>
      <c r="O5" s="83">
        <f>Johansen!AB$31</f>
        <v>0.9082309264762527</v>
      </c>
      <c r="P5" s="83">
        <f>Johansen!AD$31</f>
        <v>0.88441858634857506</v>
      </c>
      <c r="Q5" s="83">
        <f>Johansen!AF$31</f>
        <v>0.85205120607957996</v>
      </c>
      <c r="R5" s="83">
        <f>Johansen!AH$31</f>
        <v>0.80663739367413034</v>
      </c>
      <c r="S5" s="83">
        <f>Johansen!AJ$31</f>
        <v>0.74009102649384684</v>
      </c>
      <c r="T5" s="83">
        <f>Johansen!AL$31</f>
        <v>0.63542724922880522</v>
      </c>
      <c r="U5" s="83">
        <f>Johansen!AN$31</f>
        <v>0.44812796561397356</v>
      </c>
      <c r="V5" s="83">
        <f>Johansen!AP$31</f>
        <v>0.39107684330822307</v>
      </c>
      <c r="W5" s="83">
        <f>Johansen!AR$31</f>
        <v>0</v>
      </c>
      <c r="X5" s="83">
        <f>Johansen!AT$31</f>
        <v>0</v>
      </c>
      <c r="Y5" s="83">
        <f>Johansen!AV$31</f>
        <v>0</v>
      </c>
    </row>
    <row r="6" spans="1:27" x14ac:dyDescent="0.2">
      <c r="A6" t="s">
        <v>149</v>
      </c>
      <c r="B6" s="83">
        <f>'Keynes-K'!B$31</f>
        <v>0.99999999999999867</v>
      </c>
      <c r="C6" s="83">
        <f>'Keynes-K'!D$31</f>
        <v>0.96230979264375294</v>
      </c>
      <c r="D6" s="83">
        <f>'Keynes-K'!F$31</f>
        <v>0.92095985969695981</v>
      </c>
      <c r="E6" s="83">
        <f>'Keynes-K'!H$31</f>
        <v>0.87628417787460644</v>
      </c>
      <c r="F6" s="83">
        <f>'Keynes-K'!J$31</f>
        <v>0.82877089187515629</v>
      </c>
      <c r="G6" s="83">
        <f>'Keynes-K'!L$31</f>
        <v>0.77904610911775662</v>
      </c>
      <c r="H6" s="83">
        <f>'Keynes-K'!N$31</f>
        <v>0.72786426751985944</v>
      </c>
      <c r="I6" s="83">
        <f>'Keynes-K'!P$31</f>
        <v>0.676131740224718</v>
      </c>
      <c r="J6" s="83">
        <f>'Keynes-K'!R$31</f>
        <v>0.62500197516140277</v>
      </c>
      <c r="K6" s="83">
        <f>'Keynes-K'!T$31</f>
        <v>0.57611248052086217</v>
      </c>
      <c r="L6" s="83">
        <f>'Keynes-K'!V$31</f>
        <v>0.53210725503589174</v>
      </c>
      <c r="M6" s="83">
        <f>'Keynes-K'!X$31</f>
        <v>0.49739198398607887</v>
      </c>
      <c r="N6" s="83">
        <f>'Keynes-K'!Z$31</f>
        <v>0.47660448342443268</v>
      </c>
      <c r="O6" s="83">
        <f>'Keynes-K'!AB$31</f>
        <v>0</v>
      </c>
      <c r="P6" s="83">
        <f>'Keynes-K'!AD$31</f>
        <v>0</v>
      </c>
      <c r="Q6" s="83">
        <f>'Keynes-K'!AF$31</f>
        <v>0</v>
      </c>
      <c r="R6" s="83">
        <f>'Keynes-K'!AH$31</f>
        <v>0</v>
      </c>
      <c r="S6" s="83">
        <f>'Keynes-K'!AJ$31</f>
        <v>0</v>
      </c>
      <c r="T6" s="83">
        <f>'Keynes-K'!AL$31</f>
        <v>0</v>
      </c>
      <c r="U6" s="83">
        <f>'Keynes-K'!AN$31</f>
        <v>0</v>
      </c>
      <c r="V6" s="83">
        <f>'Keynes-K'!AP$31</f>
        <v>0</v>
      </c>
      <c r="W6" s="83">
        <f>'Keynes-K'!AR$31</f>
        <v>0</v>
      </c>
      <c r="X6" s="83">
        <f>'Keynes-K'!AT$31</f>
        <v>0</v>
      </c>
      <c r="Y6" s="83">
        <f>'Keynes-K'!AV$31</f>
        <v>0</v>
      </c>
    </row>
    <row r="7" spans="1:27" x14ac:dyDescent="0.2">
      <c r="A7" t="s">
        <v>147</v>
      </c>
      <c r="B7" s="83">
        <f>'Keynes-M'!B$31</f>
        <v>0.99999999999999867</v>
      </c>
      <c r="C7" s="83">
        <f>'Keynes-M'!D$31</f>
        <v>1.0056064087234129</v>
      </c>
      <c r="D7" s="83">
        <f>'Keynes-M'!F$31</f>
        <v>1.0111256026143538</v>
      </c>
      <c r="E7" s="83">
        <f>'Keynes-M'!H$31</f>
        <v>1.0165559688377668</v>
      </c>
      <c r="F7" s="83">
        <f>'Keynes-M'!J$31</f>
        <v>1.0219002661030481</v>
      </c>
      <c r="G7" s="83">
        <f>'Keynes-M'!L$31</f>
        <v>1.0271684716576532</v>
      </c>
      <c r="H7" s="83">
        <f>'Keynes-M'!N$31</f>
        <v>1.0323833253603845</v>
      </c>
      <c r="I7" s="83">
        <f>'Keynes-M'!P$31</f>
        <v>1.0375882926821931</v>
      </c>
      <c r="J7" s="83">
        <f>'Keynes-M'!R$31</f>
        <v>1.0428604044975032</v>
      </c>
      <c r="K7" s="83">
        <f>'Keynes-M'!T$31</f>
        <v>1.0483280332514309</v>
      </c>
      <c r="L7" s="83">
        <f>'Keynes-M'!V$31</f>
        <v>1.0541861936937524</v>
      </c>
      <c r="M7" s="83">
        <f>'Keynes-M'!X$31</f>
        <v>1.0606721653173508</v>
      </c>
      <c r="N7" s="83">
        <f>'Keynes-M'!Z$31</f>
        <v>1.06787122187189</v>
      </c>
      <c r="O7" s="83">
        <f>'Keynes-M'!AB$31</f>
        <v>1.0751006000901113</v>
      </c>
      <c r="P7" s="83">
        <f>'Keynes-M'!AD$31</f>
        <v>1.0798721930701751</v>
      </c>
      <c r="Q7" s="83">
        <f>'Keynes-M'!AF$31</f>
        <v>1.0771617955283521</v>
      </c>
      <c r="R7" s="83">
        <f>'Keynes-M'!AH$31</f>
        <v>0</v>
      </c>
      <c r="S7" s="83">
        <f>'Keynes-M'!AJ$31</f>
        <v>0</v>
      </c>
      <c r="T7" s="83">
        <f>'Keynes-M'!AL$31</f>
        <v>0</v>
      </c>
      <c r="U7" s="83">
        <f>'Keynes-M'!AN$31</f>
        <v>0</v>
      </c>
      <c r="V7" s="83">
        <f>'Keynes-M'!AP$31</f>
        <v>0</v>
      </c>
      <c r="W7" s="83">
        <f>'Keynes-M'!AR$31</f>
        <v>0</v>
      </c>
      <c r="X7" s="83">
        <f>'Keynes-M'!AT$31</f>
        <v>0</v>
      </c>
      <c r="Y7" s="83">
        <f>'Keynes-M'!AV$31</f>
        <v>0</v>
      </c>
    </row>
    <row r="8" spans="1:27" x14ac:dyDescent="0.2">
      <c r="A8" t="s">
        <v>165</v>
      </c>
      <c r="B8" s="83">
        <f>Keynesian!B$31</f>
        <v>0.99999999999999867</v>
      </c>
      <c r="C8" s="83">
        <f>Keynesian!D$31</f>
        <v>0.98301050187070094</v>
      </c>
      <c r="D8" s="83">
        <f>Keynesian!F$31</f>
        <v>0.96419048837629029</v>
      </c>
      <c r="E8" s="83">
        <f>Keynesian!H$31</f>
        <v>0.9432921722611185</v>
      </c>
      <c r="F8" s="83">
        <f>Keynesian!J$31</f>
        <v>0.92002894599451379</v>
      </c>
      <c r="G8" s="83">
        <f>Keynesian!L$31</f>
        <v>0.89407218399630217</v>
      </c>
      <c r="H8" s="83">
        <f>Keynesian!N$31</f>
        <v>0.86505017880362012</v>
      </c>
      <c r="I8" s="83">
        <f>Keynesian!P$31</f>
        <v>0.83255191706926102</v>
      </c>
      <c r="J8" s="83">
        <f>Keynesian!R$31</f>
        <v>0.79613930825748946</v>
      </c>
      <c r="K8" s="83">
        <f>Keynesian!T$31</f>
        <v>0.75537430284127483</v>
      </c>
      <c r="L8" s="83">
        <f>Keynesian!V$31</f>
        <v>0.70986873834991937</v>
      </c>
      <c r="M8" s="83">
        <f>Keynesian!X$31</f>
        <v>0.65937607919327457</v>
      </c>
      <c r="N8" s="83">
        <f>Keynesian!Z$31</f>
        <v>0.6039740445114099</v>
      </c>
      <c r="O8" s="83">
        <f>Keynesian!AB$31</f>
        <v>0.54458126232001858</v>
      </c>
      <c r="P8" s="83">
        <f>Keynesian!AD$31</f>
        <v>0.48592060611397714</v>
      </c>
      <c r="Q8" s="83">
        <f>Keynesian!AF$31</f>
        <v>0</v>
      </c>
      <c r="R8" s="83">
        <f>Keynesian!AH$31</f>
        <v>0</v>
      </c>
      <c r="S8" s="83">
        <f>Keynesian!AJ$31</f>
        <v>0</v>
      </c>
      <c r="T8" s="83">
        <f>Keynesian!AL$31</f>
        <v>0</v>
      </c>
      <c r="U8" s="83">
        <f>Keynesian!AN$31</f>
        <v>0</v>
      </c>
      <c r="V8" s="83">
        <f>Keynesian!AP$31</f>
        <v>0</v>
      </c>
      <c r="W8" s="83">
        <f>Keynesian!AR$31</f>
        <v>0</v>
      </c>
      <c r="X8" s="83">
        <f>Keynesian!AT$31</f>
        <v>0</v>
      </c>
      <c r="Y8" s="83">
        <f>Keynesian!AV$31</f>
        <v>0</v>
      </c>
    </row>
    <row r="9" spans="1:27" x14ac:dyDescent="0.2">
      <c r="A9" t="s">
        <v>160</v>
      </c>
      <c r="B9" s="83">
        <f>'Neo-K2'!B$31</f>
        <v>0.99999999999999867</v>
      </c>
      <c r="C9" s="83">
        <f>'Neo-K2'!D$31</f>
        <v>0.98641263528533207</v>
      </c>
      <c r="D9" s="83">
        <f>'Neo-K2'!F$31</f>
        <v>0.97153217515149082</v>
      </c>
      <c r="E9" s="83">
        <f>'Neo-K2'!H$31</f>
        <v>0.95514175589892902</v>
      </c>
      <c r="F9" s="83">
        <f>'Neo-K2'!J$31</f>
        <v>0.93697937332515679</v>
      </c>
      <c r="G9" s="83">
        <f>'Neo-K2'!L$31</f>
        <v>0.91672897914554841</v>
      </c>
      <c r="H9" s="83">
        <f>'Neo-K2'!N$31</f>
        <v>0.89401176684482597</v>
      </c>
      <c r="I9" s="83">
        <f>'Neo-K2'!P$31</f>
        <v>0.86837943102991799</v>
      </c>
      <c r="J9" s="83">
        <f>'Neo-K2'!R$31</f>
        <v>0.83931392077147859</v>
      </c>
      <c r="K9" s="83">
        <f>'Neo-K2'!T$31</f>
        <v>0.80624052293684068</v>
      </c>
      <c r="L9" s="83">
        <f>'Neo-K2'!V$31</f>
        <v>0.76856460593439602</v>
      </c>
      <c r="M9" s="83">
        <f>'Neo-K2'!X$31</f>
        <v>0.72574470037236671</v>
      </c>
      <c r="N9" s="83">
        <f>'Neo-K2'!Z$31</f>
        <v>0.67740721413745253</v>
      </c>
      <c r="O9" s="83">
        <f>'Neo-K2'!AB$31</f>
        <v>0.62349090143053021</v>
      </c>
      <c r="P9" s="83">
        <f>'Neo-K2'!AD$31</f>
        <v>0.56435841725722991</v>
      </c>
      <c r="Q9" s="83">
        <f>'Neo-K2'!AF$31</f>
        <v>0.50075657806009666</v>
      </c>
      <c r="R9" s="83">
        <f>'Neo-K2'!AH$31</f>
        <v>0.43346297129567024</v>
      </c>
      <c r="S9" s="83">
        <f>'Neo-K2'!AJ$31</f>
        <v>0.36251103025264997</v>
      </c>
      <c r="T9" s="83">
        <f>'Neo-K2'!AL$31</f>
        <v>0.28562036857358647</v>
      </c>
      <c r="U9" s="83">
        <f>'Neo-K2'!AN$31</f>
        <v>0.19250183940575799</v>
      </c>
      <c r="V9" s="83">
        <f>'Neo-K2'!AP$31</f>
        <v>0.16922187382824486</v>
      </c>
      <c r="W9" s="83">
        <f>'Neo-K2'!AR$31</f>
        <v>0.14287594394158901</v>
      </c>
      <c r="X9" s="83">
        <f>'Neo-K2'!AT$31</f>
        <v>0.11182085612175412</v>
      </c>
      <c r="Y9" s="83">
        <f>'Neo-K2'!AV$31</f>
        <v>0</v>
      </c>
    </row>
    <row r="10" spans="1:27" x14ac:dyDescent="0.2">
      <c r="A10" t="s">
        <v>161</v>
      </c>
      <c r="B10" s="83">
        <f>'Neo-K1'!B$31</f>
        <v>0.99999999999999867</v>
      </c>
      <c r="C10" s="83">
        <f>'Neo-K1'!D$31</f>
        <v>0.98890699542480787</v>
      </c>
      <c r="D10" s="83">
        <f>'Neo-K1'!F$31</f>
        <v>0.97684100978959909</v>
      </c>
      <c r="E10" s="83">
        <f>'Neo-K1'!H$31</f>
        <v>0.96364205206014741</v>
      </c>
      <c r="F10" s="83">
        <f>'Neo-K1'!J$31</f>
        <v>0.9491126012006138</v>
      </c>
      <c r="G10" s="83">
        <f>'Neo-K1'!L$31</f>
        <v>0.93300615411589316</v>
      </c>
      <c r="H10" s="83">
        <f>'Neo-K1'!N$31</f>
        <v>0.91501237367768617</v>
      </c>
      <c r="I10" s="83">
        <f>'Neo-K1'!P$31</f>
        <v>0.89473692647988712</v>
      </c>
      <c r="J10" s="83">
        <f>'Neo-K1'!R$31</f>
        <v>0.87167548581726728</v>
      </c>
      <c r="K10" s="83">
        <f>'Neo-K1'!T$31</f>
        <v>0.84518042285273909</v>
      </c>
      <c r="L10" s="83">
        <f>'Neo-K1'!V$31</f>
        <v>0.81442174482120688</v>
      </c>
      <c r="M10" s="83">
        <f>'Neo-K1'!X$31</f>
        <v>0.7783469264595777</v>
      </c>
      <c r="N10" s="83">
        <f>'Neo-K1'!Z$31</f>
        <v>0.73565412762703042</v>
      </c>
      <c r="O10" s="83">
        <f>'Neo-K1'!AB$31</f>
        <v>0.68480672869435666</v>
      </c>
      <c r="P10" s="83">
        <f>'Neo-K1'!AD$31</f>
        <v>0.62412952030988433</v>
      </c>
      <c r="Q10" s="83">
        <f>'Neo-K1'!AF$31</f>
        <v>0.55201815814943656</v>
      </c>
      <c r="R10" s="83">
        <f>'Neo-K1'!AH$31</f>
        <v>0.46723625346741243</v>
      </c>
      <c r="S10" s="83">
        <f>'Neo-K1'!AJ$31</f>
        <v>0.36918923729064945</v>
      </c>
      <c r="T10" s="83">
        <f>'Neo-K1'!AL$31</f>
        <v>0.25803352470599317</v>
      </c>
      <c r="U10" s="83">
        <f>'Neo-K1'!AN$31</f>
        <v>0.13456960941918611</v>
      </c>
      <c r="V10" s="83">
        <f>'Neo-K1'!AP$31</f>
        <v>0.10850159946363713</v>
      </c>
      <c r="W10" s="83">
        <f>'Neo-K1'!AR$31</f>
        <v>8.1999682328915982E-2</v>
      </c>
      <c r="X10" s="83">
        <f>'Neo-K1'!AT$31</f>
        <v>5.5074768566029768E-2</v>
      </c>
      <c r="Y10" s="83">
        <f>'Neo-K1'!AV$31</f>
        <v>2.7737860791936939E-2</v>
      </c>
    </row>
    <row r="11" spans="1:27" x14ac:dyDescent="0.2">
      <c r="A11" t="s">
        <v>152</v>
      </c>
      <c r="B11" s="83">
        <f>'NC heteroS'!B$31</f>
        <v>0</v>
      </c>
      <c r="C11" s="83">
        <f>'NC heteroS'!D$31</f>
        <v>0</v>
      </c>
      <c r="D11" s="83">
        <f>'NC heteroS'!F$31</f>
        <v>0</v>
      </c>
      <c r="E11" s="83">
        <f>'NC heteroS'!H$31</f>
        <v>0</v>
      </c>
      <c r="F11" s="83">
        <f>'NC heteroS'!J$31</f>
        <v>0</v>
      </c>
      <c r="G11" s="83">
        <f>'NC heteroS'!L$31</f>
        <v>0</v>
      </c>
      <c r="H11" s="83">
        <f>'NC heteroS'!N$31</f>
        <v>0</v>
      </c>
      <c r="I11" s="83">
        <f>'NC heteroS'!P$31</f>
        <v>0</v>
      </c>
      <c r="J11" s="83">
        <f>'NC heteroS'!R$31</f>
        <v>0</v>
      </c>
      <c r="K11" s="83">
        <f>'NC heteroS'!T$31</f>
        <v>0</v>
      </c>
      <c r="L11" s="83">
        <f>'NC heteroS'!V$31</f>
        <v>0</v>
      </c>
      <c r="M11" s="83">
        <f>'NC heteroS'!X$31</f>
        <v>0</v>
      </c>
      <c r="N11" s="83">
        <f>'NC heteroS'!Z$31</f>
        <v>0</v>
      </c>
      <c r="O11" s="83">
        <f>'NC heteroS'!AB$31</f>
        <v>0</v>
      </c>
      <c r="P11" s="83">
        <f>'NC heteroS'!AD$31</f>
        <v>0</v>
      </c>
      <c r="Q11" s="83">
        <f>'NC heteroS'!AF$31</f>
        <v>0</v>
      </c>
      <c r="R11" s="83">
        <f>'NC heteroS'!AH$31</f>
        <v>0</v>
      </c>
      <c r="S11" s="83">
        <f>'NC heteroS'!AJ$31</f>
        <v>0</v>
      </c>
      <c r="T11" s="83">
        <f>'NC heteroS'!AL$31</f>
        <v>0</v>
      </c>
      <c r="U11" s="83">
        <f>'NC heteroS'!AN$31</f>
        <v>0</v>
      </c>
      <c r="V11" s="83">
        <f>'NC heteroS'!AP$31</f>
        <v>0</v>
      </c>
      <c r="W11" s="83">
        <f>'NC heteroS'!AR$31</f>
        <v>0</v>
      </c>
      <c r="X11" s="83">
        <f>'NC heteroS'!AT$31</f>
        <v>0</v>
      </c>
      <c r="Y11" s="83">
        <f>'NC heteroS'!AV$31</f>
        <v>0</v>
      </c>
    </row>
    <row r="16" spans="1:27" x14ac:dyDescent="0.2">
      <c r="A16" t="str">
        <f>A1</f>
        <v>Utility</v>
      </c>
      <c r="AA16" t="s">
        <v>103</v>
      </c>
    </row>
    <row r="17" spans="1:51" x14ac:dyDescent="0.2">
      <c r="A17" t="str">
        <f t="shared" ref="A17:A26" si="0">A2</f>
        <v>Fossil energy control</v>
      </c>
      <c r="B17" s="97">
        <v>0</v>
      </c>
      <c r="C17" s="97">
        <v>0.05</v>
      </c>
      <c r="D17" s="97">
        <v>0.1</v>
      </c>
      <c r="E17" s="97">
        <v>0.15000000000000002</v>
      </c>
      <c r="F17" s="97">
        <v>0.2</v>
      </c>
      <c r="G17" s="97">
        <v>0.25</v>
      </c>
      <c r="H17" s="97">
        <v>0.3</v>
      </c>
      <c r="I17" s="97">
        <v>0.35</v>
      </c>
      <c r="J17" s="97">
        <v>0.39999999999999997</v>
      </c>
      <c r="K17" s="97">
        <v>0.44999999999999996</v>
      </c>
      <c r="L17" s="97">
        <v>0.49999999999999994</v>
      </c>
      <c r="M17" s="97">
        <v>0.54999999999999993</v>
      </c>
      <c r="N17" s="97">
        <v>0.6</v>
      </c>
      <c r="O17" s="97">
        <v>0.65</v>
      </c>
      <c r="P17" s="97">
        <v>0.70000000000000007</v>
      </c>
      <c r="Q17" s="97">
        <v>0.75000000000000011</v>
      </c>
      <c r="R17" s="97">
        <v>0.80000000000000016</v>
      </c>
      <c r="S17" s="97">
        <v>0.8500000000000002</v>
      </c>
      <c r="T17" s="97">
        <v>0.90000000000000024</v>
      </c>
      <c r="U17" s="97">
        <v>0.95000000000000029</v>
      </c>
      <c r="V17" s="97">
        <v>0.9600000000000003</v>
      </c>
      <c r="W17" s="97">
        <v>0.97000000000000031</v>
      </c>
      <c r="X17" s="97">
        <v>0.98000000000000032</v>
      </c>
      <c r="Y17" s="97">
        <v>0.99000000000000032</v>
      </c>
      <c r="Z17" s="142"/>
      <c r="AA17" t="s">
        <v>98</v>
      </c>
      <c r="AB17" s="97">
        <v>0</v>
      </c>
      <c r="AC17" s="97">
        <v>0.05</v>
      </c>
      <c r="AD17" s="97">
        <v>0.1</v>
      </c>
      <c r="AE17" s="97">
        <v>0.15000000000000002</v>
      </c>
      <c r="AF17" s="97">
        <v>0.2</v>
      </c>
      <c r="AG17" s="97">
        <v>0.25</v>
      </c>
      <c r="AH17" s="97">
        <v>0.3</v>
      </c>
      <c r="AI17" s="97">
        <v>0.35</v>
      </c>
      <c r="AJ17" s="97">
        <v>0.39999999999999997</v>
      </c>
      <c r="AK17" s="97">
        <v>0.44999999999999996</v>
      </c>
      <c r="AL17" s="97">
        <v>0.49999999999999994</v>
      </c>
      <c r="AM17" s="97">
        <v>0.54999999999999993</v>
      </c>
      <c r="AN17" s="97">
        <v>0.6</v>
      </c>
      <c r="AO17" s="97">
        <v>0.65</v>
      </c>
      <c r="AP17" s="97">
        <v>0.70000000000000007</v>
      </c>
      <c r="AQ17" s="97">
        <v>0.75000000000000011</v>
      </c>
      <c r="AR17" s="97">
        <v>0.80000000000000016</v>
      </c>
      <c r="AS17" s="97">
        <v>0.8500000000000002</v>
      </c>
      <c r="AT17" s="97">
        <v>0.90000000000000024</v>
      </c>
      <c r="AU17" s="97">
        <v>0.95000000000000029</v>
      </c>
      <c r="AV17" s="97">
        <v>0.9600000000000003</v>
      </c>
      <c r="AW17" s="97">
        <v>0.97000000000000031</v>
      </c>
      <c r="AX17" s="97">
        <v>0.98000000000000032</v>
      </c>
      <c r="AY17" s="97">
        <v>0.99000000000000032</v>
      </c>
    </row>
    <row r="18" spans="1:51" x14ac:dyDescent="0.2">
      <c r="A18" t="str">
        <f t="shared" si="0"/>
        <v>Neoclassical</v>
      </c>
      <c r="B18" s="83">
        <f>IF(B3&gt;0,B3,"")</f>
        <v>0.99999999999999867</v>
      </c>
      <c r="C18" s="83">
        <f t="shared" ref="C18:Y18" si="1">IF(C3&gt;0,C3,"")</f>
        <v>0.99385642585082579</v>
      </c>
      <c r="D18" s="83">
        <f t="shared" si="1"/>
        <v>0.98727002692792054</v>
      </c>
      <c r="E18" s="83">
        <f t="shared" si="1"/>
        <v>0.98016970409736848</v>
      </c>
      <c r="F18" s="83">
        <f t="shared" si="1"/>
        <v>0.97246632462133831</v>
      </c>
      <c r="G18" s="83">
        <f t="shared" si="1"/>
        <v>0.96404626277431216</v>
      </c>
      <c r="H18" s="83">
        <f t="shared" si="1"/>
        <v>0.95476208421958586</v>
      </c>
      <c r="I18" s="83">
        <f t="shared" si="1"/>
        <v>0.944418275272361</v>
      </c>
      <c r="J18" s="83">
        <f t="shared" si="1"/>
        <v>0.93274978949975473</v>
      </c>
      <c r="K18" s="83">
        <f t="shared" si="1"/>
        <v>0.91938873219634032</v>
      </c>
      <c r="L18" s="83">
        <f t="shared" si="1"/>
        <v>0.90381203207405336</v>
      </c>
      <c r="M18" s="83">
        <f t="shared" si="1"/>
        <v>0.88525989627687796</v>
      </c>
      <c r="N18" s="83">
        <f t="shared" si="1"/>
        <v>0.86261354928831413</v>
      </c>
      <c r="O18" s="83">
        <f t="shared" si="1"/>
        <v>0.8342298840282506</v>
      </c>
      <c r="P18" s="83">
        <f t="shared" si="1"/>
        <v>0.79775824213480095</v>
      </c>
      <c r="Q18" s="83">
        <f t="shared" si="1"/>
        <v>0.74995510461847237</v>
      </c>
      <c r="R18" s="83">
        <f t="shared" si="1"/>
        <v>0.68624512371493007</v>
      </c>
      <c r="S18" s="83">
        <f t="shared" si="1"/>
        <v>0.59916681337345301</v>
      </c>
      <c r="T18" s="83">
        <f t="shared" si="1"/>
        <v>0.47413537973819325</v>
      </c>
      <c r="U18" s="83">
        <f t="shared" si="1"/>
        <v>0.27885601986350522</v>
      </c>
      <c r="V18" s="83">
        <f t="shared" si="1"/>
        <v>0.2261944032341458</v>
      </c>
      <c r="W18" s="83">
        <f t="shared" si="1"/>
        <v>0.16777391499836261</v>
      </c>
      <c r="X18" s="83" t="str">
        <f t="shared" si="1"/>
        <v/>
      </c>
      <c r="Y18" s="83" t="str">
        <f t="shared" si="1"/>
        <v/>
      </c>
      <c r="Z18" s="141"/>
      <c r="AA18" t="s">
        <v>91</v>
      </c>
      <c r="AB18" s="141">
        <f t="shared" ref="AB18:AB23" si="2">1-B18</f>
        <v>0</v>
      </c>
      <c r="AC18" s="141">
        <f t="shared" ref="AC18:AC23" si="3">1-C18</f>
        <v>6.1435741491742135E-3</v>
      </c>
      <c r="AD18" s="141">
        <f t="shared" ref="AD18:AD23" si="4">1-D18</f>
        <v>1.2729973072079459E-2</v>
      </c>
      <c r="AE18" s="141">
        <f t="shared" ref="AE18:AE23" si="5">1-E18</f>
        <v>1.9830295902631523E-2</v>
      </c>
      <c r="AF18" s="141">
        <f t="shared" ref="AF18:AF23" si="6">1-F18</f>
        <v>2.7533675378661693E-2</v>
      </c>
      <c r="AG18" s="141">
        <f t="shared" ref="AG18:AG23" si="7">1-G18</f>
        <v>3.5953737225687843E-2</v>
      </c>
      <c r="AH18" s="141">
        <f t="shared" ref="AH18:AH23" si="8">1-H18</f>
        <v>4.523791578041414E-2</v>
      </c>
      <c r="AI18" s="141">
        <f t="shared" ref="AI18:AI23" si="9">1-I18</f>
        <v>5.5581724727639004E-2</v>
      </c>
      <c r="AJ18" s="141">
        <f t="shared" ref="AJ18:AJ23" si="10">1-J18</f>
        <v>6.7250210500245267E-2</v>
      </c>
      <c r="AK18" s="141">
        <f t="shared" ref="AK18:AK23" si="11">1-K18</f>
        <v>8.0611267803659681E-2</v>
      </c>
      <c r="AL18" s="141">
        <f t="shared" ref="AL18:AL23" si="12">1-L18</f>
        <v>9.6187967925946638E-2</v>
      </c>
      <c r="AM18" s="141">
        <f t="shared" ref="AM18:AM23" si="13">1-M18</f>
        <v>0.11474010372312204</v>
      </c>
      <c r="AN18" s="141">
        <f t="shared" ref="AN18:AN23" si="14">1-N18</f>
        <v>0.13738645071168587</v>
      </c>
      <c r="AO18" s="141">
        <f t="shared" ref="AO18:AO23" si="15">1-O18</f>
        <v>0.1657701159717494</v>
      </c>
      <c r="AP18" s="141">
        <f t="shared" ref="AP18:AP23" si="16">1-P18</f>
        <v>0.20224175786519905</v>
      </c>
      <c r="AQ18" s="141">
        <f t="shared" ref="AQ18:AQ23" si="17">1-Q18</f>
        <v>0.25004489538152763</v>
      </c>
      <c r="AR18" s="141">
        <f t="shared" ref="AR18:AR23" si="18">1-R18</f>
        <v>0.31375487628506993</v>
      </c>
      <c r="AS18" s="141">
        <f t="shared" ref="AS18:AS23" si="19">1-S18</f>
        <v>0.40083318662654699</v>
      </c>
      <c r="AT18" s="141">
        <f t="shared" ref="AT18:AT23" si="20">1-T18</f>
        <v>0.52586462026180669</v>
      </c>
      <c r="AU18" s="141">
        <f t="shared" ref="AU18:AU23" si="21">1-U18</f>
        <v>0.72114398013649472</v>
      </c>
      <c r="AV18" s="141">
        <f t="shared" ref="AV18:AV23" si="22">1-V18</f>
        <v>0.77380559676585414</v>
      </c>
      <c r="AW18" s="141">
        <f t="shared" ref="AW18:AW23" si="23">1-W18</f>
        <v>0.83222608500163742</v>
      </c>
      <c r="AX18" s="141" t="e">
        <f t="shared" ref="AX18:AX23" si="24">1-X18</f>
        <v>#VALUE!</v>
      </c>
      <c r="AY18" s="141" t="e">
        <f t="shared" ref="AY18:AY23" si="25">1-Y18</f>
        <v>#VALUE!</v>
      </c>
    </row>
    <row r="19" spans="1:51" x14ac:dyDescent="0.2">
      <c r="A19" t="str">
        <f t="shared" si="0"/>
        <v>Kaldorian</v>
      </c>
      <c r="B19" s="83">
        <f t="shared" ref="B19:Y19" si="26">IF(B4&gt;0,B4,"")</f>
        <v>0.99999999999999867</v>
      </c>
      <c r="C19" s="83">
        <f t="shared" si="26"/>
        <v>0.9979026318616494</v>
      </c>
      <c r="D19" s="83">
        <f t="shared" si="26"/>
        <v>0.99545397934919078</v>
      </c>
      <c r="E19" s="83">
        <f t="shared" si="26"/>
        <v>0.99260259534027817</v>
      </c>
      <c r="F19" s="83">
        <f t="shared" si="26"/>
        <v>0.98928423543944954</v>
      </c>
      <c r="G19" s="83">
        <f t="shared" si="26"/>
        <v>0.98541764901559525</v>
      </c>
      <c r="H19" s="83">
        <f t="shared" si="26"/>
        <v>0.9808977590237733</v>
      </c>
      <c r="I19" s="83">
        <f t="shared" si="26"/>
        <v>0.97558598444017297</v>
      </c>
      <c r="J19" s="83">
        <f>IF(J4&gt;0,J4,"")</f>
        <v>0.96929573963379012</v>
      </c>
      <c r="K19" s="83" t="str">
        <f t="shared" ref="K19:Y19" si="27">IF(K4&gt;0,K4,"")</f>
        <v/>
      </c>
      <c r="L19" s="83" t="str">
        <f t="shared" si="27"/>
        <v/>
      </c>
      <c r="M19" s="83" t="str">
        <f t="shared" si="27"/>
        <v/>
      </c>
      <c r="N19" s="83" t="str">
        <f t="shared" si="27"/>
        <v/>
      </c>
      <c r="O19" s="83" t="str">
        <f t="shared" si="27"/>
        <v/>
      </c>
      <c r="P19" s="83" t="str">
        <f t="shared" si="27"/>
        <v/>
      </c>
      <c r="Q19" s="83" t="str">
        <f t="shared" si="27"/>
        <v/>
      </c>
      <c r="R19" s="83" t="str">
        <f t="shared" si="27"/>
        <v/>
      </c>
      <c r="S19" s="83" t="str">
        <f t="shared" si="27"/>
        <v/>
      </c>
      <c r="T19" s="83" t="str">
        <f t="shared" si="27"/>
        <v/>
      </c>
      <c r="U19" s="83" t="str">
        <f t="shared" si="27"/>
        <v/>
      </c>
      <c r="V19" s="83" t="str">
        <f t="shared" si="27"/>
        <v/>
      </c>
      <c r="W19" s="83" t="str">
        <f t="shared" si="27"/>
        <v/>
      </c>
      <c r="X19" s="83" t="str">
        <f t="shared" si="27"/>
        <v/>
      </c>
      <c r="Y19" s="83" t="str">
        <f t="shared" si="27"/>
        <v/>
      </c>
      <c r="Z19" s="141"/>
      <c r="AA19" t="s">
        <v>92</v>
      </c>
      <c r="AB19" s="141">
        <f t="shared" si="2"/>
        <v>0</v>
      </c>
      <c r="AC19" s="141">
        <f t="shared" si="3"/>
        <v>2.0973681383505971E-3</v>
      </c>
      <c r="AD19" s="141">
        <f t="shared" si="4"/>
        <v>4.5460206508092238E-3</v>
      </c>
      <c r="AE19" s="141">
        <f t="shared" si="5"/>
        <v>7.397404659721829E-3</v>
      </c>
      <c r="AF19" s="141">
        <f t="shared" si="6"/>
        <v>1.0715764560550456E-2</v>
      </c>
      <c r="AG19" s="141">
        <f t="shared" si="7"/>
        <v>1.4582350984404746E-2</v>
      </c>
      <c r="AH19" s="141">
        <f t="shared" si="8"/>
        <v>1.9102240976226703E-2</v>
      </c>
      <c r="AI19" s="141">
        <f t="shared" si="9"/>
        <v>2.4414015559827029E-2</v>
      </c>
      <c r="AJ19" s="141">
        <f t="shared" si="10"/>
        <v>3.0704260366209879E-2</v>
      </c>
      <c r="AK19" s="141" t="e">
        <f t="shared" si="11"/>
        <v>#VALUE!</v>
      </c>
      <c r="AL19" s="141" t="e">
        <f t="shared" si="12"/>
        <v>#VALUE!</v>
      </c>
      <c r="AM19" s="141" t="e">
        <f t="shared" si="13"/>
        <v>#VALUE!</v>
      </c>
      <c r="AN19" s="141" t="e">
        <f t="shared" si="14"/>
        <v>#VALUE!</v>
      </c>
      <c r="AO19" s="141" t="e">
        <f t="shared" si="15"/>
        <v>#VALUE!</v>
      </c>
      <c r="AP19" s="141" t="e">
        <f t="shared" si="16"/>
        <v>#VALUE!</v>
      </c>
      <c r="AQ19" s="141" t="e">
        <f t="shared" si="17"/>
        <v>#VALUE!</v>
      </c>
      <c r="AR19" s="141" t="e">
        <f t="shared" si="18"/>
        <v>#VALUE!</v>
      </c>
      <c r="AS19" s="141" t="e">
        <f t="shared" si="19"/>
        <v>#VALUE!</v>
      </c>
      <c r="AT19" s="141" t="e">
        <f t="shared" si="20"/>
        <v>#VALUE!</v>
      </c>
      <c r="AU19" s="141" t="e">
        <f t="shared" si="21"/>
        <v>#VALUE!</v>
      </c>
      <c r="AV19" s="141" t="e">
        <f t="shared" si="22"/>
        <v>#VALUE!</v>
      </c>
      <c r="AW19" s="141" t="e">
        <f t="shared" si="23"/>
        <v>#VALUE!</v>
      </c>
      <c r="AX19" s="141" t="e">
        <f t="shared" si="24"/>
        <v>#VALUE!</v>
      </c>
      <c r="AY19" s="141" t="e">
        <f t="shared" si="25"/>
        <v>#VALUE!</v>
      </c>
    </row>
    <row r="20" spans="1:51" x14ac:dyDescent="0.2">
      <c r="A20" t="str">
        <f t="shared" si="0"/>
        <v>Johansen</v>
      </c>
      <c r="B20" s="83">
        <f t="shared" ref="B20:Y20" si="28">IF(B5&gt;0,B5,"")</f>
        <v>0.99999999999999867</v>
      </c>
      <c r="C20" s="83">
        <f t="shared" si="28"/>
        <v>0.99772916870726192</v>
      </c>
      <c r="D20" s="83">
        <f t="shared" si="28"/>
        <v>0.99511660851336936</v>
      </c>
      <c r="E20" s="83">
        <f t="shared" si="28"/>
        <v>0.99211078787739537</v>
      </c>
      <c r="F20" s="83">
        <f t="shared" si="28"/>
        <v>0.98864777860926356</v>
      </c>
      <c r="G20" s="83">
        <f t="shared" si="28"/>
        <v>0.98464706521719869</v>
      </c>
      <c r="H20" s="83">
        <f t="shared" si="28"/>
        <v>0.98000550657006757</v>
      </c>
      <c r="I20" s="83">
        <f t="shared" si="28"/>
        <v>0.97458806523618458</v>
      </c>
      <c r="J20" s="83">
        <f t="shared" si="28"/>
        <v>0.96821386602807691</v>
      </c>
      <c r="K20" s="83">
        <f t="shared" si="28"/>
        <v>0.9606344043197369</v>
      </c>
      <c r="L20" s="83">
        <f t="shared" si="28"/>
        <v>0.95149846243029346</v>
      </c>
      <c r="M20" s="83">
        <f t="shared" si="28"/>
        <v>0.94029498797280309</v>
      </c>
      <c r="N20" s="83">
        <f t="shared" si="28"/>
        <v>0.92626033934204077</v>
      </c>
      <c r="O20" s="83">
        <f t="shared" si="28"/>
        <v>0.9082309264762527</v>
      </c>
      <c r="P20" s="83">
        <f t="shared" si="28"/>
        <v>0.88441858634857506</v>
      </c>
      <c r="Q20" s="83">
        <f t="shared" si="28"/>
        <v>0.85205120607957996</v>
      </c>
      <c r="R20" s="83">
        <f t="shared" si="28"/>
        <v>0.80663739367413034</v>
      </c>
      <c r="S20" s="83">
        <f t="shared" si="28"/>
        <v>0.74009102649384684</v>
      </c>
      <c r="T20" s="83">
        <f t="shared" si="28"/>
        <v>0.63542724922880522</v>
      </c>
      <c r="U20" s="83">
        <f t="shared" si="28"/>
        <v>0.44812796561397356</v>
      </c>
      <c r="V20" s="83">
        <f t="shared" si="28"/>
        <v>0.39107684330822307</v>
      </c>
      <c r="W20" s="83" t="str">
        <f t="shared" si="28"/>
        <v/>
      </c>
      <c r="X20" s="83" t="str">
        <f t="shared" si="28"/>
        <v/>
      </c>
      <c r="Y20" s="83" t="str">
        <f t="shared" si="28"/>
        <v/>
      </c>
      <c r="Z20" s="141"/>
      <c r="AA20" t="s">
        <v>95</v>
      </c>
      <c r="AB20" s="141">
        <f t="shared" si="2"/>
        <v>0</v>
      </c>
      <c r="AC20" s="141">
        <f t="shared" si="3"/>
        <v>2.2708312927380847E-3</v>
      </c>
      <c r="AD20" s="141">
        <f t="shared" si="4"/>
        <v>4.8833914866306394E-3</v>
      </c>
      <c r="AE20" s="141">
        <f t="shared" si="5"/>
        <v>7.8892121226046275E-3</v>
      </c>
      <c r="AF20" s="141">
        <f t="shared" si="6"/>
        <v>1.1352221390736439E-2</v>
      </c>
      <c r="AG20" s="141">
        <f t="shared" si="7"/>
        <v>1.5352934782801309E-2</v>
      </c>
      <c r="AH20" s="141">
        <f t="shared" si="8"/>
        <v>1.9994493429932425E-2</v>
      </c>
      <c r="AI20" s="141">
        <f t="shared" si="9"/>
        <v>2.5411934763815425E-2</v>
      </c>
      <c r="AJ20" s="141">
        <f t="shared" si="10"/>
        <v>3.1786133971923092E-2</v>
      </c>
      <c r="AK20" s="141">
        <f t="shared" si="11"/>
        <v>3.9365595680263099E-2</v>
      </c>
      <c r="AL20" s="141">
        <f t="shared" si="12"/>
        <v>4.8501537569706543E-2</v>
      </c>
      <c r="AM20" s="141">
        <f t="shared" si="13"/>
        <v>5.9705012027196913E-2</v>
      </c>
      <c r="AN20" s="141">
        <f t="shared" si="14"/>
        <v>7.3739660657959227E-2</v>
      </c>
      <c r="AO20" s="141">
        <f t="shared" si="15"/>
        <v>9.1769073523747302E-2</v>
      </c>
      <c r="AP20" s="141">
        <f t="shared" si="16"/>
        <v>0.11558141365142494</v>
      </c>
      <c r="AQ20" s="141">
        <f t="shared" si="17"/>
        <v>0.14794879392042004</v>
      </c>
      <c r="AR20" s="141">
        <f t="shared" si="18"/>
        <v>0.19336260632586966</v>
      </c>
      <c r="AS20" s="141">
        <f t="shared" si="19"/>
        <v>0.25990897350615316</v>
      </c>
      <c r="AT20" s="141">
        <f t="shared" si="20"/>
        <v>0.36457275077119478</v>
      </c>
      <c r="AU20" s="141"/>
      <c r="AV20" s="141"/>
      <c r="AW20" s="141"/>
      <c r="AX20" s="141"/>
      <c r="AY20" s="141"/>
    </row>
    <row r="21" spans="1:51" x14ac:dyDescent="0.2">
      <c r="A21" t="str">
        <f t="shared" si="0"/>
        <v>Keynes-Kaldor</v>
      </c>
      <c r="B21" s="83">
        <f t="shared" ref="B21:S21" si="29">IF(B6&gt;0,B6,"")</f>
        <v>0.99999999999999867</v>
      </c>
      <c r="C21" s="83">
        <f t="shared" si="29"/>
        <v>0.96230979264375294</v>
      </c>
      <c r="D21" s="83">
        <f t="shared" si="29"/>
        <v>0.92095985969695981</v>
      </c>
      <c r="E21" s="83">
        <f t="shared" si="29"/>
        <v>0.87628417787460644</v>
      </c>
      <c r="F21" s="83">
        <f t="shared" si="29"/>
        <v>0.82877089187515629</v>
      </c>
      <c r="G21" s="83">
        <f t="shared" si="29"/>
        <v>0.77904610911775662</v>
      </c>
      <c r="H21" s="83">
        <f t="shared" si="29"/>
        <v>0.72786426751985944</v>
      </c>
      <c r="I21" s="83">
        <f t="shared" si="29"/>
        <v>0.676131740224718</v>
      </c>
      <c r="J21" s="83">
        <f t="shared" si="29"/>
        <v>0.62500197516140277</v>
      </c>
      <c r="K21" s="83">
        <f t="shared" si="29"/>
        <v>0.57611248052086217</v>
      </c>
      <c r="L21" s="83">
        <f t="shared" si="29"/>
        <v>0.53210725503589174</v>
      </c>
      <c r="M21" s="83">
        <f t="shared" si="29"/>
        <v>0.49739198398607887</v>
      </c>
      <c r="N21" s="83">
        <f t="shared" si="29"/>
        <v>0.47660448342443268</v>
      </c>
      <c r="O21" s="83" t="str">
        <f t="shared" si="29"/>
        <v/>
      </c>
      <c r="P21" s="83" t="str">
        <f t="shared" si="29"/>
        <v/>
      </c>
      <c r="Q21" s="83" t="str">
        <f t="shared" si="29"/>
        <v/>
      </c>
      <c r="R21" s="83" t="str">
        <f t="shared" si="29"/>
        <v/>
      </c>
      <c r="S21" s="83" t="str">
        <f t="shared" si="29"/>
        <v/>
      </c>
      <c r="T21" s="83"/>
      <c r="U21" s="83"/>
      <c r="V21" s="83"/>
      <c r="W21" s="83"/>
      <c r="X21" s="83"/>
      <c r="Y21" s="83"/>
      <c r="Z21" s="141"/>
      <c r="AA21" t="s">
        <v>97</v>
      </c>
      <c r="AB21" s="141">
        <f t="shared" si="2"/>
        <v>0</v>
      </c>
      <c r="AC21" s="141">
        <f t="shared" si="3"/>
        <v>3.7690207356247063E-2</v>
      </c>
      <c r="AD21" s="141">
        <f t="shared" si="4"/>
        <v>7.9040140303040185E-2</v>
      </c>
      <c r="AE21" s="141">
        <f t="shared" si="5"/>
        <v>0.12371582212539356</v>
      </c>
      <c r="AF21" s="141">
        <f t="shared" si="6"/>
        <v>0.17122910812484371</v>
      </c>
      <c r="AG21" s="141">
        <f t="shared" si="7"/>
        <v>0.22095389088224338</v>
      </c>
      <c r="AH21" s="141">
        <f t="shared" si="8"/>
        <v>0.27213573248014056</v>
      </c>
      <c r="AI21" s="141">
        <f t="shared" si="9"/>
        <v>0.323868259775282</v>
      </c>
      <c r="AJ21" s="141">
        <f t="shared" si="10"/>
        <v>0.37499802483859723</v>
      </c>
      <c r="AK21" s="141">
        <f t="shared" si="11"/>
        <v>0.42388751947913783</v>
      </c>
      <c r="AL21" s="141">
        <f t="shared" si="12"/>
        <v>0.46789274496410826</v>
      </c>
      <c r="AM21" s="141">
        <f t="shared" si="13"/>
        <v>0.50260801601392113</v>
      </c>
      <c r="AN21" s="141">
        <f t="shared" si="14"/>
        <v>0.52339551657556727</v>
      </c>
      <c r="AO21" s="141" t="e">
        <f t="shared" si="15"/>
        <v>#VALUE!</v>
      </c>
      <c r="AP21" s="141" t="e">
        <f t="shared" si="16"/>
        <v>#VALUE!</v>
      </c>
      <c r="AQ21" s="141"/>
      <c r="AR21" s="141"/>
      <c r="AS21" s="141"/>
      <c r="AT21" s="141"/>
      <c r="AU21" s="141"/>
      <c r="AV21" s="141"/>
      <c r="AW21" s="141"/>
      <c r="AX21" s="141"/>
      <c r="AY21" s="141"/>
    </row>
    <row r="22" spans="1:51" x14ac:dyDescent="0.2">
      <c r="A22" t="str">
        <f t="shared" si="0"/>
        <v>Keynes-Marshall</v>
      </c>
      <c r="B22" s="83">
        <f t="shared" ref="B22:L22" si="30">IF(B7&gt;0,B7,"")</f>
        <v>0.99999999999999867</v>
      </c>
      <c r="C22" s="83">
        <f t="shared" si="30"/>
        <v>1.0056064087234129</v>
      </c>
      <c r="D22" s="83">
        <f t="shared" si="30"/>
        <v>1.0111256026143538</v>
      </c>
      <c r="E22" s="83">
        <f t="shared" si="30"/>
        <v>1.0165559688377668</v>
      </c>
      <c r="F22" s="83">
        <f t="shared" si="30"/>
        <v>1.0219002661030481</v>
      </c>
      <c r="G22" s="83">
        <f t="shared" si="30"/>
        <v>1.0271684716576532</v>
      </c>
      <c r="H22" s="83">
        <f t="shared" si="30"/>
        <v>1.0323833253603845</v>
      </c>
      <c r="I22" s="83">
        <f t="shared" si="30"/>
        <v>1.0375882926821931</v>
      </c>
      <c r="J22" s="83">
        <f t="shared" si="30"/>
        <v>1.0428604044975032</v>
      </c>
      <c r="K22" s="83">
        <f t="shared" si="30"/>
        <v>1.0483280332514309</v>
      </c>
      <c r="L22" s="83">
        <f>IF(L7&gt;0,L7,"")</f>
        <v>1.0541861936937524</v>
      </c>
      <c r="M22" s="83">
        <f t="shared" ref="M22:Y22" si="31">IF(M7&gt;0,M7,"")</f>
        <v>1.0606721653173508</v>
      </c>
      <c r="N22" s="83">
        <f t="shared" si="31"/>
        <v>1.06787122187189</v>
      </c>
      <c r="O22" s="83">
        <f t="shared" si="31"/>
        <v>1.0751006000901113</v>
      </c>
      <c r="P22" s="83">
        <f t="shared" si="31"/>
        <v>1.0798721930701751</v>
      </c>
      <c r="Q22" s="83">
        <f t="shared" si="31"/>
        <v>1.0771617955283521</v>
      </c>
      <c r="R22" s="83" t="str">
        <f t="shared" si="31"/>
        <v/>
      </c>
      <c r="S22" s="83" t="str">
        <f t="shared" si="31"/>
        <v/>
      </c>
      <c r="T22" s="83" t="str">
        <f t="shared" si="31"/>
        <v/>
      </c>
      <c r="U22" s="83" t="str">
        <f t="shared" si="31"/>
        <v/>
      </c>
      <c r="V22" s="83" t="str">
        <f t="shared" si="31"/>
        <v/>
      </c>
      <c r="W22" s="83" t="str">
        <f t="shared" si="31"/>
        <v/>
      </c>
      <c r="X22" s="83" t="str">
        <f t="shared" si="31"/>
        <v/>
      </c>
      <c r="Y22" s="83" t="str">
        <f t="shared" si="31"/>
        <v/>
      </c>
      <c r="Z22" s="141"/>
      <c r="AA22" t="s">
        <v>94</v>
      </c>
      <c r="AB22" s="141">
        <f t="shared" si="2"/>
        <v>0</v>
      </c>
      <c r="AC22" s="141">
        <f t="shared" si="3"/>
        <v>-5.6064087234128923E-3</v>
      </c>
      <c r="AD22" s="141">
        <f t="shared" si="4"/>
        <v>-1.1125602614353802E-2</v>
      </c>
      <c r="AE22" s="141">
        <f t="shared" si="5"/>
        <v>-1.6555968837766777E-2</v>
      </c>
      <c r="AF22" s="141">
        <f t="shared" si="6"/>
        <v>-2.1900266103048072E-2</v>
      </c>
      <c r="AG22" s="141">
        <f t="shared" si="7"/>
        <v>-2.7168471657653237E-2</v>
      </c>
      <c r="AH22" s="141">
        <f t="shared" si="8"/>
        <v>-3.2383325360384463E-2</v>
      </c>
      <c r="AI22" s="141">
        <f t="shared" si="9"/>
        <v>-3.7588292682193103E-2</v>
      </c>
      <c r="AJ22" s="141">
        <f t="shared" si="10"/>
        <v>-4.2860404497503168E-2</v>
      </c>
      <c r="AK22" s="141">
        <f t="shared" si="11"/>
        <v>-4.8328033251430869E-2</v>
      </c>
      <c r="AL22" s="141">
        <f t="shared" si="12"/>
        <v>-5.4186193693752438E-2</v>
      </c>
      <c r="AM22" s="141">
        <f t="shared" si="13"/>
        <v>-6.0672165317350757E-2</v>
      </c>
      <c r="AN22" s="141">
        <f t="shared" si="14"/>
        <v>-6.7871221871889986E-2</v>
      </c>
      <c r="AO22" s="141">
        <f t="shared" si="15"/>
        <v>-7.5100600090111325E-2</v>
      </c>
      <c r="AP22" s="141">
        <f t="shared" si="16"/>
        <v>-7.9872193070175124E-2</v>
      </c>
      <c r="AQ22" s="141">
        <f t="shared" si="17"/>
        <v>-7.7161795528352117E-2</v>
      </c>
      <c r="AR22" s="141" t="e">
        <f t="shared" si="18"/>
        <v>#VALUE!</v>
      </c>
      <c r="AS22" s="141" t="e">
        <f t="shared" si="19"/>
        <v>#VALUE!</v>
      </c>
      <c r="AT22" s="141" t="e">
        <f t="shared" si="20"/>
        <v>#VALUE!</v>
      </c>
      <c r="AU22" s="141"/>
      <c r="AV22" s="141"/>
      <c r="AW22" s="141"/>
      <c r="AX22" s="141"/>
      <c r="AY22" s="141"/>
    </row>
    <row r="23" spans="1:51" x14ac:dyDescent="0.2">
      <c r="A23" t="str">
        <f t="shared" si="0"/>
        <v>Keynesian</v>
      </c>
      <c r="B23" s="83">
        <f t="shared" ref="B23:Y23" si="32">IF(B8&gt;0,B8,"")</f>
        <v>0.99999999999999867</v>
      </c>
      <c r="C23" s="83">
        <f t="shared" si="32"/>
        <v>0.98301050187070094</v>
      </c>
      <c r="D23" s="83">
        <f t="shared" si="32"/>
        <v>0.96419048837629029</v>
      </c>
      <c r="E23" s="83">
        <f t="shared" si="32"/>
        <v>0.9432921722611185</v>
      </c>
      <c r="F23" s="83">
        <f t="shared" si="32"/>
        <v>0.92002894599451379</v>
      </c>
      <c r="G23" s="83">
        <f t="shared" si="32"/>
        <v>0.89407218399630217</v>
      </c>
      <c r="H23" s="83">
        <f t="shared" si="32"/>
        <v>0.86505017880362012</v>
      </c>
      <c r="I23" s="83">
        <f t="shared" si="32"/>
        <v>0.83255191706926102</v>
      </c>
      <c r="J23" s="83">
        <f t="shared" si="32"/>
        <v>0.79613930825748946</v>
      </c>
      <c r="K23" s="83">
        <f t="shared" si="32"/>
        <v>0.75537430284127483</v>
      </c>
      <c r="L23" s="83">
        <f t="shared" si="32"/>
        <v>0.70986873834991937</v>
      </c>
      <c r="M23" s="83">
        <f t="shared" si="32"/>
        <v>0.65937607919327457</v>
      </c>
      <c r="N23" s="83">
        <f t="shared" si="32"/>
        <v>0.6039740445114099</v>
      </c>
      <c r="O23" s="83">
        <f t="shared" si="32"/>
        <v>0.54458126232001858</v>
      </c>
      <c r="P23" s="83">
        <f t="shared" si="32"/>
        <v>0.48592060611397714</v>
      </c>
      <c r="Q23" s="83" t="str">
        <f t="shared" si="32"/>
        <v/>
      </c>
      <c r="R23" s="83" t="str">
        <f t="shared" si="32"/>
        <v/>
      </c>
      <c r="S23" s="83" t="str">
        <f t="shared" si="32"/>
        <v/>
      </c>
      <c r="T23" s="83" t="str">
        <f t="shared" si="32"/>
        <v/>
      </c>
      <c r="U23" s="83" t="str">
        <f t="shared" si="32"/>
        <v/>
      </c>
      <c r="V23" s="83" t="str">
        <f t="shared" si="32"/>
        <v/>
      </c>
      <c r="W23" s="83" t="str">
        <f t="shared" si="32"/>
        <v/>
      </c>
      <c r="X23" s="83" t="str">
        <f t="shared" si="32"/>
        <v/>
      </c>
      <c r="Y23" s="83" t="str">
        <f t="shared" si="32"/>
        <v/>
      </c>
      <c r="Z23" s="141"/>
      <c r="AA23" t="s">
        <v>96</v>
      </c>
      <c r="AB23" s="141">
        <f t="shared" si="2"/>
        <v>0</v>
      </c>
      <c r="AC23" s="141">
        <f t="shared" si="3"/>
        <v>1.6989498129299063E-2</v>
      </c>
      <c r="AD23" s="141">
        <f t="shared" si="4"/>
        <v>3.5809511623709711E-2</v>
      </c>
      <c r="AE23" s="141">
        <f t="shared" si="5"/>
        <v>5.67078277388815E-2</v>
      </c>
      <c r="AF23" s="141">
        <f t="shared" si="6"/>
        <v>7.9971054005486208E-2</v>
      </c>
      <c r="AG23" s="141">
        <f t="shared" si="7"/>
        <v>0.10592781600369783</v>
      </c>
      <c r="AH23" s="141">
        <f t="shared" si="8"/>
        <v>0.13494982119637988</v>
      </c>
      <c r="AI23" s="141">
        <f t="shared" si="9"/>
        <v>0.16744808293073898</v>
      </c>
      <c r="AJ23" s="141">
        <f t="shared" si="10"/>
        <v>0.20386069174251054</v>
      </c>
      <c r="AK23" s="141">
        <f t="shared" si="11"/>
        <v>0.24462569715872517</v>
      </c>
      <c r="AL23" s="141">
        <f t="shared" si="12"/>
        <v>0.29013126165008063</v>
      </c>
      <c r="AM23" s="141">
        <f t="shared" si="13"/>
        <v>0.34062392080672543</v>
      </c>
      <c r="AN23" s="141">
        <f t="shared" si="14"/>
        <v>0.3960259554885901</v>
      </c>
      <c r="AO23" s="141">
        <f t="shared" si="15"/>
        <v>0.45541873767998142</v>
      </c>
      <c r="AP23" s="141">
        <f t="shared" si="16"/>
        <v>0.51407939388602286</v>
      </c>
      <c r="AQ23" s="141" t="e">
        <f t="shared" si="17"/>
        <v>#VALUE!</v>
      </c>
      <c r="AR23" s="141" t="e">
        <f t="shared" si="18"/>
        <v>#VALUE!</v>
      </c>
      <c r="AS23" s="141" t="e">
        <f t="shared" si="19"/>
        <v>#VALUE!</v>
      </c>
      <c r="AT23" s="141" t="e">
        <f t="shared" si="20"/>
        <v>#VALUE!</v>
      </c>
      <c r="AU23" s="141" t="e">
        <f t="shared" si="21"/>
        <v>#VALUE!</v>
      </c>
      <c r="AV23" s="141" t="e">
        <f t="shared" si="22"/>
        <v>#VALUE!</v>
      </c>
      <c r="AW23" s="141" t="e">
        <f t="shared" si="23"/>
        <v>#VALUE!</v>
      </c>
      <c r="AX23" s="141" t="e">
        <f t="shared" si="24"/>
        <v>#VALUE!</v>
      </c>
      <c r="AY23" s="141" t="e">
        <f t="shared" si="25"/>
        <v>#VALUE!</v>
      </c>
    </row>
    <row r="24" spans="1:51" x14ac:dyDescent="0.2">
      <c r="A24" t="str">
        <f t="shared" si="0"/>
        <v>Neo-K2</v>
      </c>
      <c r="B24" s="83">
        <f t="shared" ref="B24:Y24" si="33">IF(B9&gt;0,B9,"")</f>
        <v>0.99999999999999867</v>
      </c>
      <c r="C24" s="83">
        <f t="shared" si="33"/>
        <v>0.98641263528533207</v>
      </c>
      <c r="D24" s="83">
        <f t="shared" si="33"/>
        <v>0.97153217515149082</v>
      </c>
      <c r="E24" s="83">
        <f t="shared" si="33"/>
        <v>0.95514175589892902</v>
      </c>
      <c r="F24" s="83">
        <f t="shared" si="33"/>
        <v>0.93697937332515679</v>
      </c>
      <c r="G24" s="83">
        <f t="shared" si="33"/>
        <v>0.91672897914554841</v>
      </c>
      <c r="H24" s="83">
        <f t="shared" si="33"/>
        <v>0.89401176684482597</v>
      </c>
      <c r="I24" s="83">
        <f t="shared" si="33"/>
        <v>0.86837943102991799</v>
      </c>
      <c r="J24" s="83">
        <f t="shared" si="33"/>
        <v>0.83931392077147859</v>
      </c>
      <c r="K24" s="83">
        <f t="shared" si="33"/>
        <v>0.80624052293684068</v>
      </c>
      <c r="L24" s="83">
        <f t="shared" si="33"/>
        <v>0.76856460593439602</v>
      </c>
      <c r="M24" s="83">
        <f t="shared" si="33"/>
        <v>0.72574470037236671</v>
      </c>
      <c r="N24" s="83">
        <f t="shared" si="33"/>
        <v>0.67740721413745253</v>
      </c>
      <c r="O24" s="83">
        <f t="shared" si="33"/>
        <v>0.62349090143053021</v>
      </c>
      <c r="P24" s="83">
        <f t="shared" si="33"/>
        <v>0.56435841725722991</v>
      </c>
      <c r="Q24" s="83">
        <f t="shared" si="33"/>
        <v>0.50075657806009666</v>
      </c>
      <c r="R24" s="83">
        <f t="shared" si="33"/>
        <v>0.43346297129567024</v>
      </c>
      <c r="S24" s="83">
        <f t="shared" si="33"/>
        <v>0.36251103025264997</v>
      </c>
      <c r="T24" s="83">
        <f t="shared" si="33"/>
        <v>0.28562036857358647</v>
      </c>
      <c r="U24" s="83">
        <f t="shared" si="33"/>
        <v>0.19250183940575799</v>
      </c>
      <c r="V24" s="83">
        <f t="shared" si="33"/>
        <v>0.16922187382824486</v>
      </c>
      <c r="W24" s="83">
        <f t="shared" si="33"/>
        <v>0.14287594394158901</v>
      </c>
      <c r="X24" s="83">
        <f t="shared" si="33"/>
        <v>0.11182085612175412</v>
      </c>
      <c r="Y24" s="83" t="str">
        <f t="shared" si="33"/>
        <v/>
      </c>
      <c r="AA24" t="s">
        <v>104</v>
      </c>
      <c r="AB24">
        <v>0</v>
      </c>
      <c r="AC24">
        <v>1.6299677882760211E-2</v>
      </c>
      <c r="AD24">
        <v>3.7869151019755298E-2</v>
      </c>
      <c r="AE24">
        <v>6.0966084571312473E-2</v>
      </c>
      <c r="AF24">
        <v>8.499815731946625E-2</v>
      </c>
      <c r="AG24">
        <v>0.10976953759369823</v>
      </c>
      <c r="AH24">
        <v>0.13521909503535134</v>
      </c>
      <c r="AI24">
        <v>0.16135547761226787</v>
      </c>
      <c r="AJ24">
        <v>0.18823868110250042</v>
      </c>
      <c r="AK24">
        <v>0.21597965134053443</v>
      </c>
      <c r="AL24">
        <v>0.24475175720346387</v>
      </c>
      <c r="AM24">
        <v>0.27481537666990441</v>
      </c>
      <c r="AN24">
        <v>0.30656214429555484</v>
      </c>
      <c r="AO24">
        <v>0.34059249330608121</v>
      </c>
      <c r="AP24">
        <v>0.37785092506929718</v>
      </c>
      <c r="AQ24">
        <v>0.41985390206290241</v>
      </c>
      <c r="AR24">
        <v>0.46901959072982924</v>
      </c>
      <c r="AS24">
        <v>0.52893013133661948</v>
      </c>
      <c r="AT24">
        <v>0.60417530096699301</v>
      </c>
      <c r="AU24">
        <v>0.70136796375530863</v>
      </c>
      <c r="AV24">
        <v>0.72460834466770874</v>
      </c>
      <c r="AW24">
        <v>0.74962344681711368</v>
      </c>
      <c r="AX24">
        <v>0.77679170274978271</v>
      </c>
      <c r="AY24">
        <v>0.80664155575269203</v>
      </c>
    </row>
    <row r="25" spans="1:51" x14ac:dyDescent="0.2">
      <c r="A25" t="str">
        <f t="shared" si="0"/>
        <v>Neo-K1</v>
      </c>
      <c r="B25" s="83">
        <f t="shared" ref="B25:W25" si="34">IF(B10&gt;0,B10,"")</f>
        <v>0.99999999999999867</v>
      </c>
      <c r="C25" s="83">
        <f t="shared" si="34"/>
        <v>0.98890699542480787</v>
      </c>
      <c r="D25" s="83">
        <f t="shared" si="34"/>
        <v>0.97684100978959909</v>
      </c>
      <c r="E25" s="83">
        <f t="shared" si="34"/>
        <v>0.96364205206014741</v>
      </c>
      <c r="F25" s="83">
        <f t="shared" si="34"/>
        <v>0.9491126012006138</v>
      </c>
      <c r="G25" s="83">
        <f t="shared" si="34"/>
        <v>0.93300615411589316</v>
      </c>
      <c r="H25" s="83">
        <f t="shared" si="34"/>
        <v>0.91501237367768617</v>
      </c>
      <c r="I25" s="83">
        <f t="shared" si="34"/>
        <v>0.89473692647988712</v>
      </c>
      <c r="J25" s="83">
        <f t="shared" si="34"/>
        <v>0.87167548581726728</v>
      </c>
      <c r="K25" s="83">
        <f t="shared" si="34"/>
        <v>0.84518042285273909</v>
      </c>
      <c r="L25" s="83">
        <f t="shared" si="34"/>
        <v>0.81442174482120688</v>
      </c>
      <c r="M25" s="83">
        <f t="shared" si="34"/>
        <v>0.7783469264595777</v>
      </c>
      <c r="N25" s="83">
        <f t="shared" si="34"/>
        <v>0.73565412762703042</v>
      </c>
      <c r="O25" s="83">
        <f t="shared" si="34"/>
        <v>0.68480672869435666</v>
      </c>
      <c r="P25" s="83">
        <f t="shared" si="34"/>
        <v>0.62412952030988433</v>
      </c>
      <c r="Q25" s="83">
        <f t="shared" si="34"/>
        <v>0.55201815814943656</v>
      </c>
      <c r="R25" s="83">
        <f t="shared" si="34"/>
        <v>0.46723625346741243</v>
      </c>
      <c r="S25" s="83">
        <f t="shared" si="34"/>
        <v>0.36918923729064945</v>
      </c>
      <c r="T25" s="83">
        <f t="shared" si="34"/>
        <v>0.25803352470599317</v>
      </c>
      <c r="U25" s="83">
        <f t="shared" si="34"/>
        <v>0.13456960941918611</v>
      </c>
      <c r="V25" s="83">
        <f t="shared" si="34"/>
        <v>0.10850159946363713</v>
      </c>
      <c r="W25" s="83">
        <f t="shared" si="34"/>
        <v>8.1999682328915982E-2</v>
      </c>
      <c r="X25" s="83">
        <f>IF(X10&gt;0,X10,"")</f>
        <v>5.5074768566029768E-2</v>
      </c>
      <c r="Y25" s="83">
        <f>IF(Y10&gt;0,Y10,"")</f>
        <v>2.7737860791936939E-2</v>
      </c>
    </row>
    <row r="26" spans="1:51" x14ac:dyDescent="0.2">
      <c r="A26" t="str">
        <f t="shared" si="0"/>
        <v>Neoclassical - hetero s</v>
      </c>
      <c r="B26" s="83" t="str">
        <f t="shared" ref="B26:Y26" si="35">IF(B11&gt;0,B11,"")</f>
        <v/>
      </c>
      <c r="C26" s="83" t="str">
        <f t="shared" si="35"/>
        <v/>
      </c>
      <c r="D26" s="83" t="str">
        <f t="shared" si="35"/>
        <v/>
      </c>
      <c r="E26" s="83" t="str">
        <f t="shared" si="35"/>
        <v/>
      </c>
      <c r="F26" s="83" t="str">
        <f t="shared" si="35"/>
        <v/>
      </c>
      <c r="G26" s="83" t="str">
        <f t="shared" si="35"/>
        <v/>
      </c>
      <c r="H26" s="83" t="str">
        <f t="shared" si="35"/>
        <v/>
      </c>
      <c r="I26" s="83" t="str">
        <f t="shared" si="35"/>
        <v/>
      </c>
      <c r="J26" s="83" t="str">
        <f t="shared" si="35"/>
        <v/>
      </c>
      <c r="K26" s="83" t="str">
        <f t="shared" si="35"/>
        <v/>
      </c>
      <c r="L26" s="83" t="str">
        <f t="shared" si="35"/>
        <v/>
      </c>
      <c r="M26" s="83" t="str">
        <f t="shared" si="35"/>
        <v/>
      </c>
      <c r="N26" s="83" t="str">
        <f t="shared" si="35"/>
        <v/>
      </c>
      <c r="O26" s="83" t="str">
        <f t="shared" si="35"/>
        <v/>
      </c>
      <c r="P26" s="83" t="str">
        <f t="shared" si="35"/>
        <v/>
      </c>
      <c r="Q26" s="83" t="str">
        <f t="shared" si="35"/>
        <v/>
      </c>
      <c r="R26" s="83" t="str">
        <f t="shared" si="35"/>
        <v/>
      </c>
      <c r="S26" s="83" t="str">
        <f t="shared" si="35"/>
        <v/>
      </c>
      <c r="T26" s="83" t="str">
        <f t="shared" si="35"/>
        <v/>
      </c>
      <c r="U26" s="83" t="str">
        <f t="shared" si="35"/>
        <v/>
      </c>
      <c r="V26" s="83" t="str">
        <f t="shared" si="35"/>
        <v/>
      </c>
      <c r="W26" s="83" t="str">
        <f t="shared" si="35"/>
        <v/>
      </c>
      <c r="X26" s="83" t="str">
        <f t="shared" si="35"/>
        <v/>
      </c>
      <c r="Y26" s="83" t="str">
        <f t="shared" si="35"/>
        <v/>
      </c>
      <c r="AA26" t="s">
        <v>107</v>
      </c>
      <c r="AB26">
        <v>0</v>
      </c>
      <c r="AC26">
        <v>2.4455413117095204E-2</v>
      </c>
      <c r="AD26">
        <v>4.9582452063072879E-2</v>
      </c>
      <c r="AE26">
        <v>7.5422482830450832E-2</v>
      </c>
      <c r="AF26">
        <v>0.10203604829027713</v>
      </c>
      <c r="AG26">
        <v>0.12950646138692268</v>
      </c>
      <c r="AH26">
        <v>0.15794577642046292</v>
      </c>
      <c r="AI26">
        <v>0.18750396612833087</v>
      </c>
      <c r="AJ26">
        <v>0.2183827517703063</v>
      </c>
      <c r="AK26">
        <v>0.25085644053670408</v>
      </c>
      <c r="AL26">
        <v>0.28530344275689024</v>
      </c>
      <c r="AM26">
        <v>0.32225376978528442</v>
      </c>
      <c r="AN26">
        <v>0.36245851783105143</v>
      </c>
      <c r="AO26">
        <v>0.4069814404263582</v>
      </c>
      <c r="AP26">
        <v>0.45728031153994497</v>
      </c>
      <c r="AQ26">
        <v>0.51513886122861874</v>
      </c>
      <c r="AR26">
        <v>0.58212085367954358</v>
      </c>
      <c r="AS26">
        <v>0.65839323187120646</v>
      </c>
      <c r="AT26">
        <v>0.74204710643489147</v>
      </c>
      <c r="AU26">
        <v>0.83020084307854525</v>
      </c>
      <c r="AV26">
        <v>0.84813253492592611</v>
      </c>
      <c r="AW26">
        <v>0.86611673995979377</v>
      </c>
      <c r="AX26">
        <v>0.88413247851147436</v>
      </c>
      <c r="AY26">
        <v>0.90215898234149516</v>
      </c>
    </row>
    <row r="27" spans="1:51" x14ac:dyDescent="0.2">
      <c r="AA27" t="s">
        <v>105</v>
      </c>
      <c r="AB27">
        <v>0</v>
      </c>
      <c r="AC27">
        <v>2.284641025922507E-2</v>
      </c>
      <c r="AD27">
        <v>4.6096151342895464E-2</v>
      </c>
      <c r="AE27">
        <v>6.9797580187829333E-2</v>
      </c>
      <c r="AF27">
        <v>9.4009847511114075E-2</v>
      </c>
      <c r="AG27">
        <v>0.1188063140133786</v>
      </c>
      <c r="AH27">
        <v>0.14427936201795311</v>
      </c>
      <c r="AI27">
        <v>0.17054730446263533</v>
      </c>
      <c r="AJ27">
        <v>0.19776451064706457</v>
      </c>
      <c r="AK27">
        <v>0.22613656357673728</v>
      </c>
      <c r="AL27">
        <v>0.25594342100818523</v>
      </c>
      <c r="AM27">
        <v>0.28757542168400196</v>
      </c>
      <c r="AN27">
        <v>0.3215896859431584</v>
      </c>
      <c r="AO27">
        <v>0.35879694978192112</v>
      </c>
      <c r="AP27">
        <v>0.40038451916212203</v>
      </c>
      <c r="AQ27">
        <v>0.44804396125478219</v>
      </c>
      <c r="AR27">
        <v>0.50394208723291989</v>
      </c>
      <c r="AS27">
        <v>0.57019341710137716</v>
      </c>
      <c r="AT27">
        <v>0.64791310762469279</v>
      </c>
      <c r="AU27">
        <v>0.73607758799831213</v>
      </c>
      <c r="AV27">
        <v>0.75329954326250947</v>
      </c>
    </row>
    <row r="28" spans="1:51" x14ac:dyDescent="0.2">
      <c r="AA28" t="s">
        <v>106</v>
      </c>
      <c r="AB28">
        <v>0</v>
      </c>
      <c r="AC28">
        <v>2.4152364158611328E-2</v>
      </c>
      <c r="AD28">
        <v>4.85126474241655E-2</v>
      </c>
      <c r="AE28">
        <v>7.3209407628021639E-2</v>
      </c>
      <c r="AF28">
        <v>9.8337130088727132E-2</v>
      </c>
      <c r="AG28">
        <v>0.12398941248779904</v>
      </c>
      <c r="AH28">
        <v>0.15027240513403839</v>
      </c>
      <c r="AI28">
        <v>0.17731516126235403</v>
      </c>
      <c r="AJ28">
        <v>0.20528143081161898</v>
      </c>
      <c r="AK28">
        <v>0.23438569374526197</v>
      </c>
      <c r="AL28">
        <v>0.26491661965899282</v>
      </c>
      <c r="AM28">
        <v>0.29727248068229861</v>
      </c>
      <c r="AN28">
        <v>0.33201482393820869</v>
      </c>
      <c r="AO28">
        <v>0.36994686756145156</v>
      </c>
      <c r="AP28">
        <v>0.41221276760680436</v>
      </c>
      <c r="AQ28">
        <v>0.46036414188478314</v>
      </c>
      <c r="AR28">
        <v>0.51619778637445179</v>
      </c>
      <c r="AS28">
        <v>0.58100448767305801</v>
      </c>
      <c r="AT28">
        <v>0.65382205431764795</v>
      </c>
    </row>
    <row r="32" spans="1:51" x14ac:dyDescent="0.2">
      <c r="A32" t="s">
        <v>101</v>
      </c>
    </row>
    <row r="33" spans="1:26" ht="10.5" x14ac:dyDescent="0.25">
      <c r="A33" s="99" t="s">
        <v>197</v>
      </c>
      <c r="Z33" s="142"/>
    </row>
    <row r="34" spans="1:26" x14ac:dyDescent="0.2">
      <c r="A34" t="s">
        <v>198</v>
      </c>
      <c r="B34" s="241">
        <v>0</v>
      </c>
      <c r="C34" s="241">
        <v>0.05</v>
      </c>
      <c r="D34" s="241">
        <v>0.1</v>
      </c>
      <c r="E34" s="241">
        <v>0.15000000000000002</v>
      </c>
      <c r="F34" s="241">
        <v>0.2</v>
      </c>
      <c r="G34" s="241">
        <v>0.25</v>
      </c>
      <c r="H34" s="241">
        <v>0.3</v>
      </c>
      <c r="I34" s="241">
        <v>0.35</v>
      </c>
      <c r="J34" s="241">
        <v>0.39999999999999997</v>
      </c>
      <c r="K34" s="241">
        <v>0.44999999999999996</v>
      </c>
      <c r="L34" s="241">
        <v>0.49999999999999994</v>
      </c>
      <c r="M34" s="241">
        <v>0.54999999999999993</v>
      </c>
      <c r="N34" s="241">
        <v>0.6</v>
      </c>
      <c r="O34" s="241">
        <v>0.65</v>
      </c>
      <c r="P34" s="241">
        <v>0.70000000000000007</v>
      </c>
      <c r="Q34" s="241">
        <v>0.75000000000000011</v>
      </c>
      <c r="R34" s="241">
        <v>0.80000000000000016</v>
      </c>
      <c r="S34" s="241">
        <v>0.8500000000000002</v>
      </c>
      <c r="T34" s="241">
        <v>0.90000000000000024</v>
      </c>
      <c r="U34" s="241">
        <v>0.95000000000000029</v>
      </c>
      <c r="V34" s="241">
        <v>0.9600000000000003</v>
      </c>
      <c r="W34" s="241">
        <v>0.97000000000000031</v>
      </c>
      <c r="X34" s="241">
        <v>0.98000000000000032</v>
      </c>
      <c r="Y34" s="241">
        <v>0.99000000000000032</v>
      </c>
      <c r="Z34" s="141"/>
    </row>
    <row r="35" spans="1:26" x14ac:dyDescent="0.2">
      <c r="A35" t="s">
        <v>91</v>
      </c>
      <c r="B35" s="141">
        <f>NeoClassical!B2</f>
        <v>0.16485636072655599</v>
      </c>
      <c r="C35" s="141">
        <f>NeoClassical!D2</f>
        <v>0.19947471445251766</v>
      </c>
      <c r="D35" s="141">
        <f>NeoClassical!F2</f>
        <v>0.23798230341394302</v>
      </c>
      <c r="E35" s="141">
        <f>NeoClassical!H2</f>
        <v>0.28119642748889545</v>
      </c>
      <c r="F35" s="141">
        <f>NeoClassical!J2</f>
        <v>0.33019361985848267</v>
      </c>
      <c r="G35" s="141">
        <f>NeoClassical!L2</f>
        <v>0.38642196092333503</v>
      </c>
      <c r="H35" s="141">
        <f>NeoClassical!N2</f>
        <v>0.45187680031292576</v>
      </c>
      <c r="I35" s="141">
        <f>NeoClassical!P2</f>
        <v>0.52938164264600773</v>
      </c>
      <c r="J35" s="141">
        <f>NeoClassical!R2</f>
        <v>0.62305533825485448</v>
      </c>
      <c r="K35" s="141">
        <f>NeoClassical!T2</f>
        <v>0.73911537506110003</v>
      </c>
      <c r="L35" s="141">
        <f>NeoClassical!V2</f>
        <v>0.88731010507708696</v>
      </c>
      <c r="M35" s="141">
        <f>NeoClassical!X2</f>
        <v>1.0835623901133598</v>
      </c>
      <c r="N35" s="141">
        <f>NeoClassical!Z2</f>
        <v>1.3549872166408303</v>
      </c>
      <c r="O35" s="141">
        <f>NeoClassical!AB2</f>
        <v>1.7495664012528189</v>
      </c>
      <c r="P35" s="141">
        <f>NeoClassical!AD2</f>
        <v>2.3549813990175967</v>
      </c>
      <c r="Q35" s="141">
        <f>NeoClassical!AF2</f>
        <v>3.3372046863448168</v>
      </c>
      <c r="R35" s="141">
        <f>NeoClassical!AH2</f>
        <v>5.0345929077004357</v>
      </c>
      <c r="S35" s="141">
        <f>NeoClassical!AJ2</f>
        <v>8.2531528930246871</v>
      </c>
      <c r="T35" s="141">
        <f>NeoClassical!AL2</f>
        <v>15.470764000269677</v>
      </c>
      <c r="U35" s="141">
        <f>NeoClassical!AN2</f>
        <v>38.54508713977674</v>
      </c>
      <c r="V35" s="141">
        <f>NeoClassical!AP2</f>
        <v>49.649804338256054</v>
      </c>
      <c r="W35" s="141">
        <f>NeoClassical!AR2</f>
        <v>66.833863591772243</v>
      </c>
      <c r="X35" s="141">
        <f>NeoClassical!AT2</f>
        <v>0</v>
      </c>
      <c r="Y35" s="141">
        <f>NeoClassical!AV2</f>
        <v>0</v>
      </c>
      <c r="Z35" s="141"/>
    </row>
    <row r="36" spans="1:26" x14ac:dyDescent="0.2">
      <c r="A36" t="s">
        <v>166</v>
      </c>
      <c r="B36" s="141">
        <f>Kaldorian!B2</f>
        <v>0.16485636072655629</v>
      </c>
      <c r="C36" s="141">
        <f>Kaldorian!D2</f>
        <v>0.18858387731708789</v>
      </c>
      <c r="D36" s="141">
        <f>Kaldorian!F2</f>
        <v>0.21592497873285327</v>
      </c>
      <c r="E36" s="141">
        <f>Kaldorian!H2</f>
        <v>0.24773544124255306</v>
      </c>
      <c r="F36" s="141">
        <f>Kaldorian!J2</f>
        <v>0.28516709232037174</v>
      </c>
      <c r="G36" s="141">
        <f>Kaldorian!L2</f>
        <v>0.32980718697458505</v>
      </c>
      <c r="H36" s="141">
        <f>Kaldorian!N2</f>
        <v>0.38389954355423445</v>
      </c>
      <c r="I36" s="141">
        <f>Kaldorian!P2</f>
        <v>0.45071017352317999</v>
      </c>
      <c r="J36" s="141">
        <f>Kaldorian!R2</f>
        <v>0.53515048566165246</v>
      </c>
      <c r="K36" s="141">
        <f>Kaldorian!T2</f>
        <v>0</v>
      </c>
      <c r="L36" s="141">
        <f>Kaldorian!V2</f>
        <v>0</v>
      </c>
      <c r="M36" s="141">
        <f>Kaldorian!X2</f>
        <v>0</v>
      </c>
      <c r="N36" s="141">
        <f>Kaldorian!Z2</f>
        <v>0</v>
      </c>
      <c r="O36" s="141">
        <f>Kaldorian!AB2</f>
        <v>0</v>
      </c>
      <c r="P36" s="141">
        <f>Kaldorian!AD2</f>
        <v>0</v>
      </c>
      <c r="Q36" s="141">
        <f>Kaldorian!AF2</f>
        <v>0</v>
      </c>
      <c r="R36" s="141">
        <f>Kaldorian!AH2</f>
        <v>0</v>
      </c>
      <c r="S36" s="141">
        <f>Kaldorian!AJ2</f>
        <v>0</v>
      </c>
      <c r="T36" s="141">
        <f>Kaldorian!AL2</f>
        <v>0</v>
      </c>
      <c r="U36" s="141"/>
      <c r="V36" s="141"/>
      <c r="W36" s="141"/>
      <c r="X36" s="141"/>
      <c r="Y36" s="141"/>
      <c r="Z36" s="141"/>
    </row>
    <row r="37" spans="1:26" x14ac:dyDescent="0.2">
      <c r="A37" t="s">
        <v>92</v>
      </c>
      <c r="B37" s="141">
        <f>Johansen!B2</f>
        <v>0.16485636072655629</v>
      </c>
      <c r="C37" s="141">
        <f>Johansen!D2</f>
        <v>0.20064449009850194</v>
      </c>
      <c r="D37" s="141">
        <f>Johansen!F2</f>
        <v>0.24049517089853606</v>
      </c>
      <c r="E37" s="141">
        <f>Johansen!H2</f>
        <v>0.28527719732684886</v>
      </c>
      <c r="F37" s="141">
        <f>Johansen!J2</f>
        <v>0.33614085846853647</v>
      </c>
      <c r="G37" s="141">
        <f>Johansen!L2</f>
        <v>0.39464255397185399</v>
      </c>
      <c r="H37" s="141">
        <f>Johansen!N2</f>
        <v>0.46294122128101384</v>
      </c>
      <c r="I37" s="141">
        <f>Johansen!P2</f>
        <v>0.54411581245815688</v>
      </c>
      <c r="J37" s="141">
        <f>Johansen!R2</f>
        <v>0.64269874756666723</v>
      </c>
      <c r="K37" s="141">
        <f>Johansen!T2</f>
        <v>0.7656042843423343</v>
      </c>
      <c r="L37" s="141">
        <f>Johansen!V2</f>
        <v>0.92380451502926986</v>
      </c>
      <c r="M37" s="141">
        <f>Johansen!X2</f>
        <v>1.1354610776044354</v>
      </c>
      <c r="N37" s="141">
        <f>Johansen!Z2</f>
        <v>1.4319218804585099</v>
      </c>
      <c r="O37" s="141">
        <f>Johansen!AB2</f>
        <v>1.8692984615078601</v>
      </c>
      <c r="P37" s="141">
        <f>Johansen!AD2</f>
        <v>2.5508114605551819</v>
      </c>
      <c r="Q37" s="141">
        <f>Johansen!AF2</f>
        <v>3.672356841973639</v>
      </c>
      <c r="R37" s="141">
        <f>Johansen!AH2</f>
        <v>5.6359155910682661</v>
      </c>
      <c r="S37" s="141">
        <f>Johansen!AJ2</f>
        <v>9.4130322300996276</v>
      </c>
      <c r="T37" s="141">
        <f>Johansen!AL2</f>
        <v>18.030391294465645</v>
      </c>
      <c r="U37" s="141">
        <f>Johansen!AN2</f>
        <v>45.888806144508571</v>
      </c>
      <c r="V37" s="141">
        <f>Johansen!AP2</f>
        <v>59.172653574677717</v>
      </c>
      <c r="W37" s="141">
        <f>Johansen!AR2</f>
        <v>0</v>
      </c>
      <c r="X37" s="141">
        <f>Johansen!AT2</f>
        <v>0</v>
      </c>
      <c r="Y37" s="141">
        <f>Johansen!AV2</f>
        <v>0</v>
      </c>
      <c r="Z37" s="141"/>
    </row>
    <row r="38" spans="1:26" x14ac:dyDescent="0.2">
      <c r="A38" t="s">
        <v>147</v>
      </c>
      <c r="B38" s="141">
        <f>'Keynes-M'!B2</f>
        <v>0.16485636072655629</v>
      </c>
      <c r="C38" s="141">
        <f>'Keynes-M'!D2</f>
        <v>0.20205102260650235</v>
      </c>
      <c r="D38" s="141">
        <f>'Keynes-M'!F2</f>
        <v>0.24428138579050884</v>
      </c>
      <c r="E38" s="141">
        <f>'Keynes-M'!H2</f>
        <v>0.29276132708361935</v>
      </c>
      <c r="F38" s="141">
        <f>'Keynes-M'!J2</f>
        <v>0.34915466675699552</v>
      </c>
      <c r="G38" s="141">
        <f>'Keynes-M'!L2</f>
        <v>0.41580513889989301</v>
      </c>
      <c r="H38" s="141">
        <f>'Keynes-M'!N2</f>
        <v>0.49612021024012587</v>
      </c>
      <c r="I38" s="141">
        <f>'Keynes-M'!P2</f>
        <v>0.595235654586873</v>
      </c>
      <c r="J38" s="141">
        <f>'Keynes-M'!R2</f>
        <v>0.7212176464127803</v>
      </c>
      <c r="K38" s="141">
        <f>'Keynes-M'!T2</f>
        <v>0.88732918557199547</v>
      </c>
      <c r="L38" s="141">
        <f>'Keynes-M'!V2</f>
        <v>1.116451746339</v>
      </c>
      <c r="M38" s="141">
        <f>'Keynes-M'!X2</f>
        <v>1.4498036181656309</v>
      </c>
      <c r="N38" s="141">
        <f>'Keynes-M'!Z2</f>
        <v>1.963456022012634</v>
      </c>
      <c r="O38" s="141">
        <f>'Keynes-M'!AB2</f>
        <v>2.7966895732800401</v>
      </c>
      <c r="P38" s="141">
        <f>'Keynes-M'!AD2</f>
        <v>4.2008267652009277</v>
      </c>
      <c r="Q38" s="141">
        <f>'Keynes-M'!AF2</f>
        <v>6.6588361741818494</v>
      </c>
      <c r="R38" s="141"/>
      <c r="S38" s="141"/>
      <c r="T38" s="141"/>
      <c r="U38" s="141"/>
      <c r="V38" s="141"/>
      <c r="W38" s="141"/>
      <c r="X38" s="141"/>
      <c r="Y38" s="141"/>
      <c r="Z38" s="141"/>
    </row>
    <row r="39" spans="1:26" x14ac:dyDescent="0.2">
      <c r="A39" t="s">
        <v>165</v>
      </c>
      <c r="B39" s="141">
        <f>Keynesian!B2</f>
        <v>0.16485636072655629</v>
      </c>
      <c r="C39" s="141">
        <f>Keynesian!D2</f>
        <v>0.18998073911183716</v>
      </c>
      <c r="D39" s="141">
        <f>Keynesian!F2</f>
        <v>0.21680259842249255</v>
      </c>
      <c r="E39" s="141">
        <f>Keynesian!H2</f>
        <v>0.24543369742108706</v>
      </c>
      <c r="F39" s="141">
        <f>Keynesian!J2</f>
        <v>0.27597087161484013</v>
      </c>
      <c r="G39" s="141">
        <f>Keynesian!L2</f>
        <v>0.30848153186628324</v>
      </c>
      <c r="H39" s="141">
        <f>Keynesian!N2</f>
        <v>0.34298235061950527</v>
      </c>
      <c r="I39" s="141">
        <f>Keynesian!P2</f>
        <v>0.37940962218000401</v>
      </c>
      <c r="J39" s="141">
        <f>Keynesian!R2</f>
        <v>0.41758081816513259</v>
      </c>
      <c r="K39" s="141">
        <f>Keynesian!T2</f>
        <v>0.45714785049673951</v>
      </c>
      <c r="L39" s="141">
        <f>Keynesian!V2</f>
        <v>0.49754700693964687</v>
      </c>
      <c r="M39" s="141">
        <f>Keynesian!X2</f>
        <v>0.53795708563210221</v>
      </c>
      <c r="N39" s="141">
        <f>Keynesian!Z2</f>
        <v>0.57727139100185021</v>
      </c>
      <c r="O39" s="141">
        <f>Keynesian!AB2</f>
        <v>0.61405291754472613</v>
      </c>
      <c r="P39" s="141">
        <f>Keynesian!AD2</f>
        <v>0.64591061176624576</v>
      </c>
      <c r="Q39" s="141">
        <f>Keynesian!AF2</f>
        <v>0</v>
      </c>
      <c r="R39" s="141"/>
      <c r="S39" s="141"/>
      <c r="T39" s="141"/>
      <c r="U39" s="141"/>
      <c r="V39" s="141"/>
      <c r="W39" s="141"/>
      <c r="X39" s="141"/>
      <c r="Y39" s="141"/>
      <c r="Z39" s="141"/>
    </row>
    <row r="40" spans="1:26" x14ac:dyDescent="0.2">
      <c r="A40" t="s">
        <v>149</v>
      </c>
      <c r="B40" s="141">
        <f>'Keynes-K'!B2</f>
        <v>0.16485636072655629</v>
      </c>
      <c r="C40" s="141">
        <f>'Keynes-K'!D2</f>
        <v>0.17477922709378654</v>
      </c>
      <c r="D40" s="141">
        <f>'Keynes-K'!F2</f>
        <v>0.18402421141393205</v>
      </c>
      <c r="E40" s="141">
        <f>'Keynes-K'!H2</f>
        <v>0.19245087599124663</v>
      </c>
      <c r="F40" s="141">
        <f>'Keynes-K'!J2</f>
        <v>0.19996700984853005</v>
      </c>
      <c r="G40" s="141">
        <f>'Keynes-K'!L2</f>
        <v>0.20653571717043412</v>
      </c>
      <c r="H40" s="141">
        <f>'Keynes-K'!N2</f>
        <v>0.212177416633031</v>
      </c>
      <c r="I40" s="141">
        <f>'Keynes-K'!P2</f>
        <v>0.21697350386172054</v>
      </c>
      <c r="J40" s="141">
        <f>'Keynes-K'!R2</f>
        <v>0.22108313273884603</v>
      </c>
      <c r="K40" s="141">
        <f>'Keynes-K'!T2</f>
        <v>0.22479025594929442</v>
      </c>
      <c r="L40" s="141">
        <f>'Keynes-K'!V2</f>
        <v>0.22861654867425679</v>
      </c>
      <c r="M40" s="141">
        <f>'Keynes-K'!X2</f>
        <v>0.23351237748947548</v>
      </c>
      <c r="N40" s="141">
        <f>'Keynes-K'!Z2</f>
        <v>0.24069937532453589</v>
      </c>
      <c r="O40" s="141">
        <f>'Keynes-K'!AB2</f>
        <v>0</v>
      </c>
      <c r="P40" s="141">
        <f>'Keynes-K'!AD2</f>
        <v>0</v>
      </c>
      <c r="Q40" s="141">
        <f>'Keynes-K'!AF2</f>
        <v>0</v>
      </c>
      <c r="R40" s="141">
        <f>'Keynes-K'!AH2</f>
        <v>0</v>
      </c>
      <c r="S40" s="141">
        <f>'Keynes-K'!AJ2</f>
        <v>0</v>
      </c>
      <c r="T40" s="141">
        <f>'Keynes-K'!AL2</f>
        <v>0</v>
      </c>
      <c r="U40" s="141"/>
      <c r="V40" s="141"/>
      <c r="W40" s="141"/>
      <c r="X40" s="141"/>
      <c r="Y40" s="141"/>
    </row>
    <row r="41" spans="1:26" x14ac:dyDescent="0.2">
      <c r="A41" t="s">
        <v>160</v>
      </c>
      <c r="B41" s="141">
        <f>'Neo-K2'!B$2</f>
        <v>0.16485636072655629</v>
      </c>
      <c r="C41" s="141">
        <f>'Neo-K2'!D$2</f>
        <v>0.19234524173560413</v>
      </c>
      <c r="D41" s="141">
        <f>'Neo-K2'!F$2</f>
        <v>0.2221452008607506</v>
      </c>
      <c r="E41" s="141">
        <f>'Neo-K2'!H$2</f>
        <v>0.25457906961424259</v>
      </c>
      <c r="F41" s="141">
        <f>'Neo-K2'!J$2</f>
        <v>0.2900287474184533</v>
      </c>
      <c r="G41" s="141">
        <f>'Neo-K2'!L$2</f>
        <v>0.32894850675827048</v>
      </c>
      <c r="H41" s="141">
        <f>'Neo-K2'!N$2</f>
        <v>0.37188340302079709</v>
      </c>
      <c r="I41" s="141">
        <f>'Neo-K2'!P$2</f>
        <v>0.41949704620848638</v>
      </c>
      <c r="J41" s="141">
        <f>'Neo-K2'!R$2</f>
        <v>0.47261988990687903</v>
      </c>
      <c r="K41" s="141">
        <f>'Neo-K2'!T$2</f>
        <v>0.53234322285681879</v>
      </c>
      <c r="L41" s="141">
        <f>'Neo-K2'!V$2</f>
        <v>0.60021729580866745</v>
      </c>
      <c r="M41" s="141">
        <f>'Neo-K2'!X$2</f>
        <v>0.67868902683398491</v>
      </c>
      <c r="N41" s="141">
        <f>'Neo-K2'!Z$2</f>
        <v>0.77208007240913856</v>
      </c>
      <c r="O41" s="141">
        <f>'Neo-K2'!AB$2</f>
        <v>0.88881682604531631</v>
      </c>
      <c r="P41" s="141">
        <f>'Neo-K2'!AD$2</f>
        <v>1.0466515849868581</v>
      </c>
      <c r="Q41" s="141">
        <f>'Neo-K2'!AF$2</f>
        <v>1.28579608523013</v>
      </c>
      <c r="R41" s="141">
        <f>'Neo-K2'!AH$2</f>
        <v>1.7060331248008285</v>
      </c>
      <c r="S41" s="141">
        <f>'Neo-K2'!AJ$2</f>
        <v>2.5894779929901866</v>
      </c>
      <c r="T41" s="141">
        <f>'Neo-K2'!AL$2</f>
        <v>4.9174014360240443</v>
      </c>
      <c r="U41" s="141">
        <f>'Neo-K2'!AN$2</f>
        <v>14.34770053111137</v>
      </c>
      <c r="V41" s="141">
        <f>'Neo-K2'!AP$2</f>
        <v>19.852423296458582</v>
      </c>
      <c r="W41" s="141">
        <f>'Neo-K2'!AR$2</f>
        <v>29.742415714326967</v>
      </c>
      <c r="X41" s="141">
        <f>'Neo-K2'!AT$2</f>
        <v>51.254791297814918</v>
      </c>
      <c r="Y41" s="141">
        <f>'Neo-K2'!AV$2</f>
        <v>0</v>
      </c>
    </row>
    <row r="42" spans="1:26" x14ac:dyDescent="0.2">
      <c r="A42" t="s">
        <v>161</v>
      </c>
      <c r="B42" s="141">
        <f>'Neo-K1'!B$2</f>
        <v>0.16485636072655629</v>
      </c>
      <c r="C42" s="141">
        <f>'Neo-K1'!D$2</f>
        <v>0.1949809261336094</v>
      </c>
      <c r="D42" s="141">
        <f>'Neo-K1'!F$2</f>
        <v>0.22801410735669464</v>
      </c>
      <c r="E42" s="141">
        <f>'Neo-K1'!H$2</f>
        <v>0.26444282816247611</v>
      </c>
      <c r="F42" s="141">
        <f>'Neo-K1'!J$2</f>
        <v>0.30486810861335162</v>
      </c>
      <c r="G42" s="141">
        <f>'Neo-K1'!L$2</f>
        <v>0.35003788549468162</v>
      </c>
      <c r="H42" s="141">
        <f>'Neo-K1'!N$2</f>
        <v>0.40088978478280035</v>
      </c>
      <c r="I42" s="141">
        <f>'Neo-K1'!P$2</f>
        <v>0.45860527884210633</v>
      </c>
      <c r="J42" s="141">
        <f>'Neo-K1'!R$2</f>
        <v>0.52467696830773236</v>
      </c>
      <c r="K42" s="141">
        <f>'Neo-K1'!T$2</f>
        <v>0.60098475278566266</v>
      </c>
      <c r="L42" s="141">
        <f>'Neo-K1'!V$2</f>
        <v>0.68986945705750791</v>
      </c>
      <c r="M42" s="141">
        <f>'Neo-K1'!X$2</f>
        <v>0.79417035044470652</v>
      </c>
      <c r="N42" s="141">
        <f>'Neo-K1'!Z$2</f>
        <v>0.91716095638048178</v>
      </c>
      <c r="O42" s="141">
        <f>'Neo-K1'!AB$2</f>
        <v>1.0622757370218741</v>
      </c>
      <c r="P42" s="141">
        <f>'Neo-K1'!AD$2</f>
        <v>1.2325117547189579</v>
      </c>
      <c r="Q42" s="141">
        <f>'Neo-K1'!AF$2</f>
        <v>1.4295040482672881</v>
      </c>
      <c r="R42" s="141">
        <f>'Neo-K1'!AH$2</f>
        <v>1.6525539925600159</v>
      </c>
      <c r="S42" s="141">
        <f>'Neo-K1'!AJ$2</f>
        <v>1.8981742843172353</v>
      </c>
      <c r="T42" s="141">
        <f>'Neo-K1'!AL$2</f>
        <v>2.1605798642974592</v>
      </c>
      <c r="U42" s="141">
        <f>'Neo-K1'!AN$2</f>
        <v>2.4329438843559075</v>
      </c>
      <c r="V42" s="141">
        <f>'Neo-K1'!AP$2</f>
        <v>2.4880206892790668</v>
      </c>
      <c r="W42" s="141">
        <f>'Neo-K1'!AR$2</f>
        <v>2.5431836547857123</v>
      </c>
      <c r="X42" s="141">
        <f>'Neo-K1'!AT$2</f>
        <v>2.5983875886456049</v>
      </c>
      <c r="Y42" s="141">
        <f>'Neo-K1'!AV$2</f>
        <v>2.653589636527097</v>
      </c>
    </row>
    <row r="47" spans="1:26" x14ac:dyDescent="0.2">
      <c r="A47" t="s">
        <v>102</v>
      </c>
    </row>
    <row r="48" spans="1:26" x14ac:dyDescent="0.2">
      <c r="A48" t="s">
        <v>150</v>
      </c>
      <c r="B48" s="97">
        <v>0</v>
      </c>
      <c r="C48" s="97">
        <v>0.05</v>
      </c>
      <c r="D48" s="97">
        <v>0.1</v>
      </c>
      <c r="E48" s="97">
        <v>0.15000000000000002</v>
      </c>
      <c r="F48" s="97">
        <v>0.2</v>
      </c>
      <c r="G48" s="97">
        <v>0.25</v>
      </c>
      <c r="H48" s="97">
        <v>0.3</v>
      </c>
      <c r="I48" s="97">
        <v>0.35</v>
      </c>
      <c r="J48" s="97">
        <v>0.39999999999999997</v>
      </c>
      <c r="K48" s="97">
        <v>0.44999999999999996</v>
      </c>
      <c r="L48" s="97">
        <v>0.49999999999999994</v>
      </c>
      <c r="M48" s="97">
        <v>0.54999999999999993</v>
      </c>
      <c r="N48" s="97">
        <v>0.6</v>
      </c>
      <c r="O48" s="97">
        <v>0.65</v>
      </c>
      <c r="P48" s="97">
        <v>0.70000000000000007</v>
      </c>
      <c r="Q48" s="97">
        <v>0.75000000000000011</v>
      </c>
      <c r="R48" s="97">
        <v>0.80000000000000016</v>
      </c>
      <c r="S48" s="97">
        <v>0.8500000000000002</v>
      </c>
      <c r="T48" s="97">
        <v>0.90000000000000024</v>
      </c>
      <c r="U48" s="97">
        <v>0.95000000000000029</v>
      </c>
      <c r="V48" s="97">
        <v>0.9600000000000003</v>
      </c>
      <c r="W48" s="97">
        <v>0.97000000000000031</v>
      </c>
      <c r="X48" s="97">
        <v>0.98000000000000032</v>
      </c>
      <c r="Y48" s="97">
        <v>0.99000000000000032</v>
      </c>
      <c r="Z48" s="142"/>
    </row>
    <row r="49" spans="1:26" x14ac:dyDescent="0.2">
      <c r="A49" t="str">
        <f t="shared" ref="A49:A54" si="36">A3</f>
        <v>Neoclassical</v>
      </c>
      <c r="B49" s="198">
        <f>NeoClassical!B$43</f>
        <v>0.60327031657597174</v>
      </c>
      <c r="C49" s="198">
        <f>NeoClassical!D$43</f>
        <v>0.60697082674916181</v>
      </c>
      <c r="D49" s="198">
        <f>NeoClassical!F$43</f>
        <v>0.6055128963471067</v>
      </c>
      <c r="E49" s="198">
        <f>NeoClassical!H$43</f>
        <v>0.60406822873660238</v>
      </c>
      <c r="F49" s="198">
        <f>NeoClassical!J$43</f>
        <v>0.6026402436283701</v>
      </c>
      <c r="G49" s="198">
        <f>NeoClassical!L$43</f>
        <v>0.60123343824249598</v>
      </c>
      <c r="H49" s="198">
        <f>NeoClassical!N$43</f>
        <v>0.59985378249809451</v>
      </c>
      <c r="I49" s="198">
        <f>NeoClassical!P$43</f>
        <v>0.59850931425031551</v>
      </c>
      <c r="J49" s="198">
        <f>NeoClassical!R$43</f>
        <v>0.59721093347280951</v>
      </c>
      <c r="K49" s="198">
        <f>NeoClassical!T$43</f>
        <v>0.59597348322212518</v>
      </c>
      <c r="L49" s="198">
        <f>NeoClassical!V$43</f>
        <v>0.59481715483247755</v>
      </c>
      <c r="M49" s="198">
        <f>NeoClassical!X$43</f>
        <v>0.59376894485705989</v>
      </c>
      <c r="N49" s="198">
        <f>NeoClassical!Z$43</f>
        <v>0.59286313501906684</v>
      </c>
      <c r="O49" s="198">
        <f>NeoClassical!AB$43</f>
        <v>0.5921379371671277</v>
      </c>
      <c r="P49" s="198">
        <f>NeoClassical!AD$43</f>
        <v>0.59162327926306535</v>
      </c>
      <c r="Q49" s="198">
        <f>NeoClassical!AF$43</f>
        <v>0.59131858795121439</v>
      </c>
      <c r="R49" s="198">
        <f>NeoClassical!AH$43</f>
        <v>0.59117834615886833</v>
      </c>
      <c r="S49" s="198">
        <f>NeoClassical!AJ$43</f>
        <v>0.59113187929388311</v>
      </c>
      <c r="T49" s="198">
        <f>NeoClassical!AL$43</f>
        <v>0.59112199431358048</v>
      </c>
      <c r="U49" s="198">
        <f>NeoClassical!AN$43</f>
        <v>0.59112094752266309</v>
      </c>
      <c r="V49" s="198">
        <f>NeoClassical!AP$43</f>
        <v>0.59112092989931542</v>
      </c>
      <c r="W49" s="198">
        <f>NeoClassical!AR$43</f>
        <v>0.59112092329649268</v>
      </c>
      <c r="X49" s="198" t="e">
        <f>NeoClassical!AT$43</f>
        <v>#DIV/0!</v>
      </c>
      <c r="Y49" s="198" t="e">
        <f>NeoClassical!AV$43</f>
        <v>#DIV/0!</v>
      </c>
      <c r="Z49" s="141"/>
    </row>
    <row r="50" spans="1:26" x14ac:dyDescent="0.2">
      <c r="A50" t="str">
        <f t="shared" si="36"/>
        <v>Kaldorian</v>
      </c>
      <c r="B50" s="198">
        <f>Johansen!B$43</f>
        <v>0.60327031657597174</v>
      </c>
      <c r="C50" s="198">
        <f>Johansen!D$43</f>
        <v>0.60695182075314358</v>
      </c>
      <c r="D50" s="198">
        <f>Johansen!F$43</f>
        <v>0.60547504073265823</v>
      </c>
      <c r="E50" s="198">
        <f>Johansen!H$43</f>
        <v>0.60401176495946074</v>
      </c>
      <c r="F50" s="198">
        <f>Johansen!J$43</f>
        <v>0.60256556888246304</v>
      </c>
      <c r="G50" s="198">
        <f>Johansen!L$43</f>
        <v>0.60114118935353567</v>
      </c>
      <c r="H50" s="198">
        <f>Johansen!N$43</f>
        <v>0.59974494750672547</v>
      </c>
      <c r="I50" s="198">
        <f>Johansen!P$43</f>
        <v>0.59838540231953175</v>
      </c>
      <c r="J50" s="198">
        <f>Johansen!R$43</f>
        <v>0.59707423020149741</v>
      </c>
      <c r="K50" s="198">
        <f>Johansen!T$43</f>
        <v>0.59582742306469583</v>
      </c>
      <c r="L50" s="198">
        <f>Johansen!V$43</f>
        <v>0.59466684155326988</v>
      </c>
      <c r="M50" s="198">
        <f>Johansen!X$43</f>
        <v>0.59362178292997947</v>
      </c>
      <c r="N50" s="198">
        <f>Johansen!Z$43</f>
        <v>0.59272920336426427</v>
      </c>
      <c r="O50" s="198">
        <f>Johansen!AB$43</f>
        <v>0.59202906328461979</v>
      </c>
      <c r="P50" s="198">
        <f>Johansen!AD$43</f>
        <v>0.59154895168747634</v>
      </c>
      <c r="Q50" s="198">
        <f>Johansen!AF$43</f>
        <v>0.59127925854368835</v>
      </c>
      <c r="R50" s="198">
        <f>Johansen!AH$43</f>
        <v>0.59116358847360917</v>
      </c>
      <c r="S50" s="198">
        <f>Johansen!AJ$43</f>
        <v>0.59112837664385121</v>
      </c>
      <c r="T50" s="198">
        <f>Johansen!AL$43</f>
        <v>0.5911215798692443</v>
      </c>
      <c r="U50" s="198">
        <f>Johansen!AN$43</f>
        <v>0.5911209356693099</v>
      </c>
      <c r="V50" s="198">
        <f>Johansen!AP$43</f>
        <v>0.59112092583588505</v>
      </c>
      <c r="W50" s="198" t="e">
        <f>Johansen!AR$43</f>
        <v>#DIV/0!</v>
      </c>
      <c r="X50" s="198" t="e">
        <f>Johansen!AT$43</f>
        <v>#DIV/0!</v>
      </c>
      <c r="Y50" s="198" t="e">
        <f>Johansen!AV$43</f>
        <v>#DIV/0!</v>
      </c>
      <c r="Z50" s="141"/>
    </row>
    <row r="51" spans="1:26" x14ac:dyDescent="0.2">
      <c r="A51" t="str">
        <f t="shared" si="36"/>
        <v>Johansen</v>
      </c>
      <c r="B51" s="198">
        <f>Kaldorian!B$43</f>
        <v>0.60327031657597174</v>
      </c>
      <c r="C51" s="198">
        <f>Kaldorian!D$43</f>
        <v>0.64187591719797221</v>
      </c>
      <c r="D51" s="198">
        <f>Kaldorian!F$43</f>
        <v>0.67763944677046317</v>
      </c>
      <c r="E51" s="198">
        <f>Kaldorian!H$43</f>
        <v>0.71606262237342067</v>
      </c>
      <c r="F51" s="198">
        <f>Kaldorian!J$43</f>
        <v>0.75756668176632858</v>
      </c>
      <c r="G51" s="198">
        <f>Kaldorian!L$43</f>
        <v>0.80269325775983669</v>
      </c>
      <c r="H51" s="198">
        <f>Kaldorian!N$43</f>
        <v>0.85214881380802809</v>
      </c>
      <c r="I51" s="198">
        <f>Kaldorian!P$43</f>
        <v>0.9068650850001061</v>
      </c>
      <c r="J51" s="198">
        <f>Kaldorian!R$43</f>
        <v>0.96807863265225236</v>
      </c>
      <c r="K51" s="198" t="e">
        <f>Kaldorian!T$43</f>
        <v>#DIV/0!</v>
      </c>
      <c r="L51" s="198" t="e">
        <f>Kaldorian!V$43</f>
        <v>#DIV/0!</v>
      </c>
      <c r="M51" s="198" t="e">
        <f>Kaldorian!X$43</f>
        <v>#DIV/0!</v>
      </c>
      <c r="N51" s="198" t="e">
        <f>Kaldorian!Z$43</f>
        <v>#DIV/0!</v>
      </c>
      <c r="O51" s="198" t="e">
        <f>Kaldorian!AB$43</f>
        <v>#DIV/0!</v>
      </c>
      <c r="P51" s="198" t="e">
        <f>Kaldorian!AD$43</f>
        <v>#DIV/0!</v>
      </c>
      <c r="Q51" s="198" t="e">
        <f>Kaldorian!AF$43</f>
        <v>#DIV/0!</v>
      </c>
      <c r="R51" s="198" t="e">
        <f>Kaldorian!AH$43</f>
        <v>#DIV/0!</v>
      </c>
      <c r="S51" s="198" t="e">
        <f>Kaldorian!AJ$43</f>
        <v>#DIV/0!</v>
      </c>
      <c r="T51" s="198" t="e">
        <f>Kaldorian!AL$43</f>
        <v>#DIV/0!</v>
      </c>
      <c r="U51" s="198" t="e">
        <f>Kaldorian!AN$43</f>
        <v>#DIV/0!</v>
      </c>
      <c r="V51" s="198" t="e">
        <f>Kaldorian!AP$43</f>
        <v>#DIV/0!</v>
      </c>
      <c r="W51" s="198" t="e">
        <f>Kaldorian!AR$43</f>
        <v>#DIV/0!</v>
      </c>
      <c r="X51" s="198" t="e">
        <f>Kaldorian!AT$43</f>
        <v>#DIV/0!</v>
      </c>
      <c r="Y51" s="198" t="e">
        <f>Kaldorian!AV$43</f>
        <v>#DIV/0!</v>
      </c>
      <c r="Z51" s="141"/>
    </row>
    <row r="52" spans="1:26" x14ac:dyDescent="0.2">
      <c r="A52" t="str">
        <f t="shared" si="36"/>
        <v>Keynes-Kaldor</v>
      </c>
      <c r="B52" s="198">
        <f>'Keynes-K'!B$43</f>
        <v>0.60327031657597174</v>
      </c>
      <c r="C52" s="198">
        <f>'Keynes-K'!D$43</f>
        <v>0.62375656202851792</v>
      </c>
      <c r="D52" s="198">
        <f>'Keynes-K'!F$43</f>
        <v>0.63784565975096319</v>
      </c>
      <c r="E52" s="198">
        <f>'Keynes-K'!H$43</f>
        <v>0.65060229968993533</v>
      </c>
      <c r="F52" s="198">
        <f>'Keynes-K'!J$43</f>
        <v>0.66197380074317658</v>
      </c>
      <c r="G52" s="198">
        <f>'Keynes-K'!L$43</f>
        <v>0.67195809578905119</v>
      </c>
      <c r="H52" s="198">
        <f>'Keynes-K'!N$43</f>
        <v>0.68058964910807274</v>
      </c>
      <c r="I52" s="198">
        <f>'Keynes-K'!P$43</f>
        <v>0.68791717376395833</v>
      </c>
      <c r="J52" s="198">
        <f>'Keynes-K'!R$43</f>
        <v>0.69398111639796345</v>
      </c>
      <c r="K52" s="198">
        <f>'Keynes-K'!T$43</f>
        <v>0.69877559504898179</v>
      </c>
      <c r="L52" s="198">
        <f>'Keynes-K'!V$43</f>
        <v>0.70217753423241902</v>
      </c>
      <c r="M52" s="198">
        <f>'Keynes-K'!X$43</f>
        <v>0.70383442006496844</v>
      </c>
      <c r="N52" s="198">
        <f>'Keynes-K'!Z$43</f>
        <v>0.70324020801971421</v>
      </c>
      <c r="O52" s="198" t="e">
        <f>'Keynes-K'!AB$43</f>
        <v>#DIV/0!</v>
      </c>
      <c r="P52" s="198" t="e">
        <f>'Keynes-K'!AD$43</f>
        <v>#DIV/0!</v>
      </c>
      <c r="Q52" s="198" t="e">
        <f>'Keynes-K'!AF$43</f>
        <v>#DIV/0!</v>
      </c>
      <c r="R52" s="198" t="e">
        <f>'Keynes-K'!AH$43</f>
        <v>#DIV/0!</v>
      </c>
      <c r="S52" s="198" t="e">
        <f>'Keynes-K'!AJ$43</f>
        <v>#DIV/0!</v>
      </c>
      <c r="T52" s="198" t="e">
        <f>'Keynes-K'!AL$43</f>
        <v>#DIV/0!</v>
      </c>
      <c r="U52" s="198" t="e">
        <f>'Keynes-K'!AN$43</f>
        <v>#DIV/0!</v>
      </c>
      <c r="V52" s="198" t="e">
        <f>'Keynes-K'!AP$43</f>
        <v>#DIV/0!</v>
      </c>
      <c r="W52" s="198" t="e">
        <f>'Keynes-K'!AR$43</f>
        <v>#DIV/0!</v>
      </c>
      <c r="X52" s="198" t="e">
        <f>'Keynes-K'!AT$43</f>
        <v>#DIV/0!</v>
      </c>
      <c r="Y52" s="198" t="e">
        <f>'Keynes-K'!AV$43</f>
        <v>#DIV/0!</v>
      </c>
    </row>
    <row r="53" spans="1:26" x14ac:dyDescent="0.2">
      <c r="A53" t="str">
        <f t="shared" si="36"/>
        <v>Keynes-Marshall</v>
      </c>
      <c r="B53" s="198">
        <f>'Keynes-M'!B$43</f>
        <v>0.60327031657597174</v>
      </c>
      <c r="C53" s="198">
        <f>'Keynes-M'!D$43</f>
        <v>0.61584132649152135</v>
      </c>
      <c r="D53" s="198">
        <f>'Keynes-M'!F$43</f>
        <v>0.62368930504135933</v>
      </c>
      <c r="E53" s="198">
        <f>'Keynes-M'!H$43</f>
        <v>0.63207930598473461</v>
      </c>
      <c r="F53" s="198">
        <f>'Keynes-M'!J$43</f>
        <v>0.64114069801602358</v>
      </c>
      <c r="G53" s="198">
        <f>'Keynes-M'!L$43</f>
        <v>0.65105187805329989</v>
      </c>
      <c r="H53" s="198">
        <f>'Keynes-M'!N$43</f>
        <v>0.66206529558637839</v>
      </c>
      <c r="I53" s="198">
        <f>'Keynes-M'!P$43</f>
        <v>0.67454786849142356</v>
      </c>
      <c r="J53" s="198">
        <f>'Keynes-M'!R$43</f>
        <v>0.68904802501208195</v>
      </c>
      <c r="K53" s="198">
        <f>'Keynes-M'!T$43</f>
        <v>0.70640733733387373</v>
      </c>
      <c r="L53" s="198">
        <f>'Keynes-M'!V$43</f>
        <v>0.7279405248321551</v>
      </c>
      <c r="M53" s="198">
        <f>'Keynes-M'!X$43</f>
        <v>0.75569066009109476</v>
      </c>
      <c r="N53" s="198">
        <f>'Keynes-M'!Z$43</f>
        <v>0.79265524165098133</v>
      </c>
      <c r="O53" s="198">
        <f>'Keynes-M'!AB$43</f>
        <v>0.84264693093683918</v>
      </c>
      <c r="P53" s="198">
        <f>'Keynes-M'!AD$43</f>
        <v>0.90974491259224044</v>
      </c>
      <c r="Q53" s="198">
        <f>'Keynes-M'!AF$43</f>
        <v>0.99899898579474078</v>
      </c>
      <c r="R53" s="198" t="e">
        <f>'Keynes-M'!AH$43</f>
        <v>#DIV/0!</v>
      </c>
      <c r="S53" s="198" t="e">
        <f>'Keynes-M'!AJ$43</f>
        <v>#DIV/0!</v>
      </c>
      <c r="T53" s="198" t="e">
        <f>'Keynes-M'!AL$43</f>
        <v>#DIV/0!</v>
      </c>
      <c r="U53" s="198" t="e">
        <f>'Keynes-M'!AN$43</f>
        <v>#DIV/0!</v>
      </c>
      <c r="V53" s="198" t="e">
        <f>'Keynes-M'!AP$43</f>
        <v>#DIV/0!</v>
      </c>
      <c r="W53" s="198" t="e">
        <f>'Keynes-M'!AR$43</f>
        <v>#DIV/0!</v>
      </c>
      <c r="X53" s="198" t="e">
        <f>'Keynes-M'!AT$43</f>
        <v>#DIV/0!</v>
      </c>
      <c r="Y53" s="198" t="e">
        <f>'Keynes-M'!AV$43</f>
        <v>#DIV/0!</v>
      </c>
    </row>
    <row r="54" spans="1:26" x14ac:dyDescent="0.2">
      <c r="A54" t="str">
        <f t="shared" si="36"/>
        <v>Keynesian</v>
      </c>
      <c r="B54" s="198">
        <f>Keynesian!B$43</f>
        <v>0.60327031657597174</v>
      </c>
      <c r="C54" s="198">
        <f>Keynesian!D$43</f>
        <v>0.61357999783470507</v>
      </c>
      <c r="D54" s="198">
        <f>Keynesian!F$43</f>
        <v>0.61883422964378065</v>
      </c>
      <c r="E54" s="198">
        <f>Keynesian!H$43</f>
        <v>0.6242014971692631</v>
      </c>
      <c r="F54" s="198">
        <f>Keynesian!J$43</f>
        <v>0.62967770186415029</v>
      </c>
      <c r="G54" s="198">
        <f>Keynesian!L$43</f>
        <v>0.63525383446947525</v>
      </c>
      <c r="H54" s="198">
        <f>Keynesian!N$43</f>
        <v>0.64091380763571781</v>
      </c>
      <c r="I54" s="198">
        <f>Keynesian!P$43</f>
        <v>0.64663166539107297</v>
      </c>
      <c r="J54" s="198">
        <f>Keynesian!R$43</f>
        <v>0.65236819601867724</v>
      </c>
      <c r="K54" s="198">
        <f>Keynesian!T$43</f>
        <v>0.65806698270274466</v>
      </c>
      <c r="L54" s="198">
        <f>Keynesian!V$43</f>
        <v>0.66364926753120745</v>
      </c>
      <c r="M54" s="198">
        <f>Keynesian!X$43</f>
        <v>0.66900861231968611</v>
      </c>
      <c r="N54" s="198">
        <f>Keynesian!Z$43</f>
        <v>0.67399809562604418</v>
      </c>
      <c r="O54" s="198">
        <f>Keynesian!AB$43</f>
        <v>0.6783777809384105</v>
      </c>
      <c r="P54" s="198">
        <f>Keynesian!AD$43</f>
        <v>0.68142336384672131</v>
      </c>
      <c r="Q54" s="198" t="e">
        <f>Keynesian!AF$43</f>
        <v>#DIV/0!</v>
      </c>
      <c r="R54" s="198" t="e">
        <f>Keynesian!AH$43</f>
        <v>#DIV/0!</v>
      </c>
      <c r="S54" s="198" t="e">
        <f>Keynesian!AJ$43</f>
        <v>#DIV/0!</v>
      </c>
      <c r="T54" s="198" t="e">
        <f>Keynesian!AL$43</f>
        <v>#DIV/0!</v>
      </c>
      <c r="U54" s="198" t="e">
        <f>Keynesian!AN$43</f>
        <v>#DIV/0!</v>
      </c>
      <c r="V54" s="198" t="e">
        <f>Keynesian!AP$43</f>
        <v>#DIV/0!</v>
      </c>
      <c r="W54" s="198" t="e">
        <f>Keynesian!AR$43</f>
        <v>#DIV/0!</v>
      </c>
      <c r="X54" s="198" t="e">
        <f>Keynesian!AT$43</f>
        <v>#DIV/0!</v>
      </c>
      <c r="Y54" s="198" t="e">
        <f>Keynesian!AV$43</f>
        <v>#DIV/0!</v>
      </c>
    </row>
    <row r="55" spans="1:26" x14ac:dyDescent="0.2">
      <c r="A55" t="s">
        <v>161</v>
      </c>
      <c r="B55" s="198">
        <f>'Neo-K2'!B$43</f>
        <v>0.60327031657597174</v>
      </c>
      <c r="C55" s="198">
        <f>'Neo-K2'!D$43</f>
        <v>0.60876661891924777</v>
      </c>
      <c r="D55" s="198">
        <f>'Neo-K2'!F$43</f>
        <v>0.6091479919380981</v>
      </c>
      <c r="E55" s="198">
        <f>'Neo-K2'!H$43</f>
        <v>0.60958965532503862</v>
      </c>
      <c r="F55" s="198">
        <f>'Neo-K2'!J$43</f>
        <v>0.61009830937529352</v>
      </c>
      <c r="G55" s="198">
        <f>'Neo-K2'!L$43</f>
        <v>0.61068106986769299</v>
      </c>
      <c r="H55" s="198">
        <f>'Neo-K2'!N$43</f>
        <v>0.61134513804808688</v>
      </c>
      <c r="I55" s="198">
        <f>'Neo-K2'!P$43</f>
        <v>0.61209720326657691</v>
      </c>
      <c r="J55" s="198">
        <f>'Neo-K2'!R$43</f>
        <v>0.61294234534386338</v>
      </c>
      <c r="K55" s="198">
        <f>'Neo-K2'!T$43</f>
        <v>0.6138822118024192</v>
      </c>
      <c r="L55" s="198">
        <f>'Neo-K2'!V$43</f>
        <v>0.6149121151667809</v>
      </c>
      <c r="M55" s="198">
        <f>'Neo-K2'!X$43</f>
        <v>0.61601652164975884</v>
      </c>
      <c r="N55" s="198">
        <f>'Neo-K2'!Z$43</f>
        <v>0.61716226402996865</v>
      </c>
      <c r="O55" s="198">
        <f>'Neo-K2'!AB$43</f>
        <v>0.61828796027976995</v>
      </c>
      <c r="P55" s="198">
        <f>'Neo-K2'!AD$43</f>
        <v>0.61928631842921267</v>
      </c>
      <c r="Q55" s="198">
        <f>'Neo-K2'!AF$43</f>
        <v>0.61996928103632998</v>
      </c>
      <c r="R55" s="198">
        <f>'Neo-K2'!AH$43</f>
        <v>0.61998399370895707</v>
      </c>
      <c r="S55" s="198">
        <f>'Neo-K2'!AJ$43</f>
        <v>0.61857144389476382</v>
      </c>
      <c r="T55" s="198">
        <f>'Neo-K2'!AL$43</f>
        <v>0.61376894769276225</v>
      </c>
      <c r="U55" s="198">
        <f>'Neo-K2'!AN$43</f>
        <v>0.5981581507413829</v>
      </c>
      <c r="V55" s="198">
        <f>'Neo-K2'!AP$43</f>
        <v>0.59116255246104554</v>
      </c>
      <c r="W55" s="198">
        <f>'Neo-K2'!AR$43</f>
        <v>0.58072338202789764</v>
      </c>
      <c r="X55" s="198">
        <f>'Neo-K2'!AT$43</f>
        <v>0.56334633395994216</v>
      </c>
      <c r="Y55" s="198" t="e">
        <f>'Neo-K2'!AV$43</f>
        <v>#DIV/0!</v>
      </c>
    </row>
    <row r="56" spans="1:26" x14ac:dyDescent="0.2">
      <c r="A56" t="s">
        <v>160</v>
      </c>
      <c r="B56" s="198">
        <f>'Neo-K2'!B$43</f>
        <v>0.60327031657597174</v>
      </c>
      <c r="C56" s="198">
        <f>'Neo-K2'!D$43</f>
        <v>0.60876661891924777</v>
      </c>
      <c r="D56" s="198">
        <f>'Neo-K2'!F$43</f>
        <v>0.6091479919380981</v>
      </c>
      <c r="E56" s="198">
        <f>'Neo-K2'!H$43</f>
        <v>0.60958965532503862</v>
      </c>
      <c r="F56" s="198">
        <f>'Neo-K2'!J$43</f>
        <v>0.61009830937529352</v>
      </c>
      <c r="G56" s="198">
        <f>'Neo-K2'!L$43</f>
        <v>0.61068106986769299</v>
      </c>
      <c r="H56" s="198">
        <f>'Neo-K2'!N$43</f>
        <v>0.61134513804808688</v>
      </c>
      <c r="I56" s="198">
        <f>'Neo-K2'!P$43</f>
        <v>0.61209720326657691</v>
      </c>
      <c r="J56" s="198">
        <f>'Neo-K2'!R$43</f>
        <v>0.61294234534386338</v>
      </c>
      <c r="K56" s="198">
        <f>'Neo-K2'!T$43</f>
        <v>0.6138822118024192</v>
      </c>
      <c r="L56" s="198">
        <f>'Neo-K2'!V$43</f>
        <v>0.6149121151667809</v>
      </c>
      <c r="M56" s="198">
        <f>'Neo-K2'!X$43</f>
        <v>0.61601652164975884</v>
      </c>
      <c r="N56" s="198">
        <f>'Neo-K2'!Z$43</f>
        <v>0.61716226402996865</v>
      </c>
      <c r="O56" s="198">
        <f>'Neo-K2'!AB$43</f>
        <v>0.61828796027976995</v>
      </c>
      <c r="P56" s="198">
        <f>'Neo-K2'!AD$43</f>
        <v>0.61928631842921267</v>
      </c>
      <c r="Q56" s="198">
        <f>'Neo-K2'!AF$43</f>
        <v>0.61996928103632998</v>
      </c>
      <c r="R56" s="198">
        <f>'Neo-K2'!AH$43</f>
        <v>0.61998399370895707</v>
      </c>
      <c r="S56" s="198">
        <f>'Neo-K2'!AJ$43</f>
        <v>0.61857144389476382</v>
      </c>
      <c r="T56" s="198">
        <f>'Neo-K2'!AL$43</f>
        <v>0.61376894769276225</v>
      </c>
      <c r="U56" s="198">
        <f>'Neo-K2'!AN$43</f>
        <v>0.5981581507413829</v>
      </c>
      <c r="V56" s="198">
        <f>'Neo-K2'!AP$43</f>
        <v>0.59116255246104554</v>
      </c>
      <c r="W56" s="198">
        <f>'Neo-K2'!AR$43</f>
        <v>0.58072338202789764</v>
      </c>
      <c r="X56" s="198">
        <f>'Neo-K2'!AT$43</f>
        <v>0.56334633395994216</v>
      </c>
      <c r="Y56" s="198" t="e">
        <f>'Neo-K2'!AV$43</f>
        <v>#DIV/0!</v>
      </c>
    </row>
    <row r="57" spans="1:26" x14ac:dyDescent="0.2">
      <c r="B57" s="143"/>
      <c r="C57" s="143"/>
      <c r="D57" s="143"/>
      <c r="E57" s="143"/>
      <c r="F57" s="143"/>
      <c r="G57" s="143"/>
      <c r="H57" s="143"/>
      <c r="I57" s="143"/>
      <c r="J57" s="143"/>
      <c r="K57" s="143"/>
      <c r="L57" s="143"/>
      <c r="M57" s="143"/>
      <c r="N57" s="143"/>
      <c r="O57" s="143"/>
      <c r="P57" s="143"/>
      <c r="Q57" s="143"/>
      <c r="R57" s="143"/>
      <c r="S57" s="143"/>
      <c r="T57" s="143"/>
      <c r="U57" s="143"/>
      <c r="V57" s="143"/>
    </row>
    <row r="58" spans="1:26" x14ac:dyDescent="0.2">
      <c r="B58" s="143"/>
      <c r="C58" s="143"/>
      <c r="D58" s="143"/>
      <c r="E58" s="143"/>
      <c r="F58" s="143"/>
      <c r="G58" s="143"/>
      <c r="H58" s="143"/>
      <c r="I58" s="143"/>
      <c r="J58" s="143"/>
      <c r="K58" s="143"/>
      <c r="L58" s="143"/>
      <c r="M58" s="143"/>
      <c r="N58" s="143"/>
      <c r="O58" s="143"/>
      <c r="P58" s="143"/>
      <c r="Q58" s="143"/>
      <c r="R58" s="143"/>
      <c r="S58" s="143"/>
      <c r="T58" s="143"/>
    </row>
    <row r="61" spans="1:26" x14ac:dyDescent="0.2">
      <c r="A61" t="s">
        <v>102</v>
      </c>
    </row>
    <row r="62" spans="1:26" x14ac:dyDescent="0.2">
      <c r="A62" t="s">
        <v>150</v>
      </c>
      <c r="B62" s="97">
        <v>0</v>
      </c>
      <c r="C62" s="97">
        <v>0.05</v>
      </c>
      <c r="D62" s="97">
        <v>0.1</v>
      </c>
      <c r="E62" s="97">
        <v>0.15000000000000002</v>
      </c>
      <c r="F62" s="97">
        <v>0.2</v>
      </c>
      <c r="G62" s="97">
        <v>0.25</v>
      </c>
      <c r="H62" s="97">
        <v>0.3</v>
      </c>
      <c r="I62" s="97">
        <v>0.35</v>
      </c>
      <c r="J62" s="97">
        <v>0.39999999999999997</v>
      </c>
      <c r="K62" s="97">
        <v>0.44999999999999996</v>
      </c>
      <c r="L62" s="97">
        <v>0.49999999999999994</v>
      </c>
      <c r="M62" s="97">
        <v>0.54999999999999993</v>
      </c>
      <c r="N62" s="97">
        <v>0.6</v>
      </c>
      <c r="O62" s="97">
        <v>0.65</v>
      </c>
      <c r="P62" s="97">
        <v>0.70000000000000007</v>
      </c>
      <c r="Q62" s="97">
        <v>0.75000000000000011</v>
      </c>
      <c r="R62" s="97">
        <v>0.80000000000000016</v>
      </c>
      <c r="S62" s="97">
        <v>0.8500000000000002</v>
      </c>
      <c r="T62" s="97">
        <v>0.90000000000000024</v>
      </c>
      <c r="U62" s="97">
        <v>0.95000000000000029</v>
      </c>
      <c r="V62" s="97">
        <v>0.9600000000000003</v>
      </c>
      <c r="W62" s="97">
        <v>0.97000000000000031</v>
      </c>
      <c r="X62" s="97">
        <v>0.98000000000000032</v>
      </c>
      <c r="Y62" s="97">
        <v>0.99000000000000032</v>
      </c>
      <c r="Z62" s="142"/>
    </row>
    <row r="63" spans="1:26" x14ac:dyDescent="0.2">
      <c r="A63" t="str">
        <f>A49</f>
        <v>Neoclassical</v>
      </c>
      <c r="B63" s="198">
        <f t="shared" ref="B63:Y63" si="37">B49</f>
        <v>0.60327031657597174</v>
      </c>
      <c r="C63" s="198">
        <f t="shared" si="37"/>
        <v>0.60697082674916181</v>
      </c>
      <c r="D63" s="198">
        <f t="shared" si="37"/>
        <v>0.6055128963471067</v>
      </c>
      <c r="E63" s="198">
        <f t="shared" si="37"/>
        <v>0.60406822873660238</v>
      </c>
      <c r="F63" s="198">
        <f t="shared" si="37"/>
        <v>0.6026402436283701</v>
      </c>
      <c r="G63" s="198">
        <f t="shared" si="37"/>
        <v>0.60123343824249598</v>
      </c>
      <c r="H63" s="198">
        <f t="shared" si="37"/>
        <v>0.59985378249809451</v>
      </c>
      <c r="I63" s="198">
        <f t="shared" si="37"/>
        <v>0.59850931425031551</v>
      </c>
      <c r="J63" s="198">
        <f t="shared" si="37"/>
        <v>0.59721093347280951</v>
      </c>
      <c r="K63" s="198">
        <f t="shared" si="37"/>
        <v>0.59597348322212518</v>
      </c>
      <c r="L63" s="198">
        <f t="shared" si="37"/>
        <v>0.59481715483247755</v>
      </c>
      <c r="M63" s="198">
        <f t="shared" si="37"/>
        <v>0.59376894485705989</v>
      </c>
      <c r="N63" s="198">
        <f t="shared" si="37"/>
        <v>0.59286313501906684</v>
      </c>
      <c r="O63" s="198">
        <f t="shared" si="37"/>
        <v>0.5921379371671277</v>
      </c>
      <c r="P63" s="198">
        <f t="shared" si="37"/>
        <v>0.59162327926306535</v>
      </c>
      <c r="Q63" s="198">
        <f t="shared" si="37"/>
        <v>0.59131858795121439</v>
      </c>
      <c r="R63" s="198">
        <f t="shared" si="37"/>
        <v>0.59117834615886833</v>
      </c>
      <c r="S63" s="198">
        <f t="shared" si="37"/>
        <v>0.59113187929388311</v>
      </c>
      <c r="T63" s="198">
        <f t="shared" si="37"/>
        <v>0.59112199431358048</v>
      </c>
      <c r="U63" s="198">
        <f t="shared" si="37"/>
        <v>0.59112094752266309</v>
      </c>
      <c r="V63" s="198">
        <f t="shared" si="37"/>
        <v>0.59112092989931542</v>
      </c>
      <c r="W63" s="198">
        <f t="shared" si="37"/>
        <v>0.59112092329649268</v>
      </c>
      <c r="X63" s="198" t="e">
        <f t="shared" si="37"/>
        <v>#DIV/0!</v>
      </c>
      <c r="Y63" s="198" t="e">
        <f t="shared" si="37"/>
        <v>#DIV/0!</v>
      </c>
      <c r="Z63" s="141"/>
    </row>
    <row r="64" spans="1:26" x14ac:dyDescent="0.2">
      <c r="A64" t="str">
        <f t="shared" ref="A64:Y64" si="38">A50</f>
        <v>Kaldorian</v>
      </c>
      <c r="B64" s="198">
        <f t="shared" si="38"/>
        <v>0.60327031657597174</v>
      </c>
      <c r="C64" s="198">
        <f t="shared" si="38"/>
        <v>0.60695182075314358</v>
      </c>
      <c r="D64" s="198">
        <f t="shared" si="38"/>
        <v>0.60547504073265823</v>
      </c>
      <c r="E64" s="198">
        <f t="shared" si="38"/>
        <v>0.60401176495946074</v>
      </c>
      <c r="F64" s="198">
        <f t="shared" si="38"/>
        <v>0.60256556888246304</v>
      </c>
      <c r="G64" s="198">
        <f t="shared" si="38"/>
        <v>0.60114118935353567</v>
      </c>
      <c r="H64" s="198">
        <f t="shared" si="38"/>
        <v>0.59974494750672547</v>
      </c>
      <c r="I64" s="198">
        <f t="shared" si="38"/>
        <v>0.59838540231953175</v>
      </c>
      <c r="J64" s="198">
        <f t="shared" si="38"/>
        <v>0.59707423020149741</v>
      </c>
      <c r="K64" s="198">
        <f t="shared" si="38"/>
        <v>0.59582742306469583</v>
      </c>
      <c r="L64" s="198">
        <f t="shared" si="38"/>
        <v>0.59466684155326988</v>
      </c>
      <c r="M64" s="198">
        <f t="shared" si="38"/>
        <v>0.59362178292997947</v>
      </c>
      <c r="N64" s="198">
        <f t="shared" si="38"/>
        <v>0.59272920336426427</v>
      </c>
      <c r="O64" s="198">
        <f t="shared" si="38"/>
        <v>0.59202906328461979</v>
      </c>
      <c r="P64" s="198">
        <f t="shared" si="38"/>
        <v>0.59154895168747634</v>
      </c>
      <c r="Q64" s="198">
        <f t="shared" si="38"/>
        <v>0.59127925854368835</v>
      </c>
      <c r="R64" s="198">
        <f t="shared" si="38"/>
        <v>0.59116358847360917</v>
      </c>
      <c r="S64" s="198">
        <f t="shared" si="38"/>
        <v>0.59112837664385121</v>
      </c>
      <c r="T64" s="198">
        <f t="shared" si="38"/>
        <v>0.5911215798692443</v>
      </c>
      <c r="U64" s="198">
        <f t="shared" si="38"/>
        <v>0.5911209356693099</v>
      </c>
      <c r="V64" s="198">
        <f t="shared" si="38"/>
        <v>0.59112092583588505</v>
      </c>
      <c r="W64" s="198" t="e">
        <f t="shared" si="38"/>
        <v>#DIV/0!</v>
      </c>
      <c r="X64" s="198" t="e">
        <f t="shared" si="38"/>
        <v>#DIV/0!</v>
      </c>
      <c r="Y64" s="198" t="e">
        <f t="shared" si="38"/>
        <v>#DIV/0!</v>
      </c>
      <c r="Z64" s="141"/>
    </row>
    <row r="65" spans="1:26" x14ac:dyDescent="0.2">
      <c r="A65" t="str">
        <f t="shared" ref="A65:J65" si="39">A51</f>
        <v>Johansen</v>
      </c>
      <c r="B65" s="198">
        <f t="shared" si="39"/>
        <v>0.60327031657597174</v>
      </c>
      <c r="C65" s="198">
        <f t="shared" si="39"/>
        <v>0.64187591719797221</v>
      </c>
      <c r="D65" s="198">
        <f t="shared" si="39"/>
        <v>0.67763944677046317</v>
      </c>
      <c r="E65" s="198">
        <f t="shared" si="39"/>
        <v>0.71606262237342067</v>
      </c>
      <c r="F65" s="198">
        <f t="shared" si="39"/>
        <v>0.75756668176632858</v>
      </c>
      <c r="G65" s="198">
        <f t="shared" si="39"/>
        <v>0.80269325775983669</v>
      </c>
      <c r="H65" s="198">
        <f t="shared" si="39"/>
        <v>0.85214881380802809</v>
      </c>
      <c r="I65" s="198">
        <f t="shared" si="39"/>
        <v>0.9068650850001061</v>
      </c>
      <c r="J65" s="198">
        <f t="shared" si="39"/>
        <v>0.96807863265225236</v>
      </c>
      <c r="K65" s="198"/>
      <c r="L65" s="198"/>
      <c r="M65" s="198"/>
      <c r="N65" s="198"/>
      <c r="O65" s="198"/>
      <c r="P65" s="198"/>
      <c r="Q65" s="198"/>
      <c r="R65" s="198"/>
      <c r="S65" s="198"/>
      <c r="T65" s="198"/>
      <c r="U65" s="198"/>
      <c r="V65" s="198"/>
      <c r="W65" s="198"/>
      <c r="X65" s="198"/>
      <c r="Y65" s="198"/>
      <c r="Z65" s="141"/>
    </row>
    <row r="66" spans="1:26" x14ac:dyDescent="0.2">
      <c r="A66" t="str">
        <f t="shared" ref="A66:S66" si="40">A52</f>
        <v>Keynes-Kaldor</v>
      </c>
      <c r="B66" s="198">
        <f t="shared" si="40"/>
        <v>0.60327031657597174</v>
      </c>
      <c r="C66" s="198">
        <f t="shared" si="40"/>
        <v>0.62375656202851792</v>
      </c>
      <c r="D66" s="198">
        <f t="shared" si="40"/>
        <v>0.63784565975096319</v>
      </c>
      <c r="E66" s="198">
        <f t="shared" si="40"/>
        <v>0.65060229968993533</v>
      </c>
      <c r="F66" s="198">
        <f t="shared" si="40"/>
        <v>0.66197380074317658</v>
      </c>
      <c r="G66" s="198">
        <f t="shared" si="40"/>
        <v>0.67195809578905119</v>
      </c>
      <c r="H66" s="198">
        <f t="shared" si="40"/>
        <v>0.68058964910807274</v>
      </c>
      <c r="I66" s="198">
        <f t="shared" si="40"/>
        <v>0.68791717376395833</v>
      </c>
      <c r="J66" s="198">
        <f t="shared" si="40"/>
        <v>0.69398111639796345</v>
      </c>
      <c r="K66" s="198">
        <f t="shared" si="40"/>
        <v>0.69877559504898179</v>
      </c>
      <c r="L66" s="198">
        <f t="shared" si="40"/>
        <v>0.70217753423241902</v>
      </c>
      <c r="M66" s="198">
        <f t="shared" si="40"/>
        <v>0.70383442006496844</v>
      </c>
      <c r="N66" s="198">
        <f t="shared" si="40"/>
        <v>0.70324020801971421</v>
      </c>
      <c r="O66" s="198" t="e">
        <f t="shared" si="40"/>
        <v>#DIV/0!</v>
      </c>
      <c r="P66" s="198" t="e">
        <f t="shared" si="40"/>
        <v>#DIV/0!</v>
      </c>
      <c r="Q66" s="198" t="e">
        <f t="shared" si="40"/>
        <v>#DIV/0!</v>
      </c>
      <c r="R66" s="198" t="e">
        <f t="shared" si="40"/>
        <v>#DIV/0!</v>
      </c>
      <c r="S66" s="198" t="e">
        <f t="shared" si="40"/>
        <v>#DIV/0!</v>
      </c>
      <c r="T66" s="198"/>
      <c r="U66" s="198"/>
      <c r="V66" s="198"/>
      <c r="W66" s="198"/>
      <c r="X66" s="198"/>
      <c r="Y66" s="198"/>
    </row>
    <row r="67" spans="1:26" x14ac:dyDescent="0.2">
      <c r="A67" t="str">
        <f t="shared" ref="A67:L67" si="41">A53</f>
        <v>Keynes-Marshall</v>
      </c>
      <c r="B67" s="198">
        <f t="shared" si="41"/>
        <v>0.60327031657597174</v>
      </c>
      <c r="C67" s="198">
        <f t="shared" si="41"/>
        <v>0.61584132649152135</v>
      </c>
      <c r="D67" s="198">
        <f t="shared" si="41"/>
        <v>0.62368930504135933</v>
      </c>
      <c r="E67" s="198">
        <f t="shared" si="41"/>
        <v>0.63207930598473461</v>
      </c>
      <c r="F67" s="198">
        <f t="shared" si="41"/>
        <v>0.64114069801602358</v>
      </c>
      <c r="G67" s="198">
        <f t="shared" si="41"/>
        <v>0.65105187805329989</v>
      </c>
      <c r="H67" s="198">
        <f t="shared" si="41"/>
        <v>0.66206529558637839</v>
      </c>
      <c r="I67" s="198">
        <f t="shared" si="41"/>
        <v>0.67454786849142356</v>
      </c>
      <c r="J67" s="198">
        <f t="shared" si="41"/>
        <v>0.68904802501208195</v>
      </c>
      <c r="K67" s="198">
        <f t="shared" si="41"/>
        <v>0.70640733733387373</v>
      </c>
      <c r="L67" s="198">
        <f t="shared" si="41"/>
        <v>0.7279405248321551</v>
      </c>
      <c r="M67" s="198"/>
      <c r="N67" s="198"/>
      <c r="O67" s="198"/>
      <c r="P67" s="198"/>
      <c r="Q67" s="198"/>
      <c r="R67" s="198"/>
      <c r="S67" s="198"/>
      <c r="T67" s="198"/>
      <c r="U67" s="198"/>
      <c r="V67" s="198"/>
      <c r="W67" s="198"/>
      <c r="X67" s="198"/>
      <c r="Y67" s="198"/>
    </row>
    <row r="68" spans="1:26" x14ac:dyDescent="0.2">
      <c r="A68" t="str">
        <f t="shared" ref="A68:Y68" si="42">A54</f>
        <v>Keynesian</v>
      </c>
      <c r="B68" s="198">
        <f t="shared" si="42"/>
        <v>0.60327031657597174</v>
      </c>
      <c r="C68" s="198">
        <f t="shared" si="42"/>
        <v>0.61357999783470507</v>
      </c>
      <c r="D68" s="198">
        <f t="shared" si="42"/>
        <v>0.61883422964378065</v>
      </c>
      <c r="E68" s="198">
        <f t="shared" si="42"/>
        <v>0.6242014971692631</v>
      </c>
      <c r="F68" s="198">
        <f t="shared" si="42"/>
        <v>0.62967770186415029</v>
      </c>
      <c r="G68" s="198">
        <f t="shared" si="42"/>
        <v>0.63525383446947525</v>
      </c>
      <c r="H68" s="198">
        <f t="shared" si="42"/>
        <v>0.64091380763571781</v>
      </c>
      <c r="I68" s="198">
        <f t="shared" si="42"/>
        <v>0.64663166539107297</v>
      </c>
      <c r="J68" s="198">
        <f t="shared" si="42"/>
        <v>0.65236819601867724</v>
      </c>
      <c r="K68" s="198">
        <f t="shared" si="42"/>
        <v>0.65806698270274466</v>
      </c>
      <c r="L68" s="198">
        <f t="shared" si="42"/>
        <v>0.66364926753120745</v>
      </c>
      <c r="M68" s="198">
        <f t="shared" si="42"/>
        <v>0.66900861231968611</v>
      </c>
      <c r="N68" s="198">
        <f t="shared" si="42"/>
        <v>0.67399809562604418</v>
      </c>
      <c r="O68" s="198">
        <f t="shared" si="42"/>
        <v>0.6783777809384105</v>
      </c>
      <c r="P68" s="198">
        <f t="shared" si="42"/>
        <v>0.68142336384672131</v>
      </c>
      <c r="Q68" s="198" t="e">
        <f t="shared" si="42"/>
        <v>#DIV/0!</v>
      </c>
      <c r="R68" s="198" t="e">
        <f t="shared" si="42"/>
        <v>#DIV/0!</v>
      </c>
      <c r="S68" s="198" t="e">
        <f t="shared" si="42"/>
        <v>#DIV/0!</v>
      </c>
      <c r="T68" s="198" t="e">
        <f t="shared" si="42"/>
        <v>#DIV/0!</v>
      </c>
      <c r="U68" s="198" t="e">
        <f t="shared" si="42"/>
        <v>#DIV/0!</v>
      </c>
      <c r="V68" s="198" t="e">
        <f t="shared" si="42"/>
        <v>#DIV/0!</v>
      </c>
      <c r="W68" s="198" t="e">
        <f t="shared" si="42"/>
        <v>#DIV/0!</v>
      </c>
      <c r="X68" s="198" t="e">
        <f t="shared" si="42"/>
        <v>#DIV/0!</v>
      </c>
      <c r="Y68" s="198" t="e">
        <f t="shared" si="42"/>
        <v>#DIV/0!</v>
      </c>
    </row>
    <row r="69" spans="1:26" x14ac:dyDescent="0.2">
      <c r="A69" t="str">
        <f t="shared" ref="A69:X69" si="43">A55</f>
        <v>Neo-K1</v>
      </c>
      <c r="B69" s="198">
        <f t="shared" si="43"/>
        <v>0.60327031657597174</v>
      </c>
      <c r="C69" s="198">
        <f t="shared" si="43"/>
        <v>0.60876661891924777</v>
      </c>
      <c r="D69" s="198">
        <f t="shared" si="43"/>
        <v>0.6091479919380981</v>
      </c>
      <c r="E69" s="198">
        <f t="shared" si="43"/>
        <v>0.60958965532503862</v>
      </c>
      <c r="F69" s="198">
        <f t="shared" si="43"/>
        <v>0.61009830937529352</v>
      </c>
      <c r="G69" s="198">
        <f t="shared" si="43"/>
        <v>0.61068106986769299</v>
      </c>
      <c r="H69" s="198">
        <f t="shared" si="43"/>
        <v>0.61134513804808688</v>
      </c>
      <c r="I69" s="198">
        <f t="shared" si="43"/>
        <v>0.61209720326657691</v>
      </c>
      <c r="J69" s="198">
        <f t="shared" si="43"/>
        <v>0.61294234534386338</v>
      </c>
      <c r="K69" s="198">
        <f t="shared" si="43"/>
        <v>0.6138822118024192</v>
      </c>
      <c r="L69" s="198">
        <f t="shared" si="43"/>
        <v>0.6149121151667809</v>
      </c>
      <c r="M69" s="198">
        <f t="shared" si="43"/>
        <v>0.61601652164975884</v>
      </c>
      <c r="N69" s="198">
        <f t="shared" si="43"/>
        <v>0.61716226402996865</v>
      </c>
      <c r="O69" s="198">
        <f t="shared" si="43"/>
        <v>0.61828796027976995</v>
      </c>
      <c r="P69" s="198">
        <f t="shared" si="43"/>
        <v>0.61928631842921267</v>
      </c>
      <c r="Q69" s="198">
        <f t="shared" si="43"/>
        <v>0.61996928103632998</v>
      </c>
      <c r="R69" s="198">
        <f t="shared" si="43"/>
        <v>0.61998399370895707</v>
      </c>
      <c r="S69" s="198">
        <f t="shared" si="43"/>
        <v>0.61857144389476382</v>
      </c>
      <c r="T69" s="198">
        <f t="shared" si="43"/>
        <v>0.61376894769276225</v>
      </c>
      <c r="U69" s="198">
        <f t="shared" si="43"/>
        <v>0.5981581507413829</v>
      </c>
      <c r="V69" s="198">
        <f t="shared" si="43"/>
        <v>0.59116255246104554</v>
      </c>
      <c r="W69" s="198">
        <f t="shared" si="43"/>
        <v>0.58072338202789764</v>
      </c>
      <c r="X69" s="198">
        <f t="shared" si="43"/>
        <v>0.56334633395994216</v>
      </c>
      <c r="Y69" s="198"/>
    </row>
    <row r="70" spans="1:26" x14ac:dyDescent="0.2">
      <c r="A70" t="str">
        <f t="shared" ref="A70:X70" si="44">A56</f>
        <v>Neo-K2</v>
      </c>
      <c r="B70" s="198">
        <f t="shared" si="44"/>
        <v>0.60327031657597174</v>
      </c>
      <c r="C70" s="198">
        <f t="shared" si="44"/>
        <v>0.60876661891924777</v>
      </c>
      <c r="D70" s="198">
        <f t="shared" si="44"/>
        <v>0.6091479919380981</v>
      </c>
      <c r="E70" s="198">
        <f t="shared" si="44"/>
        <v>0.60958965532503862</v>
      </c>
      <c r="F70" s="198">
        <f t="shared" si="44"/>
        <v>0.61009830937529352</v>
      </c>
      <c r="G70" s="198">
        <f t="shared" si="44"/>
        <v>0.61068106986769299</v>
      </c>
      <c r="H70" s="198">
        <f t="shared" si="44"/>
        <v>0.61134513804808688</v>
      </c>
      <c r="I70" s="198">
        <f t="shared" si="44"/>
        <v>0.61209720326657691</v>
      </c>
      <c r="J70" s="198">
        <f t="shared" si="44"/>
        <v>0.61294234534386338</v>
      </c>
      <c r="K70" s="198">
        <f t="shared" si="44"/>
        <v>0.6138822118024192</v>
      </c>
      <c r="L70" s="198">
        <f t="shared" si="44"/>
        <v>0.6149121151667809</v>
      </c>
      <c r="M70" s="198">
        <f t="shared" si="44"/>
        <v>0.61601652164975884</v>
      </c>
      <c r="N70" s="198">
        <f t="shared" si="44"/>
        <v>0.61716226402996865</v>
      </c>
      <c r="O70" s="198">
        <f t="shared" si="44"/>
        <v>0.61828796027976995</v>
      </c>
      <c r="P70" s="198">
        <f t="shared" si="44"/>
        <v>0.61928631842921267</v>
      </c>
      <c r="Q70" s="198">
        <f t="shared" si="44"/>
        <v>0.61996928103632998</v>
      </c>
      <c r="R70" s="198">
        <f t="shared" si="44"/>
        <v>0.61998399370895707</v>
      </c>
      <c r="S70" s="198">
        <f t="shared" si="44"/>
        <v>0.61857144389476382</v>
      </c>
      <c r="T70" s="198">
        <f t="shared" si="44"/>
        <v>0.61376894769276225</v>
      </c>
      <c r="U70" s="198">
        <f t="shared" si="44"/>
        <v>0.5981581507413829</v>
      </c>
      <c r="V70" s="198">
        <f t="shared" si="44"/>
        <v>0.59116255246104554</v>
      </c>
      <c r="W70" s="198">
        <f t="shared" si="44"/>
        <v>0.58072338202789764</v>
      </c>
      <c r="X70" s="198">
        <f t="shared" si="44"/>
        <v>0.56334633395994216</v>
      </c>
      <c r="Y70" s="198"/>
    </row>
    <row r="72" spans="1:26" x14ac:dyDescent="0.2">
      <c r="A72" t="s">
        <v>168</v>
      </c>
    </row>
    <row r="73" spans="1:26" x14ac:dyDescent="0.2">
      <c r="A73" t="s">
        <v>150</v>
      </c>
      <c r="B73" s="97">
        <v>0</v>
      </c>
      <c r="C73" s="97">
        <v>0.05</v>
      </c>
      <c r="D73" s="97">
        <v>0.1</v>
      </c>
      <c r="E73" s="97">
        <v>0.15000000000000002</v>
      </c>
      <c r="F73" s="97">
        <v>0.2</v>
      </c>
      <c r="G73" s="97">
        <v>0.25</v>
      </c>
      <c r="H73" s="97">
        <v>0.3</v>
      </c>
      <c r="I73" s="97">
        <v>0.35</v>
      </c>
      <c r="J73" s="97">
        <v>0.39999999999999997</v>
      </c>
      <c r="K73" s="97">
        <v>0.44999999999999996</v>
      </c>
      <c r="L73" s="97">
        <v>0.49999999999999994</v>
      </c>
      <c r="M73" s="97">
        <v>0.54999999999999993</v>
      </c>
      <c r="N73" s="97">
        <v>0.6</v>
      </c>
      <c r="O73" s="97">
        <v>0.65</v>
      </c>
      <c r="P73" s="97">
        <v>0.70000000000000007</v>
      </c>
      <c r="Q73" s="97">
        <v>0.75000000000000011</v>
      </c>
      <c r="R73" s="97">
        <v>0.80000000000000016</v>
      </c>
      <c r="S73" s="97">
        <v>0.8500000000000002</v>
      </c>
      <c r="T73" s="97">
        <v>0.90000000000000024</v>
      </c>
      <c r="U73" s="97">
        <v>0.95000000000000029</v>
      </c>
      <c r="V73" s="97">
        <v>0.9600000000000003</v>
      </c>
      <c r="W73" s="97">
        <v>0.97000000000000031</v>
      </c>
      <c r="X73" s="97">
        <v>0.98000000000000032</v>
      </c>
      <c r="Y73" s="97">
        <v>0.99000000000000032</v>
      </c>
    </row>
    <row r="74" spans="1:26" x14ac:dyDescent="0.2">
      <c r="A74" t="s">
        <v>91</v>
      </c>
      <c r="B74" s="83">
        <f>NeoClassical!B$24</f>
        <v>2261.1304131516072</v>
      </c>
      <c r="C74" s="83">
        <f>NeoClassical!D$24</f>
        <v>2287.2369443969756</v>
      </c>
      <c r="D74" s="83">
        <f>NeoClassical!F$24</f>
        <v>2313.9447745752691</v>
      </c>
      <c r="E74" s="83">
        <f>NeoClassical!H$24</f>
        <v>2341.3808482808995</v>
      </c>
      <c r="F74" s="83">
        <f>NeoClassical!J$24</f>
        <v>2369.7124698817893</v>
      </c>
      <c r="G74" s="83">
        <f>NeoClassical!L$24</f>
        <v>2399.1644240411883</v>
      </c>
      <c r="H74" s="83">
        <f>NeoClassical!N$24</f>
        <v>2430.0445752687451</v>
      </c>
      <c r="I74" s="83">
        <f>NeoClassical!P$24</f>
        <v>2462.7837801244241</v>
      </c>
      <c r="J74" s="83">
        <f>NeoClassical!R$24</f>
        <v>2497.9980748056296</v>
      </c>
      <c r="K74" s="83">
        <f>NeoClassical!T$24</f>
        <v>2536.5870644814745</v>
      </c>
      <c r="L74" s="83">
        <f>NeoClassical!V$24</f>
        <v>2579.887745585982</v>
      </c>
      <c r="M74" s="83">
        <f>NeoClassical!X$24</f>
        <v>2629.9065900489941</v>
      </c>
      <c r="N74" s="83">
        <f>NeoClassical!Z$24</f>
        <v>2689.6302570783018</v>
      </c>
      <c r="O74" s="83">
        <f>NeoClassical!AB$24</f>
        <v>2763.3078562390765</v>
      </c>
      <c r="P74" s="83">
        <f>NeoClassical!AD$24</f>
        <v>2856.3234219139299</v>
      </c>
      <c r="Q74" s="83">
        <f>NeoClassical!AF$24</f>
        <v>2974.0557801355885</v>
      </c>
      <c r="R74" s="83">
        <f>NeoClassical!AH$24</f>
        <v>3119.888400258239</v>
      </c>
      <c r="S74" s="83">
        <f>NeoClassical!AJ$24</f>
        <v>3293.3748191935192</v>
      </c>
      <c r="T74" s="83">
        <f>NeoClassical!AL$24</f>
        <v>3481.4314550942177</v>
      </c>
      <c r="U74" s="83">
        <f>NeoClassical!AN$24</f>
        <v>3560.5443323942718</v>
      </c>
      <c r="V74" s="83">
        <f>NeoClassical!AP$24</f>
        <v>3501.7613454183002</v>
      </c>
      <c r="W74" s="83">
        <f>NeoClassical!AR$24</f>
        <v>3359.5258693047181</v>
      </c>
      <c r="X74" s="83">
        <f>NeoClassical!AT$24</f>
        <v>0</v>
      </c>
      <c r="Y74" s="83">
        <f>NeoClassical!AV$24</f>
        <v>0</v>
      </c>
    </row>
    <row r="75" spans="1:26" x14ac:dyDescent="0.2">
      <c r="A75" t="s">
        <v>92</v>
      </c>
      <c r="B75" s="83">
        <f>Johansen!B$24</f>
        <v>2261.1304131516072</v>
      </c>
      <c r="C75" s="83">
        <f>Johansen!D$24</f>
        <v>2262.6784918507551</v>
      </c>
      <c r="D75" s="83">
        <f>Johansen!F$24</f>
        <v>2264.0161948146038</v>
      </c>
      <c r="E75" s="83">
        <f>Johansen!H$24</f>
        <v>2265.113996915592</v>
      </c>
      <c r="F75" s="83">
        <f>Johansen!J$24</f>
        <v>2265.9364225715813</v>
      </c>
      <c r="G75" s="83">
        <f>Johansen!L$24</f>
        <v>2266.4405457437247</v>
      </c>
      <c r="H75" s="83">
        <f>Johansen!N$24</f>
        <v>2266.5739833406915</v>
      </c>
      <c r="I75" s="83">
        <f>Johansen!P$24</f>
        <v>2266.2716878944766</v>
      </c>
      <c r="J75" s="83">
        <f>Johansen!R$24</f>
        <v>2265.4514130108068</v>
      </c>
      <c r="K75" s="83">
        <f>Johansen!T$24</f>
        <v>2264.0063919348004</v>
      </c>
      <c r="L75" s="83">
        <f>Johansen!V$24</f>
        <v>2261.7918661976641</v>
      </c>
      <c r="M75" s="83">
        <f>Johansen!X$24</f>
        <v>2258.5973749731761</v>
      </c>
      <c r="N75" s="83">
        <f>Johansen!Z$24</f>
        <v>2254.0826522637603</v>
      </c>
      <c r="O75" s="83">
        <f>Johansen!AB$24</f>
        <v>2247.6171489534108</v>
      </c>
      <c r="P75" s="83">
        <f>Johansen!AD$24</f>
        <v>2237.8854872208958</v>
      </c>
      <c r="Q75" s="83">
        <f>Johansen!AF$24</f>
        <v>2222.0174049476504</v>
      </c>
      <c r="R75" s="83">
        <f>Johansen!AH$24</f>
        <v>2193.8605519517414</v>
      </c>
      <c r="S75" s="83">
        <f>Johansen!AJ$24</f>
        <v>2139.963398495534</v>
      </c>
      <c r="T75" s="83">
        <f>Johansen!AL$24</f>
        <v>2025.6617142557031</v>
      </c>
      <c r="U75" s="83">
        <f>Johansen!AN$24</f>
        <v>1721.8721867744655</v>
      </c>
      <c r="V75" s="83">
        <f>Johansen!AP$24</f>
        <v>1598.1744308042012</v>
      </c>
      <c r="W75" s="83">
        <f>Johansen!AR$24</f>
        <v>0</v>
      </c>
      <c r="X75" s="83">
        <f>Johansen!AT$24</f>
        <v>0</v>
      </c>
      <c r="Y75" s="83">
        <f>Johansen!AV$24</f>
        <v>0</v>
      </c>
    </row>
    <row r="76" spans="1:26" x14ac:dyDescent="0.2">
      <c r="A76" t="s">
        <v>146</v>
      </c>
      <c r="B76" s="83">
        <f>Kaldorian!B$24</f>
        <v>2261.1304131516072</v>
      </c>
      <c r="C76" s="83">
        <f>Kaldorian!D$24</f>
        <v>2262.2993153291932</v>
      </c>
      <c r="D76" s="83">
        <f>Kaldorian!F$24</f>
        <v>2263.2085824385913</v>
      </c>
      <c r="E76" s="83">
        <f>Kaldorian!H$24</f>
        <v>2263.8321968696177</v>
      </c>
      <c r="F76" s="83">
        <f>Kaldorian!J$24</f>
        <v>2264.1404669740423</v>
      </c>
      <c r="G76" s="83">
        <f>Kaldorian!L$24</f>
        <v>2264.1000048169913</v>
      </c>
      <c r="H76" s="83">
        <f>Kaldorian!N$24</f>
        <v>2263.6729808736181</v>
      </c>
      <c r="I76" s="83">
        <f>Kaldorian!P$24</f>
        <v>2262.8170754470862</v>
      </c>
      <c r="J76" s="83">
        <f>Kaldorian!R$24</f>
        <v>2261.4857469969743</v>
      </c>
      <c r="K76" s="83">
        <f>Kaldorian!T$24</f>
        <v>0</v>
      </c>
      <c r="L76" s="83">
        <f>Kaldorian!V$24</f>
        <v>0</v>
      </c>
      <c r="M76" s="83">
        <f>Kaldorian!X$24</f>
        <v>0</v>
      </c>
      <c r="N76" s="83">
        <f>Kaldorian!Z$24</f>
        <v>0</v>
      </c>
      <c r="O76" s="83">
        <f>Kaldorian!AB$24</f>
        <v>0</v>
      </c>
      <c r="P76" s="83">
        <f>Kaldorian!AD$24</f>
        <v>0</v>
      </c>
      <c r="Q76" s="83">
        <f>Kaldorian!AF$24</f>
        <v>0</v>
      </c>
      <c r="R76" s="83">
        <f>Kaldorian!AH$24</f>
        <v>0</v>
      </c>
      <c r="S76" s="83">
        <f>Kaldorian!AJ$24</f>
        <v>0</v>
      </c>
      <c r="T76" s="83">
        <f>Kaldorian!AL$24</f>
        <v>0</v>
      </c>
      <c r="U76" s="83">
        <f>Kaldorian!AN$24</f>
        <v>0</v>
      </c>
      <c r="V76" s="83">
        <f>Kaldorian!AP$24</f>
        <v>0</v>
      </c>
      <c r="W76" s="83">
        <f>Kaldorian!AR$24</f>
        <v>0</v>
      </c>
      <c r="X76" s="83">
        <f>Kaldorian!AT$24</f>
        <v>0</v>
      </c>
      <c r="Y76" s="83">
        <f>Kaldorian!AV$24</f>
        <v>0</v>
      </c>
    </row>
    <row r="77" spans="1:26" x14ac:dyDescent="0.2">
      <c r="A77" t="s">
        <v>149</v>
      </c>
      <c r="B77" s="83">
        <f>'Keynes-K'!B$24</f>
        <v>2261.1304131516072</v>
      </c>
      <c r="C77" s="83">
        <f>'Keynes-K'!D$24</f>
        <v>2177.6233993697988</v>
      </c>
      <c r="D77" s="83">
        <f>'Keynes-K'!F$24</f>
        <v>2085.4362748935682</v>
      </c>
      <c r="E77" s="83">
        <f>'Keynes-K'!H$24</f>
        <v>1985.3333350897974</v>
      </c>
      <c r="F77" s="83">
        <f>'Keynes-K'!J$24</f>
        <v>1878.4521822122611</v>
      </c>
      <c r="G77" s="83">
        <f>'Keynes-K'!L$24</f>
        <v>1766.2656836908116</v>
      </c>
      <c r="H77" s="83">
        <f>'Keynes-K'!N$24</f>
        <v>1650.5576409039661</v>
      </c>
      <c r="I77" s="83">
        <f>'Keynes-K'!P$24</f>
        <v>1533.4762840615447</v>
      </c>
      <c r="J77" s="83">
        <f>'Keynes-K'!R$24</f>
        <v>1417.7572005706093</v>
      </c>
      <c r="K77" s="83">
        <f>'Keynes-K'!T$24</f>
        <v>1307.2835172991799</v>
      </c>
      <c r="L77" s="83">
        <f>'Keynes-K'!V$24</f>
        <v>1208.329469826278</v>
      </c>
      <c r="M77" s="83">
        <f>'Keynes-K'!X$24</f>
        <v>1131.3878338226182</v>
      </c>
      <c r="N77" s="83">
        <f>'Keynes-K'!Z$24</f>
        <v>1087.6705257230365</v>
      </c>
      <c r="O77" s="83">
        <f>'Keynes-K'!AB$24</f>
        <v>0</v>
      </c>
      <c r="P77" s="83">
        <f>'Keynes-K'!AD$24</f>
        <v>0</v>
      </c>
      <c r="Q77" s="83">
        <f>'Keynes-K'!AF$24</f>
        <v>0</v>
      </c>
      <c r="R77" s="83">
        <f>'Keynes-K'!AH$24</f>
        <v>0</v>
      </c>
      <c r="S77" s="83">
        <f>'Keynes-K'!AJ$24</f>
        <v>0</v>
      </c>
      <c r="T77" s="83">
        <f>'Keynes-K'!AL$24</f>
        <v>0</v>
      </c>
      <c r="U77" s="83">
        <f>'Keynes-K'!AN$24</f>
        <v>0</v>
      </c>
      <c r="V77" s="83">
        <f>'Keynes-K'!AP$24</f>
        <v>0</v>
      </c>
      <c r="W77" s="83">
        <f>'Keynes-K'!AR$24</f>
        <v>0</v>
      </c>
      <c r="X77" s="83">
        <f>'Keynes-K'!AT$24</f>
        <v>0</v>
      </c>
      <c r="Y77" s="83">
        <f>'Keynes-K'!AV$24</f>
        <v>0</v>
      </c>
    </row>
    <row r="78" spans="1:26" x14ac:dyDescent="0.2">
      <c r="A78" t="s">
        <v>147</v>
      </c>
      <c r="B78" s="83">
        <f>'Keynes-M'!B$24</f>
        <v>2261.1304131516072</v>
      </c>
      <c r="C78" s="83">
        <f>'Keynes-M'!D$24</f>
        <v>2281.3491109889419</v>
      </c>
      <c r="D78" s="83">
        <f>'Keynes-M'!F$24</f>
        <v>2302.1878467641841</v>
      </c>
      <c r="E78" s="83">
        <f>'Keynes-M'!H$24</f>
        <v>2323.7916072625721</v>
      </c>
      <c r="F78" s="83">
        <f>'Keynes-M'!J$24</f>
        <v>2346.3611153867628</v>
      </c>
      <c r="G78" s="83">
        <f>'Keynes-M'!L$24</f>
        <v>2370.1799476336364</v>
      </c>
      <c r="H78" s="83">
        <f>'Keynes-M'!N$24</f>
        <v>2395.6594188301838</v>
      </c>
      <c r="I78" s="83">
        <f>'Keynes-M'!P$24</f>
        <v>2423.4099416092236</v>
      </c>
      <c r="J78" s="83">
        <f>'Keynes-M'!R$24</f>
        <v>2454.3596710577526</v>
      </c>
      <c r="K78" s="83">
        <f>'Keynes-M'!T$24</f>
        <v>2489.9488922188384</v>
      </c>
      <c r="L78" s="83">
        <f>'Keynes-M'!V$24</f>
        <v>2532.4297709911621</v>
      </c>
      <c r="M78" s="83">
        <f>'Keynes-M'!X$24</f>
        <v>2585.239569543874</v>
      </c>
      <c r="N78" s="83">
        <f>'Keynes-M'!Z$24</f>
        <v>2653.1199828241565</v>
      </c>
      <c r="O78" s="83">
        <f>'Keynes-M'!AB$24</f>
        <v>2741.0768876509005</v>
      </c>
      <c r="P78" s="83">
        <f>'Keynes-M'!AD$24</f>
        <v>2851.8262752098735</v>
      </c>
      <c r="Q78" s="83">
        <f>'Keynes-M'!AF$24</f>
        <v>2984.6585918869291</v>
      </c>
      <c r="R78" s="83">
        <f>'Keynes-M'!AH$24</f>
        <v>0</v>
      </c>
      <c r="S78" s="83">
        <f>'Keynes-M'!AJ$24</f>
        <v>0</v>
      </c>
      <c r="T78" s="83">
        <f>'Keynes-M'!AL$24</f>
        <v>0</v>
      </c>
      <c r="U78" s="83">
        <f>'Keynes-M'!AN$24</f>
        <v>0</v>
      </c>
      <c r="V78" s="83">
        <f>'Keynes-M'!AP$24</f>
        <v>0</v>
      </c>
      <c r="W78" s="83">
        <f>'Keynes-M'!AR$24</f>
        <v>0</v>
      </c>
      <c r="X78" s="83">
        <f>'Keynes-M'!AT$24</f>
        <v>0</v>
      </c>
      <c r="Y78" s="83">
        <f>'Keynes-M'!AV$24</f>
        <v>0</v>
      </c>
    </row>
    <row r="79" spans="1:26" x14ac:dyDescent="0.2">
      <c r="A79" t="s">
        <v>148</v>
      </c>
      <c r="B79" s="83">
        <f>Keynesian!B$24</f>
        <v>2261.1304131516072</v>
      </c>
      <c r="C79" s="83">
        <f>Keynesian!D$24</f>
        <v>2227.3034520247875</v>
      </c>
      <c r="D79" s="83">
        <f>Keynesian!F$24</f>
        <v>2189.3707451938972</v>
      </c>
      <c r="E79" s="83">
        <f>Keynesian!H$24</f>
        <v>2146.733449808416</v>
      </c>
      <c r="F79" s="83">
        <f>Keynesian!J$24</f>
        <v>2098.6917769986458</v>
      </c>
      <c r="G79" s="83">
        <f>Keynesian!L$24</f>
        <v>2044.4350263199369</v>
      </c>
      <c r="H79" s="83">
        <f>Keynesian!N$24</f>
        <v>1983.0357827755163</v>
      </c>
      <c r="I79" s="83">
        <f>Keynesian!P$24</f>
        <v>1913.4555489876466</v>
      </c>
      <c r="J79" s="83">
        <f>Keynesian!R$24</f>
        <v>1834.570830277692</v>
      </c>
      <c r="K79" s="83">
        <f>Keynesian!T$24</f>
        <v>1745.2366469916551</v>
      </c>
      <c r="L79" s="83">
        <f>Keynesian!V$24</f>
        <v>1644.4077015692003</v>
      </c>
      <c r="M79" s="83">
        <f>Keynesian!X$24</f>
        <v>1531.3662006715065</v>
      </c>
      <c r="N79" s="83">
        <f>Keynesian!Z$24</f>
        <v>1406.1788975043232</v>
      </c>
      <c r="O79" s="83">
        <f>Keynesian!AB$24</f>
        <v>1270.9808291566555</v>
      </c>
      <c r="P79" s="83">
        <f>Keynesian!AD$24</f>
        <v>1137.2769861893505</v>
      </c>
      <c r="Q79" s="83">
        <f>Keynesian!AF$24</f>
        <v>0</v>
      </c>
      <c r="R79" s="83">
        <f>Keynesian!AH$24</f>
        <v>0</v>
      </c>
      <c r="S79" s="83">
        <f>Keynesian!AJ$24</f>
        <v>0</v>
      </c>
      <c r="T79" s="83">
        <f>Keynesian!AL$24</f>
        <v>0</v>
      </c>
      <c r="U79" s="83">
        <f>Keynesian!AN$24</f>
        <v>0</v>
      </c>
      <c r="V79" s="83">
        <f>Keynesian!AP$24</f>
        <v>0</v>
      </c>
      <c r="W79" s="83">
        <f>Keynesian!AR$24</f>
        <v>0</v>
      </c>
      <c r="X79" s="83">
        <f>Keynesian!AT$24</f>
        <v>0</v>
      </c>
      <c r="Y79" s="83">
        <f>Keynesian!AV$24</f>
        <v>0</v>
      </c>
    </row>
    <row r="80" spans="1:26" x14ac:dyDescent="0.2">
      <c r="A80" t="s">
        <v>161</v>
      </c>
      <c r="B80" s="83">
        <f>'Neo-K1'!B$24</f>
        <v>2261.1304131516072</v>
      </c>
      <c r="C80" s="83">
        <f>'Neo-K1'!D$24</f>
        <v>2267.8066908944702</v>
      </c>
      <c r="D80" s="83">
        <f>'Neo-K1'!F$24</f>
        <v>2273.0786435097052</v>
      </c>
      <c r="E80" s="83">
        <f>'Neo-K1'!H$24</f>
        <v>2276.6411654399831</v>
      </c>
      <c r="F80" s="83">
        <f>'Neo-K1'!J$24</f>
        <v>2278.101159777988</v>
      </c>
      <c r="G80" s="83">
        <f>'Neo-K1'!L$24</f>
        <v>2276.9439635050667</v>
      </c>
      <c r="H80" s="83">
        <f>'Neo-K1'!N$24</f>
        <v>2272.4867115458947</v>
      </c>
      <c r="I80" s="83">
        <f>'Neo-K1'!P$24</f>
        <v>2263.8099142363981</v>
      </c>
      <c r="J80" s="83">
        <f>'Neo-K1'!R$24</f>
        <v>2249.6583244876238</v>
      </c>
      <c r="K80" s="83">
        <f>'Neo-K1'!T$24</f>
        <v>2228.2964565953926</v>
      </c>
      <c r="L80" s="83">
        <f>'Neo-K1'!V$24</f>
        <v>2197.3038155811573</v>
      </c>
      <c r="M80" s="83">
        <f>'Neo-K1'!X$24</f>
        <v>2153.2956675790547</v>
      </c>
      <c r="N80" s="83">
        <f>'Neo-K1'!Z$24</f>
        <v>2091.5777818989777</v>
      </c>
      <c r="O80" s="83">
        <f>'Neo-K1'!AB$24</f>
        <v>2005.7994289903013</v>
      </c>
      <c r="P80" s="83">
        <f>'Neo-K1'!AD$24</f>
        <v>1887.7749890091575</v>
      </c>
      <c r="Q80" s="83">
        <f>'Neo-K1'!AF$24</f>
        <v>1727.7596832917998</v>
      </c>
      <c r="R80" s="83">
        <f>'Neo-K1'!AH$24</f>
        <v>1515.4290386679279</v>
      </c>
      <c r="S80" s="83">
        <f>'Neo-K1'!AJ$24</f>
        <v>1241.4683477630633</v>
      </c>
      <c r="T80" s="83">
        <f>'Neo-K1'!AL$24</f>
        <v>899.17086970587923</v>
      </c>
      <c r="U80" s="83">
        <f>'Neo-K1'!AN$24</f>
        <v>485.30807465900716</v>
      </c>
      <c r="V80" s="83">
        <f>'Neo-K1'!AP$24</f>
        <v>393.9073126128784</v>
      </c>
      <c r="W80" s="83">
        <f>'Neo-K1'!AR$24</f>
        <v>299.65567404724328</v>
      </c>
      <c r="X80" s="83">
        <f>'Neo-K1'!AT$24</f>
        <v>202.57193009304464</v>
      </c>
      <c r="Y80" s="83">
        <f>'Neo-K1'!AV$24</f>
        <v>102.67827330532009</v>
      </c>
    </row>
    <row r="81" spans="1:25" x14ac:dyDescent="0.2">
      <c r="A81" t="s">
        <v>160</v>
      </c>
      <c r="B81" s="83">
        <f>'Neo-K2'!B$24</f>
        <v>2261.1304131516072</v>
      </c>
      <c r="C81" s="83">
        <f>'Neo-K2'!D$24</f>
        <v>2261.1304131516072</v>
      </c>
      <c r="D81" s="83">
        <f>'Neo-K2'!F$24</f>
        <v>2261.1304131516072</v>
      </c>
      <c r="E81" s="83">
        <f>'Neo-K2'!H$24</f>
        <v>2261.1304131516072</v>
      </c>
      <c r="F81" s="83">
        <f>'Neo-K2'!J$24</f>
        <v>2261.1304131516072</v>
      </c>
      <c r="G81" s="83">
        <f>'Neo-K2'!L$24</f>
        <v>2261.1304131516072</v>
      </c>
      <c r="H81" s="83">
        <f>'Neo-K2'!N$24</f>
        <v>2261.1304131516072</v>
      </c>
      <c r="I81" s="83">
        <f>'Neo-K2'!P$24</f>
        <v>2261.1304131516072</v>
      </c>
      <c r="J81" s="83">
        <f>'Neo-K2'!R$24</f>
        <v>2261.1304131516072</v>
      </c>
      <c r="K81" s="83">
        <f>'Neo-K2'!T$24</f>
        <v>2261.1304131516072</v>
      </c>
      <c r="L81" s="83">
        <f>'Neo-K2'!V$24</f>
        <v>2261.1304131516072</v>
      </c>
      <c r="M81" s="83">
        <f>'Neo-K2'!X$24</f>
        <v>2261.1304131516072</v>
      </c>
      <c r="N81" s="83">
        <f>'Neo-K2'!Z$24</f>
        <v>2261.1304131516072</v>
      </c>
      <c r="O81" s="83">
        <f>'Neo-K2'!AB$24</f>
        <v>2261.1304131516072</v>
      </c>
      <c r="P81" s="83">
        <f>'Neo-K2'!AD$24</f>
        <v>2261.1304131516072</v>
      </c>
      <c r="Q81" s="83">
        <f>'Neo-K2'!AF$24</f>
        <v>2261.1304131516072</v>
      </c>
      <c r="R81" s="83">
        <f>'Neo-K2'!AH$24</f>
        <v>2261.1304131516072</v>
      </c>
      <c r="S81" s="83">
        <f>'Neo-K2'!AJ$24</f>
        <v>2261.1304131516072</v>
      </c>
      <c r="T81" s="83">
        <f>'Neo-K2'!AL$24</f>
        <v>2261.1304131516072</v>
      </c>
      <c r="U81" s="83">
        <f>'Neo-K2'!AN$24</f>
        <v>2261.1304131516072</v>
      </c>
      <c r="V81" s="83">
        <f>'Neo-K2'!AP$24</f>
        <v>2261.1304131516072</v>
      </c>
      <c r="W81" s="83">
        <f>'Neo-K2'!AR$24</f>
        <v>2261.1304131516072</v>
      </c>
      <c r="X81" s="83">
        <f>'Neo-K2'!AT$24</f>
        <v>2261.1304131516072</v>
      </c>
      <c r="Y81" s="83">
        <f>'Neo-K2'!AV$24</f>
        <v>0</v>
      </c>
    </row>
  </sheetData>
  <conditionalFormatting sqref="B3:Y3 B6:Y10">
    <cfRule type="cellIs" dxfId="7" priority="13" operator="equal">
      <formula>0</formula>
    </cfRule>
  </conditionalFormatting>
  <conditionalFormatting sqref="B49:Y56">
    <cfRule type="containsErrors" dxfId="6" priority="9">
      <formula>ISERROR(B49)</formula>
    </cfRule>
    <cfRule type="containsErrors" priority="11">
      <formula>ISERROR(B49)</formula>
    </cfRule>
  </conditionalFormatting>
  <conditionalFormatting sqref="B63:Y70">
    <cfRule type="containsErrors" dxfId="5" priority="7">
      <formula>ISERROR(B63)</formula>
    </cfRule>
    <cfRule type="containsErrors" priority="8">
      <formula>ISERROR(B63)</formula>
    </cfRule>
  </conditionalFormatting>
  <conditionalFormatting sqref="B11:Y11">
    <cfRule type="cellIs" dxfId="4" priority="6" operator="equal">
      <formula>0</formula>
    </cfRule>
  </conditionalFormatting>
  <conditionalFormatting sqref="B74:Y81">
    <cfRule type="cellIs" dxfId="3" priority="5" operator="equal">
      <formula>0</formula>
    </cfRule>
  </conditionalFormatting>
  <conditionalFormatting sqref="B5:Y5">
    <cfRule type="cellIs" dxfId="2" priority="3" operator="equal">
      <formula>0</formula>
    </cfRule>
  </conditionalFormatting>
  <conditionalFormatting sqref="B4:Y4">
    <cfRule type="cellIs" dxfId="1" priority="2" operator="equal">
      <formula>0</formula>
    </cfRule>
  </conditionalFormatting>
  <conditionalFormatting sqref="B41:Y42">
    <cfRule type="cellIs" dxfId="0"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BD62A-568B-416C-99E8-C83A76A25016}">
  <dimension ref="A1:Y9"/>
  <sheetViews>
    <sheetView tabSelected="1" topLeftCell="C1" workbookViewId="0">
      <selection activeCell="P7" sqref="P7"/>
    </sheetView>
  </sheetViews>
  <sheetFormatPr baseColWidth="10" defaultRowHeight="10" x14ac:dyDescent="0.2"/>
  <sheetData>
    <row r="1" spans="1:25" x14ac:dyDescent="0.2">
      <c r="A1" t="s">
        <v>199</v>
      </c>
      <c r="B1" s="97">
        <v>0</v>
      </c>
      <c r="C1" s="97">
        <v>0.05</v>
      </c>
      <c r="D1" s="97">
        <v>0.1</v>
      </c>
      <c r="E1" s="97">
        <v>0.15000000000000002</v>
      </c>
      <c r="F1" s="97">
        <v>0.2</v>
      </c>
      <c r="G1" s="97">
        <v>0.25</v>
      </c>
      <c r="H1" s="97">
        <v>0.3</v>
      </c>
      <c r="I1" s="97">
        <v>0.35</v>
      </c>
      <c r="J1" s="97">
        <v>0.39999999999999997</v>
      </c>
      <c r="K1" s="97">
        <v>0.44999999999999996</v>
      </c>
      <c r="L1" s="97">
        <v>0.49999999999999994</v>
      </c>
      <c r="M1" s="97">
        <v>0.54999999999999993</v>
      </c>
      <c r="N1" s="97">
        <v>0.6</v>
      </c>
      <c r="O1" s="97">
        <v>0.65</v>
      </c>
      <c r="P1" s="97">
        <v>0.70000000000000007</v>
      </c>
      <c r="Q1" s="97">
        <v>0.75000000000000011</v>
      </c>
      <c r="R1" s="97">
        <v>0.80000000000000016</v>
      </c>
      <c r="S1" s="97">
        <v>0.8500000000000002</v>
      </c>
      <c r="T1" s="97">
        <v>0.90000000000000024</v>
      </c>
      <c r="U1" s="97">
        <v>0.95000000000000029</v>
      </c>
      <c r="V1" s="97">
        <v>0.9600000000000003</v>
      </c>
      <c r="W1" s="97">
        <v>0.97000000000000031</v>
      </c>
      <c r="X1" s="97">
        <v>0.98000000000000032</v>
      </c>
      <c r="Y1" s="97">
        <v>0.99000000000000032</v>
      </c>
    </row>
    <row r="2" spans="1:25" x14ac:dyDescent="0.2">
      <c r="A2" t="s">
        <v>91</v>
      </c>
      <c r="B2">
        <f>'Diagnosis Indicators'!B3</f>
        <v>0.99999999999999867</v>
      </c>
      <c r="C2">
        <f>'Diagnosis Indicators'!C3</f>
        <v>0.99385642585082579</v>
      </c>
      <c r="D2">
        <f>'Diagnosis Indicators'!D3</f>
        <v>0.98727002692792054</v>
      </c>
      <c r="E2">
        <f>'Diagnosis Indicators'!E3</f>
        <v>0.98016970409736848</v>
      </c>
      <c r="F2">
        <f>'Diagnosis Indicators'!F3</f>
        <v>0.97246632462133831</v>
      </c>
      <c r="G2">
        <f>'Diagnosis Indicators'!G3</f>
        <v>0.96404626277431216</v>
      </c>
      <c r="H2">
        <f>'Diagnosis Indicators'!H3</f>
        <v>0.95476208421958586</v>
      </c>
      <c r="I2">
        <f>'Diagnosis Indicators'!I3</f>
        <v>0.944418275272361</v>
      </c>
      <c r="J2">
        <f>'Diagnosis Indicators'!J3</f>
        <v>0.93274978949975473</v>
      </c>
      <c r="K2">
        <f>'Diagnosis Indicators'!K3</f>
        <v>0.91938873219634032</v>
      </c>
      <c r="L2">
        <f>'Diagnosis Indicators'!L3</f>
        <v>0.90381203207405336</v>
      </c>
      <c r="M2">
        <f>'Diagnosis Indicators'!M3</f>
        <v>0.88525989627687796</v>
      </c>
      <c r="N2">
        <f>'Diagnosis Indicators'!N3</f>
        <v>0.86261354928831413</v>
      </c>
      <c r="O2">
        <f>'Diagnosis Indicators'!O3</f>
        <v>0.8342298840282506</v>
      </c>
      <c r="P2">
        <f>'Diagnosis Indicators'!P3</f>
        <v>0.79775824213480095</v>
      </c>
      <c r="Q2">
        <f>'Diagnosis Indicators'!Q3</f>
        <v>0.74995510461847237</v>
      </c>
      <c r="R2">
        <f>'Diagnosis Indicators'!R3</f>
        <v>0.68624512371493007</v>
      </c>
      <c r="S2">
        <f>'Diagnosis Indicators'!S3</f>
        <v>0.59916681337345301</v>
      </c>
      <c r="T2">
        <f>'Diagnosis Indicators'!T3</f>
        <v>0.47413537973819325</v>
      </c>
      <c r="U2">
        <f>'Diagnosis Indicators'!U3</f>
        <v>0.27885601986350522</v>
      </c>
      <c r="V2">
        <f>'Diagnosis Indicators'!V3</f>
        <v>0.2261944032341458</v>
      </c>
      <c r="W2">
        <f>'Diagnosis Indicators'!W3</f>
        <v>0.16777391499836261</v>
      </c>
    </row>
    <row r="3" spans="1:25" x14ac:dyDescent="0.2">
      <c r="A3" t="s">
        <v>166</v>
      </c>
      <c r="B3">
        <f>'Diagnosis Indicators'!B4</f>
        <v>0.99999999999999867</v>
      </c>
      <c r="C3">
        <f>'Diagnosis Indicators'!C4</f>
        <v>0.9979026318616494</v>
      </c>
      <c r="D3">
        <f>'Diagnosis Indicators'!D4</f>
        <v>0.99545397934919078</v>
      </c>
      <c r="E3">
        <f>'Diagnosis Indicators'!E4</f>
        <v>0.99260259534027817</v>
      </c>
      <c r="F3">
        <f>'Diagnosis Indicators'!F4</f>
        <v>0.98928423543944954</v>
      </c>
      <c r="G3">
        <f>'Diagnosis Indicators'!G4</f>
        <v>0.98541764901559525</v>
      </c>
      <c r="H3">
        <f>'Diagnosis Indicators'!H4</f>
        <v>0.9808977590237733</v>
      </c>
      <c r="I3">
        <f>'Diagnosis Indicators'!I4</f>
        <v>0.97558598444017297</v>
      </c>
      <c r="J3">
        <f>'Diagnosis Indicators'!J4</f>
        <v>0.96929573963379012</v>
      </c>
    </row>
    <row r="4" spans="1:25" x14ac:dyDescent="0.2">
      <c r="A4" t="s">
        <v>92</v>
      </c>
      <c r="B4">
        <f>'Diagnosis Indicators'!B5</f>
        <v>0.99999999999999867</v>
      </c>
      <c r="C4">
        <f>'Diagnosis Indicators'!C5</f>
        <v>0.99772916870726192</v>
      </c>
      <c r="D4">
        <f>'Diagnosis Indicators'!D5</f>
        <v>0.99511660851336936</v>
      </c>
      <c r="E4">
        <f>'Diagnosis Indicators'!E5</f>
        <v>0.99211078787739537</v>
      </c>
      <c r="F4">
        <f>'Diagnosis Indicators'!F5</f>
        <v>0.98864777860926356</v>
      </c>
      <c r="G4">
        <f>'Diagnosis Indicators'!G5</f>
        <v>0.98464706521719869</v>
      </c>
      <c r="H4">
        <f>'Diagnosis Indicators'!H5</f>
        <v>0.98000550657006757</v>
      </c>
      <c r="I4">
        <f>'Diagnosis Indicators'!I5</f>
        <v>0.97458806523618458</v>
      </c>
      <c r="J4">
        <f>'Diagnosis Indicators'!J5</f>
        <v>0.96821386602807691</v>
      </c>
      <c r="K4">
        <f>'Diagnosis Indicators'!K5</f>
        <v>0.9606344043197369</v>
      </c>
      <c r="L4">
        <f>'Diagnosis Indicators'!L5</f>
        <v>0.95149846243029346</v>
      </c>
      <c r="M4">
        <f>'Diagnosis Indicators'!M5</f>
        <v>0.94029498797280309</v>
      </c>
      <c r="N4">
        <f>'Diagnosis Indicators'!N5</f>
        <v>0.92626033934204077</v>
      </c>
      <c r="O4">
        <f>'Diagnosis Indicators'!O5</f>
        <v>0.9082309264762527</v>
      </c>
      <c r="P4">
        <f>'Diagnosis Indicators'!P5</f>
        <v>0.88441858634857506</v>
      </c>
      <c r="Q4">
        <f>'Diagnosis Indicators'!Q5</f>
        <v>0.85205120607957996</v>
      </c>
      <c r="R4">
        <f>'Diagnosis Indicators'!R5</f>
        <v>0.80663739367413034</v>
      </c>
      <c r="S4">
        <f>'Diagnosis Indicators'!S5</f>
        <v>0.74009102649384684</v>
      </c>
      <c r="T4">
        <f>'Diagnosis Indicators'!T5</f>
        <v>0.63542724922880522</v>
      </c>
      <c r="U4">
        <f>'Diagnosis Indicators'!U5</f>
        <v>0.44812796561397356</v>
      </c>
      <c r="V4">
        <f>'Diagnosis Indicators'!V5</f>
        <v>0.39107684330822307</v>
      </c>
    </row>
    <row r="5" spans="1:25" x14ac:dyDescent="0.2">
      <c r="A5" t="s">
        <v>149</v>
      </c>
      <c r="B5">
        <f>'Diagnosis Indicators'!B6</f>
        <v>0.99999999999999867</v>
      </c>
      <c r="C5">
        <f>'Diagnosis Indicators'!C6</f>
        <v>0.96230979264375294</v>
      </c>
      <c r="D5">
        <f>'Diagnosis Indicators'!D6</f>
        <v>0.92095985969695981</v>
      </c>
      <c r="E5">
        <f>'Diagnosis Indicators'!E6</f>
        <v>0.87628417787460644</v>
      </c>
      <c r="F5">
        <f>'Diagnosis Indicators'!F6</f>
        <v>0.82877089187515629</v>
      </c>
      <c r="G5">
        <f>'Diagnosis Indicators'!G6</f>
        <v>0.77904610911775662</v>
      </c>
      <c r="H5">
        <f>'Diagnosis Indicators'!H6</f>
        <v>0.72786426751985944</v>
      </c>
      <c r="I5">
        <f>'Diagnosis Indicators'!I6</f>
        <v>0.676131740224718</v>
      </c>
      <c r="J5">
        <f>'Diagnosis Indicators'!J6</f>
        <v>0.62500197516140277</v>
      </c>
      <c r="K5">
        <f>'Diagnosis Indicators'!K6</f>
        <v>0.57611248052086217</v>
      </c>
      <c r="L5">
        <f>'Diagnosis Indicators'!L6</f>
        <v>0.53210725503589174</v>
      </c>
      <c r="M5">
        <f>'Diagnosis Indicators'!M6</f>
        <v>0.49739198398607887</v>
      </c>
      <c r="N5">
        <f>'Diagnosis Indicators'!N6</f>
        <v>0.47660448342443268</v>
      </c>
    </row>
    <row r="6" spans="1:25" x14ac:dyDescent="0.2">
      <c r="A6" t="s">
        <v>147</v>
      </c>
      <c r="B6">
        <f>'Diagnosis Indicators'!B7</f>
        <v>0.99999999999999867</v>
      </c>
      <c r="C6">
        <f>'Diagnosis Indicators'!C7</f>
        <v>1.0056064087234129</v>
      </c>
      <c r="D6">
        <f>'Diagnosis Indicators'!D7</f>
        <v>1.0111256026143538</v>
      </c>
      <c r="E6">
        <f>'Diagnosis Indicators'!E7</f>
        <v>1.0165559688377668</v>
      </c>
      <c r="F6">
        <f>'Diagnosis Indicators'!F7</f>
        <v>1.0219002661030481</v>
      </c>
      <c r="G6">
        <f>'Diagnosis Indicators'!G7</f>
        <v>1.0271684716576532</v>
      </c>
      <c r="H6">
        <f>'Diagnosis Indicators'!H7</f>
        <v>1.0323833253603845</v>
      </c>
      <c r="I6">
        <f>'Diagnosis Indicators'!I7</f>
        <v>1.0375882926821931</v>
      </c>
      <c r="J6">
        <f>'Diagnosis Indicators'!J7</f>
        <v>1.0428604044975032</v>
      </c>
      <c r="K6">
        <f>'Diagnosis Indicators'!K7</f>
        <v>1.0483280332514309</v>
      </c>
      <c r="L6">
        <f>'Diagnosis Indicators'!L7</f>
        <v>1.0541861936937524</v>
      </c>
      <c r="M6">
        <f>'Diagnosis Indicators'!M7</f>
        <v>1.0606721653173508</v>
      </c>
      <c r="N6">
        <f>'Diagnosis Indicators'!N7</f>
        <v>1.06787122187189</v>
      </c>
      <c r="O6">
        <f>'Diagnosis Indicators'!O7</f>
        <v>1.0751006000901113</v>
      </c>
      <c r="P6">
        <f>'Diagnosis Indicators'!P7</f>
        <v>1.0798721930701751</v>
      </c>
      <c r="Q6">
        <f>'Diagnosis Indicators'!Q7</f>
        <v>1.0771617955283521</v>
      </c>
    </row>
    <row r="7" spans="1:25" x14ac:dyDescent="0.2">
      <c r="A7" t="s">
        <v>165</v>
      </c>
      <c r="B7">
        <f>'Diagnosis Indicators'!B8</f>
        <v>0.99999999999999867</v>
      </c>
      <c r="C7">
        <f>'Diagnosis Indicators'!C8</f>
        <v>0.98301050187070094</v>
      </c>
      <c r="D7">
        <f>'Diagnosis Indicators'!D8</f>
        <v>0.96419048837629029</v>
      </c>
      <c r="E7">
        <f>'Diagnosis Indicators'!E8</f>
        <v>0.9432921722611185</v>
      </c>
      <c r="F7">
        <f>'Diagnosis Indicators'!F8</f>
        <v>0.92002894599451379</v>
      </c>
      <c r="G7">
        <f>'Diagnosis Indicators'!G8</f>
        <v>0.89407218399630217</v>
      </c>
      <c r="H7">
        <f>'Diagnosis Indicators'!H8</f>
        <v>0.86505017880362012</v>
      </c>
      <c r="I7">
        <f>'Diagnosis Indicators'!I8</f>
        <v>0.83255191706926102</v>
      </c>
      <c r="J7">
        <f>'Diagnosis Indicators'!J8</f>
        <v>0.79613930825748946</v>
      </c>
      <c r="K7">
        <f>'Diagnosis Indicators'!K8</f>
        <v>0.75537430284127483</v>
      </c>
      <c r="L7">
        <f>'Diagnosis Indicators'!L8</f>
        <v>0.70986873834991937</v>
      </c>
      <c r="M7">
        <f>'Diagnosis Indicators'!M8</f>
        <v>0.65937607919327457</v>
      </c>
      <c r="N7">
        <f>'Diagnosis Indicators'!N8</f>
        <v>0.6039740445114099</v>
      </c>
      <c r="O7">
        <f>'Diagnosis Indicators'!O8</f>
        <v>0.54458126232001858</v>
      </c>
      <c r="P7">
        <f>'Diagnosis Indicators'!P8</f>
        <v>0.48592060611397714</v>
      </c>
    </row>
    <row r="8" spans="1:25" x14ac:dyDescent="0.2">
      <c r="A8" t="s">
        <v>160</v>
      </c>
      <c r="B8">
        <f>'Diagnosis Indicators'!B9</f>
        <v>0.99999999999999867</v>
      </c>
      <c r="C8">
        <f>'Diagnosis Indicators'!C9</f>
        <v>0.98641263528533207</v>
      </c>
      <c r="D8">
        <f>'Diagnosis Indicators'!D9</f>
        <v>0.97153217515149082</v>
      </c>
      <c r="E8">
        <f>'Diagnosis Indicators'!E9</f>
        <v>0.95514175589892902</v>
      </c>
      <c r="F8">
        <f>'Diagnosis Indicators'!F9</f>
        <v>0.93697937332515679</v>
      </c>
      <c r="G8">
        <f>'Diagnosis Indicators'!G9</f>
        <v>0.91672897914554841</v>
      </c>
      <c r="H8">
        <f>'Diagnosis Indicators'!H9</f>
        <v>0.89401176684482597</v>
      </c>
      <c r="I8">
        <f>'Diagnosis Indicators'!I9</f>
        <v>0.86837943102991799</v>
      </c>
      <c r="J8">
        <f>'Diagnosis Indicators'!J9</f>
        <v>0.83931392077147859</v>
      </c>
      <c r="K8">
        <f>'Diagnosis Indicators'!K9</f>
        <v>0.80624052293684068</v>
      </c>
      <c r="L8">
        <f>'Diagnosis Indicators'!L9</f>
        <v>0.76856460593439602</v>
      </c>
      <c r="M8">
        <f>'Diagnosis Indicators'!M9</f>
        <v>0.72574470037236671</v>
      </c>
      <c r="N8">
        <f>'Diagnosis Indicators'!N9</f>
        <v>0.67740721413745253</v>
      </c>
      <c r="O8">
        <f>'Diagnosis Indicators'!O9</f>
        <v>0.62349090143053021</v>
      </c>
      <c r="P8">
        <f>'Diagnosis Indicators'!P9</f>
        <v>0.56435841725722991</v>
      </c>
      <c r="Q8">
        <f>'Diagnosis Indicators'!Q9</f>
        <v>0.50075657806009666</v>
      </c>
      <c r="R8">
        <f>'Diagnosis Indicators'!R9</f>
        <v>0.43346297129567024</v>
      </c>
      <c r="S8">
        <f>'Diagnosis Indicators'!S9</f>
        <v>0.36251103025264997</v>
      </c>
      <c r="T8">
        <f>'Diagnosis Indicators'!T9</f>
        <v>0.28562036857358647</v>
      </c>
      <c r="U8">
        <f>'Diagnosis Indicators'!U9</f>
        <v>0.19250183940575799</v>
      </c>
      <c r="V8">
        <f>'Diagnosis Indicators'!V9</f>
        <v>0.16922187382824486</v>
      </c>
      <c r="W8">
        <f>'Diagnosis Indicators'!W9</f>
        <v>0.14287594394158901</v>
      </c>
      <c r="X8">
        <f>'Diagnosis Indicators'!X9</f>
        <v>0.11182085612175412</v>
      </c>
    </row>
    <row r="9" spans="1:25" x14ac:dyDescent="0.2">
      <c r="A9" t="s">
        <v>161</v>
      </c>
      <c r="B9">
        <f>'Diagnosis Indicators'!B10</f>
        <v>0.99999999999999867</v>
      </c>
      <c r="C9">
        <f>'Diagnosis Indicators'!C10</f>
        <v>0.98890699542480787</v>
      </c>
      <c r="D9">
        <f>'Diagnosis Indicators'!D10</f>
        <v>0.97684100978959909</v>
      </c>
      <c r="E9">
        <f>'Diagnosis Indicators'!E10</f>
        <v>0.96364205206014741</v>
      </c>
      <c r="F9">
        <f>'Diagnosis Indicators'!F10</f>
        <v>0.9491126012006138</v>
      </c>
      <c r="G9">
        <f>'Diagnosis Indicators'!G10</f>
        <v>0.93300615411589316</v>
      </c>
      <c r="H9">
        <f>'Diagnosis Indicators'!H10</f>
        <v>0.91501237367768617</v>
      </c>
      <c r="I9">
        <f>'Diagnosis Indicators'!I10</f>
        <v>0.89473692647988712</v>
      </c>
      <c r="J9">
        <f>'Diagnosis Indicators'!J10</f>
        <v>0.87167548581726728</v>
      </c>
      <c r="K9">
        <f>'Diagnosis Indicators'!K10</f>
        <v>0.84518042285273909</v>
      </c>
      <c r="L9">
        <f>'Diagnosis Indicators'!L10</f>
        <v>0.81442174482120688</v>
      </c>
      <c r="M9">
        <f>'Diagnosis Indicators'!M10</f>
        <v>0.7783469264595777</v>
      </c>
      <c r="N9">
        <f>'Diagnosis Indicators'!N10</f>
        <v>0.73565412762703042</v>
      </c>
      <c r="O9">
        <f>'Diagnosis Indicators'!O10</f>
        <v>0.68480672869435666</v>
      </c>
      <c r="P9">
        <f>'Diagnosis Indicators'!P10</f>
        <v>0.62412952030988433</v>
      </c>
      <c r="Q9">
        <f>'Diagnosis Indicators'!Q10</f>
        <v>0.55201815814943656</v>
      </c>
      <c r="R9">
        <f>'Diagnosis Indicators'!R10</f>
        <v>0.46723625346741243</v>
      </c>
      <c r="S9">
        <f>'Diagnosis Indicators'!S10</f>
        <v>0.36918923729064945</v>
      </c>
      <c r="T9">
        <f>'Diagnosis Indicators'!T10</f>
        <v>0.25803352470599317</v>
      </c>
      <c r="U9">
        <f>'Diagnosis Indicators'!U10</f>
        <v>0.13456960941918611</v>
      </c>
      <c r="V9">
        <f>'Diagnosis Indicators'!V10</f>
        <v>0.10850159946363713</v>
      </c>
      <c r="W9">
        <f>'Diagnosis Indicators'!W10</f>
        <v>8.1999682328915982E-2</v>
      </c>
      <c r="X9">
        <f>'Diagnosis Indicators'!X10</f>
        <v>5.5074768566029768E-2</v>
      </c>
      <c r="Y9">
        <f>'Diagnosis Indicators'!Y10</f>
        <v>2.7737860791936939E-2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DD7F8-F9FA-4C48-B347-E8AED40E58D8}">
  <dimension ref="A1:Y9"/>
  <sheetViews>
    <sheetView workbookViewId="0">
      <selection activeCell="A2" sqref="A2"/>
    </sheetView>
  </sheetViews>
  <sheetFormatPr baseColWidth="10" defaultRowHeight="10" x14ac:dyDescent="0.2"/>
  <sheetData>
    <row r="1" spans="1:25" x14ac:dyDescent="0.2">
      <c r="A1" t="s">
        <v>199</v>
      </c>
      <c r="B1" s="97">
        <v>0</v>
      </c>
      <c r="C1" s="97">
        <v>0.05</v>
      </c>
      <c r="D1" s="97">
        <v>0.1</v>
      </c>
      <c r="E1" s="97">
        <v>0.15000000000000002</v>
      </c>
      <c r="F1" s="97">
        <v>0.2</v>
      </c>
      <c r="G1" s="97">
        <v>0.25</v>
      </c>
      <c r="H1" s="97">
        <v>0.3</v>
      </c>
      <c r="I1" s="97">
        <v>0.35</v>
      </c>
      <c r="J1" s="97">
        <v>0.39999999999999997</v>
      </c>
      <c r="K1" s="97">
        <v>0.44999999999999996</v>
      </c>
      <c r="L1" s="97">
        <v>0.49999999999999994</v>
      </c>
      <c r="M1" s="97">
        <v>0.54999999999999993</v>
      </c>
      <c r="N1" s="97">
        <v>0.6</v>
      </c>
      <c r="O1" s="97">
        <v>0.65</v>
      </c>
      <c r="P1" s="97">
        <v>0.70000000000000007</v>
      </c>
      <c r="Q1" s="97">
        <v>0.75000000000000011</v>
      </c>
      <c r="R1" s="97">
        <v>0.80000000000000016</v>
      </c>
      <c r="S1" s="97">
        <v>0.8500000000000002</v>
      </c>
      <c r="T1" s="97">
        <v>0.90000000000000024</v>
      </c>
      <c r="U1" s="97">
        <v>0.95000000000000029</v>
      </c>
      <c r="V1" s="97">
        <v>0.9600000000000003</v>
      </c>
      <c r="W1" s="97">
        <v>0.97000000000000031</v>
      </c>
      <c r="X1" s="97">
        <v>0.98000000000000032</v>
      </c>
      <c r="Y1" s="97">
        <v>0.99000000000000032</v>
      </c>
    </row>
    <row r="2" spans="1:25" x14ac:dyDescent="0.2">
      <c r="A2" t="s">
        <v>91</v>
      </c>
      <c r="B2">
        <f>'Diagnosis Indicators'!B49</f>
        <v>0.60327031657597174</v>
      </c>
      <c r="C2">
        <f>'Diagnosis Indicators'!C49</f>
        <v>0.60697082674916181</v>
      </c>
      <c r="D2">
        <f>'Diagnosis Indicators'!D49</f>
        <v>0.6055128963471067</v>
      </c>
      <c r="E2">
        <f>'Diagnosis Indicators'!E49</f>
        <v>0.60406822873660238</v>
      </c>
      <c r="F2">
        <f>'Diagnosis Indicators'!F49</f>
        <v>0.6026402436283701</v>
      </c>
      <c r="G2">
        <f>'Diagnosis Indicators'!G49</f>
        <v>0.60123343824249598</v>
      </c>
      <c r="H2">
        <f>'Diagnosis Indicators'!H49</f>
        <v>0.59985378249809451</v>
      </c>
      <c r="I2">
        <f>'Diagnosis Indicators'!I49</f>
        <v>0.59850931425031551</v>
      </c>
      <c r="J2">
        <f>'Diagnosis Indicators'!J49</f>
        <v>0.59721093347280951</v>
      </c>
      <c r="K2">
        <f>'Diagnosis Indicators'!K49</f>
        <v>0.59597348322212518</v>
      </c>
      <c r="L2">
        <f>'Diagnosis Indicators'!L49</f>
        <v>0.59481715483247755</v>
      </c>
      <c r="M2">
        <f>'Diagnosis Indicators'!M49</f>
        <v>0.59376894485705989</v>
      </c>
      <c r="N2">
        <f>'Diagnosis Indicators'!N49</f>
        <v>0.59286313501906684</v>
      </c>
      <c r="O2">
        <f>'Diagnosis Indicators'!O49</f>
        <v>0.5921379371671277</v>
      </c>
      <c r="P2">
        <f>'Diagnosis Indicators'!P49</f>
        <v>0.59162327926306535</v>
      </c>
      <c r="Q2">
        <f>'Diagnosis Indicators'!Q49</f>
        <v>0.59131858795121439</v>
      </c>
      <c r="R2">
        <f>'Diagnosis Indicators'!R49</f>
        <v>0.59117834615886833</v>
      </c>
      <c r="S2">
        <f>'Diagnosis Indicators'!S49</f>
        <v>0.59113187929388311</v>
      </c>
      <c r="T2">
        <f>'Diagnosis Indicators'!T49</f>
        <v>0.59112199431358048</v>
      </c>
      <c r="U2">
        <f>'Diagnosis Indicators'!U49</f>
        <v>0.59112094752266309</v>
      </c>
      <c r="V2">
        <f>'Diagnosis Indicators'!V49</f>
        <v>0.59112092989931542</v>
      </c>
      <c r="W2">
        <f>'Diagnosis Indicators'!W49</f>
        <v>0.59112092329649268</v>
      </c>
    </row>
    <row r="3" spans="1:25" x14ac:dyDescent="0.2">
      <c r="A3" t="s">
        <v>166</v>
      </c>
      <c r="B3">
        <f>'Diagnosis Indicators'!B50</f>
        <v>0.60327031657597174</v>
      </c>
      <c r="C3">
        <f>'Diagnosis Indicators'!C50</f>
        <v>0.60695182075314358</v>
      </c>
      <c r="D3">
        <f>'Diagnosis Indicators'!D50</f>
        <v>0.60547504073265823</v>
      </c>
      <c r="E3">
        <f>'Diagnosis Indicators'!E50</f>
        <v>0.60401176495946074</v>
      </c>
      <c r="F3">
        <f>'Diagnosis Indicators'!F50</f>
        <v>0.60256556888246304</v>
      </c>
      <c r="G3">
        <f>'Diagnosis Indicators'!G50</f>
        <v>0.60114118935353567</v>
      </c>
      <c r="H3">
        <f>'Diagnosis Indicators'!H50</f>
        <v>0.59974494750672547</v>
      </c>
      <c r="I3">
        <f>'Diagnosis Indicators'!I50</f>
        <v>0.59838540231953175</v>
      </c>
      <c r="J3">
        <f>'Diagnosis Indicators'!J50</f>
        <v>0.59707423020149741</v>
      </c>
      <c r="K3">
        <f>'Diagnosis Indicators'!K50</f>
        <v>0.59582742306469583</v>
      </c>
      <c r="L3">
        <f>'Diagnosis Indicators'!L50</f>
        <v>0.59466684155326988</v>
      </c>
      <c r="M3">
        <f>'Diagnosis Indicators'!M50</f>
        <v>0.59362178292997947</v>
      </c>
      <c r="N3">
        <f>'Diagnosis Indicators'!N50</f>
        <v>0.59272920336426427</v>
      </c>
      <c r="O3">
        <f>'Diagnosis Indicators'!O50</f>
        <v>0.59202906328461979</v>
      </c>
      <c r="P3">
        <f>'Diagnosis Indicators'!P50</f>
        <v>0.59154895168747634</v>
      </c>
      <c r="Q3">
        <f>'Diagnosis Indicators'!Q50</f>
        <v>0.59127925854368835</v>
      </c>
      <c r="R3">
        <f>'Diagnosis Indicators'!R50</f>
        <v>0.59116358847360917</v>
      </c>
      <c r="S3">
        <f>'Diagnosis Indicators'!S50</f>
        <v>0.59112837664385121</v>
      </c>
      <c r="T3">
        <f>'Diagnosis Indicators'!T50</f>
        <v>0.5911215798692443</v>
      </c>
      <c r="U3">
        <f>'Diagnosis Indicators'!U50</f>
        <v>0.5911209356693099</v>
      </c>
      <c r="V3">
        <f>'Diagnosis Indicators'!V50</f>
        <v>0.59112092583588505</v>
      </c>
    </row>
    <row r="4" spans="1:25" x14ac:dyDescent="0.2">
      <c r="A4" t="s">
        <v>92</v>
      </c>
      <c r="B4">
        <f>'Diagnosis Indicators'!B51</f>
        <v>0.60327031657597174</v>
      </c>
      <c r="C4">
        <f>'Diagnosis Indicators'!C51</f>
        <v>0.64187591719797221</v>
      </c>
      <c r="D4">
        <f>'Diagnosis Indicators'!D51</f>
        <v>0.67763944677046317</v>
      </c>
      <c r="E4">
        <f>'Diagnosis Indicators'!E51</f>
        <v>0.71606262237342067</v>
      </c>
      <c r="F4">
        <f>'Diagnosis Indicators'!F51</f>
        <v>0.75756668176632858</v>
      </c>
      <c r="G4">
        <f>'Diagnosis Indicators'!G51</f>
        <v>0.80269325775983669</v>
      </c>
      <c r="H4">
        <f>'Diagnosis Indicators'!H51</f>
        <v>0.85214881380802809</v>
      </c>
      <c r="I4">
        <f>'Diagnosis Indicators'!I51</f>
        <v>0.9068650850001061</v>
      </c>
      <c r="J4">
        <f>'Diagnosis Indicators'!J51</f>
        <v>0.96807863265225236</v>
      </c>
    </row>
    <row r="5" spans="1:25" x14ac:dyDescent="0.2">
      <c r="A5" t="s">
        <v>149</v>
      </c>
      <c r="B5">
        <f>'Diagnosis Indicators'!B52</f>
        <v>0.60327031657597174</v>
      </c>
      <c r="C5">
        <f>'Diagnosis Indicators'!C52</f>
        <v>0.62375656202851792</v>
      </c>
      <c r="D5">
        <f>'Diagnosis Indicators'!D52</f>
        <v>0.63784565975096319</v>
      </c>
      <c r="E5">
        <f>'Diagnosis Indicators'!E52</f>
        <v>0.65060229968993533</v>
      </c>
      <c r="F5">
        <f>'Diagnosis Indicators'!F52</f>
        <v>0.66197380074317658</v>
      </c>
      <c r="G5">
        <f>'Diagnosis Indicators'!G52</f>
        <v>0.67195809578905119</v>
      </c>
      <c r="H5">
        <f>'Diagnosis Indicators'!H52</f>
        <v>0.68058964910807274</v>
      </c>
      <c r="I5">
        <f>'Diagnosis Indicators'!I52</f>
        <v>0.68791717376395833</v>
      </c>
      <c r="J5">
        <f>'Diagnosis Indicators'!J52</f>
        <v>0.69398111639796345</v>
      </c>
      <c r="K5">
        <f>'Diagnosis Indicators'!K52</f>
        <v>0.69877559504898179</v>
      </c>
      <c r="L5">
        <f>'Diagnosis Indicators'!L52</f>
        <v>0.70217753423241902</v>
      </c>
      <c r="M5">
        <f>'Diagnosis Indicators'!M52</f>
        <v>0.70383442006496844</v>
      </c>
      <c r="N5">
        <f>'Diagnosis Indicators'!N52</f>
        <v>0.70324020801971421</v>
      </c>
    </row>
    <row r="6" spans="1:25" x14ac:dyDescent="0.2">
      <c r="A6" t="s">
        <v>147</v>
      </c>
      <c r="B6">
        <f>'Diagnosis Indicators'!B53</f>
        <v>0.60327031657597174</v>
      </c>
      <c r="C6">
        <f>'Diagnosis Indicators'!C53</f>
        <v>0.61584132649152135</v>
      </c>
      <c r="D6">
        <f>'Diagnosis Indicators'!D53</f>
        <v>0.62368930504135933</v>
      </c>
      <c r="E6">
        <f>'Diagnosis Indicators'!E53</f>
        <v>0.63207930598473461</v>
      </c>
      <c r="F6">
        <f>'Diagnosis Indicators'!F53</f>
        <v>0.64114069801602358</v>
      </c>
      <c r="G6">
        <f>'Diagnosis Indicators'!G53</f>
        <v>0.65105187805329989</v>
      </c>
      <c r="H6">
        <f>'Diagnosis Indicators'!H53</f>
        <v>0.66206529558637839</v>
      </c>
      <c r="I6">
        <f>'Diagnosis Indicators'!I53</f>
        <v>0.67454786849142356</v>
      </c>
      <c r="J6">
        <f>'Diagnosis Indicators'!J53</f>
        <v>0.68904802501208195</v>
      </c>
      <c r="K6">
        <f>'Diagnosis Indicators'!K53</f>
        <v>0.70640733733387373</v>
      </c>
      <c r="L6">
        <f>'Diagnosis Indicators'!L53</f>
        <v>0.7279405248321551</v>
      </c>
      <c r="M6">
        <f>'Diagnosis Indicators'!M53</f>
        <v>0.75569066009109476</v>
      </c>
      <c r="N6">
        <f>'Diagnosis Indicators'!N53</f>
        <v>0.79265524165098133</v>
      </c>
      <c r="O6">
        <f>'Diagnosis Indicators'!O53</f>
        <v>0.84264693093683918</v>
      </c>
      <c r="P6">
        <f>'Diagnosis Indicators'!P53</f>
        <v>0.90974491259224044</v>
      </c>
      <c r="Q6">
        <f>'Diagnosis Indicators'!Q53</f>
        <v>0.99899898579474078</v>
      </c>
    </row>
    <row r="7" spans="1:25" x14ac:dyDescent="0.2">
      <c r="A7" t="s">
        <v>165</v>
      </c>
      <c r="B7">
        <f>'Diagnosis Indicators'!B54</f>
        <v>0.60327031657597174</v>
      </c>
      <c r="C7">
        <f>'Diagnosis Indicators'!C54</f>
        <v>0.61357999783470507</v>
      </c>
      <c r="D7">
        <f>'Diagnosis Indicators'!D54</f>
        <v>0.61883422964378065</v>
      </c>
      <c r="E7">
        <f>'Diagnosis Indicators'!E54</f>
        <v>0.6242014971692631</v>
      </c>
      <c r="F7">
        <f>'Diagnosis Indicators'!F54</f>
        <v>0.62967770186415029</v>
      </c>
      <c r="G7">
        <f>'Diagnosis Indicators'!G54</f>
        <v>0.63525383446947525</v>
      </c>
      <c r="H7">
        <f>'Diagnosis Indicators'!H54</f>
        <v>0.64091380763571781</v>
      </c>
      <c r="I7">
        <f>'Diagnosis Indicators'!I54</f>
        <v>0.64663166539107297</v>
      </c>
      <c r="J7">
        <f>'Diagnosis Indicators'!J54</f>
        <v>0.65236819601867724</v>
      </c>
      <c r="K7">
        <f>'Diagnosis Indicators'!K54</f>
        <v>0.65806698270274466</v>
      </c>
      <c r="L7">
        <f>'Diagnosis Indicators'!L54</f>
        <v>0.66364926753120745</v>
      </c>
      <c r="M7">
        <f>'Diagnosis Indicators'!M54</f>
        <v>0.66900861231968611</v>
      </c>
      <c r="N7">
        <f>'Diagnosis Indicators'!N54</f>
        <v>0.67399809562604418</v>
      </c>
      <c r="O7">
        <f>'Diagnosis Indicators'!O54</f>
        <v>0.6783777809384105</v>
      </c>
      <c r="P7">
        <f>'Diagnosis Indicators'!P54</f>
        <v>0.68142336384672131</v>
      </c>
    </row>
    <row r="8" spans="1:25" x14ac:dyDescent="0.2">
      <c r="A8" t="s">
        <v>160</v>
      </c>
      <c r="B8">
        <f>'Diagnosis Indicators'!B55</f>
        <v>0.60327031657597174</v>
      </c>
      <c r="C8">
        <f>'Diagnosis Indicators'!C55</f>
        <v>0.60876661891924777</v>
      </c>
      <c r="D8">
        <f>'Diagnosis Indicators'!D55</f>
        <v>0.6091479919380981</v>
      </c>
      <c r="E8">
        <f>'Diagnosis Indicators'!E55</f>
        <v>0.60958965532503862</v>
      </c>
      <c r="F8">
        <f>'Diagnosis Indicators'!F55</f>
        <v>0.61009830937529352</v>
      </c>
      <c r="G8">
        <f>'Diagnosis Indicators'!G55</f>
        <v>0.61068106986769299</v>
      </c>
      <c r="H8">
        <f>'Diagnosis Indicators'!H55</f>
        <v>0.61134513804808688</v>
      </c>
      <c r="I8">
        <f>'Diagnosis Indicators'!I55</f>
        <v>0.61209720326657691</v>
      </c>
      <c r="J8">
        <f>'Diagnosis Indicators'!J55</f>
        <v>0.61294234534386338</v>
      </c>
      <c r="K8">
        <f>'Diagnosis Indicators'!K55</f>
        <v>0.6138822118024192</v>
      </c>
      <c r="L8">
        <f>'Diagnosis Indicators'!L55</f>
        <v>0.6149121151667809</v>
      </c>
      <c r="M8">
        <f>'Diagnosis Indicators'!M55</f>
        <v>0.61601652164975884</v>
      </c>
      <c r="N8">
        <f>'Diagnosis Indicators'!N55</f>
        <v>0.61716226402996865</v>
      </c>
      <c r="O8">
        <f>'Diagnosis Indicators'!O55</f>
        <v>0.61828796027976995</v>
      </c>
      <c r="P8">
        <f>'Diagnosis Indicators'!P55</f>
        <v>0.61928631842921267</v>
      </c>
      <c r="Q8">
        <f>'Diagnosis Indicators'!Q55</f>
        <v>0.61996928103632998</v>
      </c>
      <c r="R8">
        <f>'Diagnosis Indicators'!R55</f>
        <v>0.61998399370895707</v>
      </c>
      <c r="S8">
        <f>'Diagnosis Indicators'!S55</f>
        <v>0.61857144389476382</v>
      </c>
      <c r="T8">
        <f>'Diagnosis Indicators'!T55</f>
        <v>0.61376894769276225</v>
      </c>
      <c r="U8">
        <f>'Diagnosis Indicators'!U55</f>
        <v>0.5981581507413829</v>
      </c>
      <c r="V8">
        <f>'Diagnosis Indicators'!V55</f>
        <v>0.59116255246104554</v>
      </c>
      <c r="W8">
        <f>'Diagnosis Indicators'!W55</f>
        <v>0.58072338202789764</v>
      </c>
      <c r="X8">
        <f>'Diagnosis Indicators'!X55</f>
        <v>0.56334633395994216</v>
      </c>
    </row>
    <row r="9" spans="1:25" x14ac:dyDescent="0.2">
      <c r="A9" t="s">
        <v>161</v>
      </c>
      <c r="B9">
        <f>'Diagnosis Indicators'!B56</f>
        <v>0.60327031657597174</v>
      </c>
      <c r="C9">
        <f>'Diagnosis Indicators'!C56</f>
        <v>0.60876661891924777</v>
      </c>
      <c r="D9">
        <f>'Diagnosis Indicators'!D56</f>
        <v>0.6091479919380981</v>
      </c>
      <c r="E9">
        <f>'Diagnosis Indicators'!E56</f>
        <v>0.60958965532503862</v>
      </c>
      <c r="F9">
        <f>'Diagnosis Indicators'!F56</f>
        <v>0.61009830937529352</v>
      </c>
      <c r="G9">
        <f>'Diagnosis Indicators'!G56</f>
        <v>0.61068106986769299</v>
      </c>
      <c r="H9">
        <f>'Diagnosis Indicators'!H56</f>
        <v>0.61134513804808688</v>
      </c>
      <c r="I9">
        <f>'Diagnosis Indicators'!I56</f>
        <v>0.61209720326657691</v>
      </c>
      <c r="J9">
        <f>'Diagnosis Indicators'!J56</f>
        <v>0.61294234534386338</v>
      </c>
      <c r="K9">
        <f>'Diagnosis Indicators'!K56</f>
        <v>0.6138822118024192</v>
      </c>
      <c r="L9">
        <f>'Diagnosis Indicators'!L56</f>
        <v>0.6149121151667809</v>
      </c>
      <c r="M9">
        <f>'Diagnosis Indicators'!M56</f>
        <v>0.61601652164975884</v>
      </c>
      <c r="N9">
        <f>'Diagnosis Indicators'!N56</f>
        <v>0.61716226402996865</v>
      </c>
      <c r="O9">
        <f>'Diagnosis Indicators'!O56</f>
        <v>0.61828796027976995</v>
      </c>
      <c r="P9">
        <f>'Diagnosis Indicators'!P56</f>
        <v>0.61928631842921267</v>
      </c>
      <c r="Q9">
        <f>'Diagnosis Indicators'!Q56</f>
        <v>0.61996928103632998</v>
      </c>
      <c r="R9">
        <f>'Diagnosis Indicators'!R56</f>
        <v>0.61998399370895707</v>
      </c>
      <c r="S9">
        <f>'Diagnosis Indicators'!S56</f>
        <v>0.61857144389476382</v>
      </c>
      <c r="T9">
        <f>'Diagnosis Indicators'!T56</f>
        <v>0.61376894769276225</v>
      </c>
      <c r="U9">
        <f>'Diagnosis Indicators'!U56</f>
        <v>0.5981581507413829</v>
      </c>
      <c r="V9">
        <f>'Diagnosis Indicators'!V56</f>
        <v>0.59116255246104554</v>
      </c>
      <c r="W9">
        <f>'Diagnosis Indicators'!W56</f>
        <v>0.58072338202789764</v>
      </c>
      <c r="X9">
        <f>'Diagnosis Indicators'!X56</f>
        <v>0.56334633395994216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D61F2-4E12-4277-8FE0-ECD4BE5799F1}">
  <dimension ref="A1:Y9"/>
  <sheetViews>
    <sheetView workbookViewId="0">
      <selection activeCell="A2" sqref="A2"/>
    </sheetView>
  </sheetViews>
  <sheetFormatPr baseColWidth="10" defaultRowHeight="10" x14ac:dyDescent="0.2"/>
  <sheetData>
    <row r="1" spans="1:25" x14ac:dyDescent="0.2">
      <c r="A1" t="s">
        <v>199</v>
      </c>
      <c r="B1" s="97">
        <v>0</v>
      </c>
      <c r="C1" s="97">
        <v>0.05</v>
      </c>
      <c r="D1" s="97">
        <v>0.1</v>
      </c>
      <c r="E1" s="97">
        <v>0.15000000000000002</v>
      </c>
      <c r="F1" s="97">
        <v>0.2</v>
      </c>
      <c r="G1" s="97">
        <v>0.25</v>
      </c>
      <c r="H1" s="97">
        <v>0.3</v>
      </c>
      <c r="I1" s="97">
        <v>0.35</v>
      </c>
      <c r="J1" s="97">
        <v>0.39999999999999997</v>
      </c>
      <c r="K1" s="97">
        <v>0.44999999999999996</v>
      </c>
      <c r="L1" s="97">
        <v>0.49999999999999994</v>
      </c>
      <c r="M1" s="97">
        <v>0.54999999999999993</v>
      </c>
      <c r="N1" s="97">
        <v>0.6</v>
      </c>
      <c r="O1" s="97">
        <v>0.65</v>
      </c>
      <c r="P1" s="97">
        <v>0.70000000000000007</v>
      </c>
      <c r="Q1" s="97">
        <v>0.75000000000000011</v>
      </c>
      <c r="R1" s="97">
        <v>0.80000000000000016</v>
      </c>
      <c r="S1" s="97">
        <v>0.8500000000000002</v>
      </c>
      <c r="T1" s="97">
        <v>0.90000000000000024</v>
      </c>
      <c r="U1" s="97">
        <v>0.95000000000000029</v>
      </c>
      <c r="V1" s="97">
        <v>0.9600000000000003</v>
      </c>
      <c r="W1" s="97">
        <v>0.97000000000000031</v>
      </c>
      <c r="X1" s="97">
        <v>0.98000000000000032</v>
      </c>
      <c r="Y1" s="97">
        <v>0.99000000000000032</v>
      </c>
    </row>
    <row r="2" spans="1:25" x14ac:dyDescent="0.2">
      <c r="A2" t="s">
        <v>91</v>
      </c>
      <c r="B2">
        <f>'Diagnosis Indicators'!B35</f>
        <v>0.16485636072655599</v>
      </c>
      <c r="C2">
        <f>'Diagnosis Indicators'!C35</f>
        <v>0.19947471445251766</v>
      </c>
      <c r="D2">
        <f>'Diagnosis Indicators'!D35</f>
        <v>0.23798230341394302</v>
      </c>
      <c r="E2">
        <f>'Diagnosis Indicators'!E35</f>
        <v>0.28119642748889545</v>
      </c>
      <c r="F2">
        <f>'Diagnosis Indicators'!F35</f>
        <v>0.33019361985848267</v>
      </c>
      <c r="G2">
        <f>'Diagnosis Indicators'!G35</f>
        <v>0.38642196092333503</v>
      </c>
      <c r="H2">
        <f>'Diagnosis Indicators'!H35</f>
        <v>0.45187680031292576</v>
      </c>
      <c r="I2">
        <f>'Diagnosis Indicators'!I35</f>
        <v>0.52938164264600773</v>
      </c>
      <c r="J2">
        <f>'Diagnosis Indicators'!J35</f>
        <v>0.62305533825485448</v>
      </c>
      <c r="K2">
        <f>'Diagnosis Indicators'!K35</f>
        <v>0.73911537506110003</v>
      </c>
      <c r="L2">
        <f>'Diagnosis Indicators'!L35</f>
        <v>0.88731010507708696</v>
      </c>
      <c r="M2">
        <f>'Diagnosis Indicators'!M35</f>
        <v>1.0835623901133598</v>
      </c>
      <c r="N2">
        <f>'Diagnosis Indicators'!N35</f>
        <v>1.3549872166408303</v>
      </c>
      <c r="O2">
        <f>'Diagnosis Indicators'!O35</f>
        <v>1.7495664012528189</v>
      </c>
      <c r="P2">
        <f>'Diagnosis Indicators'!P35</f>
        <v>2.3549813990175967</v>
      </c>
      <c r="Q2">
        <f>'Diagnosis Indicators'!Q35</f>
        <v>3.3372046863448168</v>
      </c>
      <c r="R2">
        <f>'Diagnosis Indicators'!R35</f>
        <v>5.0345929077004357</v>
      </c>
      <c r="S2">
        <f>'Diagnosis Indicators'!S35</f>
        <v>8.2531528930246871</v>
      </c>
      <c r="T2">
        <f>'Diagnosis Indicators'!T35</f>
        <v>15.470764000269677</v>
      </c>
      <c r="U2">
        <f>'Diagnosis Indicators'!U35</f>
        <v>38.54508713977674</v>
      </c>
      <c r="V2">
        <f>'Diagnosis Indicators'!V35</f>
        <v>49.649804338256054</v>
      </c>
      <c r="W2">
        <f>'Diagnosis Indicators'!W35</f>
        <v>66.833863591772243</v>
      </c>
    </row>
    <row r="3" spans="1:25" x14ac:dyDescent="0.2">
      <c r="A3" t="s">
        <v>166</v>
      </c>
      <c r="B3">
        <f>'Diagnosis Indicators'!B36</f>
        <v>0.16485636072655629</v>
      </c>
      <c r="C3">
        <f>'Diagnosis Indicators'!C36</f>
        <v>0.18858387731708789</v>
      </c>
      <c r="D3">
        <f>'Diagnosis Indicators'!D36</f>
        <v>0.21592497873285327</v>
      </c>
      <c r="E3">
        <f>'Diagnosis Indicators'!E36</f>
        <v>0.24773544124255306</v>
      </c>
      <c r="F3">
        <f>'Diagnosis Indicators'!F36</f>
        <v>0.28516709232037174</v>
      </c>
      <c r="G3">
        <f>'Diagnosis Indicators'!G36</f>
        <v>0.32980718697458505</v>
      </c>
      <c r="H3">
        <f>'Diagnosis Indicators'!H36</f>
        <v>0.38389954355423445</v>
      </c>
      <c r="I3">
        <f>'Diagnosis Indicators'!I36</f>
        <v>0.45071017352317999</v>
      </c>
      <c r="J3">
        <f>'Diagnosis Indicators'!J36</f>
        <v>0.53515048566165246</v>
      </c>
    </row>
    <row r="4" spans="1:25" x14ac:dyDescent="0.2">
      <c r="A4" t="s">
        <v>92</v>
      </c>
      <c r="B4">
        <f>'Diagnosis Indicators'!B37</f>
        <v>0.16485636072655629</v>
      </c>
      <c r="C4">
        <f>'Diagnosis Indicators'!C37</f>
        <v>0.20064449009850194</v>
      </c>
      <c r="D4">
        <f>'Diagnosis Indicators'!D37</f>
        <v>0.24049517089853606</v>
      </c>
      <c r="E4">
        <f>'Diagnosis Indicators'!E37</f>
        <v>0.28527719732684886</v>
      </c>
      <c r="F4">
        <f>'Diagnosis Indicators'!F37</f>
        <v>0.33614085846853647</v>
      </c>
      <c r="G4">
        <f>'Diagnosis Indicators'!G37</f>
        <v>0.39464255397185399</v>
      </c>
      <c r="H4">
        <f>'Diagnosis Indicators'!H37</f>
        <v>0.46294122128101384</v>
      </c>
      <c r="I4">
        <f>'Diagnosis Indicators'!I37</f>
        <v>0.54411581245815688</v>
      </c>
      <c r="J4">
        <f>'Diagnosis Indicators'!J37</f>
        <v>0.64269874756666723</v>
      </c>
      <c r="K4">
        <f>'Diagnosis Indicators'!K37</f>
        <v>0.7656042843423343</v>
      </c>
      <c r="L4">
        <f>'Diagnosis Indicators'!L37</f>
        <v>0.92380451502926986</v>
      </c>
      <c r="M4">
        <f>'Diagnosis Indicators'!M37</f>
        <v>1.1354610776044354</v>
      </c>
      <c r="N4">
        <f>'Diagnosis Indicators'!N37</f>
        <v>1.4319218804585099</v>
      </c>
      <c r="O4">
        <f>'Diagnosis Indicators'!O37</f>
        <v>1.8692984615078601</v>
      </c>
      <c r="P4">
        <f>'Diagnosis Indicators'!P37</f>
        <v>2.5508114605551819</v>
      </c>
      <c r="Q4">
        <f>'Diagnosis Indicators'!Q37</f>
        <v>3.672356841973639</v>
      </c>
      <c r="R4">
        <f>'Diagnosis Indicators'!R37</f>
        <v>5.6359155910682661</v>
      </c>
      <c r="S4">
        <f>'Diagnosis Indicators'!S37</f>
        <v>9.4130322300996276</v>
      </c>
      <c r="T4">
        <f>'Diagnosis Indicators'!T37</f>
        <v>18.030391294465645</v>
      </c>
      <c r="U4">
        <f>'Diagnosis Indicators'!U37</f>
        <v>45.888806144508571</v>
      </c>
      <c r="V4">
        <f>'Diagnosis Indicators'!V37</f>
        <v>59.172653574677717</v>
      </c>
    </row>
    <row r="5" spans="1:25" x14ac:dyDescent="0.2">
      <c r="A5" t="s">
        <v>149</v>
      </c>
      <c r="B5">
        <f>'Diagnosis Indicators'!B38</f>
        <v>0.16485636072655629</v>
      </c>
      <c r="C5">
        <f>'Diagnosis Indicators'!C38</f>
        <v>0.20205102260650235</v>
      </c>
      <c r="D5">
        <f>'Diagnosis Indicators'!D38</f>
        <v>0.24428138579050884</v>
      </c>
      <c r="E5">
        <f>'Diagnosis Indicators'!E38</f>
        <v>0.29276132708361935</v>
      </c>
      <c r="F5">
        <f>'Diagnosis Indicators'!F38</f>
        <v>0.34915466675699552</v>
      </c>
      <c r="G5">
        <f>'Diagnosis Indicators'!G38</f>
        <v>0.41580513889989301</v>
      </c>
      <c r="H5">
        <f>'Diagnosis Indicators'!H38</f>
        <v>0.49612021024012587</v>
      </c>
      <c r="I5">
        <f>'Diagnosis Indicators'!I38</f>
        <v>0.595235654586873</v>
      </c>
      <c r="J5">
        <f>'Diagnosis Indicators'!J38</f>
        <v>0.7212176464127803</v>
      </c>
      <c r="K5">
        <f>'Diagnosis Indicators'!K38</f>
        <v>0.88732918557199547</v>
      </c>
      <c r="L5">
        <f>'Diagnosis Indicators'!L38</f>
        <v>1.116451746339</v>
      </c>
      <c r="M5">
        <f>'Diagnosis Indicators'!M38</f>
        <v>1.4498036181656309</v>
      </c>
      <c r="N5">
        <f>'Diagnosis Indicators'!N38</f>
        <v>1.963456022012634</v>
      </c>
      <c r="O5">
        <f>'Diagnosis Indicators'!O38</f>
        <v>2.7966895732800401</v>
      </c>
      <c r="P5">
        <f>'Diagnosis Indicators'!P38</f>
        <v>4.2008267652009277</v>
      </c>
      <c r="Q5">
        <f>'Diagnosis Indicators'!Q38</f>
        <v>6.6588361741818494</v>
      </c>
    </row>
    <row r="6" spans="1:25" x14ac:dyDescent="0.2">
      <c r="A6" t="s">
        <v>147</v>
      </c>
      <c r="B6">
        <f>'Diagnosis Indicators'!B39</f>
        <v>0.16485636072655629</v>
      </c>
      <c r="C6">
        <f>'Diagnosis Indicators'!C39</f>
        <v>0.18998073911183716</v>
      </c>
      <c r="D6">
        <f>'Diagnosis Indicators'!D39</f>
        <v>0.21680259842249255</v>
      </c>
      <c r="E6">
        <f>'Diagnosis Indicators'!E39</f>
        <v>0.24543369742108706</v>
      </c>
      <c r="F6">
        <f>'Diagnosis Indicators'!F39</f>
        <v>0.27597087161484013</v>
      </c>
      <c r="G6">
        <f>'Diagnosis Indicators'!G39</f>
        <v>0.30848153186628324</v>
      </c>
      <c r="H6">
        <f>'Diagnosis Indicators'!H39</f>
        <v>0.34298235061950527</v>
      </c>
      <c r="I6">
        <f>'Diagnosis Indicators'!I39</f>
        <v>0.37940962218000401</v>
      </c>
      <c r="J6">
        <f>'Diagnosis Indicators'!J39</f>
        <v>0.41758081816513259</v>
      </c>
      <c r="K6">
        <f>'Diagnosis Indicators'!K39</f>
        <v>0.45714785049673951</v>
      </c>
      <c r="L6">
        <f>'Diagnosis Indicators'!L39</f>
        <v>0.49754700693964687</v>
      </c>
      <c r="M6">
        <f>'Diagnosis Indicators'!M39</f>
        <v>0.53795708563210221</v>
      </c>
      <c r="N6">
        <f>'Diagnosis Indicators'!N39</f>
        <v>0.57727139100185021</v>
      </c>
      <c r="O6">
        <f>'Diagnosis Indicators'!O39</f>
        <v>0.61405291754472613</v>
      </c>
      <c r="P6">
        <f>'Diagnosis Indicators'!P39</f>
        <v>0.64591061176624576</v>
      </c>
    </row>
    <row r="7" spans="1:25" x14ac:dyDescent="0.2">
      <c r="A7" t="s">
        <v>165</v>
      </c>
      <c r="B7">
        <f>'Diagnosis Indicators'!B40</f>
        <v>0.16485636072655629</v>
      </c>
      <c r="C7">
        <f>'Diagnosis Indicators'!C40</f>
        <v>0.17477922709378654</v>
      </c>
      <c r="D7">
        <f>'Diagnosis Indicators'!D40</f>
        <v>0.18402421141393205</v>
      </c>
      <c r="E7">
        <f>'Diagnosis Indicators'!E40</f>
        <v>0.19245087599124663</v>
      </c>
      <c r="F7">
        <f>'Diagnosis Indicators'!F40</f>
        <v>0.19996700984853005</v>
      </c>
      <c r="G7">
        <f>'Diagnosis Indicators'!G40</f>
        <v>0.20653571717043412</v>
      </c>
      <c r="H7">
        <f>'Diagnosis Indicators'!H40</f>
        <v>0.212177416633031</v>
      </c>
      <c r="I7">
        <f>'Diagnosis Indicators'!I40</f>
        <v>0.21697350386172054</v>
      </c>
      <c r="J7">
        <f>'Diagnosis Indicators'!J40</f>
        <v>0.22108313273884603</v>
      </c>
      <c r="K7">
        <f>'Diagnosis Indicators'!K40</f>
        <v>0.22479025594929442</v>
      </c>
      <c r="L7">
        <f>'Diagnosis Indicators'!L40</f>
        <v>0.22861654867425679</v>
      </c>
      <c r="M7">
        <f>'Diagnosis Indicators'!M40</f>
        <v>0.23351237748947548</v>
      </c>
      <c r="N7">
        <f>'Diagnosis Indicators'!N40</f>
        <v>0.24069937532453589</v>
      </c>
    </row>
    <row r="8" spans="1:25" x14ac:dyDescent="0.2">
      <c r="A8" t="s">
        <v>160</v>
      </c>
      <c r="B8">
        <f>'Diagnosis Indicators'!B41</f>
        <v>0.16485636072655629</v>
      </c>
      <c r="C8">
        <f>'Diagnosis Indicators'!C41</f>
        <v>0.19234524173560413</v>
      </c>
      <c r="D8">
        <f>'Diagnosis Indicators'!D41</f>
        <v>0.2221452008607506</v>
      </c>
      <c r="E8">
        <f>'Diagnosis Indicators'!E41</f>
        <v>0.25457906961424259</v>
      </c>
      <c r="F8">
        <f>'Diagnosis Indicators'!F41</f>
        <v>0.2900287474184533</v>
      </c>
      <c r="G8">
        <f>'Diagnosis Indicators'!G41</f>
        <v>0.32894850675827048</v>
      </c>
      <c r="H8">
        <f>'Diagnosis Indicators'!H41</f>
        <v>0.37188340302079709</v>
      </c>
      <c r="I8">
        <f>'Diagnosis Indicators'!I41</f>
        <v>0.41949704620848638</v>
      </c>
      <c r="J8">
        <f>'Diagnosis Indicators'!J41</f>
        <v>0.47261988990687903</v>
      </c>
      <c r="K8">
        <f>'Diagnosis Indicators'!K41</f>
        <v>0.53234322285681879</v>
      </c>
      <c r="L8">
        <f>'Diagnosis Indicators'!L41</f>
        <v>0.60021729580866745</v>
      </c>
      <c r="M8">
        <f>'Diagnosis Indicators'!M41</f>
        <v>0.67868902683398491</v>
      </c>
      <c r="N8">
        <f>'Diagnosis Indicators'!N41</f>
        <v>0.77208007240913856</v>
      </c>
      <c r="O8">
        <f>'Diagnosis Indicators'!O41</f>
        <v>0.88881682604531631</v>
      </c>
      <c r="P8">
        <f>'Diagnosis Indicators'!P41</f>
        <v>1.0466515849868581</v>
      </c>
      <c r="Q8">
        <f>'Diagnosis Indicators'!Q41</f>
        <v>1.28579608523013</v>
      </c>
      <c r="R8">
        <f>'Diagnosis Indicators'!R41</f>
        <v>1.7060331248008285</v>
      </c>
      <c r="S8">
        <f>'Diagnosis Indicators'!S41</f>
        <v>2.5894779929901866</v>
      </c>
      <c r="T8">
        <f>'Diagnosis Indicators'!T41</f>
        <v>4.9174014360240443</v>
      </c>
      <c r="U8">
        <f>'Diagnosis Indicators'!U41</f>
        <v>14.34770053111137</v>
      </c>
      <c r="V8">
        <f>'Diagnosis Indicators'!V41</f>
        <v>19.852423296458582</v>
      </c>
      <c r="W8">
        <f>'Diagnosis Indicators'!W41</f>
        <v>29.742415714326967</v>
      </c>
      <c r="X8">
        <f>'Diagnosis Indicators'!X41</f>
        <v>51.254791297814918</v>
      </c>
    </row>
    <row r="9" spans="1:25" x14ac:dyDescent="0.2">
      <c r="A9" t="s">
        <v>161</v>
      </c>
      <c r="B9">
        <f>'Diagnosis Indicators'!B42</f>
        <v>0.16485636072655629</v>
      </c>
      <c r="C9">
        <f>'Diagnosis Indicators'!C42</f>
        <v>0.1949809261336094</v>
      </c>
      <c r="D9">
        <f>'Diagnosis Indicators'!D42</f>
        <v>0.22801410735669464</v>
      </c>
      <c r="E9">
        <f>'Diagnosis Indicators'!E42</f>
        <v>0.26444282816247611</v>
      </c>
      <c r="F9">
        <f>'Diagnosis Indicators'!F42</f>
        <v>0.30486810861335162</v>
      </c>
      <c r="G9">
        <f>'Diagnosis Indicators'!G42</f>
        <v>0.35003788549468162</v>
      </c>
      <c r="H9">
        <f>'Diagnosis Indicators'!H42</f>
        <v>0.40088978478280035</v>
      </c>
      <c r="I9">
        <f>'Diagnosis Indicators'!I42</f>
        <v>0.45860527884210633</v>
      </c>
      <c r="J9">
        <f>'Diagnosis Indicators'!J42</f>
        <v>0.52467696830773236</v>
      </c>
      <c r="K9">
        <f>'Diagnosis Indicators'!K42</f>
        <v>0.60098475278566266</v>
      </c>
      <c r="L9">
        <f>'Diagnosis Indicators'!L42</f>
        <v>0.68986945705750791</v>
      </c>
      <c r="M9">
        <f>'Diagnosis Indicators'!M42</f>
        <v>0.79417035044470652</v>
      </c>
      <c r="N9">
        <f>'Diagnosis Indicators'!N42</f>
        <v>0.91716095638048178</v>
      </c>
      <c r="O9">
        <f>'Diagnosis Indicators'!O42</f>
        <v>1.0622757370218741</v>
      </c>
      <c r="P9">
        <f>'Diagnosis Indicators'!P42</f>
        <v>1.2325117547189579</v>
      </c>
      <c r="Q9">
        <f>'Diagnosis Indicators'!Q42</f>
        <v>1.4295040482672881</v>
      </c>
      <c r="R9">
        <f>'Diagnosis Indicators'!R42</f>
        <v>1.6525539925600159</v>
      </c>
      <c r="S9">
        <f>'Diagnosis Indicators'!S42</f>
        <v>1.8981742843172353</v>
      </c>
      <c r="T9">
        <f>'Diagnosis Indicators'!T42</f>
        <v>2.1605798642974592</v>
      </c>
      <c r="U9">
        <f>'Diagnosis Indicators'!U42</f>
        <v>2.4329438843559075</v>
      </c>
      <c r="V9">
        <f>'Diagnosis Indicators'!V42</f>
        <v>2.4880206892790668</v>
      </c>
      <c r="W9">
        <f>'Diagnosis Indicators'!W42</f>
        <v>2.5431836547857123</v>
      </c>
      <c r="X9">
        <f>'Diagnosis Indicators'!X42</f>
        <v>2.5983875886456049</v>
      </c>
      <c r="Y9">
        <f>'Diagnosis Indicators'!Y42</f>
        <v>2.653589636527097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17</vt:i4>
      </vt:variant>
      <vt:variant>
        <vt:lpstr>Graphiques</vt:lpstr>
      </vt:variant>
      <vt:variant>
        <vt:i4>3</vt:i4>
      </vt:variant>
      <vt:variant>
        <vt:lpstr>Plages nommées</vt:lpstr>
      </vt:variant>
      <vt:variant>
        <vt:i4>182</vt:i4>
      </vt:variant>
    </vt:vector>
  </HeadingPairs>
  <TitlesOfParts>
    <vt:vector size="202" baseType="lpstr">
      <vt:lpstr>Calibration</vt:lpstr>
      <vt:lpstr>Model</vt:lpstr>
      <vt:lpstr>Results</vt:lpstr>
      <vt:lpstr>NeoClassical</vt:lpstr>
      <vt:lpstr>Kaldorian</vt:lpstr>
      <vt:lpstr>Johansen</vt:lpstr>
      <vt:lpstr>Keynes-M</vt:lpstr>
      <vt:lpstr>Keynesian</vt:lpstr>
      <vt:lpstr>Keynes-K</vt:lpstr>
      <vt:lpstr>Neo-K1</vt:lpstr>
      <vt:lpstr>Neo-K2</vt:lpstr>
      <vt:lpstr>NC heteroS</vt:lpstr>
      <vt:lpstr>Keynes-I</vt:lpstr>
      <vt:lpstr>Diagnosis Indicators</vt:lpstr>
      <vt:lpstr>Utility_Export</vt:lpstr>
      <vt:lpstr>PShare_Export</vt:lpstr>
      <vt:lpstr>Tax_Export</vt:lpstr>
      <vt:lpstr>GraphU</vt:lpstr>
      <vt:lpstr>GraphPi</vt:lpstr>
      <vt:lpstr>G Tax</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2025-07-03T14:56:02Z</dcterms:modified>
</cp:coreProperties>
</file>